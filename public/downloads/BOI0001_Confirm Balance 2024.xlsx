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</commentList>
</comments>
</file>

<file path=xl/sharedStrings.xml><?xml version="1.0" encoding="utf-8"?>
<sst xmlns="http://schemas.openxmlformats.org/spreadsheetml/2006/main" uniqueCount="157">
  <si>
    <t>TOKYO BYOKANE (THAILAND) CO.,LTD.</t>
  </si>
  <si>
    <t>(TAX ID : ) 0105536131043</t>
  </si>
  <si>
    <t>BOI CUSTOMER OUTSTANDING BALANCE</t>
  </si>
  <si>
    <t>CUSTOMER CODE    :</t>
  </si>
  <si>
    <t>BOI0001</t>
  </si>
  <si>
    <t>CUSTOMER NAME   :</t>
  </si>
  <si>
    <t>AIPHONE COMMUNICATIONS(THAILAND) CO.,LTD.</t>
  </si>
  <si>
    <t>Unit (PCS.)</t>
  </si>
  <si>
    <t>ACTUAL SALE QUANTITY YEAR'2024</t>
  </si>
  <si>
    <t>SALE</t>
  </si>
  <si>
    <t>BALANCE</t>
  </si>
  <si>
    <t>PRI_CRDATE</t>
  </si>
  <si>
    <t>STATUS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</si>
  <si>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</si>
  <si>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</si>
  <si>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</si>
  <si>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</si>
  <si>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</si>
  <si>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</si>
  <si>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</si>
  <si>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</si>
  <si>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</si>
  <si>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</si>
  <si>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</si>
  <si>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</si>
  <si>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</si>
  <si>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</si>
  <si>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</si>
  <si>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</si>
  <si>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</si>
  <si>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</si>
  <si>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</si>
  <si>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</si>
  <si>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</si>
  <si>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</si>
  <si>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MG-6X30 P (4PCS.)</t>
  </si>
  <si>
    <t>000024</t>
  </si>
  <si>
    <t>PIN-P</t>
  </si>
  <si>
    <t>2006-03-16 16:26:44.653</t>
  </si>
  <si>
    <t>SN4X38+NAMOZNTH (4PCS.)</t>
  </si>
  <si>
    <t>000032</t>
  </si>
  <si>
    <t>SCREW</t>
  </si>
  <si>
    <t>2006-03-16 16:34:57.763</t>
  </si>
  <si>
    <t>S2500120</t>
  </si>
  <si>
    <t>000029</t>
  </si>
  <si>
    <t>RING</t>
  </si>
  <si>
    <t>2015-10-09 14:28:42.727</t>
  </si>
  <si>
    <t>S1100670</t>
  </si>
  <si>
    <t>000045</t>
  </si>
  <si>
    <t>WRENCH</t>
  </si>
  <si>
    <t>2015-10-12 13:27:25.147</t>
  </si>
  <si>
    <t>S1000390</t>
  </si>
  <si>
    <t>2015-10-12 14:24:06.080</t>
  </si>
  <si>
    <t>T1100670C</t>
  </si>
  <si>
    <t>2016-04-28 13:11:08.610</t>
  </si>
  <si>
    <t>T1000091C</t>
  </si>
  <si>
    <t>2016-04-28 13:14:50.877</t>
  </si>
  <si>
    <t>T1000390C</t>
  </si>
  <si>
    <t>2016-04-28 13:30:33.900</t>
  </si>
  <si>
    <t>T1000400C</t>
  </si>
  <si>
    <t>2016-04-28 13:33:17.603</t>
  </si>
  <si>
    <t>T1000480C</t>
  </si>
  <si>
    <t>2016-04-28 13:35:25.307</t>
  </si>
  <si>
    <t>T1000450C</t>
  </si>
  <si>
    <t>000022</t>
  </si>
  <si>
    <t>NUT</t>
  </si>
  <si>
    <t>2016-05-23 11:56:26.977</t>
  </si>
  <si>
    <t>T1000380C</t>
  </si>
  <si>
    <t>2016-06-29 09:46:01.660</t>
  </si>
  <si>
    <t>T1000540C</t>
  </si>
  <si>
    <t>2016-07-30 09:13:48.537</t>
  </si>
  <si>
    <t>T1100100C</t>
  </si>
  <si>
    <t>2016-08-18 13:45:47.513</t>
  </si>
  <si>
    <t>T1000460C</t>
  </si>
  <si>
    <t>2017-02-01 14:06:18.800</t>
  </si>
  <si>
    <t>T1000570C</t>
  </si>
  <si>
    <t>2017-06-08 15:01:02.510</t>
  </si>
  <si>
    <t>T1000580C</t>
  </si>
  <si>
    <t>2017-06-09 09:05:46.083</t>
  </si>
  <si>
    <t>T2500120C</t>
  </si>
  <si>
    <t>2017-06-12 17:04:15.253</t>
  </si>
  <si>
    <t>T1000300C</t>
  </si>
  <si>
    <t>2017-06-12 17:11:59.453</t>
  </si>
  <si>
    <t>T2501700C</t>
  </si>
  <si>
    <t>2018-03-15 10:01:29.080</t>
  </si>
  <si>
    <t>T1000590C</t>
  </si>
  <si>
    <t>2018-03-15 10:05:36.173</t>
  </si>
  <si>
    <t>T1000041C</t>
  </si>
  <si>
    <t>2018-09-18 10:04:48.693</t>
  </si>
  <si>
    <t>T1000610C</t>
  </si>
  <si>
    <t>2018-10-03 14:40:27.313</t>
  </si>
  <si>
    <t>T1000280C</t>
  </si>
  <si>
    <t>2018-10-24 09:33:28.243</t>
  </si>
  <si>
    <t>T1000620C</t>
  </si>
  <si>
    <t>2018-11-08 15:26:41.360</t>
  </si>
  <si>
    <t>T1000630C</t>
  </si>
  <si>
    <t>2019-12-09 09:20:54.013</t>
  </si>
  <si>
    <t>S1000580</t>
  </si>
  <si>
    <t>2021-11-16 15:08:07.403</t>
  </si>
  <si>
    <t>S1000590</t>
  </si>
  <si>
    <t>2022-11-24 09:29:48.817</t>
  </si>
  <si>
    <t>S2501700</t>
  </si>
  <si>
    <t>PIN</t>
  </si>
  <si>
    <t>2022-11-24 09:33:25.660</t>
  </si>
  <si>
    <t>S1100100</t>
  </si>
  <si>
    <t>2022-12-19 14:25:13.887</t>
  </si>
  <si>
    <t>T2500120C-4M</t>
  </si>
  <si>
    <t>2023-01-06 16:52:05.437</t>
  </si>
  <si>
    <t>T1000640C</t>
  </si>
  <si>
    <t>000043</t>
  </si>
  <si>
    <t>WASHER</t>
  </si>
  <si>
    <t>2023-02-02 11:35:53.927</t>
  </si>
  <si>
    <t>T1000650C</t>
  </si>
  <si>
    <t>2023-02-02 11:37:14.283</t>
  </si>
  <si>
    <t>S1000570</t>
  </si>
  <si>
    <t>2024-03-08 13:30:57.360</t>
  </si>
  <si>
    <t>S1000540</t>
  </si>
  <si>
    <t>2024-04-10 13:39:21.987</t>
  </si>
  <si>
    <t>T1000340C</t>
  </si>
  <si>
    <t>2016-04-28 13:26:14.357</t>
  </si>
  <si>
    <t>T1000350C</t>
  </si>
  <si>
    <t>2016-04-28 13:28:25.480</t>
  </si>
  <si>
    <t>T1000470C</t>
  </si>
  <si>
    <t>2016-07-30 09:21:58.897</t>
  </si>
  <si>
    <t xml:space="preserve"> </t>
  </si>
  <si>
    <t>Please confirm this report and sent back to BOI Tokyo Byokane by fax 0-2516-0925 or e-mail (tbtboi1@byokane.co.th)</t>
  </si>
  <si>
    <t>if your any problem pls. contact to Ms.Arom 0-2516-0916-23 Ext.206</t>
  </si>
  <si>
    <t>Signature :</t>
  </si>
  <si>
    <t>Received Date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</si>
  <si>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</si>
  <si>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</si>
  <si>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</si>
  <si>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</si>
  <si>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</si>
  <si>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</si>
  <si>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</si>
  <si>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</si>
  <si>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</si>
  <si>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</si>
  <si>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</si>
  <si>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2024-01-09</t>
  </si>
  <si>
    <t>AIPHONE COMMUNICATIONS (THAILAND) CO.,LTD</t>
  </si>
  <si>
    <t>L24-V-N0000768</t>
  </si>
  <si>
    <t>CUSHION PACKING</t>
  </si>
  <si>
    <t>L24-V-N0000829</t>
  </si>
  <si>
    <t>2024-02-22</t>
  </si>
  <si>
    <t>L24-V-N0010389</t>
  </si>
  <si>
    <t>2024-04-11</t>
  </si>
  <si>
    <t>L24-V-N0021950</t>
  </si>
  <si>
    <t>2024-04-27</t>
  </si>
  <si>
    <t>L24-V-N0025013</t>
  </si>
  <si>
    <t>2024-05-22</t>
  </si>
  <si>
    <t>L24-V-N0030723</t>
  </si>
  <si>
    <t>NG REPORT</t>
  </si>
  <si>
    <t>NG Date(Y/M/D)</t>
  </si>
  <si>
    <t>Part</t>
  </si>
  <si>
    <t>Sale QTY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</si>
</sst>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0_);_(* \(#,##0.00\);_(* &quot;-&quot;??_);_(@_)"/>
  </numFmts>
  <fonts count="1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333399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14"/>
      <color rgb="FF000000"/>
      <name val="Tahoma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0066CC"/>
        <bgColor rgb="FF0000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15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4" fillId="2" borderId="1" applyFont="1" applyNumberFormat="1" applyFill="0" applyBorder="1" applyAlignment="0" applyProtection="true"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4" fillId="3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5" numFmtId="164" fillId="4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5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6" numFmtId="14" fillId="2" borderId="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14" fillId="2" borderId="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14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4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5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3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8" numFmtId="0" fillId="2" borderId="1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165" fillId="3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4" fillId="2" borderId="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4" applyFont="1" applyNumberFormat="0" applyFill="0" applyBorder="1" applyAlignment="1" applyProtection="true">
      <alignment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0" applyProtection="true">
      <protection hidden="false"/>
    </xf>
    <xf xfId="0" fontId="1" numFmtId="0" fillId="2" borderId="12" applyFont="1" applyNumberFormat="0" applyFill="0" applyBorder="1" applyAlignment="0" applyProtection="true">
      <protection hidden="false"/>
    </xf>
    <xf xfId="0" fontId="1" numFmtId="0" fillId="2" borderId="11" applyFont="1" applyNumberFormat="0" applyFill="0" applyBorder="1" applyAlignment="0" applyProtection="true">
      <protection hidden="false"/>
    </xf>
    <xf xfId="0" fontId="1" numFmtId="0" fillId="2" borderId="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14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7" numFmtId="14" fillId="2" borderId="1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0" numFmtId="0" fillId="2" borderId="0" applyFont="1" applyNumberFormat="0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2" numFmtId="0" fillId="6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4" numFmtId="166" fillId="2" borderId="0" applyFont="1" applyNumberFormat="1" applyFill="0" applyBorder="0" applyAlignment="0" applyProtection="true">
      <protection hidden="false"/>
    </xf>
    <xf xfId="0" fontId="4" numFmtId="167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4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7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3" borderId="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6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2" numFmtId="0" fillId="7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4" fillId="5" borderId="17" applyFont="1" applyNumberFormat="1" applyFill="1" applyBorder="1" applyAlignment="0" applyProtection="true">
      <protection hidden="false"/>
    </xf>
    <xf xfId="0" fontId="4" numFmtId="164" fillId="3" borderId="18" applyFont="1" applyNumberFormat="1" applyFill="1" applyBorder="1" applyAlignment="0" applyProtection="true">
      <protection hidden="false"/>
    </xf>
    <xf xfId="0" fontId="5" numFmtId="164" fillId="4" borderId="19" applyFont="1" applyNumberFormat="1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3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4" numFmtId="164" fillId="3" borderId="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1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5" fillId="3" borderId="24" applyFont="1" applyNumberFormat="1" applyFill="1" applyBorder="1" applyAlignment="0" applyProtection="true">
      <protection hidden="false"/>
    </xf>
    <xf xfId="0" fontId="1" numFmtId="164" fillId="5" borderId="18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17" applyFont="1" applyNumberFormat="1" applyFill="1" applyBorder="1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justify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164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3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4" fillId="8" borderId="0" applyFont="1" applyNumberFormat="1" applyFill="1" applyBorder="0" applyAlignment="1" applyProtection="true">
      <alignment horizontal="left" vertical="justify" textRotation="0" wrapText="tru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3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5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3" numFmtId="164" fillId="8" borderId="0" applyFont="1" applyNumberFormat="1" applyFill="1" applyBorder="0" applyAlignment="0" applyProtection="true">
      <protection hidden="false"/>
    </xf>
    <xf xfId="0" fontId="4" numFmtId="164" fillId="8" borderId="0" applyFont="1" applyNumberFormat="1" applyFill="1" applyBorder="0" applyAlignment="0" applyProtection="true">
      <protection hidden="false"/>
    </xf>
    <xf xfId="0" fontId="5" numFmtId="164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9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9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2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3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3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10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10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1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3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3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3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7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4" numFmtId="0" fillId="10" borderId="2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5" numFmtId="164" fillId="4" borderId="3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1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2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3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4" numFmtId="0" fillId="11" borderId="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7" applyFont="1" applyNumberFormat="1" applyFill="1" applyBorder="1" applyAlignment="0" applyProtection="true">
      <protection hidden="false"/>
    </xf>
    <xf xfId="0" fontId="4" numFmtId="164" fillId="4" borderId="17" applyFont="1" applyNumberFormat="1" applyFill="1" applyBorder="1" applyAlignment="0" applyProtection="true">
      <protection hidden="false"/>
    </xf>
    <xf xfId="0" fontId="1" numFmtId="0" fillId="2" borderId="7" applyFont="1" applyNumberFormat="0" applyFill="0" applyBorder="1" applyAlignment="0" applyProtection="true">
      <protection hidden="false"/>
    </xf>
  </cellXfs>
  <cellStyles count="1">
    <cellStyle name="Normal" xfId="0" builtinId="0"/>
  </cellStyles>
  <dxfs count="4"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80"/>
  <sheetViews>
    <sheetView tabSelected="0" workbookViewId="0" zoomScale="145" zoomScaleNormal="145" showGridLines="true" showRowColHeaders="1">
      <pane xSplit="5" ySplit="8" activePane="bottomRight" state="frozen" topLeftCell="AA9"/>
      <selection pane="bottomRight" activeCell="B9" sqref="B9:B275"/>
    </sheetView>
  </sheetViews>
  <sheetFormatPr customHeight="true" defaultRowHeight="11.5" defaultColWidth="9.1796875" outlineLevelRow="0" outlineLevelCol="0"/>
  <cols>
    <col min="1" max="1" width="3.81640625" customWidth="true" style="82"/>
    <col min="2" max="2" width="19.1796875" customWidth="true" style="92"/>
    <col min="3" max="3" width="7.81640625" customWidth="true" style="82"/>
    <col min="4" max="4" width="14.26953125" customWidth="true" style="82"/>
    <col min="5" max="5" width="13.26953125" customWidth="true" style="82"/>
    <col min="6" max="6" width="11.54296875" customWidth="true" style="82"/>
    <col min="7" max="7" width="10.26953125" customWidth="true" style="82"/>
    <col min="8" max="8" width="10.54296875" customWidth="true" style="82"/>
    <col min="9" max="9" width="12" customWidth="true" style="82"/>
    <col min="10" max="10" width="11.26953125" customWidth="true" style="25"/>
    <col min="11" max="11" width="11.54296875" customWidth="true" style="82"/>
    <col min="12" max="12" width="10.54296875" customWidth="true" style="25"/>
    <col min="13" max="13" width="10.54296875" customWidth="true" style="82"/>
    <col min="14" max="14" width="11.54296875" customWidth="true" style="25"/>
    <col min="15" max="15" width="11.54296875" customWidth="true" style="82"/>
    <col min="16" max="16" width="10.54296875" customWidth="true" style="25"/>
    <col min="17" max="17" width="10.54296875" customWidth="true" style="82"/>
    <col min="18" max="18" width="12.7265625" customWidth="true" style="82"/>
    <col min="19" max="19" width="11.54296875" customWidth="true" style="82"/>
    <col min="20" max="20" width="12.7265625" customWidth="true" style="82"/>
    <col min="21" max="21" width="10.453125" customWidth="true" style="82"/>
    <col min="22" max="22" width="10.54296875" customWidth="true" style="82"/>
    <col min="23" max="23" width="11.54296875" customWidth="true" style="82"/>
    <col min="24" max="24" width="11.54296875" customWidth="true" style="82"/>
    <col min="25" max="25" width="11.54296875" customWidth="true" style="82"/>
    <col min="26" max="26" width="11.54296875" customWidth="true" style="82"/>
    <col min="27" max="27" width="11.54296875" customWidth="true" style="82"/>
    <col min="28" max="28" width="10.54296875" customWidth="true" style="82"/>
    <col min="29" max="29" width="11.54296875" customWidth="true" style="82"/>
    <col min="30" max="30" width="12.7265625" customWidth="true" style="82"/>
    <col min="31" max="31" width="12.7265625" customWidth="true" style="82"/>
    <col min="32" max="32" width="13.1796875" customWidth="true" style="82"/>
    <col min="33" max="33" width="12.54296875" customWidth="true" style="74"/>
    <col min="34" max="34" width="15.08984375" customWidth="true" style="82"/>
  </cols>
  <sheetData>
    <row r="1" spans="1:42" customHeight="1" ht="14" s="69" customFormat="1">
      <c r="A1" s="68" t="s">
        <v>0</v>
      </c>
      <c r="E1" s="70" t="s">
        <v>1</v>
      </c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 spans="1:42" customHeight="1" ht="14.5" s="69" customFormat="1">
      <c r="A2" s="68" t="s">
        <v>2</v>
      </c>
      <c r="C2" s="72"/>
      <c r="D2" s="72"/>
      <c r="E2" s="73"/>
      <c r="AG2" s="74"/>
      <c r="AH2" s="71"/>
    </row>
    <row r="3" spans="1:42" customHeight="1" ht="22.5" s="69" customFormat="1">
      <c r="A3" s="68" t="s">
        <v>3</v>
      </c>
      <c r="C3" s="174" t="s">
        <v>4</v>
      </c>
      <c r="D3" s="175"/>
      <c r="E3" s="75"/>
      <c r="F3" s="76"/>
      <c r="G3" s="76"/>
      <c r="L3" s="2"/>
      <c r="M3" s="2"/>
      <c r="N3" s="77"/>
      <c r="O3" s="77"/>
      <c r="P3" s="78"/>
      <c r="Q3" s="78"/>
      <c r="AG3" s="74"/>
      <c r="AH3" s="71"/>
    </row>
    <row r="4" spans="1:42" customHeight="1" ht="18" s="69" customFormat="1">
      <c r="A4" s="68" t="s">
        <v>5</v>
      </c>
      <c r="C4" s="174" t="s">
        <v>6</v>
      </c>
      <c r="D4" s="201"/>
      <c r="E4" s="201"/>
      <c r="F4" s="201"/>
      <c r="G4" s="175"/>
      <c r="AG4" s="79" t="s">
        <v>7</v>
      </c>
      <c r="AH4" s="71"/>
    </row>
    <row r="5" spans="1:42" customHeight="1" ht="18">
      <c r="A5" s="69"/>
      <c r="B5" s="80"/>
      <c r="C5" s="81"/>
      <c r="D5" s="69"/>
      <c r="E5" s="69"/>
      <c r="F5" s="171" t="s">
        <v>8</v>
      </c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3"/>
      <c r="AD5" s="169" t="s">
        <v>9</v>
      </c>
      <c r="AE5" s="170"/>
      <c r="AF5" s="168" t="s">
        <v>10</v>
      </c>
      <c r="AG5" s="168"/>
      <c r="AH5" s="208" t="s">
        <v>11</v>
      </c>
      <c r="AI5" s="208" t="s">
        <v>12</v>
      </c>
    </row>
    <row r="6" spans="1:42" customHeight="1" ht="11.25">
      <c r="A6" s="184" t="s">
        <v>13</v>
      </c>
      <c r="B6" s="187" t="s">
        <v>14</v>
      </c>
      <c r="C6" s="190" t="s">
        <v>15</v>
      </c>
      <c r="D6" s="193" t="s">
        <v>16</v>
      </c>
      <c r="E6" s="196" t="s">
        <v>17</v>
      </c>
      <c r="F6" s="199" t="s">
        <v>18</v>
      </c>
      <c r="G6" s="177"/>
      <c r="H6" s="199" t="s">
        <v>19</v>
      </c>
      <c r="I6" s="177"/>
      <c r="J6" s="176" t="s">
        <v>20</v>
      </c>
      <c r="K6" s="177"/>
      <c r="L6" s="176" t="s">
        <v>21</v>
      </c>
      <c r="M6" s="177"/>
      <c r="N6" s="176" t="s">
        <v>22</v>
      </c>
      <c r="O6" s="177"/>
      <c r="P6" s="182" t="s">
        <v>23</v>
      </c>
      <c r="Q6" s="182"/>
      <c r="R6" s="182" t="s">
        <v>24</v>
      </c>
      <c r="S6" s="182"/>
      <c r="T6" s="182" t="s">
        <v>25</v>
      </c>
      <c r="U6" s="182"/>
      <c r="V6" s="182" t="s">
        <v>26</v>
      </c>
      <c r="W6" s="182"/>
      <c r="X6" s="182" t="s">
        <v>27</v>
      </c>
      <c r="Y6" s="182"/>
      <c r="Z6" s="205" t="s">
        <v>28</v>
      </c>
      <c r="AA6" s="205"/>
      <c r="AB6" s="205" t="s">
        <v>29</v>
      </c>
      <c r="AC6" s="205"/>
      <c r="AD6" s="180" t="s">
        <v>9</v>
      </c>
      <c r="AE6" s="180" t="s">
        <v>30</v>
      </c>
      <c r="AF6" s="202" t="s">
        <v>31</v>
      </c>
      <c r="AG6" s="209" t="s">
        <v>32</v>
      </c>
      <c r="AH6" s="214"/>
      <c r="AI6" s="214"/>
    </row>
    <row r="7" spans="1:42" customHeight="1" ht="11.5">
      <c r="A7" s="185"/>
      <c r="B7" s="188"/>
      <c r="C7" s="191"/>
      <c r="D7" s="194"/>
      <c r="E7" s="197"/>
      <c r="F7" s="200"/>
      <c r="G7" s="179"/>
      <c r="H7" s="200"/>
      <c r="I7" s="179"/>
      <c r="J7" s="178"/>
      <c r="K7" s="179"/>
      <c r="L7" s="178"/>
      <c r="M7" s="179"/>
      <c r="N7" s="178"/>
      <c r="O7" s="179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206"/>
      <c r="AA7" s="206"/>
      <c r="AB7" s="206"/>
      <c r="AC7" s="206"/>
      <c r="AD7" s="181"/>
      <c r="AE7" s="181"/>
      <c r="AF7" s="203"/>
      <c r="AG7" s="210"/>
      <c r="AH7" s="214"/>
      <c r="AI7" s="214"/>
    </row>
    <row r="8" spans="1:42" customHeight="1" ht="12">
      <c r="A8" s="186"/>
      <c r="B8" s="189"/>
      <c r="C8" s="192"/>
      <c r="D8" s="195"/>
      <c r="E8" s="198"/>
      <c r="F8" s="83" t="s">
        <v>33</v>
      </c>
      <c r="G8" s="84" t="s">
        <v>34</v>
      </c>
      <c r="H8" s="83" t="s">
        <v>33</v>
      </c>
      <c r="I8" s="84" t="s">
        <v>34</v>
      </c>
      <c r="J8" s="83" t="s">
        <v>33</v>
      </c>
      <c r="K8" s="84" t="s">
        <v>34</v>
      </c>
      <c r="L8" s="83" t="s">
        <v>33</v>
      </c>
      <c r="M8" s="84" t="s">
        <v>34</v>
      </c>
      <c r="N8" s="83" t="s">
        <v>33</v>
      </c>
      <c r="O8" s="84" t="s">
        <v>34</v>
      </c>
      <c r="P8" s="83" t="s">
        <v>33</v>
      </c>
      <c r="Q8" s="84" t="s">
        <v>34</v>
      </c>
      <c r="R8" s="83" t="s">
        <v>33</v>
      </c>
      <c r="S8" s="84" t="s">
        <v>34</v>
      </c>
      <c r="T8" s="83" t="s">
        <v>33</v>
      </c>
      <c r="U8" s="84" t="s">
        <v>34</v>
      </c>
      <c r="V8" s="83" t="s">
        <v>33</v>
      </c>
      <c r="W8" s="84" t="s">
        <v>34</v>
      </c>
      <c r="X8" s="83" t="s">
        <v>33</v>
      </c>
      <c r="Y8" s="84" t="s">
        <v>34</v>
      </c>
      <c r="Z8" s="83" t="s">
        <v>33</v>
      </c>
      <c r="AA8" s="84" t="s">
        <v>34</v>
      </c>
      <c r="AB8" s="83" t="s">
        <v>33</v>
      </c>
      <c r="AC8" s="84" t="s">
        <v>34</v>
      </c>
      <c r="AD8" s="106">
        <v>2024</v>
      </c>
      <c r="AE8" s="107" t="s">
        <v>33</v>
      </c>
      <c r="AF8" s="204"/>
      <c r="AG8" s="211"/>
      <c r="AH8" s="214"/>
      <c r="AI8" s="214"/>
    </row>
    <row r="9" spans="1:42" customHeight="1" ht="11.5">
      <c r="A9" s="5">
        <v>1</v>
      </c>
      <c r="B9" s="108" t="s">
        <v>35</v>
      </c>
      <c r="C9" s="109" t="s">
        <v>36</v>
      </c>
      <c r="D9" s="110" t="s">
        <v>37</v>
      </c>
      <c r="E9" s="86">
        <v>0</v>
      </c>
      <c r="F9" s="9">
        <v>0</v>
      </c>
      <c r="G9" s="10"/>
      <c r="H9" s="9">
        <v>8000</v>
      </c>
      <c r="I9" s="10"/>
      <c r="J9" s="9">
        <v>0</v>
      </c>
      <c r="K9" s="10"/>
      <c r="L9" s="87">
        <v>8000</v>
      </c>
      <c r="M9" s="10"/>
      <c r="N9" s="9">
        <v>8000</v>
      </c>
      <c r="O9" s="10"/>
      <c r="P9" s="9">
        <v>8000</v>
      </c>
      <c r="Q9" s="10"/>
      <c r="R9" s="9">
        <v>8000</v>
      </c>
      <c r="S9" s="10"/>
      <c r="T9" s="9">
        <v>0</v>
      </c>
      <c r="U9" s="10"/>
      <c r="V9" s="9">
        <v>0</v>
      </c>
      <c r="W9" s="10"/>
      <c r="X9" s="9">
        <v>0</v>
      </c>
      <c r="Y9" s="10"/>
      <c r="Z9" s="9">
        <v>0</v>
      </c>
      <c r="AA9" s="10"/>
      <c r="AB9" s="11">
        <v>0</v>
      </c>
      <c r="AC9" s="10"/>
      <c r="AD9" s="7">
        <f>SUM(F9+H9+J9+L9+N9+P9+R9+T9+V9+X9+Z9+AB9)</f>
        <v>40000</v>
      </c>
      <c r="AE9" s="7">
        <f>E9+AD9</f>
        <v>40000</v>
      </c>
      <c r="AF9" s="8">
        <f>G9+I9+K9+M9+O9+Q9+S9+U9+W9+Y9+AA9+AC9</f>
        <v>0</v>
      </c>
      <c r="AG9" s="212">
        <f>SUM(AE9-AF9)</f>
        <v>40000</v>
      </c>
      <c r="AH9" s="214" t="s">
        <v>38</v>
      </c>
      <c r="AI9" s="214">
        <v>4</v>
      </c>
    </row>
    <row r="10" spans="1:42" customHeight="1" ht="11.5">
      <c r="A10" s="5">
        <v>2</v>
      </c>
      <c r="B10" s="111" t="s">
        <v>39</v>
      </c>
      <c r="C10" s="4" t="s">
        <v>40</v>
      </c>
      <c r="D10" s="85" t="s">
        <v>41</v>
      </c>
      <c r="E10" s="86">
        <v>0</v>
      </c>
      <c r="F10" s="9">
        <v>0</v>
      </c>
      <c r="G10" s="10"/>
      <c r="H10" s="9">
        <v>8000</v>
      </c>
      <c r="I10" s="10"/>
      <c r="J10" s="9">
        <v>0</v>
      </c>
      <c r="K10" s="10"/>
      <c r="L10" s="87">
        <v>8000</v>
      </c>
      <c r="M10" s="10"/>
      <c r="N10" s="9">
        <v>8000</v>
      </c>
      <c r="O10" s="10"/>
      <c r="P10" s="9">
        <v>8000</v>
      </c>
      <c r="Q10" s="10"/>
      <c r="R10" s="9">
        <v>8000</v>
      </c>
      <c r="S10" s="10"/>
      <c r="T10" s="9">
        <v>0</v>
      </c>
      <c r="U10" s="10"/>
      <c r="V10" s="9">
        <v>0</v>
      </c>
      <c r="W10" s="10"/>
      <c r="X10" s="9">
        <v>0</v>
      </c>
      <c r="Y10" s="10"/>
      <c r="Z10" s="9">
        <v>0</v>
      </c>
      <c r="AA10" s="10"/>
      <c r="AB10" s="11">
        <v>0</v>
      </c>
      <c r="AC10" s="10"/>
      <c r="AD10" s="7">
        <f>SUM(F10+H10+J10+L10+N10+P10+R10+T10+V10+X10+Z10+AB10)</f>
        <v>40000</v>
      </c>
      <c r="AE10" s="7">
        <f>E10+AD10</f>
        <v>40000</v>
      </c>
      <c r="AF10" s="8">
        <f>G10+I10+K10+M10+O10+Q10+S10+U10+W10+Y10+AA10+AC10</f>
        <v>0</v>
      </c>
      <c r="AG10" s="212">
        <f>SUM(AE10-AF10)</f>
        <v>40000</v>
      </c>
      <c r="AH10" s="214" t="s">
        <v>42</v>
      </c>
      <c r="AI10" s="214">
        <v>4</v>
      </c>
    </row>
    <row r="11" spans="1:42" customHeight="1" ht="11.5">
      <c r="A11" s="5">
        <v>3</v>
      </c>
      <c r="B11" s="111" t="s">
        <v>43</v>
      </c>
      <c r="C11" s="4" t="s">
        <v>44</v>
      </c>
      <c r="D11" s="85" t="s">
        <v>45</v>
      </c>
      <c r="E11" s="86">
        <v>0</v>
      </c>
      <c r="F11" s="9">
        <v>0</v>
      </c>
      <c r="G11" s="10"/>
      <c r="H11" s="9">
        <v>0</v>
      </c>
      <c r="I11" s="10"/>
      <c r="J11" s="9">
        <v>200</v>
      </c>
      <c r="K11" s="10"/>
      <c r="L11" s="87">
        <v>0</v>
      </c>
      <c r="M11" s="10"/>
      <c r="N11" s="9">
        <v>0</v>
      </c>
      <c r="O11" s="10"/>
      <c r="P11" s="9">
        <v>0</v>
      </c>
      <c r="Q11" s="10"/>
      <c r="R11" s="9">
        <v>0</v>
      </c>
      <c r="S11" s="10"/>
      <c r="T11" s="9">
        <v>0</v>
      </c>
      <c r="U11" s="10"/>
      <c r="V11" s="9">
        <v>0</v>
      </c>
      <c r="W11" s="10"/>
      <c r="X11" s="9">
        <v>0</v>
      </c>
      <c r="Y11" s="10"/>
      <c r="Z11" s="9">
        <v>0</v>
      </c>
      <c r="AA11" s="10"/>
      <c r="AB11" s="11">
        <v>0</v>
      </c>
      <c r="AC11" s="10"/>
      <c r="AD11" s="7">
        <f>SUM(F11+H11+J11+L11+N11+P11+R11+T11+V11+X11+Z11+AB11)</f>
        <v>200</v>
      </c>
      <c r="AE11" s="7">
        <f>E11+AD11</f>
        <v>200</v>
      </c>
      <c r="AF11" s="8">
        <f>G11+I11+K11+M11+O11+Q11+S11+U11+W11+Y11+AA11+AC11</f>
        <v>0</v>
      </c>
      <c r="AG11" s="212">
        <f>SUM(AE11-AF11)</f>
        <v>200</v>
      </c>
      <c r="AH11" s="214" t="s">
        <v>46</v>
      </c>
      <c r="AI11" s="214">
        <v>4</v>
      </c>
    </row>
    <row r="12" spans="1:42" customHeight="1" ht="11.5">
      <c r="A12" s="5">
        <v>4</v>
      </c>
      <c r="B12" s="111" t="s">
        <v>47</v>
      </c>
      <c r="C12" s="4" t="s">
        <v>48</v>
      </c>
      <c r="D12" s="166" t="s">
        <v>49</v>
      </c>
      <c r="E12" s="86">
        <v>-2050</v>
      </c>
      <c r="F12" s="9">
        <v>0</v>
      </c>
      <c r="G12" s="10"/>
      <c r="H12" s="9">
        <v>0</v>
      </c>
      <c r="I12" s="10"/>
      <c r="J12" s="9">
        <v>0</v>
      </c>
      <c r="K12" s="10"/>
      <c r="L12" s="87">
        <v>0</v>
      </c>
      <c r="M12" s="10"/>
      <c r="N12" s="9">
        <v>0</v>
      </c>
      <c r="O12" s="10"/>
      <c r="P12" s="9">
        <v>500</v>
      </c>
      <c r="Q12" s="10"/>
      <c r="R12" s="9">
        <v>0</v>
      </c>
      <c r="S12" s="10"/>
      <c r="T12" s="9">
        <v>0</v>
      </c>
      <c r="U12" s="10"/>
      <c r="V12" s="9">
        <v>0</v>
      </c>
      <c r="W12" s="10"/>
      <c r="X12" s="9">
        <v>0</v>
      </c>
      <c r="Y12" s="10"/>
      <c r="Z12" s="9">
        <v>0</v>
      </c>
      <c r="AA12" s="10"/>
      <c r="AB12" s="11">
        <v>0</v>
      </c>
      <c r="AC12" s="10"/>
      <c r="AD12" s="7">
        <f>SUM(F12+H12+J12+L12+N12+P12+R12+T12+V12+X12+Z12+AB12)</f>
        <v>500</v>
      </c>
      <c r="AE12" s="7">
        <f>E12+AD12</f>
        <v>-1550</v>
      </c>
      <c r="AF12" s="8">
        <f>G12+I12+K12+M12+O12+Q12+S12+U12+W12+Y12+AA12+AC12</f>
        <v>0</v>
      </c>
      <c r="AG12" s="212">
        <f>SUM(AE12-AF12)</f>
        <v>-1550</v>
      </c>
      <c r="AH12" s="214" t="s">
        <v>50</v>
      </c>
      <c r="AI12" s="214">
        <v>4</v>
      </c>
    </row>
    <row r="13" spans="1:42" customHeight="1" ht="11.5">
      <c r="A13" s="5">
        <v>5</v>
      </c>
      <c r="B13" s="111" t="s">
        <v>51</v>
      </c>
      <c r="C13" s="4" t="s">
        <v>40</v>
      </c>
      <c r="D13" s="166" t="s">
        <v>41</v>
      </c>
      <c r="E13" s="86">
        <v>0</v>
      </c>
      <c r="F13" s="9">
        <v>0</v>
      </c>
      <c r="G13" s="10"/>
      <c r="H13" s="9">
        <v>0</v>
      </c>
      <c r="I13" s="10"/>
      <c r="J13" s="9">
        <v>500</v>
      </c>
      <c r="K13" s="10"/>
      <c r="L13" s="87">
        <v>0</v>
      </c>
      <c r="M13" s="10"/>
      <c r="N13" s="9">
        <v>0</v>
      </c>
      <c r="O13" s="10"/>
      <c r="P13" s="9">
        <v>0</v>
      </c>
      <c r="Q13" s="10"/>
      <c r="R13" s="9">
        <v>0</v>
      </c>
      <c r="S13" s="10"/>
      <c r="T13" s="9">
        <v>0</v>
      </c>
      <c r="U13" s="10"/>
      <c r="V13" s="9">
        <v>0</v>
      </c>
      <c r="W13" s="10"/>
      <c r="X13" s="9">
        <v>0</v>
      </c>
      <c r="Y13" s="10"/>
      <c r="Z13" s="9">
        <v>0</v>
      </c>
      <c r="AA13" s="10"/>
      <c r="AB13" s="11">
        <v>0</v>
      </c>
      <c r="AC13" s="10"/>
      <c r="AD13" s="7">
        <f>SUM(F13+H13+J13+L13+N13+P13+R13+T13+V13+X13+Z13+AB13)</f>
        <v>500</v>
      </c>
      <c r="AE13" s="7">
        <f>E13+AD13</f>
        <v>500</v>
      </c>
      <c r="AF13" s="8">
        <f>G13+I13+K13+M13+O13+Q13+S13+U13+W13+Y13+AA13+AC13</f>
        <v>0</v>
      </c>
      <c r="AG13" s="212">
        <f>SUM(AE13-AF13)</f>
        <v>500</v>
      </c>
      <c r="AH13" s="214" t="s">
        <v>52</v>
      </c>
      <c r="AI13" s="214">
        <v>4</v>
      </c>
    </row>
    <row r="14" spans="1:42" customHeight="1" ht="11.5">
      <c r="A14" s="5">
        <v>6</v>
      </c>
      <c r="B14" s="111" t="s">
        <v>53</v>
      </c>
      <c r="C14" s="4" t="s">
        <v>48</v>
      </c>
      <c r="D14" s="166" t="s">
        <v>49</v>
      </c>
      <c r="E14" s="86">
        <v>-8156</v>
      </c>
      <c r="F14" s="9">
        <v>6500</v>
      </c>
      <c r="G14" s="10"/>
      <c r="H14" s="9">
        <v>4000</v>
      </c>
      <c r="I14" s="10"/>
      <c r="J14" s="9">
        <v>7000</v>
      </c>
      <c r="K14" s="10"/>
      <c r="L14" s="87">
        <v>6000</v>
      </c>
      <c r="M14" s="10">
        <v>14910</v>
      </c>
      <c r="N14" s="9">
        <v>3500</v>
      </c>
      <c r="O14" s="10">
        <v>100</v>
      </c>
      <c r="P14" s="9">
        <v>3500</v>
      </c>
      <c r="Q14" s="10"/>
      <c r="R14" s="9">
        <v>7600</v>
      </c>
      <c r="S14" s="10"/>
      <c r="T14" s="9">
        <v>0</v>
      </c>
      <c r="U14" s="10"/>
      <c r="V14" s="9">
        <v>0</v>
      </c>
      <c r="W14" s="10"/>
      <c r="X14" s="9">
        <v>0</v>
      </c>
      <c r="Y14" s="10"/>
      <c r="Z14" s="9">
        <v>0</v>
      </c>
      <c r="AA14" s="10"/>
      <c r="AB14" s="11">
        <v>0</v>
      </c>
      <c r="AC14" s="10"/>
      <c r="AD14" s="7">
        <f>SUM(F14+H14+J14+L14+N14+P14+R14+T14+V14+X14+Z14+AB14)</f>
        <v>38100</v>
      </c>
      <c r="AE14" s="7">
        <f>E14+AD14</f>
        <v>29944</v>
      </c>
      <c r="AF14" s="8">
        <f>G14+I14+K14+M14+O14+Q14+S14+U14+W14+Y14+AA14+AC14</f>
        <v>15010</v>
      </c>
      <c r="AG14" s="212">
        <f>SUM(AE14-AF14)</f>
        <v>14934</v>
      </c>
      <c r="AH14" s="214" t="s">
        <v>54</v>
      </c>
      <c r="AI14" s="214">
        <v>4</v>
      </c>
    </row>
    <row r="15" spans="1:42" customHeight="1" ht="11.5">
      <c r="A15" s="5">
        <v>7</v>
      </c>
      <c r="B15" s="111" t="s">
        <v>55</v>
      </c>
      <c r="C15" s="4" t="s">
        <v>40</v>
      </c>
      <c r="D15" s="166" t="s">
        <v>41</v>
      </c>
      <c r="E15" s="86">
        <v>33579</v>
      </c>
      <c r="F15" s="9">
        <v>63000</v>
      </c>
      <c r="G15" s="10">
        <v>72579</v>
      </c>
      <c r="H15" s="9">
        <v>28000</v>
      </c>
      <c r="I15" s="10">
        <v>63000</v>
      </c>
      <c r="J15" s="9">
        <v>68000</v>
      </c>
      <c r="K15" s="10"/>
      <c r="L15" s="87">
        <v>20000</v>
      </c>
      <c r="M15" s="10">
        <v>59000</v>
      </c>
      <c r="N15" s="9">
        <v>59000</v>
      </c>
      <c r="O15" s="10"/>
      <c r="P15" s="9">
        <v>50000</v>
      </c>
      <c r="Q15" s="10"/>
      <c r="R15" s="9">
        <v>86000</v>
      </c>
      <c r="S15" s="10"/>
      <c r="T15" s="9">
        <v>0</v>
      </c>
      <c r="U15" s="10"/>
      <c r="V15" s="9">
        <v>0</v>
      </c>
      <c r="W15" s="10"/>
      <c r="X15" s="9">
        <v>0</v>
      </c>
      <c r="Y15" s="10"/>
      <c r="Z15" s="9">
        <v>0</v>
      </c>
      <c r="AA15" s="10"/>
      <c r="AB15" s="11">
        <v>0</v>
      </c>
      <c r="AC15" s="10"/>
      <c r="AD15" s="7">
        <f>SUM(F15+H15+J15+L15+N15+P15+R15+T15+V15+X15+Z15+AB15)</f>
        <v>374000</v>
      </c>
      <c r="AE15" s="7">
        <f>E15+AD15</f>
        <v>407579</v>
      </c>
      <c r="AF15" s="8">
        <f>G15+I15+K15+M15+O15+Q15+S15+U15+W15+Y15+AA15+AC15</f>
        <v>194579</v>
      </c>
      <c r="AG15" s="212">
        <f>SUM(AE15-AF15)</f>
        <v>213000</v>
      </c>
      <c r="AH15" s="214" t="s">
        <v>56</v>
      </c>
      <c r="AI15" s="214">
        <v>4</v>
      </c>
    </row>
    <row r="16" spans="1:42" customHeight="1" ht="11.5">
      <c r="A16" s="5">
        <v>8</v>
      </c>
      <c r="B16" s="111" t="s">
        <v>57</v>
      </c>
      <c r="C16" s="4" t="s">
        <v>40</v>
      </c>
      <c r="D16" s="166" t="s">
        <v>41</v>
      </c>
      <c r="E16" s="86">
        <v>0</v>
      </c>
      <c r="F16" s="9">
        <v>0</v>
      </c>
      <c r="G16" s="10"/>
      <c r="H16" s="9">
        <v>0</v>
      </c>
      <c r="I16" s="10"/>
      <c r="J16" s="9">
        <v>500</v>
      </c>
      <c r="K16" s="10"/>
      <c r="L16" s="87">
        <v>0</v>
      </c>
      <c r="M16" s="10">
        <v>500</v>
      </c>
      <c r="N16" s="9">
        <v>0</v>
      </c>
      <c r="O16" s="10"/>
      <c r="P16" s="9">
        <v>0</v>
      </c>
      <c r="Q16" s="10"/>
      <c r="R16" s="9">
        <v>0</v>
      </c>
      <c r="S16" s="10"/>
      <c r="T16" s="9">
        <v>0</v>
      </c>
      <c r="U16" s="10"/>
      <c r="V16" s="9">
        <v>0</v>
      </c>
      <c r="W16" s="10"/>
      <c r="X16" s="9">
        <v>0</v>
      </c>
      <c r="Y16" s="10"/>
      <c r="Z16" s="9">
        <v>0</v>
      </c>
      <c r="AA16" s="10"/>
      <c r="AB16" s="11">
        <v>0</v>
      </c>
      <c r="AC16" s="10"/>
      <c r="AD16" s="7">
        <f>SUM(F16+H16+J16+L16+N16+P16+R16+T16+V16+X16+Z16+AB16)</f>
        <v>500</v>
      </c>
      <c r="AE16" s="7">
        <f>E16+AD16</f>
        <v>500</v>
      </c>
      <c r="AF16" s="8">
        <f>G16+I16+K16+M16+O16+Q16+S16+U16+W16+Y16+AA16+AC16</f>
        <v>500</v>
      </c>
      <c r="AG16" s="212">
        <f>SUM(AE16-AF16)</f>
        <v>0</v>
      </c>
      <c r="AH16" s="214" t="s">
        <v>58</v>
      </c>
      <c r="AI16" s="214">
        <v>4</v>
      </c>
    </row>
    <row r="17" spans="1:42" customHeight="1" ht="11.5">
      <c r="A17" s="5">
        <v>9</v>
      </c>
      <c r="B17" s="111" t="s">
        <v>59</v>
      </c>
      <c r="C17" s="4" t="s">
        <v>40</v>
      </c>
      <c r="D17" s="166" t="s">
        <v>41</v>
      </c>
      <c r="E17" s="86">
        <v>9000</v>
      </c>
      <c r="F17" s="9">
        <v>8000</v>
      </c>
      <c r="G17" s="10">
        <v>21000</v>
      </c>
      <c r="H17" s="9">
        <v>0</v>
      </c>
      <c r="I17" s="10">
        <v>8000</v>
      </c>
      <c r="J17" s="9">
        <v>0</v>
      </c>
      <c r="K17" s="10"/>
      <c r="L17" s="87">
        <v>0</v>
      </c>
      <c r="M17" s="10">
        <v>8000</v>
      </c>
      <c r="N17" s="9">
        <v>0</v>
      </c>
      <c r="O17" s="10"/>
      <c r="P17" s="9">
        <v>0</v>
      </c>
      <c r="Q17" s="10"/>
      <c r="R17" s="9">
        <v>0</v>
      </c>
      <c r="S17" s="10"/>
      <c r="T17" s="9">
        <v>0</v>
      </c>
      <c r="U17" s="10"/>
      <c r="V17" s="9">
        <v>0</v>
      </c>
      <c r="W17" s="10"/>
      <c r="X17" s="9">
        <v>0</v>
      </c>
      <c r="Y17" s="10"/>
      <c r="Z17" s="9">
        <v>0</v>
      </c>
      <c r="AA17" s="10"/>
      <c r="AB17" s="11">
        <v>0</v>
      </c>
      <c r="AC17" s="10"/>
      <c r="AD17" s="7">
        <f>SUM(F17+H17+J17+L17+N17+P17+R17+T17+V17+X17+Z17+AB17)</f>
        <v>8000</v>
      </c>
      <c r="AE17" s="7">
        <f>E17+AD17</f>
        <v>17000</v>
      </c>
      <c r="AF17" s="8">
        <f>G17+I17+K17+M17+O17+Q17+S17+U17+W17+Y17+AA17+AC17</f>
        <v>37000</v>
      </c>
      <c r="AG17" s="212">
        <f>SUM(AE17-AF17)</f>
        <v>-20000</v>
      </c>
      <c r="AH17" s="214" t="s">
        <v>60</v>
      </c>
      <c r="AI17" s="214">
        <v>4</v>
      </c>
    </row>
    <row r="18" spans="1:42" customHeight="1" ht="11.5">
      <c r="A18" s="5">
        <v>10</v>
      </c>
      <c r="B18" s="111" t="s">
        <v>61</v>
      </c>
      <c r="C18" s="4" t="s">
        <v>40</v>
      </c>
      <c r="D18" s="166" t="s">
        <v>41</v>
      </c>
      <c r="E18" s="86">
        <v>0</v>
      </c>
      <c r="F18" s="9">
        <v>47000</v>
      </c>
      <c r="G18" s="10"/>
      <c r="H18" s="9">
        <v>0</v>
      </c>
      <c r="I18" s="10">
        <v>47000</v>
      </c>
      <c r="J18" s="9">
        <v>0</v>
      </c>
      <c r="K18" s="10"/>
      <c r="L18" s="87">
        <v>0</v>
      </c>
      <c r="M18" s="10">
        <v>27000</v>
      </c>
      <c r="N18" s="9">
        <v>0</v>
      </c>
      <c r="O18" s="10"/>
      <c r="P18" s="9">
        <v>0</v>
      </c>
      <c r="Q18" s="10"/>
      <c r="R18" s="9">
        <v>0</v>
      </c>
      <c r="S18" s="10"/>
      <c r="T18" s="9">
        <v>0</v>
      </c>
      <c r="U18" s="10"/>
      <c r="V18" s="9">
        <v>0</v>
      </c>
      <c r="W18" s="10"/>
      <c r="X18" s="9">
        <v>0</v>
      </c>
      <c r="Y18" s="10"/>
      <c r="Z18" s="9">
        <v>0</v>
      </c>
      <c r="AA18" s="10"/>
      <c r="AB18" s="11">
        <v>0</v>
      </c>
      <c r="AC18" s="10"/>
      <c r="AD18" s="7">
        <f>SUM(F18+H18+J18+L18+N18+P18+R18+T18+V18+X18+Z18+AB18)</f>
        <v>47000</v>
      </c>
      <c r="AE18" s="7">
        <f>E18+AD18</f>
        <v>47000</v>
      </c>
      <c r="AF18" s="8">
        <f>G18+I18+K18+M18+O18+Q18+S18+U18+W18+Y18+AA18+AC18</f>
        <v>74000</v>
      </c>
      <c r="AG18" s="212">
        <f>SUM(AE18-AF18)</f>
        <v>-27000</v>
      </c>
      <c r="AH18" s="214" t="s">
        <v>62</v>
      </c>
      <c r="AI18" s="214">
        <v>4</v>
      </c>
    </row>
    <row r="19" spans="1:42" customHeight="1" ht="11.5">
      <c r="A19" s="5">
        <v>11</v>
      </c>
      <c r="B19" s="111" t="s">
        <v>63</v>
      </c>
      <c r="C19" s="4" t="s">
        <v>64</v>
      </c>
      <c r="D19" s="166" t="s">
        <v>65</v>
      </c>
      <c r="E19" s="86">
        <v>-149160</v>
      </c>
      <c r="F19" s="9">
        <v>16000</v>
      </c>
      <c r="G19" s="10">
        <v>18000</v>
      </c>
      <c r="H19" s="9">
        <v>16000</v>
      </c>
      <c r="I19" s="10">
        <v>24000</v>
      </c>
      <c r="J19" s="9">
        <v>8000</v>
      </c>
      <c r="K19" s="10"/>
      <c r="L19" s="87">
        <v>8000</v>
      </c>
      <c r="M19" s="10">
        <v>18000</v>
      </c>
      <c r="N19" s="9">
        <v>8000</v>
      </c>
      <c r="O19" s="10"/>
      <c r="P19" s="9">
        <v>12000</v>
      </c>
      <c r="Q19" s="10"/>
      <c r="R19" s="9">
        <v>22000</v>
      </c>
      <c r="S19" s="10"/>
      <c r="T19" s="9">
        <v>0</v>
      </c>
      <c r="U19" s="10"/>
      <c r="V19" s="9">
        <v>0</v>
      </c>
      <c r="W19" s="10"/>
      <c r="X19" s="9">
        <v>0</v>
      </c>
      <c r="Y19" s="10"/>
      <c r="Z19" s="9">
        <v>0</v>
      </c>
      <c r="AA19" s="10"/>
      <c r="AB19" s="11">
        <v>0</v>
      </c>
      <c r="AC19" s="10"/>
      <c r="AD19" s="7">
        <f>SUM(F19+H19+J19+L19+N19+P19+R19+T19+V19+X19+Z19+AB19)</f>
        <v>90000</v>
      </c>
      <c r="AE19" s="7">
        <f>E19+AD19</f>
        <v>-59160</v>
      </c>
      <c r="AF19" s="8">
        <f>G19+I19+K19+M19+O19+Q19+S19+U19+W19+Y19+AA19+AC19</f>
        <v>60000</v>
      </c>
      <c r="AG19" s="212">
        <f>SUM(AE19-AF19)</f>
        <v>-119160</v>
      </c>
      <c r="AH19" s="214" t="s">
        <v>66</v>
      </c>
      <c r="AI19" s="214">
        <v>4</v>
      </c>
    </row>
    <row r="20" spans="1:42" customHeight="1" ht="11.5">
      <c r="A20" s="5">
        <v>12</v>
      </c>
      <c r="B20" s="111" t="s">
        <v>67</v>
      </c>
      <c r="C20" s="4" t="s">
        <v>40</v>
      </c>
      <c r="D20" s="166" t="s">
        <v>41</v>
      </c>
      <c r="E20" s="86">
        <v>1000</v>
      </c>
      <c r="F20" s="9">
        <v>5000</v>
      </c>
      <c r="G20" s="10">
        <v>1000</v>
      </c>
      <c r="H20" s="9">
        <v>4000</v>
      </c>
      <c r="I20" s="10">
        <v>5000</v>
      </c>
      <c r="J20" s="9">
        <v>8000</v>
      </c>
      <c r="K20" s="10"/>
      <c r="L20" s="87">
        <v>2000</v>
      </c>
      <c r="M20" s="10">
        <v>19000</v>
      </c>
      <c r="N20" s="9">
        <v>5000</v>
      </c>
      <c r="O20" s="10"/>
      <c r="P20" s="9">
        <v>5000</v>
      </c>
      <c r="Q20" s="10"/>
      <c r="R20" s="9">
        <v>7000</v>
      </c>
      <c r="S20" s="10"/>
      <c r="T20" s="9">
        <v>0</v>
      </c>
      <c r="U20" s="10"/>
      <c r="V20" s="9">
        <v>0</v>
      </c>
      <c r="W20" s="10"/>
      <c r="X20" s="9">
        <v>0</v>
      </c>
      <c r="Y20" s="10"/>
      <c r="Z20" s="9">
        <v>0</v>
      </c>
      <c r="AA20" s="10"/>
      <c r="AB20" s="11">
        <v>0</v>
      </c>
      <c r="AC20" s="10"/>
      <c r="AD20" s="7">
        <f>SUM(F20+H20+J20+L20+N20+P20+R20+T20+V20+X20+Z20+AB20)</f>
        <v>36000</v>
      </c>
      <c r="AE20" s="7">
        <f>E20+AD20</f>
        <v>37000</v>
      </c>
      <c r="AF20" s="8">
        <f>G20+I20+K20+M20+O20+Q20+S20+U20+W20+Y20+AA20+AC20</f>
        <v>25000</v>
      </c>
      <c r="AG20" s="212">
        <f>SUM(AE20-AF20)</f>
        <v>12000</v>
      </c>
      <c r="AH20" s="214" t="s">
        <v>68</v>
      </c>
      <c r="AI20" s="214">
        <v>4</v>
      </c>
    </row>
    <row r="21" spans="1:42" customHeight="1" ht="11.5">
      <c r="A21" s="5">
        <v>13</v>
      </c>
      <c r="B21" s="111" t="s">
        <v>69</v>
      </c>
      <c r="C21" s="4" t="s">
        <v>64</v>
      </c>
      <c r="D21" s="166" t="s">
        <v>65</v>
      </c>
      <c r="E21" s="86">
        <v>-61452</v>
      </c>
      <c r="F21" s="9">
        <v>0</v>
      </c>
      <c r="G21" s="10"/>
      <c r="H21" s="9">
        <v>0</v>
      </c>
      <c r="I21" s="10"/>
      <c r="J21" s="9">
        <v>0</v>
      </c>
      <c r="K21" s="10"/>
      <c r="L21" s="87">
        <v>0</v>
      </c>
      <c r="M21" s="10"/>
      <c r="N21" s="9">
        <v>0</v>
      </c>
      <c r="O21" s="10"/>
      <c r="P21" s="9">
        <v>0</v>
      </c>
      <c r="Q21" s="10"/>
      <c r="R21" s="9">
        <v>0</v>
      </c>
      <c r="S21" s="10"/>
      <c r="T21" s="9">
        <v>0</v>
      </c>
      <c r="U21" s="10"/>
      <c r="V21" s="9">
        <v>0</v>
      </c>
      <c r="W21" s="10"/>
      <c r="X21" s="9">
        <v>0</v>
      </c>
      <c r="Y21" s="10"/>
      <c r="Z21" s="9">
        <v>0</v>
      </c>
      <c r="AA21" s="10"/>
      <c r="AB21" s="11">
        <v>0</v>
      </c>
      <c r="AC21" s="10"/>
      <c r="AD21" s="7">
        <f>SUM(F21+H21+J21+L21+N21+P21+R21+T21+V21+X21+Z21+AB21)</f>
        <v>0</v>
      </c>
      <c r="AE21" s="7">
        <f>E21+AD21</f>
        <v>-61452</v>
      </c>
      <c r="AF21" s="8">
        <f>G21+I21+K21+M21+O21+Q21+S21+U21+W21+Y21+AA21+AC21</f>
        <v>0</v>
      </c>
      <c r="AG21" s="212">
        <f>SUM(AE21-AF21)</f>
        <v>-61452</v>
      </c>
      <c r="AH21" s="214" t="s">
        <v>70</v>
      </c>
      <c r="AI21" s="214">
        <v>4</v>
      </c>
    </row>
    <row r="22" spans="1:42" customHeight="1" ht="11.5">
      <c r="A22" s="5">
        <v>14</v>
      </c>
      <c r="B22" s="111" t="s">
        <v>71</v>
      </c>
      <c r="C22" s="4" t="s">
        <v>64</v>
      </c>
      <c r="D22" s="166" t="s">
        <v>65</v>
      </c>
      <c r="E22" s="86">
        <v>-48795</v>
      </c>
      <c r="F22" s="9">
        <v>8000</v>
      </c>
      <c r="G22" s="10">
        <v>13400</v>
      </c>
      <c r="H22" s="9">
        <v>6000</v>
      </c>
      <c r="I22" s="10">
        <v>5440</v>
      </c>
      <c r="J22" s="9">
        <v>4000</v>
      </c>
      <c r="K22" s="10"/>
      <c r="L22" s="87">
        <v>9000</v>
      </c>
      <c r="M22" s="10">
        <v>12840</v>
      </c>
      <c r="N22" s="9">
        <v>3000</v>
      </c>
      <c r="O22" s="10"/>
      <c r="P22" s="9">
        <v>10000</v>
      </c>
      <c r="Q22" s="10"/>
      <c r="R22" s="9">
        <v>10000</v>
      </c>
      <c r="S22" s="10"/>
      <c r="T22" s="9">
        <v>0</v>
      </c>
      <c r="U22" s="10"/>
      <c r="V22" s="9">
        <v>0</v>
      </c>
      <c r="W22" s="10"/>
      <c r="X22" s="9">
        <v>0</v>
      </c>
      <c r="Y22" s="10"/>
      <c r="Z22" s="9">
        <v>0</v>
      </c>
      <c r="AA22" s="10"/>
      <c r="AB22" s="11">
        <v>0</v>
      </c>
      <c r="AC22" s="10"/>
      <c r="AD22" s="7">
        <f>SUM(F22+H22+J22+L22+N22+P22+R22+T22+V22+X22+Z22+AB22)</f>
        <v>50000</v>
      </c>
      <c r="AE22" s="7">
        <f>E22+AD22</f>
        <v>1205</v>
      </c>
      <c r="AF22" s="8">
        <f>G22+I22+K22+M22+O22+Q22+S22+U22+W22+Y22+AA22+AC22</f>
        <v>31680</v>
      </c>
      <c r="AG22" s="212">
        <f>SUM(AE22-AF22)</f>
        <v>-30475</v>
      </c>
      <c r="AH22" s="214" t="s">
        <v>72</v>
      </c>
      <c r="AI22" s="214">
        <v>4</v>
      </c>
    </row>
    <row r="23" spans="1:42" customHeight="1" ht="11.5">
      <c r="A23" s="5">
        <v>15</v>
      </c>
      <c r="B23" s="111" t="s">
        <v>73</v>
      </c>
      <c r="C23" s="4" t="s">
        <v>40</v>
      </c>
      <c r="D23" s="166" t="s">
        <v>41</v>
      </c>
      <c r="E23" s="86">
        <v>0</v>
      </c>
      <c r="F23" s="9">
        <v>7000</v>
      </c>
      <c r="G23" s="10"/>
      <c r="H23" s="9">
        <v>0</v>
      </c>
      <c r="I23" s="10">
        <v>7000</v>
      </c>
      <c r="J23" s="9">
        <v>0</v>
      </c>
      <c r="K23" s="10"/>
      <c r="L23" s="87">
        <v>0</v>
      </c>
      <c r="M23" s="10">
        <v>7000</v>
      </c>
      <c r="N23" s="9">
        <v>0</v>
      </c>
      <c r="O23" s="10"/>
      <c r="P23" s="9">
        <v>0</v>
      </c>
      <c r="Q23" s="10"/>
      <c r="R23" s="9">
        <v>0</v>
      </c>
      <c r="S23" s="10"/>
      <c r="T23" s="9">
        <v>0</v>
      </c>
      <c r="U23" s="10"/>
      <c r="V23" s="9">
        <v>0</v>
      </c>
      <c r="W23" s="10"/>
      <c r="X23" s="9">
        <v>0</v>
      </c>
      <c r="Y23" s="10"/>
      <c r="Z23" s="9">
        <v>0</v>
      </c>
      <c r="AA23" s="10"/>
      <c r="AB23" s="11">
        <v>0</v>
      </c>
      <c r="AC23" s="10"/>
      <c r="AD23" s="7">
        <f>SUM(F23+H23+J23+L23+N23+P23+R23+T23+V23+X23+Z23+AB23)</f>
        <v>7000</v>
      </c>
      <c r="AE23" s="7">
        <f>E23+AD23</f>
        <v>7000</v>
      </c>
      <c r="AF23" s="8">
        <f>G23+I23+K23+M23+O23+Q23+S23+U23+W23+Y23+AA23+AC23</f>
        <v>14000</v>
      </c>
      <c r="AG23" s="212">
        <f>SUM(AE23-AF23)</f>
        <v>-7000</v>
      </c>
      <c r="AH23" s="214" t="s">
        <v>74</v>
      </c>
      <c r="AI23" s="214">
        <v>4</v>
      </c>
    </row>
    <row r="24" spans="1:42" customHeight="1" ht="11.5">
      <c r="A24" s="5">
        <v>16</v>
      </c>
      <c r="B24" s="111" t="s">
        <v>75</v>
      </c>
      <c r="C24" s="4" t="s">
        <v>40</v>
      </c>
      <c r="D24" s="166" t="s">
        <v>41</v>
      </c>
      <c r="E24" s="86">
        <v>0</v>
      </c>
      <c r="F24" s="9">
        <v>0</v>
      </c>
      <c r="G24" s="10"/>
      <c r="H24" s="9">
        <v>0</v>
      </c>
      <c r="I24" s="10"/>
      <c r="J24" s="9">
        <v>3400</v>
      </c>
      <c r="K24" s="10"/>
      <c r="L24" s="87">
        <v>0</v>
      </c>
      <c r="M24" s="10">
        <v>3400</v>
      </c>
      <c r="N24" s="9">
        <v>0</v>
      </c>
      <c r="O24" s="10"/>
      <c r="P24" s="9">
        <v>0</v>
      </c>
      <c r="Q24" s="10"/>
      <c r="R24" s="9">
        <v>3600</v>
      </c>
      <c r="S24" s="10"/>
      <c r="T24" s="9">
        <v>0</v>
      </c>
      <c r="U24" s="10"/>
      <c r="V24" s="9">
        <v>0</v>
      </c>
      <c r="W24" s="10"/>
      <c r="X24" s="9">
        <v>0</v>
      </c>
      <c r="Y24" s="10"/>
      <c r="Z24" s="9">
        <v>0</v>
      </c>
      <c r="AA24" s="10"/>
      <c r="AB24" s="11">
        <v>0</v>
      </c>
      <c r="AC24" s="10"/>
      <c r="AD24" s="7">
        <f>SUM(F24+H24+J24+L24+N24+P24+R24+T24+V24+X24+Z24+AB24)</f>
        <v>7000</v>
      </c>
      <c r="AE24" s="7">
        <f>E24+AD24</f>
        <v>7000</v>
      </c>
      <c r="AF24" s="8">
        <f>G24+I24+K24+M24+O24+Q24+S24+U24+W24+Y24+AA24+AC24</f>
        <v>3400</v>
      </c>
      <c r="AG24" s="212">
        <f>SUM(AE24-AF24)</f>
        <v>3600</v>
      </c>
      <c r="AH24" s="214" t="s">
        <v>76</v>
      </c>
      <c r="AI24" s="214">
        <v>3</v>
      </c>
    </row>
    <row r="25" spans="1:42" customHeight="1" ht="11.5">
      <c r="A25" s="5">
        <v>17</v>
      </c>
      <c r="B25" s="111" t="s">
        <v>77</v>
      </c>
      <c r="C25" s="4" t="s">
        <v>40</v>
      </c>
      <c r="D25" s="166" t="s">
        <v>41</v>
      </c>
      <c r="E25" s="86">
        <v>-2000</v>
      </c>
      <c r="F25" s="9">
        <v>10000</v>
      </c>
      <c r="G25" s="10"/>
      <c r="H25" s="9">
        <v>0</v>
      </c>
      <c r="I25" s="10">
        <v>10000</v>
      </c>
      <c r="J25" s="9">
        <v>0</v>
      </c>
      <c r="K25" s="10"/>
      <c r="L25" s="87">
        <v>10000</v>
      </c>
      <c r="M25" s="10">
        <v>20000</v>
      </c>
      <c r="N25" s="9">
        <v>0</v>
      </c>
      <c r="O25" s="10">
        <v>318</v>
      </c>
      <c r="P25" s="9">
        <v>10000</v>
      </c>
      <c r="Q25" s="10"/>
      <c r="R25" s="9">
        <v>0</v>
      </c>
      <c r="S25" s="10"/>
      <c r="T25" s="9">
        <v>0</v>
      </c>
      <c r="U25" s="10"/>
      <c r="V25" s="9">
        <v>0</v>
      </c>
      <c r="W25" s="10"/>
      <c r="X25" s="9">
        <v>0</v>
      </c>
      <c r="Y25" s="10"/>
      <c r="Z25" s="9">
        <v>0</v>
      </c>
      <c r="AA25" s="10"/>
      <c r="AB25" s="11">
        <v>0</v>
      </c>
      <c r="AC25" s="10"/>
      <c r="AD25" s="7">
        <f>SUM(F25+H25+J25+L25+N25+P25+R25+T25+V25+X25+Z25+AB25)</f>
        <v>30000</v>
      </c>
      <c r="AE25" s="7">
        <f>E25+AD25</f>
        <v>28000</v>
      </c>
      <c r="AF25" s="8">
        <f>G25+I25+K25+M25+O25+Q25+S25+U25+W25+Y25+AA25+AC25</f>
        <v>30318</v>
      </c>
      <c r="AG25" s="212">
        <f>SUM(AE25-AF25)</f>
        <v>-2318</v>
      </c>
      <c r="AH25" s="214" t="s">
        <v>78</v>
      </c>
      <c r="AI25" s="214">
        <v>3</v>
      </c>
    </row>
    <row r="26" spans="1:42" customHeight="1" ht="11.5">
      <c r="A26" s="5">
        <v>18</v>
      </c>
      <c r="B26" s="111" t="s">
        <v>79</v>
      </c>
      <c r="C26" s="4" t="s">
        <v>44</v>
      </c>
      <c r="D26" s="166" t="s">
        <v>45</v>
      </c>
      <c r="E26" s="86">
        <v>-41490</v>
      </c>
      <c r="F26" s="9">
        <v>11000</v>
      </c>
      <c r="G26" s="10">
        <v>27000</v>
      </c>
      <c r="H26" s="9">
        <v>0</v>
      </c>
      <c r="I26" s="10">
        <v>11000</v>
      </c>
      <c r="J26" s="9">
        <v>5000</v>
      </c>
      <c r="K26" s="10"/>
      <c r="L26" s="87">
        <v>6000</v>
      </c>
      <c r="M26" s="10"/>
      <c r="N26" s="9">
        <v>5000</v>
      </c>
      <c r="O26" s="10"/>
      <c r="P26" s="9">
        <v>11500</v>
      </c>
      <c r="Q26" s="10"/>
      <c r="R26" s="9">
        <v>7500</v>
      </c>
      <c r="S26" s="10"/>
      <c r="T26" s="9">
        <v>0</v>
      </c>
      <c r="U26" s="10"/>
      <c r="V26" s="9">
        <v>0</v>
      </c>
      <c r="W26" s="10"/>
      <c r="X26" s="9">
        <v>0</v>
      </c>
      <c r="Y26" s="10"/>
      <c r="Z26" s="9">
        <v>0</v>
      </c>
      <c r="AA26" s="10"/>
      <c r="AB26" s="11">
        <v>0</v>
      </c>
      <c r="AC26" s="10"/>
      <c r="AD26" s="7">
        <f>SUM(F26+H26+J26+L26+N26+P26+R26+T26+V26+X26+Z26+AB26)</f>
        <v>46000</v>
      </c>
      <c r="AE26" s="7">
        <f>E26+AD26</f>
        <v>4510</v>
      </c>
      <c r="AF26" s="8">
        <f>G26+I26+K26+M26+O26+Q26+S26+U26+W26+Y26+AA26+AC26</f>
        <v>38000</v>
      </c>
      <c r="AG26" s="212">
        <f>SUM(AE26-AF26)</f>
        <v>-33490</v>
      </c>
      <c r="AH26" s="214" t="s">
        <v>80</v>
      </c>
      <c r="AI26" s="214">
        <v>4</v>
      </c>
    </row>
    <row r="27" spans="1:42" customHeight="1" ht="11.5">
      <c r="A27" s="5">
        <v>19</v>
      </c>
      <c r="B27" s="111" t="s">
        <v>81</v>
      </c>
      <c r="C27" s="4" t="s">
        <v>40</v>
      </c>
      <c r="D27" s="166" t="s">
        <v>41</v>
      </c>
      <c r="E27" s="86">
        <v>-2041</v>
      </c>
      <c r="F27" s="9">
        <v>1600</v>
      </c>
      <c r="G27" s="10">
        <v>3870</v>
      </c>
      <c r="H27" s="9">
        <v>1700</v>
      </c>
      <c r="I27" s="10"/>
      <c r="J27" s="9">
        <v>1300</v>
      </c>
      <c r="K27" s="10"/>
      <c r="L27" s="87">
        <v>1900</v>
      </c>
      <c r="M27" s="10">
        <v>6000</v>
      </c>
      <c r="N27" s="9">
        <v>2100</v>
      </c>
      <c r="O27" s="10"/>
      <c r="P27" s="9">
        <v>2400</v>
      </c>
      <c r="Q27" s="10"/>
      <c r="R27" s="9">
        <v>3000</v>
      </c>
      <c r="S27" s="10"/>
      <c r="T27" s="9">
        <v>0</v>
      </c>
      <c r="U27" s="10"/>
      <c r="V27" s="9">
        <v>0</v>
      </c>
      <c r="W27" s="10"/>
      <c r="X27" s="9">
        <v>0</v>
      </c>
      <c r="Y27" s="10"/>
      <c r="Z27" s="9">
        <v>0</v>
      </c>
      <c r="AA27" s="10"/>
      <c r="AB27" s="11">
        <v>0</v>
      </c>
      <c r="AC27" s="10"/>
      <c r="AD27" s="7">
        <f>SUM(F27+H27+J27+L27+N27+P27+R27+T27+V27+X27+Z27+AB27)</f>
        <v>14000</v>
      </c>
      <c r="AE27" s="7">
        <f>E27+AD27</f>
        <v>11959</v>
      </c>
      <c r="AF27" s="8">
        <f>G27+I27+K27+M27+O27+Q27+S27+U27+W27+Y27+AA27+AC27</f>
        <v>9870</v>
      </c>
      <c r="AG27" s="212">
        <f>SUM(AE27-AF27)</f>
        <v>2089</v>
      </c>
      <c r="AH27" s="214" t="s">
        <v>82</v>
      </c>
      <c r="AI27" s="214">
        <v>4</v>
      </c>
    </row>
    <row r="28" spans="1:42" customHeight="1" ht="11.5">
      <c r="A28" s="5">
        <v>20</v>
      </c>
      <c r="B28" s="111" t="s">
        <v>83</v>
      </c>
      <c r="C28" s="4" t="s">
        <v>44</v>
      </c>
      <c r="D28" s="166" t="s">
        <v>45</v>
      </c>
      <c r="E28" s="86">
        <v>-1800</v>
      </c>
      <c r="F28" s="9">
        <v>400</v>
      </c>
      <c r="G28" s="10">
        <v>1000</v>
      </c>
      <c r="H28" s="9">
        <v>200</v>
      </c>
      <c r="I28" s="10">
        <v>400</v>
      </c>
      <c r="J28" s="9">
        <v>200</v>
      </c>
      <c r="K28" s="10"/>
      <c r="L28" s="87">
        <v>400</v>
      </c>
      <c r="M28" s="10"/>
      <c r="N28" s="9">
        <v>400</v>
      </c>
      <c r="O28" s="10">
        <v>20</v>
      </c>
      <c r="P28" s="9">
        <v>600</v>
      </c>
      <c r="Q28" s="10"/>
      <c r="R28" s="9">
        <v>200</v>
      </c>
      <c r="S28" s="10"/>
      <c r="T28" s="9">
        <v>0</v>
      </c>
      <c r="U28" s="10"/>
      <c r="V28" s="9">
        <v>0</v>
      </c>
      <c r="W28" s="10"/>
      <c r="X28" s="9">
        <v>0</v>
      </c>
      <c r="Y28" s="10"/>
      <c r="Z28" s="9">
        <v>0</v>
      </c>
      <c r="AA28" s="10"/>
      <c r="AB28" s="11">
        <v>0</v>
      </c>
      <c r="AC28" s="10"/>
      <c r="AD28" s="7">
        <f>SUM(F28+H28+J28+L28+N28+P28+R28+T28+V28+X28+Z28+AB28)</f>
        <v>2400</v>
      </c>
      <c r="AE28" s="7">
        <f>E28+AD28</f>
        <v>600</v>
      </c>
      <c r="AF28" s="8">
        <f>G28+I28+K28+M28+O28+Q28+S28+U28+W28+Y28+AA28+AC28</f>
        <v>1420</v>
      </c>
      <c r="AG28" s="212">
        <f>SUM(AE28-AF28)</f>
        <v>-820</v>
      </c>
      <c r="AH28" s="214" t="s">
        <v>84</v>
      </c>
      <c r="AI28" s="214">
        <v>4</v>
      </c>
    </row>
    <row r="29" spans="1:42" customHeight="1" ht="11.5">
      <c r="A29" s="5">
        <v>21</v>
      </c>
      <c r="B29" s="111" t="s">
        <v>85</v>
      </c>
      <c r="C29" s="4" t="s">
        <v>40</v>
      </c>
      <c r="D29" s="166" t="s">
        <v>41</v>
      </c>
      <c r="E29" s="86">
        <v>0</v>
      </c>
      <c r="F29" s="9">
        <v>0</v>
      </c>
      <c r="G29" s="10"/>
      <c r="H29" s="9">
        <v>0</v>
      </c>
      <c r="I29" s="10"/>
      <c r="J29" s="9">
        <v>0</v>
      </c>
      <c r="K29" s="10"/>
      <c r="L29" s="87">
        <v>0</v>
      </c>
      <c r="M29" s="10"/>
      <c r="N29" s="9">
        <v>0</v>
      </c>
      <c r="O29" s="10"/>
      <c r="P29" s="9">
        <v>0</v>
      </c>
      <c r="Q29" s="10"/>
      <c r="R29" s="9">
        <v>0</v>
      </c>
      <c r="S29" s="10"/>
      <c r="T29" s="9">
        <v>0</v>
      </c>
      <c r="U29" s="10"/>
      <c r="V29" s="9">
        <v>0</v>
      </c>
      <c r="W29" s="10"/>
      <c r="X29" s="9">
        <v>0</v>
      </c>
      <c r="Y29" s="10"/>
      <c r="Z29" s="9">
        <v>0</v>
      </c>
      <c r="AA29" s="10"/>
      <c r="AB29" s="11">
        <v>0</v>
      </c>
      <c r="AC29" s="10"/>
      <c r="AD29" s="7">
        <f>SUM(F29+H29+J29+L29+N29+P29+R29+T29+V29+X29+Z29+AB29)</f>
        <v>0</v>
      </c>
      <c r="AE29" s="7">
        <f>E29+AD29</f>
        <v>0</v>
      </c>
      <c r="AF29" s="8">
        <f>G29+I29+K29+M29+O29+Q29+S29+U29+W29+Y29+AA29+AC29</f>
        <v>0</v>
      </c>
      <c r="AG29" s="212">
        <f>SUM(AE29-AF29)</f>
        <v>0</v>
      </c>
      <c r="AH29" s="214" t="s">
        <v>86</v>
      </c>
      <c r="AI29" s="214">
        <v>4</v>
      </c>
    </row>
    <row r="30" spans="1:42" customHeight="1" ht="11.5">
      <c r="A30" s="5">
        <v>22</v>
      </c>
      <c r="B30" s="111" t="s">
        <v>87</v>
      </c>
      <c r="C30" s="4" t="s">
        <v>40</v>
      </c>
      <c r="D30" s="166" t="s">
        <v>41</v>
      </c>
      <c r="E30" s="86">
        <v>2000</v>
      </c>
      <c r="F30" s="9">
        <v>0</v>
      </c>
      <c r="G30" s="10">
        <v>2000</v>
      </c>
      <c r="H30" s="9">
        <v>0</v>
      </c>
      <c r="I30" s="10"/>
      <c r="J30" s="9">
        <v>0</v>
      </c>
      <c r="K30" s="10"/>
      <c r="L30" s="87">
        <v>0</v>
      </c>
      <c r="M30" s="10"/>
      <c r="N30" s="9">
        <v>0</v>
      </c>
      <c r="O30" s="10"/>
      <c r="P30" s="9">
        <v>0</v>
      </c>
      <c r="Q30" s="10"/>
      <c r="R30" s="9">
        <v>0</v>
      </c>
      <c r="S30" s="10"/>
      <c r="T30" s="9">
        <v>0</v>
      </c>
      <c r="U30" s="10"/>
      <c r="V30" s="9">
        <v>0</v>
      </c>
      <c r="W30" s="10"/>
      <c r="X30" s="9">
        <v>0</v>
      </c>
      <c r="Y30" s="10"/>
      <c r="Z30" s="9">
        <v>0</v>
      </c>
      <c r="AA30" s="10"/>
      <c r="AB30" s="11">
        <v>0</v>
      </c>
      <c r="AC30" s="10"/>
      <c r="AD30" s="7">
        <f>SUM(F30+H30+J30+L30+N30+P30+R30+T30+V30+X30+Z30+AB30)</f>
        <v>0</v>
      </c>
      <c r="AE30" s="7">
        <f>E30+AD30</f>
        <v>2000</v>
      </c>
      <c r="AF30" s="8">
        <f>G30+I30+K30+M30+O30+Q30+S30+U30+W30+Y30+AA30+AC30</f>
        <v>2000</v>
      </c>
      <c r="AG30" s="212">
        <f>SUM(AE30-AF30)</f>
        <v>0</v>
      </c>
      <c r="AH30" s="214" t="s">
        <v>88</v>
      </c>
      <c r="AI30" s="214">
        <v>4</v>
      </c>
    </row>
    <row r="31" spans="1:42" customHeight="1" ht="11.5">
      <c r="A31" s="5">
        <v>23</v>
      </c>
      <c r="B31" s="111" t="s">
        <v>89</v>
      </c>
      <c r="C31" s="4" t="s">
        <v>40</v>
      </c>
      <c r="D31" s="166" t="s">
        <v>41</v>
      </c>
      <c r="E31" s="86">
        <v>6000</v>
      </c>
      <c r="F31" s="9">
        <v>0</v>
      </c>
      <c r="G31" s="10">
        <v>6000</v>
      </c>
      <c r="H31" s="9">
        <v>3000</v>
      </c>
      <c r="I31" s="10"/>
      <c r="J31" s="9">
        <v>0</v>
      </c>
      <c r="K31" s="10"/>
      <c r="L31" s="87">
        <v>3000</v>
      </c>
      <c r="M31" s="10">
        <v>6000</v>
      </c>
      <c r="N31" s="9">
        <v>3000</v>
      </c>
      <c r="O31" s="10"/>
      <c r="P31" s="9">
        <v>0</v>
      </c>
      <c r="Q31" s="10"/>
      <c r="R31" s="9">
        <v>3000</v>
      </c>
      <c r="S31" s="10"/>
      <c r="T31" s="9">
        <v>0</v>
      </c>
      <c r="U31" s="10"/>
      <c r="V31" s="9">
        <v>0</v>
      </c>
      <c r="W31" s="10"/>
      <c r="X31" s="9">
        <v>0</v>
      </c>
      <c r="Y31" s="10"/>
      <c r="Z31" s="9">
        <v>0</v>
      </c>
      <c r="AA31" s="10"/>
      <c r="AB31" s="11">
        <v>0</v>
      </c>
      <c r="AC31" s="10"/>
      <c r="AD31" s="7">
        <f>SUM(F31+H31+J31+L31+N31+P31+R31+T31+V31+X31+Z31+AB31)</f>
        <v>12000</v>
      </c>
      <c r="AE31" s="7">
        <f>E31+AD31</f>
        <v>18000</v>
      </c>
      <c r="AF31" s="8">
        <f>G31+I31+K31+M31+O31+Q31+S31+U31+W31+Y31+AA31+AC31</f>
        <v>12000</v>
      </c>
      <c r="AG31" s="212">
        <f>SUM(AE31-AF31)</f>
        <v>6000</v>
      </c>
      <c r="AH31" s="214" t="s">
        <v>90</v>
      </c>
      <c r="AI31" s="214">
        <v>4</v>
      </c>
    </row>
    <row r="32" spans="1:42" customHeight="1" ht="11.5">
      <c r="A32" s="5">
        <v>24</v>
      </c>
      <c r="B32" s="111" t="s">
        <v>91</v>
      </c>
      <c r="C32" s="4" t="s">
        <v>40</v>
      </c>
      <c r="D32" s="166" t="s">
        <v>41</v>
      </c>
      <c r="E32" s="86">
        <v>-10250</v>
      </c>
      <c r="F32" s="9">
        <v>0</v>
      </c>
      <c r="G32" s="10"/>
      <c r="H32" s="9">
        <v>0</v>
      </c>
      <c r="I32" s="10"/>
      <c r="J32" s="9">
        <v>0</v>
      </c>
      <c r="K32" s="10"/>
      <c r="L32" s="87">
        <v>0</v>
      </c>
      <c r="M32" s="10"/>
      <c r="N32" s="9">
        <v>0</v>
      </c>
      <c r="O32" s="10"/>
      <c r="P32" s="9">
        <v>0</v>
      </c>
      <c r="Q32" s="10"/>
      <c r="R32" s="9">
        <v>0</v>
      </c>
      <c r="S32" s="10"/>
      <c r="T32" s="9">
        <v>0</v>
      </c>
      <c r="U32" s="10"/>
      <c r="V32" s="9">
        <v>0</v>
      </c>
      <c r="W32" s="10"/>
      <c r="X32" s="9">
        <v>0</v>
      </c>
      <c r="Y32" s="10"/>
      <c r="Z32" s="9">
        <v>0</v>
      </c>
      <c r="AA32" s="10"/>
      <c r="AB32" s="11">
        <v>0</v>
      </c>
      <c r="AC32" s="10"/>
      <c r="AD32" s="7">
        <f>SUM(F32+H32+J32+L32+N32+P32+R32+T32+V32+X32+Z32+AB32)</f>
        <v>0</v>
      </c>
      <c r="AE32" s="7">
        <f>E32+AD32</f>
        <v>-10250</v>
      </c>
      <c r="AF32" s="8">
        <f>G32+I32+K32+M32+O32+Q32+S32+U32+W32+Y32+AA32+AC32</f>
        <v>0</v>
      </c>
      <c r="AG32" s="212">
        <f>SUM(AE32-AF32)</f>
        <v>-10250</v>
      </c>
      <c r="AH32" s="214" t="s">
        <v>92</v>
      </c>
      <c r="AI32" s="214">
        <v>4</v>
      </c>
    </row>
    <row r="33" spans="1:42" customHeight="1" ht="11.5">
      <c r="A33" s="5">
        <v>25</v>
      </c>
      <c r="B33" s="111" t="s">
        <v>93</v>
      </c>
      <c r="C33" s="4" t="s">
        <v>40</v>
      </c>
      <c r="D33" s="166" t="s">
        <v>41</v>
      </c>
      <c r="E33" s="86">
        <v>40000</v>
      </c>
      <c r="F33" s="9">
        <v>50000</v>
      </c>
      <c r="G33" s="10">
        <v>40000</v>
      </c>
      <c r="H33" s="9">
        <v>0</v>
      </c>
      <c r="I33" s="10">
        <v>50000</v>
      </c>
      <c r="J33" s="9">
        <v>50000</v>
      </c>
      <c r="K33" s="10"/>
      <c r="L33" s="87">
        <v>0</v>
      </c>
      <c r="M33" s="10">
        <v>30953</v>
      </c>
      <c r="N33" s="9">
        <v>50000</v>
      </c>
      <c r="O33" s="10"/>
      <c r="P33" s="9">
        <v>0</v>
      </c>
      <c r="Q33" s="10"/>
      <c r="R33" s="9">
        <v>50000</v>
      </c>
      <c r="S33" s="10"/>
      <c r="T33" s="9">
        <v>0</v>
      </c>
      <c r="U33" s="10"/>
      <c r="V33" s="9">
        <v>0</v>
      </c>
      <c r="W33" s="10"/>
      <c r="X33" s="9">
        <v>0</v>
      </c>
      <c r="Y33" s="10"/>
      <c r="Z33" s="9">
        <v>0</v>
      </c>
      <c r="AA33" s="10"/>
      <c r="AB33" s="11">
        <v>0</v>
      </c>
      <c r="AC33" s="10"/>
      <c r="AD33" s="7">
        <f>SUM(F33+H33+J33+L33+N33+P33+R33+T33+V33+X33+Z33+AB33)</f>
        <v>200000</v>
      </c>
      <c r="AE33" s="7">
        <f>E33+AD33</f>
        <v>240000</v>
      </c>
      <c r="AF33" s="8">
        <f>G33+I33+K33+M33+O33+Q33+S33+U33+W33+Y33+AA33+AC33</f>
        <v>120953</v>
      </c>
      <c r="AG33" s="212">
        <f>SUM(AE33-AF33)</f>
        <v>119047</v>
      </c>
      <c r="AH33" s="214" t="s">
        <v>94</v>
      </c>
      <c r="AI33" s="214">
        <v>4</v>
      </c>
    </row>
    <row r="34" spans="1:42" customHeight="1" ht="11.5">
      <c r="A34" s="5">
        <v>26</v>
      </c>
      <c r="B34" s="111" t="s">
        <v>95</v>
      </c>
      <c r="C34" s="4" t="s">
        <v>40</v>
      </c>
      <c r="D34" s="166" t="s">
        <v>41</v>
      </c>
      <c r="E34" s="86">
        <v>-2000</v>
      </c>
      <c r="F34" s="9">
        <v>0</v>
      </c>
      <c r="G34" s="10"/>
      <c r="H34" s="9">
        <v>0</v>
      </c>
      <c r="I34" s="10"/>
      <c r="J34" s="9">
        <v>0</v>
      </c>
      <c r="K34" s="10"/>
      <c r="L34" s="87">
        <v>0</v>
      </c>
      <c r="M34" s="10"/>
      <c r="N34" s="9">
        <v>0</v>
      </c>
      <c r="O34" s="10"/>
      <c r="P34" s="9">
        <v>0</v>
      </c>
      <c r="Q34" s="10"/>
      <c r="R34" s="9">
        <v>2000</v>
      </c>
      <c r="S34" s="10"/>
      <c r="T34" s="9">
        <v>0</v>
      </c>
      <c r="U34" s="10"/>
      <c r="V34" s="9">
        <v>0</v>
      </c>
      <c r="W34" s="10"/>
      <c r="X34" s="9">
        <v>0</v>
      </c>
      <c r="Y34" s="10"/>
      <c r="Z34" s="9">
        <v>0</v>
      </c>
      <c r="AA34" s="10"/>
      <c r="AB34" s="11">
        <v>0</v>
      </c>
      <c r="AC34" s="10"/>
      <c r="AD34" s="7">
        <f>SUM(F34+H34+J34+L34+N34+P34+R34+T34+V34+X34+Z34+AB34)</f>
        <v>2000</v>
      </c>
      <c r="AE34" s="7">
        <f>E34+AD34</f>
        <v>0</v>
      </c>
      <c r="AF34" s="8">
        <f>G34+I34+K34+M34+O34+Q34+S34+U34+W34+Y34+AA34+AC34</f>
        <v>0</v>
      </c>
      <c r="AG34" s="212">
        <f>SUM(AE34-AF34)</f>
        <v>0</v>
      </c>
      <c r="AH34" s="214" t="s">
        <v>96</v>
      </c>
      <c r="AI34" s="214">
        <v>3</v>
      </c>
    </row>
    <row r="35" spans="1:42" customHeight="1" ht="11.5">
      <c r="A35" s="5">
        <v>27</v>
      </c>
      <c r="B35" s="111" t="s">
        <v>97</v>
      </c>
      <c r="C35" s="4" t="s">
        <v>40</v>
      </c>
      <c r="D35" s="166" t="s">
        <v>41</v>
      </c>
      <c r="E35" s="86">
        <v>0</v>
      </c>
      <c r="F35" s="9">
        <v>0</v>
      </c>
      <c r="G35" s="10"/>
      <c r="H35" s="9">
        <v>0</v>
      </c>
      <c r="I35" s="10"/>
      <c r="J35" s="9">
        <v>0</v>
      </c>
      <c r="K35" s="10"/>
      <c r="L35" s="87">
        <v>0</v>
      </c>
      <c r="M35" s="10"/>
      <c r="N35" s="9">
        <v>0</v>
      </c>
      <c r="O35" s="10"/>
      <c r="P35" s="9">
        <v>0</v>
      </c>
      <c r="Q35" s="10"/>
      <c r="R35" s="9">
        <v>0</v>
      </c>
      <c r="S35" s="10"/>
      <c r="T35" s="9">
        <v>0</v>
      </c>
      <c r="U35" s="10"/>
      <c r="V35" s="9">
        <v>0</v>
      </c>
      <c r="W35" s="10"/>
      <c r="X35" s="9">
        <v>0</v>
      </c>
      <c r="Y35" s="10"/>
      <c r="Z35" s="9">
        <v>0</v>
      </c>
      <c r="AA35" s="10"/>
      <c r="AB35" s="11">
        <v>0</v>
      </c>
      <c r="AC35" s="10"/>
      <c r="AD35" s="7">
        <f>SUM(F35+H35+J35+L35+N35+P35+R35+T35+V35+X35+Z35+AB35)</f>
        <v>0</v>
      </c>
      <c r="AE35" s="7">
        <f>E35+AD35</f>
        <v>0</v>
      </c>
      <c r="AF35" s="8">
        <f>G35+I35+K35+M35+O35+Q35+S35+U35+W35+Y35+AA35+AC35</f>
        <v>0</v>
      </c>
      <c r="AG35" s="212">
        <f>SUM(AE35-AF35)</f>
        <v>0</v>
      </c>
      <c r="AH35" s="214" t="s">
        <v>98</v>
      </c>
      <c r="AI35" s="214">
        <v>4</v>
      </c>
    </row>
    <row r="36" spans="1:42" customHeight="1" ht="11.5">
      <c r="A36" s="5">
        <v>28</v>
      </c>
      <c r="B36" s="111" t="s">
        <v>99</v>
      </c>
      <c r="C36" s="4" t="s">
        <v>40</v>
      </c>
      <c r="D36" s="166" t="s">
        <v>41</v>
      </c>
      <c r="E36" s="86">
        <v>0</v>
      </c>
      <c r="F36" s="9">
        <v>0</v>
      </c>
      <c r="G36" s="10"/>
      <c r="H36" s="9">
        <v>0</v>
      </c>
      <c r="I36" s="10"/>
      <c r="J36" s="9">
        <v>0</v>
      </c>
      <c r="K36" s="10"/>
      <c r="L36" s="87">
        <v>0</v>
      </c>
      <c r="M36" s="10"/>
      <c r="N36" s="9">
        <v>0</v>
      </c>
      <c r="O36" s="10"/>
      <c r="P36" s="9">
        <v>0</v>
      </c>
      <c r="Q36" s="10"/>
      <c r="R36" s="9">
        <v>0</v>
      </c>
      <c r="S36" s="10"/>
      <c r="T36" s="9">
        <v>0</v>
      </c>
      <c r="U36" s="10"/>
      <c r="V36" s="9">
        <v>0</v>
      </c>
      <c r="W36" s="10"/>
      <c r="X36" s="9">
        <v>0</v>
      </c>
      <c r="Y36" s="10"/>
      <c r="Z36" s="9">
        <v>0</v>
      </c>
      <c r="AA36" s="10"/>
      <c r="AB36" s="11">
        <v>0</v>
      </c>
      <c r="AC36" s="10"/>
      <c r="AD36" s="7">
        <f>SUM(F36+H36+J36+L36+N36+P36+R36+T36+V36+X36+Z36+AB36)</f>
        <v>0</v>
      </c>
      <c r="AE36" s="7">
        <f>E36+AD36</f>
        <v>0</v>
      </c>
      <c r="AF36" s="8">
        <f>G36+I36+K36+M36+O36+Q36+S36+U36+W36+Y36+AA36+AC36</f>
        <v>0</v>
      </c>
      <c r="AG36" s="212">
        <f>SUM(AE36-AF36)</f>
        <v>0</v>
      </c>
      <c r="AH36" s="214" t="s">
        <v>100</v>
      </c>
      <c r="AI36" s="214">
        <v>4</v>
      </c>
    </row>
    <row r="37" spans="1:42" customHeight="1" ht="11.5">
      <c r="A37" s="5">
        <v>29</v>
      </c>
      <c r="B37" s="111" t="s">
        <v>101</v>
      </c>
      <c r="C37" s="4" t="s">
        <v>36</v>
      </c>
      <c r="D37" s="166" t="s">
        <v>102</v>
      </c>
      <c r="E37" s="86">
        <v>0</v>
      </c>
      <c r="F37" s="9">
        <v>0</v>
      </c>
      <c r="G37" s="10"/>
      <c r="H37" s="9">
        <v>0</v>
      </c>
      <c r="I37" s="10"/>
      <c r="J37" s="9">
        <v>0</v>
      </c>
      <c r="K37" s="10"/>
      <c r="L37" s="87">
        <v>0</v>
      </c>
      <c r="M37" s="10"/>
      <c r="N37" s="9">
        <v>0</v>
      </c>
      <c r="O37" s="10"/>
      <c r="P37" s="9">
        <v>0</v>
      </c>
      <c r="Q37" s="10"/>
      <c r="R37" s="9">
        <v>0</v>
      </c>
      <c r="S37" s="10"/>
      <c r="T37" s="9">
        <v>0</v>
      </c>
      <c r="U37" s="10"/>
      <c r="V37" s="9">
        <v>0</v>
      </c>
      <c r="W37" s="10"/>
      <c r="X37" s="9">
        <v>0</v>
      </c>
      <c r="Y37" s="10"/>
      <c r="Z37" s="9">
        <v>0</v>
      </c>
      <c r="AA37" s="10"/>
      <c r="AB37" s="11">
        <v>0</v>
      </c>
      <c r="AC37" s="10"/>
      <c r="AD37" s="7">
        <f>SUM(F37+H37+J37+L37+N37+P37+R37+T37+V37+X37+Z37+AB37)</f>
        <v>0</v>
      </c>
      <c r="AE37" s="7">
        <f>E37+AD37</f>
        <v>0</v>
      </c>
      <c r="AF37" s="8">
        <f>G37+I37+K37+M37+O37+Q37+S37+U37+W37+Y37+AA37+AC37</f>
        <v>0</v>
      </c>
      <c r="AG37" s="212">
        <f>SUM(AE37-AF37)</f>
        <v>0</v>
      </c>
      <c r="AH37" s="214" t="s">
        <v>103</v>
      </c>
      <c r="AI37" s="214">
        <v>4</v>
      </c>
    </row>
    <row r="38" spans="1:42" customHeight="1" ht="11.5">
      <c r="A38" s="5">
        <v>30</v>
      </c>
      <c r="B38" s="111" t="s">
        <v>104</v>
      </c>
      <c r="C38" s="4" t="s">
        <v>64</v>
      </c>
      <c r="D38" s="166" t="s">
        <v>65</v>
      </c>
      <c r="E38" s="86">
        <v>200</v>
      </c>
      <c r="F38" s="9">
        <v>0</v>
      </c>
      <c r="G38" s="10">
        <v>200</v>
      </c>
      <c r="H38" s="9">
        <v>0</v>
      </c>
      <c r="I38" s="10"/>
      <c r="J38" s="9">
        <v>3000</v>
      </c>
      <c r="K38" s="10"/>
      <c r="L38" s="87">
        <v>0</v>
      </c>
      <c r="M38" s="10"/>
      <c r="N38" s="9">
        <v>0</v>
      </c>
      <c r="O38" s="10"/>
      <c r="P38" s="9">
        <v>0</v>
      </c>
      <c r="Q38" s="10"/>
      <c r="R38" s="9">
        <v>0</v>
      </c>
      <c r="S38" s="10"/>
      <c r="T38" s="9">
        <v>0</v>
      </c>
      <c r="U38" s="10"/>
      <c r="V38" s="9">
        <v>0</v>
      </c>
      <c r="W38" s="10"/>
      <c r="X38" s="9">
        <v>0</v>
      </c>
      <c r="Y38" s="10"/>
      <c r="Z38" s="9">
        <v>0</v>
      </c>
      <c r="AA38" s="10"/>
      <c r="AB38" s="11">
        <v>0</v>
      </c>
      <c r="AC38" s="10"/>
      <c r="AD38" s="7">
        <f>SUM(F38+H38+J38+L38+N38+P38+R38+T38+V38+X38+Z38+AB38)</f>
        <v>3000</v>
      </c>
      <c r="AE38" s="7">
        <f>E38+AD38</f>
        <v>3200</v>
      </c>
      <c r="AF38" s="8">
        <f>G38+I38+K38+M38+O38+Q38+S38+U38+W38+Y38+AA38+AC38</f>
        <v>200</v>
      </c>
      <c r="AG38" s="212">
        <f>SUM(AE38-AF38)</f>
        <v>3000</v>
      </c>
      <c r="AH38" s="214" t="s">
        <v>105</v>
      </c>
      <c r="AI38" s="214">
        <v>4</v>
      </c>
    </row>
    <row r="39" spans="1:42" customHeight="1" ht="11.5">
      <c r="A39" s="5">
        <v>31</v>
      </c>
      <c r="B39" s="111" t="s">
        <v>106</v>
      </c>
      <c r="C39" s="4" t="s">
        <v>44</v>
      </c>
      <c r="D39" s="166" t="s">
        <v>45</v>
      </c>
      <c r="E39" s="86">
        <v>0</v>
      </c>
      <c r="F39" s="9">
        <v>0</v>
      </c>
      <c r="G39" s="10"/>
      <c r="H39" s="9">
        <v>0</v>
      </c>
      <c r="I39" s="10"/>
      <c r="J39" s="9">
        <v>0</v>
      </c>
      <c r="K39" s="10"/>
      <c r="L39" s="87">
        <v>0</v>
      </c>
      <c r="M39" s="10"/>
      <c r="N39" s="9">
        <v>0</v>
      </c>
      <c r="O39" s="10"/>
      <c r="P39" s="9">
        <v>0</v>
      </c>
      <c r="Q39" s="10"/>
      <c r="R39" s="9">
        <v>0</v>
      </c>
      <c r="S39" s="10"/>
      <c r="T39" s="9">
        <v>0</v>
      </c>
      <c r="U39" s="10"/>
      <c r="V39" s="9">
        <v>0</v>
      </c>
      <c r="W39" s="10"/>
      <c r="X39" s="9">
        <v>0</v>
      </c>
      <c r="Y39" s="10"/>
      <c r="Z39" s="9">
        <v>0</v>
      </c>
      <c r="AA39" s="10"/>
      <c r="AB39" s="11">
        <v>0</v>
      </c>
      <c r="AC39" s="10"/>
      <c r="AD39" s="7">
        <f>SUM(F39+H39+J39+L39+N39+P39+R39+T39+V39+X39+Z39+AB39)</f>
        <v>0</v>
      </c>
      <c r="AE39" s="7">
        <f>E39+AD39</f>
        <v>0</v>
      </c>
      <c r="AF39" s="8">
        <f>G39+I39+K39+M39+O39+Q39+S39+U39+W39+Y39+AA39+AC39</f>
        <v>0</v>
      </c>
      <c r="AG39" s="212">
        <f>SUM(AE39-AF39)</f>
        <v>0</v>
      </c>
      <c r="AH39" s="214" t="s">
        <v>107</v>
      </c>
      <c r="AI39" s="214">
        <v>4</v>
      </c>
    </row>
    <row r="40" spans="1:42" customHeight="1" ht="11.5">
      <c r="A40" s="5">
        <v>32</v>
      </c>
      <c r="B40" s="111" t="s">
        <v>108</v>
      </c>
      <c r="C40" s="4" t="s">
        <v>109</v>
      </c>
      <c r="D40" s="166" t="s">
        <v>110</v>
      </c>
      <c r="E40" s="86">
        <v>800</v>
      </c>
      <c r="F40" s="9">
        <v>0</v>
      </c>
      <c r="G40" s="10"/>
      <c r="H40" s="9">
        <v>0</v>
      </c>
      <c r="I40" s="10">
        <v>800</v>
      </c>
      <c r="J40" s="9">
        <v>800</v>
      </c>
      <c r="K40" s="10"/>
      <c r="L40" s="87">
        <v>0</v>
      </c>
      <c r="M40" s="10">
        <v>4150</v>
      </c>
      <c r="N40" s="9">
        <v>0</v>
      </c>
      <c r="O40" s="10"/>
      <c r="P40" s="9">
        <v>800</v>
      </c>
      <c r="Q40" s="10"/>
      <c r="R40" s="9">
        <v>0</v>
      </c>
      <c r="S40" s="10"/>
      <c r="T40" s="9">
        <v>0</v>
      </c>
      <c r="U40" s="10"/>
      <c r="V40" s="9">
        <v>0</v>
      </c>
      <c r="W40" s="10"/>
      <c r="X40" s="9">
        <v>0</v>
      </c>
      <c r="Y40" s="10"/>
      <c r="Z40" s="9">
        <v>0</v>
      </c>
      <c r="AA40" s="10"/>
      <c r="AB40" s="11">
        <v>0</v>
      </c>
      <c r="AC40" s="10"/>
      <c r="AD40" s="7">
        <f>SUM(F40+H40+J40+L40+N40+P40+R40+T40+V40+X40+Z40+AB40)</f>
        <v>1600</v>
      </c>
      <c r="AE40" s="7">
        <f>E40+AD40</f>
        <v>2400</v>
      </c>
      <c r="AF40" s="8">
        <f>G40+I40+K40+M40+O40+Q40+S40+U40+W40+Y40+AA40+AC40</f>
        <v>4950</v>
      </c>
      <c r="AG40" s="212">
        <f>SUM(AE40-AF40)</f>
        <v>-2550</v>
      </c>
      <c r="AH40" s="214" t="s">
        <v>111</v>
      </c>
      <c r="AI40" s="214">
        <v>4</v>
      </c>
    </row>
    <row r="41" spans="1:42" customHeight="1" ht="11.5">
      <c r="A41" s="5">
        <v>33</v>
      </c>
      <c r="B41" s="111" t="s">
        <v>112</v>
      </c>
      <c r="C41" s="4" t="s">
        <v>40</v>
      </c>
      <c r="D41" s="166" t="s">
        <v>41</v>
      </c>
      <c r="E41" s="86">
        <v>-1230</v>
      </c>
      <c r="F41" s="9">
        <v>0</v>
      </c>
      <c r="G41" s="10"/>
      <c r="H41" s="9">
        <v>1000</v>
      </c>
      <c r="I41" s="10"/>
      <c r="J41" s="9">
        <v>0</v>
      </c>
      <c r="K41" s="10"/>
      <c r="L41" s="87">
        <v>0</v>
      </c>
      <c r="M41" s="10">
        <v>1000</v>
      </c>
      <c r="N41" s="9">
        <v>1000</v>
      </c>
      <c r="O41" s="10"/>
      <c r="P41" s="9">
        <v>0</v>
      </c>
      <c r="Q41" s="10"/>
      <c r="R41" s="9">
        <v>1000</v>
      </c>
      <c r="S41" s="10"/>
      <c r="T41" s="9">
        <v>0</v>
      </c>
      <c r="U41" s="10"/>
      <c r="V41" s="9">
        <v>0</v>
      </c>
      <c r="W41" s="10"/>
      <c r="X41" s="9">
        <v>0</v>
      </c>
      <c r="Y41" s="10"/>
      <c r="Z41" s="9">
        <v>0</v>
      </c>
      <c r="AA41" s="10"/>
      <c r="AB41" s="11">
        <v>0</v>
      </c>
      <c r="AC41" s="10"/>
      <c r="AD41" s="7">
        <f>SUM(F41+H41+J41+L41+N41+P41+R41+T41+V41+X41+Z41+AB41)</f>
        <v>3000</v>
      </c>
      <c r="AE41" s="7">
        <f>E41+AD41</f>
        <v>1770</v>
      </c>
      <c r="AF41" s="8">
        <f>G41+I41+K41+M41+O41+Q41+S41+U41+W41+Y41+AA41+AC41</f>
        <v>1000</v>
      </c>
      <c r="AG41" s="212">
        <f>SUM(AE41-AF41)</f>
        <v>770</v>
      </c>
      <c r="AH41" s="214" t="s">
        <v>113</v>
      </c>
      <c r="AI41" s="214">
        <v>4</v>
      </c>
    </row>
    <row r="42" spans="1:42" customHeight="1" ht="11.5">
      <c r="A42" s="5">
        <v>34</v>
      </c>
      <c r="B42" s="111" t="s">
        <v>114</v>
      </c>
      <c r="C42" s="4" t="s">
        <v>40</v>
      </c>
      <c r="D42" s="166" t="s">
        <v>41</v>
      </c>
      <c r="E42" s="86">
        <v>0</v>
      </c>
      <c r="F42" s="9">
        <v>0</v>
      </c>
      <c r="G42" s="10"/>
      <c r="H42" s="9">
        <v>0</v>
      </c>
      <c r="I42" s="10"/>
      <c r="J42" s="9">
        <v>200</v>
      </c>
      <c r="K42" s="10"/>
      <c r="L42" s="87">
        <v>0</v>
      </c>
      <c r="M42" s="10"/>
      <c r="N42" s="9">
        <v>0</v>
      </c>
      <c r="O42" s="10"/>
      <c r="P42" s="9">
        <v>0</v>
      </c>
      <c r="Q42" s="10"/>
      <c r="R42" s="9">
        <v>0</v>
      </c>
      <c r="S42" s="10"/>
      <c r="T42" s="9">
        <v>0</v>
      </c>
      <c r="U42" s="10"/>
      <c r="V42" s="9">
        <v>0</v>
      </c>
      <c r="W42" s="10"/>
      <c r="X42" s="9">
        <v>0</v>
      </c>
      <c r="Y42" s="10"/>
      <c r="Z42" s="9">
        <v>0</v>
      </c>
      <c r="AA42" s="10"/>
      <c r="AB42" s="11">
        <v>0</v>
      </c>
      <c r="AC42" s="10"/>
      <c r="AD42" s="7">
        <f>SUM(F42+H42+J42+L42+N42+P42+R42+T42+V42+X42+Z42+AB42)</f>
        <v>200</v>
      </c>
      <c r="AE42" s="7">
        <f>E42+AD42</f>
        <v>200</v>
      </c>
      <c r="AF42" s="8">
        <f>G42+I42+K42+M42+O42+Q42+S42+U42+W42+Y42+AA42+AC42</f>
        <v>0</v>
      </c>
      <c r="AG42" s="212">
        <f>SUM(AE42-AF42)</f>
        <v>200</v>
      </c>
      <c r="AH42" s="214" t="s">
        <v>115</v>
      </c>
      <c r="AI42" s="214">
        <v>4</v>
      </c>
    </row>
    <row r="43" spans="1:42" customHeight="1" ht="11.5">
      <c r="A43" s="5">
        <v>35</v>
      </c>
      <c r="B43" s="111" t="s">
        <v>116</v>
      </c>
      <c r="C43" s="4" t="s">
        <v>64</v>
      </c>
      <c r="D43" s="166" t="s">
        <v>65</v>
      </c>
      <c r="E43" s="86">
        <v>0</v>
      </c>
      <c r="F43" s="9">
        <v>0</v>
      </c>
      <c r="G43" s="10"/>
      <c r="H43" s="9">
        <v>0</v>
      </c>
      <c r="I43" s="10"/>
      <c r="J43" s="9">
        <v>0</v>
      </c>
      <c r="K43" s="10"/>
      <c r="L43" s="87">
        <v>0</v>
      </c>
      <c r="M43" s="10"/>
      <c r="N43" s="9">
        <v>0</v>
      </c>
      <c r="O43" s="10"/>
      <c r="P43" s="9">
        <v>0</v>
      </c>
      <c r="Q43" s="10"/>
      <c r="R43" s="9">
        <v>0</v>
      </c>
      <c r="S43" s="10"/>
      <c r="T43" s="9">
        <v>0</v>
      </c>
      <c r="U43" s="10"/>
      <c r="V43" s="9">
        <v>0</v>
      </c>
      <c r="W43" s="10"/>
      <c r="X43" s="9">
        <v>0</v>
      </c>
      <c r="Y43" s="10"/>
      <c r="Z43" s="9">
        <v>0</v>
      </c>
      <c r="AA43" s="10"/>
      <c r="AB43" s="11">
        <v>0</v>
      </c>
      <c r="AC43" s="10"/>
      <c r="AD43" s="7">
        <f>SUM(F43+H43+J43+L43+N43+P43+R43+T43+V43+X43+Z43+AB43)</f>
        <v>0</v>
      </c>
      <c r="AE43" s="7">
        <f>E43+AD43</f>
        <v>0</v>
      </c>
      <c r="AF43" s="8">
        <f>G43+I43+K43+M43+O43+Q43+S43+U43+W43+Y43+AA43+AC43</f>
        <v>0</v>
      </c>
      <c r="AG43" s="212">
        <f>SUM(AE43-AF43)</f>
        <v>0</v>
      </c>
      <c r="AH43" s="214" t="s">
        <v>117</v>
      </c>
      <c r="AI43" s="214">
        <v>4</v>
      </c>
    </row>
    <row r="44" spans="1:42" customHeight="1" ht="11.5">
      <c r="A44" s="5">
        <v>36</v>
      </c>
      <c r="B44" s="111" t="s">
        <v>118</v>
      </c>
      <c r="C44" s="4" t="s">
        <v>40</v>
      </c>
      <c r="D44" s="166" t="s">
        <v>41</v>
      </c>
      <c r="E44" s="86">
        <v>-228000</v>
      </c>
      <c r="F44" s="9">
        <v>0</v>
      </c>
      <c r="G44" s="10">
        <v>62000</v>
      </c>
      <c r="H44" s="9">
        <v>0</v>
      </c>
      <c r="I44" s="10"/>
      <c r="J44" s="9">
        <v>0</v>
      </c>
      <c r="K44" s="10"/>
      <c r="L44" s="87">
        <v>0</v>
      </c>
      <c r="M44" s="10"/>
      <c r="N44" s="9">
        <v>0</v>
      </c>
      <c r="O44" s="10"/>
      <c r="P44" s="9">
        <v>0</v>
      </c>
      <c r="Q44" s="10"/>
      <c r="R44" s="9">
        <v>0</v>
      </c>
      <c r="S44" s="10"/>
      <c r="T44" s="9">
        <v>0</v>
      </c>
      <c r="U44" s="10"/>
      <c r="V44" s="9">
        <v>0</v>
      </c>
      <c r="W44" s="10"/>
      <c r="X44" s="9">
        <v>0</v>
      </c>
      <c r="Y44" s="10"/>
      <c r="Z44" s="9">
        <v>0</v>
      </c>
      <c r="AA44" s="10"/>
      <c r="AB44" s="11">
        <v>0</v>
      </c>
      <c r="AC44" s="10"/>
      <c r="AD44" s="7">
        <f>SUM(F44+H44+J44+L44+N44+P44+R44+T44+V44+X44+Z44+AB44)</f>
        <v>0</v>
      </c>
      <c r="AE44" s="7">
        <f>E44+AD44</f>
        <v>-228000</v>
      </c>
      <c r="AF44" s="8">
        <f>G44+I44+K44+M44+O44+Q44+S44+U44+W44+Y44+AA44+AC44</f>
        <v>62000</v>
      </c>
      <c r="AG44" s="212">
        <f>SUM(AE44-AF44)</f>
        <v>-290000</v>
      </c>
      <c r="AH44" s="214" t="s">
        <v>119</v>
      </c>
      <c r="AI44" s="214">
        <v>5</v>
      </c>
    </row>
    <row r="45" spans="1:42" customHeight="1" ht="11.5">
      <c r="A45" s="5">
        <v>37</v>
      </c>
      <c r="B45" s="111" t="s">
        <v>120</v>
      </c>
      <c r="C45" s="4" t="s">
        <v>109</v>
      </c>
      <c r="D45" s="166" t="s">
        <v>110</v>
      </c>
      <c r="E45" s="86">
        <v>-250254</v>
      </c>
      <c r="F45" s="9">
        <v>0</v>
      </c>
      <c r="G45" s="10">
        <v>23129</v>
      </c>
      <c r="H45" s="9">
        <v>0</v>
      </c>
      <c r="I45" s="10">
        <v>16240</v>
      </c>
      <c r="J45" s="9">
        <v>0</v>
      </c>
      <c r="K45" s="10"/>
      <c r="L45" s="87">
        <v>0</v>
      </c>
      <c r="M45" s="10">
        <v>24190</v>
      </c>
      <c r="N45" s="9">
        <v>0</v>
      </c>
      <c r="O45" s="10"/>
      <c r="P45" s="9">
        <v>0</v>
      </c>
      <c r="Q45" s="10"/>
      <c r="R45" s="9">
        <v>0</v>
      </c>
      <c r="S45" s="10"/>
      <c r="T45" s="9">
        <v>0</v>
      </c>
      <c r="U45" s="10"/>
      <c r="V45" s="9">
        <v>0</v>
      </c>
      <c r="W45" s="10"/>
      <c r="X45" s="9">
        <v>0</v>
      </c>
      <c r="Y45" s="10"/>
      <c r="Z45" s="9">
        <v>0</v>
      </c>
      <c r="AA45" s="10"/>
      <c r="AB45" s="11">
        <v>0</v>
      </c>
      <c r="AC45" s="10"/>
      <c r="AD45" s="7">
        <f>SUM(F45+H45+J45+L45+N45+P45+R45+T45+V45+X45+Z45+AB45)</f>
        <v>0</v>
      </c>
      <c r="AE45" s="7">
        <f>E45+AD45</f>
        <v>-250254</v>
      </c>
      <c r="AF45" s="8">
        <f>G45+I45+K45+M45+O45+Q45+S45+U45+W45+Y45+AA45+AC45</f>
        <v>63559</v>
      </c>
      <c r="AG45" s="212">
        <f>SUM(AE45-AF45)</f>
        <v>-313813</v>
      </c>
      <c r="AH45" s="214" t="s">
        <v>121</v>
      </c>
      <c r="AI45" s="214">
        <v>5</v>
      </c>
    </row>
    <row r="46" spans="1:42" customHeight="1" ht="11.5">
      <c r="A46" s="5">
        <v>38</v>
      </c>
      <c r="B46" s="111" t="s">
        <v>122</v>
      </c>
      <c r="C46" s="4" t="s">
        <v>48</v>
      </c>
      <c r="D46" s="166" t="s">
        <v>49</v>
      </c>
      <c r="E46" s="86">
        <v>-8165</v>
      </c>
      <c r="F46" s="9">
        <v>0</v>
      </c>
      <c r="G46" s="10"/>
      <c r="H46" s="9">
        <v>0</v>
      </c>
      <c r="I46" s="10">
        <v>5325</v>
      </c>
      <c r="J46" s="9">
        <v>0</v>
      </c>
      <c r="K46" s="10"/>
      <c r="L46" s="87">
        <v>0</v>
      </c>
      <c r="M46" s="10"/>
      <c r="N46" s="9">
        <v>0</v>
      </c>
      <c r="O46" s="10"/>
      <c r="P46" s="9">
        <v>0</v>
      </c>
      <c r="Q46" s="10"/>
      <c r="R46" s="9">
        <v>0</v>
      </c>
      <c r="S46" s="10"/>
      <c r="T46" s="9">
        <v>0</v>
      </c>
      <c r="U46" s="10"/>
      <c r="V46" s="9">
        <v>0</v>
      </c>
      <c r="W46" s="10"/>
      <c r="X46" s="9">
        <v>0</v>
      </c>
      <c r="Y46" s="10"/>
      <c r="Z46" s="9">
        <v>0</v>
      </c>
      <c r="AA46" s="10"/>
      <c r="AB46" s="11">
        <v>0</v>
      </c>
      <c r="AC46" s="10"/>
      <c r="AD46" s="7">
        <f>SUM(F46+H46+J46+L46+N46+P46+R46+T46+V46+X46+Z46+AB46)</f>
        <v>0</v>
      </c>
      <c r="AE46" s="7">
        <f>E46+AD46</f>
        <v>-8165</v>
      </c>
      <c r="AF46" s="8">
        <f>G46+I46+K46+M46+O46+Q46+S46+U46+W46+Y46+AA46+AC46</f>
        <v>5325</v>
      </c>
      <c r="AG46" s="212">
        <f>SUM(AE46-AF46)</f>
        <v>-13490</v>
      </c>
      <c r="AH46" s="214" t="s">
        <v>123</v>
      </c>
      <c r="AI46" s="214">
        <v>5</v>
      </c>
    </row>
    <row r="47" spans="1:42" customHeight="1" ht="11.5">
      <c r="A47" s="5"/>
      <c r="B47" s="111"/>
      <c r="C47" s="4"/>
      <c r="D47" s="166"/>
      <c r="E47" s="86"/>
      <c r="F47" s="9"/>
      <c r="G47" s="10"/>
      <c r="H47" s="9"/>
      <c r="I47" s="10"/>
      <c r="J47" s="9"/>
      <c r="K47" s="10"/>
      <c r="L47" s="87"/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/>
      <c r="X47" s="9"/>
      <c r="Y47" s="10"/>
      <c r="Z47" s="9"/>
      <c r="AA47" s="10"/>
      <c r="AB47" s="11"/>
      <c r="AC47" s="10"/>
      <c r="AD47" s="7">
        <f>SUM(F47+H47+J47+L47+N47+P47+R47+T47+V47+X47+Z47+AB47)</f>
        <v>0</v>
      </c>
      <c r="AE47" s="7">
        <f>E47+AD47</f>
        <v>0</v>
      </c>
      <c r="AF47" s="8">
        <f>G47+I47+K47+M47+O47+Q47+S47+U47+W47+Y47+AA47+AC47</f>
        <v>0</v>
      </c>
      <c r="AG47" s="212">
        <f>SUM(AE47-AF47)</f>
        <v>0</v>
      </c>
      <c r="AH47" s="214"/>
      <c r="AI47" s="214"/>
    </row>
    <row r="48" spans="1:42" customHeight="1" ht="11.5">
      <c r="A48" s="5"/>
      <c r="B48" s="111"/>
      <c r="C48" s="4"/>
      <c r="D48" s="166"/>
      <c r="E48" s="86"/>
      <c r="F48" s="9"/>
      <c r="G48" s="10"/>
      <c r="H48" s="9"/>
      <c r="I48" s="10"/>
      <c r="J48" s="9"/>
      <c r="K48" s="10"/>
      <c r="L48" s="87"/>
      <c r="M48" s="10"/>
      <c r="N48" s="9"/>
      <c r="O48" s="10"/>
      <c r="P48" s="9"/>
      <c r="Q48" s="10"/>
      <c r="R48" s="9"/>
      <c r="S48" s="10"/>
      <c r="T48" s="9"/>
      <c r="U48" s="10"/>
      <c r="V48" s="9"/>
      <c r="W48" s="10"/>
      <c r="X48" s="9"/>
      <c r="Y48" s="10"/>
      <c r="Z48" s="9"/>
      <c r="AA48" s="10"/>
      <c r="AB48" s="11"/>
      <c r="AC48" s="10"/>
      <c r="AD48" s="7">
        <f>SUM(F48+H48+J48+L48+N48+P48+R48+T48+V48+X48+Z48+AB48)</f>
        <v>0</v>
      </c>
      <c r="AE48" s="7">
        <f>E48+AD48</f>
        <v>0</v>
      </c>
      <c r="AF48" s="8">
        <f>G48+I48+K48+M48+O48+Q48+S48+U48+W48+Y48+AA48+AC48</f>
        <v>0</v>
      </c>
      <c r="AG48" s="212">
        <f>SUM(AE48-AF48)</f>
        <v>0</v>
      </c>
      <c r="AH48" s="214"/>
      <c r="AI48" s="214"/>
    </row>
    <row r="49" spans="1:42" customHeight="1" ht="11.5">
      <c r="A49" s="5"/>
      <c r="B49" s="111"/>
      <c r="C49" s="4"/>
      <c r="D49" s="166"/>
      <c r="E49" s="86"/>
      <c r="F49" s="9"/>
      <c r="G49" s="10"/>
      <c r="H49" s="9"/>
      <c r="I49" s="10"/>
      <c r="J49" s="9"/>
      <c r="K49" s="10"/>
      <c r="L49" s="87"/>
      <c r="M49" s="10"/>
      <c r="N49" s="9"/>
      <c r="O49" s="10"/>
      <c r="P49" s="9"/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/>
      <c r="AB49" s="11"/>
      <c r="AC49" s="10"/>
      <c r="AD49" s="7">
        <f>SUM(F49+H49+J49+L49+N49+P49+R49+T49+V49+X49+Z49+AB49)</f>
        <v>0</v>
      </c>
      <c r="AE49" s="7">
        <f>E49+AD49</f>
        <v>0</v>
      </c>
      <c r="AF49" s="8">
        <f>G49+I49+K49+M49+O49+Q49+S49+U49+W49+Y49+AA49+AC49</f>
        <v>0</v>
      </c>
      <c r="AG49" s="212">
        <f>SUM(AE49-AF49)</f>
        <v>0</v>
      </c>
      <c r="AH49" s="214"/>
      <c r="AI49" s="214"/>
    </row>
    <row r="50" spans="1:42" customHeight="1" ht="11.5">
      <c r="A50" s="5"/>
      <c r="B50" s="111"/>
      <c r="C50" s="4"/>
      <c r="D50" s="166"/>
      <c r="E50" s="86"/>
      <c r="F50" s="9"/>
      <c r="G50" s="10"/>
      <c r="H50" s="9"/>
      <c r="I50" s="10"/>
      <c r="J50" s="9"/>
      <c r="K50" s="10"/>
      <c r="L50" s="87"/>
      <c r="M50" s="10"/>
      <c r="N50" s="9"/>
      <c r="O50" s="10"/>
      <c r="P50" s="9"/>
      <c r="Q50" s="10"/>
      <c r="R50" s="9"/>
      <c r="S50" s="10"/>
      <c r="T50" s="9"/>
      <c r="U50" s="10"/>
      <c r="V50" s="9"/>
      <c r="W50" s="10"/>
      <c r="X50" s="9"/>
      <c r="Y50" s="10"/>
      <c r="Z50" s="9"/>
      <c r="AA50" s="10"/>
      <c r="AB50" s="11"/>
      <c r="AC50" s="10"/>
      <c r="AD50" s="7">
        <f>SUM(F50+H50+J50+L50+N50+P50+R50+T50+V50+X50+Z50+AB50)</f>
        <v>0</v>
      </c>
      <c r="AE50" s="7">
        <f>E50+AD50</f>
        <v>0</v>
      </c>
      <c r="AF50" s="8">
        <f>G50+I50+K50+M50+O50+Q50+S50+U50+W50+Y50+AA50+AC50</f>
        <v>0</v>
      </c>
      <c r="AG50" s="212">
        <f>SUM(AE50-AF50)</f>
        <v>0</v>
      </c>
      <c r="AH50" s="214"/>
      <c r="AI50" s="214"/>
    </row>
    <row r="51" spans="1:42" customHeight="1" ht="11.5">
      <c r="A51" s="5"/>
      <c r="B51" s="111"/>
      <c r="C51" s="4"/>
      <c r="D51" s="166"/>
      <c r="E51" s="86"/>
      <c r="F51" s="9"/>
      <c r="G51" s="10"/>
      <c r="H51" s="9"/>
      <c r="I51" s="10"/>
      <c r="J51" s="9"/>
      <c r="K51" s="10"/>
      <c r="L51" s="87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/>
      <c r="X51" s="9"/>
      <c r="Y51" s="10"/>
      <c r="Z51" s="9"/>
      <c r="AA51" s="10"/>
      <c r="AB51" s="11"/>
      <c r="AC51" s="10"/>
      <c r="AD51" s="7">
        <f>SUM(F51+H51+J51+L51+N51+P51+R51+T51+V51+X51+Z51+AB51)</f>
        <v>0</v>
      </c>
      <c r="AE51" s="7">
        <f>E51+AD51</f>
        <v>0</v>
      </c>
      <c r="AF51" s="8">
        <f>G51+I51+K51+M51+O51+Q51+S51+U51+W51+Y51+AA51+AC51</f>
        <v>0</v>
      </c>
      <c r="AG51" s="212">
        <f>SUM(AE51-AF51)</f>
        <v>0</v>
      </c>
      <c r="AH51" s="214"/>
      <c r="AI51" s="214"/>
    </row>
    <row r="52" spans="1:42" customHeight="1" ht="11.5">
      <c r="A52" s="5"/>
      <c r="B52" s="111"/>
      <c r="C52" s="4"/>
      <c r="D52" s="166"/>
      <c r="E52" s="86"/>
      <c r="F52" s="9"/>
      <c r="G52" s="10"/>
      <c r="H52" s="9"/>
      <c r="I52" s="10"/>
      <c r="J52" s="9"/>
      <c r="K52" s="10"/>
      <c r="L52" s="87"/>
      <c r="M52" s="10"/>
      <c r="N52" s="9"/>
      <c r="O52" s="10"/>
      <c r="P52" s="9"/>
      <c r="Q52" s="10"/>
      <c r="R52" s="9"/>
      <c r="S52" s="10"/>
      <c r="T52" s="9"/>
      <c r="U52" s="10"/>
      <c r="V52" s="9"/>
      <c r="W52" s="10"/>
      <c r="X52" s="9"/>
      <c r="Y52" s="10"/>
      <c r="Z52" s="9"/>
      <c r="AA52" s="10"/>
      <c r="AB52" s="11"/>
      <c r="AC52" s="10"/>
      <c r="AD52" s="7">
        <f>SUM(F52+H52+J52+L52+N52+P52+R52+T52+V52+X52+Z52+AB52)</f>
        <v>0</v>
      </c>
      <c r="AE52" s="7">
        <f>E52+AD52</f>
        <v>0</v>
      </c>
      <c r="AF52" s="8">
        <f>G52+I52+K52+M52+O52+Q52+S52+U52+W52+Y52+AA52+AC52</f>
        <v>0</v>
      </c>
      <c r="AG52" s="212">
        <f>SUM(AE52-AF52)</f>
        <v>0</v>
      </c>
      <c r="AH52" s="214"/>
      <c r="AI52" s="214"/>
    </row>
    <row r="53" spans="1:42" customHeight="1" ht="11.5">
      <c r="A53" s="5"/>
      <c r="B53" s="111"/>
      <c r="C53" s="4"/>
      <c r="D53" s="166"/>
      <c r="E53" s="86"/>
      <c r="F53" s="9"/>
      <c r="G53" s="10"/>
      <c r="H53" s="9"/>
      <c r="I53" s="10"/>
      <c r="J53" s="9"/>
      <c r="K53" s="10"/>
      <c r="L53" s="87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  <c r="X53" s="9"/>
      <c r="Y53" s="10"/>
      <c r="Z53" s="9"/>
      <c r="AA53" s="10"/>
      <c r="AB53" s="11"/>
      <c r="AC53" s="10"/>
      <c r="AD53" s="7">
        <f>SUM(F53+H53+J53+L53+N53+P53+R53+T53+V53+X53+Z53+AB53)</f>
        <v>0</v>
      </c>
      <c r="AE53" s="7">
        <f>E53+AD53</f>
        <v>0</v>
      </c>
      <c r="AF53" s="8">
        <f>G53+I53+K53+M53+O53+Q53+S53+U53+W53+Y53+AA53+AC53</f>
        <v>0</v>
      </c>
      <c r="AG53" s="212">
        <f>SUM(AE53-AF53)</f>
        <v>0</v>
      </c>
      <c r="AH53" s="214"/>
      <c r="AI53" s="214"/>
    </row>
    <row r="54" spans="1:42" customHeight="1" ht="11.5">
      <c r="A54" s="5"/>
      <c r="B54" s="111"/>
      <c r="C54" s="4"/>
      <c r="D54" s="166"/>
      <c r="E54" s="86"/>
      <c r="F54" s="9"/>
      <c r="G54" s="10"/>
      <c r="H54" s="9"/>
      <c r="I54" s="10"/>
      <c r="J54" s="9"/>
      <c r="K54" s="10"/>
      <c r="L54" s="87"/>
      <c r="M54" s="10"/>
      <c r="N54" s="9"/>
      <c r="O54" s="10"/>
      <c r="P54" s="9"/>
      <c r="Q54" s="10"/>
      <c r="R54" s="9"/>
      <c r="S54" s="10"/>
      <c r="T54" s="9"/>
      <c r="U54" s="10"/>
      <c r="V54" s="9"/>
      <c r="W54" s="10"/>
      <c r="X54" s="9"/>
      <c r="Y54" s="10"/>
      <c r="Z54" s="9"/>
      <c r="AA54" s="10"/>
      <c r="AB54" s="11"/>
      <c r="AC54" s="10"/>
      <c r="AD54" s="7">
        <f>SUM(F54+H54+J54+L54+N54+P54+R54+T54+V54+X54+Z54+AB54)</f>
        <v>0</v>
      </c>
      <c r="AE54" s="7">
        <f>E54+AD54</f>
        <v>0</v>
      </c>
      <c r="AF54" s="8">
        <f>G54+I54+K54+M54+O54+Q54+S54+U54+W54+Y54+AA54+AC54</f>
        <v>0</v>
      </c>
      <c r="AG54" s="212">
        <f>SUM(AE54-AF54)</f>
        <v>0</v>
      </c>
      <c r="AH54" s="214"/>
      <c r="AI54" s="214"/>
    </row>
    <row r="55" spans="1:42" customHeight="1" ht="11.5">
      <c r="A55" s="5"/>
      <c r="B55" s="111"/>
      <c r="C55" s="4"/>
      <c r="D55" s="166"/>
      <c r="E55" s="86"/>
      <c r="F55" s="9"/>
      <c r="G55" s="10"/>
      <c r="H55" s="9"/>
      <c r="I55" s="10"/>
      <c r="J55" s="9"/>
      <c r="K55" s="10"/>
      <c r="L55" s="87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  <c r="X55" s="9"/>
      <c r="Y55" s="10"/>
      <c r="Z55" s="9"/>
      <c r="AA55" s="10"/>
      <c r="AB55" s="11"/>
      <c r="AC55" s="10"/>
      <c r="AD55" s="7">
        <f>SUM(F55+H55+J55+L55+N55+P55+R55+T55+V55+X55+Z55+AB55)</f>
        <v>0</v>
      </c>
      <c r="AE55" s="7">
        <f>E55+AD55</f>
        <v>0</v>
      </c>
      <c r="AF55" s="8">
        <f>G55+I55+K55+M55+O55+Q55+S55+U55+W55+Y55+AA55+AC55</f>
        <v>0</v>
      </c>
      <c r="AG55" s="212">
        <f>SUM(AE55-AF55)</f>
        <v>0</v>
      </c>
      <c r="AH55" s="214"/>
      <c r="AI55" s="214"/>
    </row>
    <row r="56" spans="1:42" customHeight="1" ht="11.5">
      <c r="A56" s="5"/>
      <c r="B56" s="111"/>
      <c r="C56" s="4"/>
      <c r="D56" s="166"/>
      <c r="E56" s="86"/>
      <c r="F56" s="9"/>
      <c r="G56" s="10"/>
      <c r="H56" s="9"/>
      <c r="I56" s="10"/>
      <c r="J56" s="9"/>
      <c r="K56" s="10"/>
      <c r="L56" s="87"/>
      <c r="M56" s="10"/>
      <c r="N56" s="9"/>
      <c r="O56" s="10"/>
      <c r="P56" s="9"/>
      <c r="Q56" s="10"/>
      <c r="R56" s="9"/>
      <c r="S56" s="10"/>
      <c r="T56" s="9"/>
      <c r="U56" s="10"/>
      <c r="V56" s="9"/>
      <c r="W56" s="10"/>
      <c r="X56" s="9"/>
      <c r="Y56" s="10"/>
      <c r="Z56" s="9"/>
      <c r="AA56" s="10"/>
      <c r="AB56" s="11"/>
      <c r="AC56" s="10"/>
      <c r="AD56" s="7">
        <f>SUM(F56+H56+J56+L56+N56+P56+R56+T56+V56+X56+Z56+AB56)</f>
        <v>0</v>
      </c>
      <c r="AE56" s="7">
        <f>E56+AD56</f>
        <v>0</v>
      </c>
      <c r="AF56" s="8">
        <f>G56+I56+K56+M56+O56+Q56+S56+U56+W56+Y56+AA56+AC56</f>
        <v>0</v>
      </c>
      <c r="AG56" s="212">
        <f>SUM(AE56-AF56)</f>
        <v>0</v>
      </c>
      <c r="AH56" s="214"/>
      <c r="AI56" s="214"/>
    </row>
    <row r="57" spans="1:42" customHeight="1" ht="11.5">
      <c r="A57" s="5"/>
      <c r="B57" s="111"/>
      <c r="C57" s="4"/>
      <c r="D57" s="166"/>
      <c r="E57" s="86"/>
      <c r="F57" s="9"/>
      <c r="G57" s="10"/>
      <c r="H57" s="9"/>
      <c r="I57" s="10"/>
      <c r="J57" s="9"/>
      <c r="K57" s="10"/>
      <c r="L57" s="87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/>
      <c r="X57" s="9"/>
      <c r="Y57" s="10"/>
      <c r="Z57" s="9"/>
      <c r="AA57" s="10"/>
      <c r="AB57" s="11"/>
      <c r="AC57" s="10"/>
      <c r="AD57" s="7">
        <f>SUM(F57+H57+J57+L57+N57+P57+R57+T57+V57+X57+Z57+AB57)</f>
        <v>0</v>
      </c>
      <c r="AE57" s="7">
        <f>E57+AD57</f>
        <v>0</v>
      </c>
      <c r="AF57" s="8">
        <f>G57+I57+K57+M57+O57+Q57+S57+U57+W57+Y57+AA57+AC57</f>
        <v>0</v>
      </c>
      <c r="AG57" s="212">
        <f>SUM(AE57-AF57)</f>
        <v>0</v>
      </c>
      <c r="AH57" s="214"/>
      <c r="AI57" s="214"/>
    </row>
    <row r="58" spans="1:42" customHeight="1" ht="11.5">
      <c r="A58" s="5"/>
      <c r="B58" s="111"/>
      <c r="C58" s="4"/>
      <c r="D58" s="166"/>
      <c r="E58" s="86"/>
      <c r="F58" s="9"/>
      <c r="G58" s="10"/>
      <c r="H58" s="9"/>
      <c r="I58" s="10"/>
      <c r="J58" s="9"/>
      <c r="K58" s="10"/>
      <c r="L58" s="87"/>
      <c r="M58" s="10"/>
      <c r="N58" s="9"/>
      <c r="O58" s="10"/>
      <c r="P58" s="9"/>
      <c r="Q58" s="10"/>
      <c r="R58" s="9"/>
      <c r="S58" s="10"/>
      <c r="T58" s="9"/>
      <c r="U58" s="10"/>
      <c r="V58" s="9"/>
      <c r="W58" s="10"/>
      <c r="X58" s="9"/>
      <c r="Y58" s="10"/>
      <c r="Z58" s="9"/>
      <c r="AA58" s="10"/>
      <c r="AB58" s="11"/>
      <c r="AC58" s="10"/>
      <c r="AD58" s="7">
        <f>SUM(F58+H58+J58+L58+N58+P58+R58+T58+V58+X58+Z58+AB58)</f>
        <v>0</v>
      </c>
      <c r="AE58" s="7">
        <f>E58+AD58</f>
        <v>0</v>
      </c>
      <c r="AF58" s="8">
        <f>G58+I58+K58+M58+O58+Q58+S58+U58+W58+Y58+AA58+AC58</f>
        <v>0</v>
      </c>
      <c r="AG58" s="212">
        <f>SUM(AE58-AF58)</f>
        <v>0</v>
      </c>
      <c r="AH58" s="214"/>
      <c r="AI58" s="214"/>
    </row>
    <row r="59" spans="1:42" customHeight="1" ht="11.5">
      <c r="A59" s="5"/>
      <c r="B59" s="111"/>
      <c r="C59" s="4"/>
      <c r="D59" s="166"/>
      <c r="E59" s="86"/>
      <c r="F59" s="9"/>
      <c r="G59" s="10"/>
      <c r="H59" s="9"/>
      <c r="I59" s="10"/>
      <c r="J59" s="9"/>
      <c r="K59" s="10"/>
      <c r="L59" s="87"/>
      <c r="M59" s="10"/>
      <c r="N59" s="9"/>
      <c r="O59" s="10"/>
      <c r="P59" s="9"/>
      <c r="Q59" s="10"/>
      <c r="R59" s="9"/>
      <c r="S59" s="10"/>
      <c r="T59" s="9"/>
      <c r="U59" s="10"/>
      <c r="V59" s="9"/>
      <c r="W59" s="10"/>
      <c r="X59" s="9"/>
      <c r="Y59" s="10"/>
      <c r="Z59" s="9"/>
      <c r="AA59" s="10"/>
      <c r="AB59" s="11"/>
      <c r="AC59" s="10"/>
      <c r="AD59" s="7">
        <f>SUM(F59+H59+J59+L59+N59+P59+R59+T59+V59+X59+Z59+AB59)</f>
        <v>0</v>
      </c>
      <c r="AE59" s="7">
        <f>E59+AD59</f>
        <v>0</v>
      </c>
      <c r="AF59" s="8">
        <f>G59+I59+K59+M59+O59+Q59+S59+U59+W59+Y59+AA59+AC59</f>
        <v>0</v>
      </c>
      <c r="AG59" s="212">
        <f>SUM(AE59-AF59)</f>
        <v>0</v>
      </c>
      <c r="AH59" s="214"/>
      <c r="AI59" s="214"/>
    </row>
    <row r="60" spans="1:42" customHeight="1" ht="11.5">
      <c r="A60" s="5"/>
      <c r="B60" s="111"/>
      <c r="C60" s="4"/>
      <c r="D60" s="166"/>
      <c r="E60" s="86"/>
      <c r="F60" s="9"/>
      <c r="G60" s="10"/>
      <c r="H60" s="9"/>
      <c r="I60" s="10"/>
      <c r="J60" s="9"/>
      <c r="K60" s="10"/>
      <c r="L60" s="87"/>
      <c r="M60" s="10"/>
      <c r="N60" s="9"/>
      <c r="O60" s="10"/>
      <c r="P60" s="9"/>
      <c r="Q60" s="10"/>
      <c r="R60" s="9"/>
      <c r="S60" s="10"/>
      <c r="T60" s="9"/>
      <c r="U60" s="10"/>
      <c r="V60" s="9"/>
      <c r="W60" s="10"/>
      <c r="X60" s="9"/>
      <c r="Y60" s="10"/>
      <c r="Z60" s="9"/>
      <c r="AA60" s="10"/>
      <c r="AB60" s="11"/>
      <c r="AC60" s="10"/>
      <c r="AD60" s="7">
        <f>SUM(F60+H60+J60+L60+N60+P60+R60+T60+V60+X60+Z60+AB60)</f>
        <v>0</v>
      </c>
      <c r="AE60" s="7">
        <f>E60+AD60</f>
        <v>0</v>
      </c>
      <c r="AF60" s="8">
        <f>G60+I60+K60+M60+O60+Q60+S60+U60+W60+Y60+AA60+AC60</f>
        <v>0</v>
      </c>
      <c r="AG60" s="212">
        <f>SUM(AE60-AF60)</f>
        <v>0</v>
      </c>
      <c r="AH60" s="214"/>
      <c r="AI60" s="214"/>
    </row>
    <row r="61" spans="1:42" customHeight="1" ht="11.5">
      <c r="A61" s="5"/>
      <c r="B61" s="111"/>
      <c r="C61" s="4"/>
      <c r="D61" s="166"/>
      <c r="E61" s="86"/>
      <c r="F61" s="9"/>
      <c r="G61" s="10"/>
      <c r="H61" s="9"/>
      <c r="I61" s="10"/>
      <c r="J61" s="9"/>
      <c r="K61" s="10"/>
      <c r="L61" s="87"/>
      <c r="M61" s="10"/>
      <c r="N61" s="9"/>
      <c r="O61" s="10"/>
      <c r="P61" s="9"/>
      <c r="Q61" s="10"/>
      <c r="R61" s="9"/>
      <c r="S61" s="10"/>
      <c r="T61" s="9"/>
      <c r="U61" s="10"/>
      <c r="V61" s="9"/>
      <c r="W61" s="10"/>
      <c r="X61" s="9"/>
      <c r="Y61" s="10"/>
      <c r="Z61" s="9"/>
      <c r="AA61" s="10"/>
      <c r="AB61" s="11"/>
      <c r="AC61" s="10"/>
      <c r="AD61" s="7">
        <f>SUM(F61+H61+J61+L61+N61+P61+R61+T61+V61+X61+Z61+AB61)</f>
        <v>0</v>
      </c>
      <c r="AE61" s="7">
        <f>E61+AD61</f>
        <v>0</v>
      </c>
      <c r="AF61" s="8">
        <f>G61+I61+K61+M61+O61+Q61+S61+U61+W61+Y61+AA61+AC61</f>
        <v>0</v>
      </c>
      <c r="AG61" s="212">
        <f>SUM(AE61-AF61)</f>
        <v>0</v>
      </c>
      <c r="AH61" s="214"/>
      <c r="AI61" s="214"/>
    </row>
    <row r="62" spans="1:42" customHeight="1" ht="11.5">
      <c r="A62" s="5"/>
      <c r="B62" s="111"/>
      <c r="C62" s="4"/>
      <c r="D62" s="166"/>
      <c r="E62" s="86"/>
      <c r="F62" s="9"/>
      <c r="G62" s="10"/>
      <c r="H62" s="9"/>
      <c r="I62" s="10"/>
      <c r="J62" s="9"/>
      <c r="K62" s="10"/>
      <c r="L62" s="87"/>
      <c r="M62" s="10"/>
      <c r="N62" s="9"/>
      <c r="O62" s="10"/>
      <c r="P62" s="9"/>
      <c r="Q62" s="10"/>
      <c r="R62" s="9"/>
      <c r="S62" s="10"/>
      <c r="T62" s="9"/>
      <c r="U62" s="10"/>
      <c r="V62" s="9"/>
      <c r="W62" s="10"/>
      <c r="X62" s="9"/>
      <c r="Y62" s="10"/>
      <c r="Z62" s="9"/>
      <c r="AA62" s="10"/>
      <c r="AB62" s="11"/>
      <c r="AC62" s="10"/>
      <c r="AD62" s="7">
        <f>SUM(F62+H62+J62+L62+N62+P62+R62+T62+V62+X62+Z62+AB62)</f>
        <v>0</v>
      </c>
      <c r="AE62" s="7">
        <f>E62+AD62</f>
        <v>0</v>
      </c>
      <c r="AF62" s="8">
        <f>G62+I62+K62+M62+O62+Q62+S62+U62+W62+Y62+AA62+AC62</f>
        <v>0</v>
      </c>
      <c r="AG62" s="212">
        <f>SUM(AE62-AF62)</f>
        <v>0</v>
      </c>
      <c r="AH62" s="214"/>
      <c r="AI62" s="214"/>
    </row>
    <row r="63" spans="1:42" customHeight="1" ht="11.5">
      <c r="A63" s="5"/>
      <c r="B63" s="111"/>
      <c r="C63" s="4"/>
      <c r="D63" s="166"/>
      <c r="E63" s="86"/>
      <c r="F63" s="9"/>
      <c r="G63" s="10"/>
      <c r="H63" s="9"/>
      <c r="I63" s="10"/>
      <c r="J63" s="9"/>
      <c r="K63" s="10"/>
      <c r="L63" s="87"/>
      <c r="M63" s="10"/>
      <c r="N63" s="9"/>
      <c r="O63" s="10"/>
      <c r="P63" s="9"/>
      <c r="Q63" s="10"/>
      <c r="R63" s="9"/>
      <c r="S63" s="10"/>
      <c r="T63" s="9"/>
      <c r="U63" s="10"/>
      <c r="V63" s="9"/>
      <c r="W63" s="10"/>
      <c r="X63" s="9"/>
      <c r="Y63" s="10"/>
      <c r="Z63" s="9"/>
      <c r="AA63" s="10"/>
      <c r="AB63" s="11"/>
      <c r="AC63" s="10"/>
      <c r="AD63" s="7">
        <f>SUM(F63+H63+J63+L63+N63+P63+R63+T63+V63+X63+Z63+AB63)</f>
        <v>0</v>
      </c>
      <c r="AE63" s="7">
        <f>E63+AD63</f>
        <v>0</v>
      </c>
      <c r="AF63" s="8">
        <f>G63+I63+K63+M63+O63+Q63+S63+U63+W63+Y63+AA63+AC63</f>
        <v>0</v>
      </c>
      <c r="AG63" s="212">
        <f>SUM(AE63-AF63)</f>
        <v>0</v>
      </c>
      <c r="AH63" s="214"/>
      <c r="AI63" s="214"/>
    </row>
    <row r="64" spans="1:42" customHeight="1" ht="11.5">
      <c r="A64" s="5"/>
      <c r="B64" s="111"/>
      <c r="C64" s="4"/>
      <c r="D64" s="166"/>
      <c r="E64" s="86"/>
      <c r="F64" s="9"/>
      <c r="G64" s="10"/>
      <c r="H64" s="9"/>
      <c r="I64" s="10"/>
      <c r="J64" s="9"/>
      <c r="K64" s="10"/>
      <c r="L64" s="87"/>
      <c r="M64" s="10"/>
      <c r="N64" s="9"/>
      <c r="O64" s="10"/>
      <c r="P64" s="9"/>
      <c r="Q64" s="10"/>
      <c r="R64" s="9"/>
      <c r="S64" s="10"/>
      <c r="T64" s="9"/>
      <c r="U64" s="10"/>
      <c r="V64" s="9"/>
      <c r="W64" s="10"/>
      <c r="X64" s="9"/>
      <c r="Y64" s="10"/>
      <c r="Z64" s="9"/>
      <c r="AA64" s="10"/>
      <c r="AB64" s="11"/>
      <c r="AC64" s="10"/>
      <c r="AD64" s="7">
        <f>SUM(F64+H64+J64+L64+N64+P64+R64+T64+V64+X64+Z64+AB64)</f>
        <v>0</v>
      </c>
      <c r="AE64" s="7">
        <f>E64+AD64</f>
        <v>0</v>
      </c>
      <c r="AF64" s="8">
        <f>G64+I64+K64+M64+O64+Q64+S64+U64+W64+Y64+AA64+AC64</f>
        <v>0</v>
      </c>
      <c r="AG64" s="212">
        <f>SUM(AE64-AF64)</f>
        <v>0</v>
      </c>
      <c r="AH64" s="214"/>
      <c r="AI64" s="214"/>
    </row>
    <row r="65" spans="1:42" customHeight="1" ht="11.5">
      <c r="A65" s="5"/>
      <c r="B65" s="111"/>
      <c r="C65" s="4"/>
      <c r="D65" s="166"/>
      <c r="E65" s="86"/>
      <c r="F65" s="9"/>
      <c r="G65" s="10"/>
      <c r="H65" s="9"/>
      <c r="I65" s="10"/>
      <c r="J65" s="9"/>
      <c r="K65" s="10"/>
      <c r="L65" s="87"/>
      <c r="M65" s="10"/>
      <c r="N65" s="9"/>
      <c r="O65" s="10"/>
      <c r="P65" s="9"/>
      <c r="Q65" s="10"/>
      <c r="R65" s="9"/>
      <c r="S65" s="10"/>
      <c r="T65" s="9"/>
      <c r="U65" s="10"/>
      <c r="V65" s="9"/>
      <c r="W65" s="10"/>
      <c r="X65" s="9"/>
      <c r="Y65" s="10"/>
      <c r="Z65" s="9"/>
      <c r="AA65" s="10"/>
      <c r="AB65" s="11"/>
      <c r="AC65" s="10"/>
      <c r="AD65" s="7">
        <f>SUM(F65+H65+J65+L65+N65+P65+R65+T65+V65+X65+Z65+AB65)</f>
        <v>0</v>
      </c>
      <c r="AE65" s="7">
        <f>E65+AD65</f>
        <v>0</v>
      </c>
      <c r="AF65" s="8">
        <f>G65+I65+K65+M65+O65+Q65+S65+U65+W65+Y65+AA65+AC65</f>
        <v>0</v>
      </c>
      <c r="AG65" s="212">
        <f>SUM(AE65-AF65)</f>
        <v>0</v>
      </c>
      <c r="AH65" s="214"/>
      <c r="AI65" s="214"/>
    </row>
    <row r="66" spans="1:42" customHeight="1" ht="11.5">
      <c r="A66" s="5"/>
      <c r="B66" s="111"/>
      <c r="C66" s="4"/>
      <c r="D66" s="166"/>
      <c r="E66" s="86"/>
      <c r="F66" s="9"/>
      <c r="G66" s="10"/>
      <c r="H66" s="9"/>
      <c r="I66" s="10"/>
      <c r="J66" s="9"/>
      <c r="K66" s="10"/>
      <c r="L66" s="87"/>
      <c r="M66" s="10"/>
      <c r="N66" s="9"/>
      <c r="O66" s="10"/>
      <c r="P66" s="9"/>
      <c r="Q66" s="10"/>
      <c r="R66" s="9"/>
      <c r="S66" s="10"/>
      <c r="T66" s="9"/>
      <c r="U66" s="10"/>
      <c r="V66" s="9"/>
      <c r="W66" s="10"/>
      <c r="X66" s="9"/>
      <c r="Y66" s="10"/>
      <c r="Z66" s="9"/>
      <c r="AA66" s="10"/>
      <c r="AB66" s="11"/>
      <c r="AC66" s="10"/>
      <c r="AD66" s="7">
        <f>SUM(F66+H66+J66+L66+N66+P66+R66+T66+V66+X66+Z66+AB66)</f>
        <v>0</v>
      </c>
      <c r="AE66" s="7">
        <f>E66+AD66</f>
        <v>0</v>
      </c>
      <c r="AF66" s="8">
        <f>G66+I66+K66+M66+O66+Q66+S66+U66+W66+Y66+AA66+AC66</f>
        <v>0</v>
      </c>
      <c r="AG66" s="212">
        <f>SUM(AE66-AF66)</f>
        <v>0</v>
      </c>
      <c r="AH66" s="214"/>
      <c r="AI66" s="214"/>
    </row>
    <row r="67" spans="1:42" customHeight="1" ht="11.5">
      <c r="A67" s="5"/>
      <c r="B67" s="111"/>
      <c r="C67" s="4"/>
      <c r="D67" s="166"/>
      <c r="E67" s="86"/>
      <c r="F67" s="9"/>
      <c r="G67" s="10"/>
      <c r="H67" s="9"/>
      <c r="I67" s="10"/>
      <c r="J67" s="9"/>
      <c r="K67" s="10"/>
      <c r="L67" s="87"/>
      <c r="M67" s="10"/>
      <c r="N67" s="9"/>
      <c r="O67" s="10"/>
      <c r="P67" s="9"/>
      <c r="Q67" s="10"/>
      <c r="R67" s="9"/>
      <c r="S67" s="10"/>
      <c r="T67" s="9"/>
      <c r="U67" s="10"/>
      <c r="V67" s="9"/>
      <c r="W67" s="10"/>
      <c r="X67" s="9"/>
      <c r="Y67" s="10"/>
      <c r="Z67" s="9"/>
      <c r="AA67" s="10"/>
      <c r="AB67" s="11"/>
      <c r="AC67" s="10"/>
      <c r="AD67" s="7">
        <f>SUM(F67+H67+J67+L67+N67+P67+R67+T67+V67+X67+Z67+AB67)</f>
        <v>0</v>
      </c>
      <c r="AE67" s="7">
        <f>E67+AD67</f>
        <v>0</v>
      </c>
      <c r="AF67" s="8">
        <f>G67+I67+K67+M67+O67+Q67+S67+U67+W67+Y67+AA67+AC67</f>
        <v>0</v>
      </c>
      <c r="AG67" s="212">
        <f>SUM(AE67-AF67)</f>
        <v>0</v>
      </c>
      <c r="AH67" s="214"/>
      <c r="AI67" s="214"/>
    </row>
    <row r="68" spans="1:42" customHeight="1" ht="11.5">
      <c r="A68" s="5"/>
      <c r="B68" s="111"/>
      <c r="C68" s="4"/>
      <c r="D68" s="166"/>
      <c r="E68" s="86"/>
      <c r="F68" s="9"/>
      <c r="G68" s="10"/>
      <c r="H68" s="9"/>
      <c r="I68" s="10"/>
      <c r="J68" s="9"/>
      <c r="K68" s="10"/>
      <c r="L68" s="87"/>
      <c r="M68" s="10"/>
      <c r="N68" s="9"/>
      <c r="O68" s="10"/>
      <c r="P68" s="9"/>
      <c r="Q68" s="10"/>
      <c r="R68" s="9"/>
      <c r="S68" s="10"/>
      <c r="T68" s="9"/>
      <c r="U68" s="10"/>
      <c r="V68" s="9"/>
      <c r="W68" s="10"/>
      <c r="X68" s="9"/>
      <c r="Y68" s="10"/>
      <c r="Z68" s="9"/>
      <c r="AA68" s="10"/>
      <c r="AB68" s="11"/>
      <c r="AC68" s="10"/>
      <c r="AD68" s="7">
        <f>SUM(F68+H68+J68+L68+N68+P68+R68+T68+V68+X68+Z68+AB68)</f>
        <v>0</v>
      </c>
      <c r="AE68" s="7">
        <f>E68+AD68</f>
        <v>0</v>
      </c>
      <c r="AF68" s="8">
        <f>G68+I68+K68+M68+O68+Q68+S68+U68+W68+Y68+AA68+AC68</f>
        <v>0</v>
      </c>
      <c r="AG68" s="212">
        <f>SUM(AE68-AF68)</f>
        <v>0</v>
      </c>
      <c r="AH68" s="214"/>
      <c r="AI68" s="214"/>
    </row>
    <row r="69" spans="1:42" customHeight="1" ht="11.5">
      <c r="A69" s="5"/>
      <c r="B69" s="111"/>
      <c r="C69" s="4"/>
      <c r="D69" s="166"/>
      <c r="E69" s="86"/>
      <c r="F69" s="9"/>
      <c r="G69" s="10"/>
      <c r="H69" s="9"/>
      <c r="I69" s="10"/>
      <c r="J69" s="9"/>
      <c r="K69" s="10"/>
      <c r="L69" s="87"/>
      <c r="M69" s="10"/>
      <c r="N69" s="9"/>
      <c r="O69" s="10"/>
      <c r="P69" s="9"/>
      <c r="Q69" s="10"/>
      <c r="R69" s="9"/>
      <c r="S69" s="10"/>
      <c r="T69" s="9"/>
      <c r="U69" s="10"/>
      <c r="V69" s="9"/>
      <c r="W69" s="10"/>
      <c r="X69" s="9"/>
      <c r="Y69" s="10"/>
      <c r="Z69" s="9"/>
      <c r="AA69" s="10"/>
      <c r="AB69" s="11"/>
      <c r="AC69" s="10"/>
      <c r="AD69" s="7">
        <f>SUM(F69+H69+J69+L69+N69+P69+R69+T69+V69+X69+Z69+AB69)</f>
        <v>0</v>
      </c>
      <c r="AE69" s="7">
        <f>E69+AD69</f>
        <v>0</v>
      </c>
      <c r="AF69" s="8">
        <f>G69+I69+K69+M69+O69+Q69+S69+U69+W69+Y69+AA69+AC69</f>
        <v>0</v>
      </c>
      <c r="AG69" s="212">
        <f>SUM(AE69-AF69)</f>
        <v>0</v>
      </c>
      <c r="AH69" s="214"/>
      <c r="AI69" s="214"/>
    </row>
    <row r="70" spans="1:42" customHeight="1" ht="11.5">
      <c r="A70" s="5"/>
      <c r="B70" s="111"/>
      <c r="C70" s="4"/>
      <c r="D70" s="166"/>
      <c r="E70" s="86"/>
      <c r="F70" s="9"/>
      <c r="G70" s="10"/>
      <c r="H70" s="9"/>
      <c r="I70" s="10"/>
      <c r="J70" s="9"/>
      <c r="K70" s="10"/>
      <c r="L70" s="87"/>
      <c r="M70" s="10"/>
      <c r="N70" s="9"/>
      <c r="O70" s="10"/>
      <c r="P70" s="9"/>
      <c r="Q70" s="10"/>
      <c r="R70" s="9"/>
      <c r="S70" s="10"/>
      <c r="T70" s="9"/>
      <c r="U70" s="10"/>
      <c r="V70" s="9"/>
      <c r="W70" s="10"/>
      <c r="X70" s="9"/>
      <c r="Y70" s="10"/>
      <c r="Z70" s="9"/>
      <c r="AA70" s="10"/>
      <c r="AB70" s="11"/>
      <c r="AC70" s="10"/>
      <c r="AD70" s="7">
        <f>SUM(F70+H70+J70+L70+N70+P70+R70+T70+V70+X70+Z70+AB70)</f>
        <v>0</v>
      </c>
      <c r="AE70" s="7">
        <f>E70+AD70</f>
        <v>0</v>
      </c>
      <c r="AF70" s="8">
        <f>G70+I70+K70+M70+O70+Q70+S70+U70+W70+Y70+AA70+AC70</f>
        <v>0</v>
      </c>
      <c r="AG70" s="212">
        <f>SUM(AE70-AF70)</f>
        <v>0</v>
      </c>
      <c r="AH70" s="214"/>
      <c r="AI70" s="214"/>
    </row>
    <row r="71" spans="1:42" customHeight="1" ht="11.5">
      <c r="A71" s="5"/>
      <c r="B71" s="111"/>
      <c r="C71" s="4"/>
      <c r="D71" s="166"/>
      <c r="E71" s="86"/>
      <c r="F71" s="9"/>
      <c r="G71" s="10"/>
      <c r="H71" s="9"/>
      <c r="I71" s="10"/>
      <c r="J71" s="9"/>
      <c r="K71" s="10"/>
      <c r="L71" s="87"/>
      <c r="M71" s="10"/>
      <c r="N71" s="9"/>
      <c r="O71" s="10"/>
      <c r="P71" s="9"/>
      <c r="Q71" s="10"/>
      <c r="R71" s="9"/>
      <c r="S71" s="10"/>
      <c r="T71" s="9"/>
      <c r="U71" s="10"/>
      <c r="V71" s="9"/>
      <c r="W71" s="10"/>
      <c r="X71" s="9"/>
      <c r="Y71" s="10"/>
      <c r="Z71" s="9"/>
      <c r="AA71" s="10"/>
      <c r="AB71" s="11"/>
      <c r="AC71" s="10"/>
      <c r="AD71" s="7">
        <f>SUM(F71+H71+J71+L71+N71+P71+R71+T71+V71+X71+Z71+AB71)</f>
        <v>0</v>
      </c>
      <c r="AE71" s="7">
        <f>E71+AD71</f>
        <v>0</v>
      </c>
      <c r="AF71" s="8">
        <f>G71+I71+K71+M71+O71+Q71+S71+U71+W71+Y71+AA71+AC71</f>
        <v>0</v>
      </c>
      <c r="AG71" s="212">
        <f>SUM(AE71-AF71)</f>
        <v>0</v>
      </c>
      <c r="AH71" s="214"/>
      <c r="AI71" s="214"/>
    </row>
    <row r="72" spans="1:42" customHeight="1" ht="11.5">
      <c r="A72" s="5"/>
      <c r="B72" s="111"/>
      <c r="C72" s="4"/>
      <c r="D72" s="166"/>
      <c r="E72" s="86"/>
      <c r="F72" s="9"/>
      <c r="G72" s="10"/>
      <c r="H72" s="9"/>
      <c r="I72" s="10"/>
      <c r="J72" s="9"/>
      <c r="K72" s="10"/>
      <c r="L72" s="87"/>
      <c r="M72" s="10"/>
      <c r="N72" s="9"/>
      <c r="O72" s="10"/>
      <c r="P72" s="9"/>
      <c r="Q72" s="10"/>
      <c r="R72" s="9"/>
      <c r="S72" s="10"/>
      <c r="T72" s="9"/>
      <c r="U72" s="10"/>
      <c r="V72" s="9"/>
      <c r="W72" s="10"/>
      <c r="X72" s="9"/>
      <c r="Y72" s="10"/>
      <c r="Z72" s="9"/>
      <c r="AA72" s="10"/>
      <c r="AB72" s="11"/>
      <c r="AC72" s="10"/>
      <c r="AD72" s="7">
        <f>SUM(F72+H72+J72+L72+N72+P72+R72+T72+V72+X72+Z72+AB72)</f>
        <v>0</v>
      </c>
      <c r="AE72" s="7">
        <f>E72+AD72</f>
        <v>0</v>
      </c>
      <c r="AF72" s="8">
        <f>G72+I72+K72+M72+O72+Q72+S72+U72+W72+Y72+AA72+AC72</f>
        <v>0</v>
      </c>
      <c r="AG72" s="212">
        <f>SUM(AE72-AF72)</f>
        <v>0</v>
      </c>
      <c r="AH72" s="214"/>
      <c r="AI72" s="214"/>
    </row>
    <row r="73" spans="1:42" customHeight="1" ht="11.5">
      <c r="A73" s="5"/>
      <c r="B73" s="111"/>
      <c r="C73" s="4"/>
      <c r="D73" s="166"/>
      <c r="E73" s="86"/>
      <c r="F73" s="9"/>
      <c r="G73" s="10"/>
      <c r="H73" s="9"/>
      <c r="I73" s="10"/>
      <c r="J73" s="9"/>
      <c r="K73" s="10"/>
      <c r="L73" s="87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  <c r="X73" s="9"/>
      <c r="Y73" s="10"/>
      <c r="Z73" s="9"/>
      <c r="AA73" s="10"/>
      <c r="AB73" s="11"/>
      <c r="AC73" s="10"/>
      <c r="AD73" s="7">
        <f>SUM(F73+H73+J73+L73+N73+P73+R73+T73+V73+X73+Z73+AB73)</f>
        <v>0</v>
      </c>
      <c r="AE73" s="7">
        <f>E73+AD73</f>
        <v>0</v>
      </c>
      <c r="AF73" s="8">
        <f>G73+I73+K73+M73+O73+Q73+S73+U73+W73+Y73+AA73+AC73</f>
        <v>0</v>
      </c>
      <c r="AG73" s="212">
        <f>SUM(AE73-AF73)</f>
        <v>0</v>
      </c>
      <c r="AH73" s="214"/>
      <c r="AI73" s="214"/>
    </row>
    <row r="74" spans="1:42" customHeight="1" ht="11.5">
      <c r="A74" s="5"/>
      <c r="B74" s="111"/>
      <c r="C74" s="4"/>
      <c r="D74" s="166"/>
      <c r="E74" s="86"/>
      <c r="F74" s="9"/>
      <c r="G74" s="10"/>
      <c r="H74" s="9"/>
      <c r="I74" s="10"/>
      <c r="J74" s="9"/>
      <c r="K74" s="10"/>
      <c r="L74" s="87"/>
      <c r="M74" s="10"/>
      <c r="N74" s="9"/>
      <c r="O74" s="10"/>
      <c r="P74" s="9"/>
      <c r="Q74" s="10"/>
      <c r="R74" s="9"/>
      <c r="S74" s="10"/>
      <c r="T74" s="9"/>
      <c r="U74" s="10"/>
      <c r="V74" s="9"/>
      <c r="W74" s="10"/>
      <c r="X74" s="9"/>
      <c r="Y74" s="10"/>
      <c r="Z74" s="9"/>
      <c r="AA74" s="10"/>
      <c r="AB74" s="11"/>
      <c r="AC74" s="10"/>
      <c r="AD74" s="7">
        <f>SUM(F74+H74+J74+L74+N74+P74+R74+T74+V74+X74+Z74+AB74)</f>
        <v>0</v>
      </c>
      <c r="AE74" s="7">
        <f>E74+AD74</f>
        <v>0</v>
      </c>
      <c r="AF74" s="8">
        <f>G74+I74+K74+M74+O74+Q74+S74+U74+W74+Y74+AA74+AC74</f>
        <v>0</v>
      </c>
      <c r="AG74" s="212">
        <f>SUM(AE74-AF74)</f>
        <v>0</v>
      </c>
      <c r="AH74" s="214"/>
      <c r="AI74" s="214"/>
    </row>
    <row r="75" spans="1:42" customHeight="1" ht="11.5">
      <c r="A75" s="5"/>
      <c r="B75" s="111"/>
      <c r="C75" s="4"/>
      <c r="D75" s="166"/>
      <c r="E75" s="86"/>
      <c r="F75" s="9"/>
      <c r="G75" s="10"/>
      <c r="H75" s="9"/>
      <c r="I75" s="10"/>
      <c r="J75" s="9"/>
      <c r="K75" s="10"/>
      <c r="L75" s="87"/>
      <c r="M75" s="10"/>
      <c r="N75" s="9"/>
      <c r="O75" s="10"/>
      <c r="P75" s="9"/>
      <c r="Q75" s="10"/>
      <c r="R75" s="9"/>
      <c r="S75" s="10"/>
      <c r="T75" s="9"/>
      <c r="U75" s="10"/>
      <c r="V75" s="9"/>
      <c r="W75" s="10"/>
      <c r="X75" s="9"/>
      <c r="Y75" s="10"/>
      <c r="Z75" s="9"/>
      <c r="AA75" s="10"/>
      <c r="AB75" s="11"/>
      <c r="AC75" s="10"/>
      <c r="AD75" s="7">
        <f>SUM(F75+H75+J75+L75+N75+P75+R75+T75+V75+X75+Z75+AB75)</f>
        <v>0</v>
      </c>
      <c r="AE75" s="7">
        <f>E75+AD75</f>
        <v>0</v>
      </c>
      <c r="AF75" s="8">
        <f>G75+I75+K75+M75+O75+Q75+S75+U75+W75+Y75+AA75+AC75</f>
        <v>0</v>
      </c>
      <c r="AG75" s="212">
        <f>SUM(AE75-AF75)</f>
        <v>0</v>
      </c>
      <c r="AH75" s="214"/>
      <c r="AI75" s="214"/>
    </row>
    <row r="76" spans="1:42" customHeight="1" ht="11.5">
      <c r="A76" s="5"/>
      <c r="B76" s="111"/>
      <c r="C76" s="4"/>
      <c r="D76" s="166"/>
      <c r="E76" s="86"/>
      <c r="F76" s="9"/>
      <c r="G76" s="10"/>
      <c r="H76" s="9"/>
      <c r="I76" s="10"/>
      <c r="J76" s="9"/>
      <c r="K76" s="10"/>
      <c r="L76" s="87"/>
      <c r="M76" s="10"/>
      <c r="N76" s="9"/>
      <c r="O76" s="10"/>
      <c r="P76" s="9"/>
      <c r="Q76" s="10"/>
      <c r="R76" s="9"/>
      <c r="S76" s="10"/>
      <c r="T76" s="9"/>
      <c r="U76" s="10"/>
      <c r="V76" s="9"/>
      <c r="W76" s="10"/>
      <c r="X76" s="9"/>
      <c r="Y76" s="10"/>
      <c r="Z76" s="9"/>
      <c r="AA76" s="10"/>
      <c r="AB76" s="11"/>
      <c r="AC76" s="10"/>
      <c r="AD76" s="7">
        <f>SUM(F76+H76+J76+L76+N76+P76+R76+T76+V76+X76+Z76+AB76)</f>
        <v>0</v>
      </c>
      <c r="AE76" s="7">
        <f>E76+AD76</f>
        <v>0</v>
      </c>
      <c r="AF76" s="8">
        <f>G76+I76+K76+M76+O76+Q76+S76+U76+W76+Y76+AA76+AC76</f>
        <v>0</v>
      </c>
      <c r="AG76" s="212">
        <f>SUM(AE76-AF76)</f>
        <v>0</v>
      </c>
      <c r="AH76" s="214"/>
      <c r="AI76" s="214"/>
    </row>
    <row r="77" spans="1:42" customHeight="1" ht="11.5">
      <c r="A77" s="5"/>
      <c r="B77" s="111"/>
      <c r="C77" s="4"/>
      <c r="D77" s="166"/>
      <c r="E77" s="86"/>
      <c r="F77" s="9"/>
      <c r="G77" s="10"/>
      <c r="H77" s="9"/>
      <c r="I77" s="10"/>
      <c r="J77" s="9"/>
      <c r="K77" s="10"/>
      <c r="L77" s="87"/>
      <c r="M77" s="10"/>
      <c r="N77" s="9"/>
      <c r="O77" s="10"/>
      <c r="P77" s="9"/>
      <c r="Q77" s="10"/>
      <c r="R77" s="9"/>
      <c r="S77" s="10"/>
      <c r="T77" s="9"/>
      <c r="U77" s="10"/>
      <c r="V77" s="9"/>
      <c r="W77" s="10"/>
      <c r="X77" s="9"/>
      <c r="Y77" s="10"/>
      <c r="Z77" s="9"/>
      <c r="AA77" s="10"/>
      <c r="AB77" s="11"/>
      <c r="AC77" s="10"/>
      <c r="AD77" s="7">
        <f>SUM(F77+H77+J77+L77+N77+P77+R77+T77+V77+X77+Z77+AB77)</f>
        <v>0</v>
      </c>
      <c r="AE77" s="7">
        <f>E77+AD77</f>
        <v>0</v>
      </c>
      <c r="AF77" s="8">
        <f>G77+I77+K77+M77+O77+Q77+S77+U77+W77+Y77+AA77+AC77</f>
        <v>0</v>
      </c>
      <c r="AG77" s="212">
        <f>SUM(AE77-AF77)</f>
        <v>0</v>
      </c>
      <c r="AH77" s="214"/>
      <c r="AI77" s="214"/>
    </row>
    <row r="78" spans="1:42" customHeight="1" ht="11.5">
      <c r="A78" s="5"/>
      <c r="B78" s="111"/>
      <c r="C78" s="4"/>
      <c r="D78" s="166"/>
      <c r="E78" s="86"/>
      <c r="F78" s="9"/>
      <c r="G78" s="10"/>
      <c r="H78" s="9"/>
      <c r="I78" s="10"/>
      <c r="J78" s="9"/>
      <c r="K78" s="10"/>
      <c r="L78" s="87"/>
      <c r="M78" s="10"/>
      <c r="N78" s="9"/>
      <c r="O78" s="10"/>
      <c r="P78" s="9"/>
      <c r="Q78" s="10"/>
      <c r="R78" s="9"/>
      <c r="S78" s="10"/>
      <c r="T78" s="9"/>
      <c r="U78" s="10"/>
      <c r="V78" s="9"/>
      <c r="W78" s="10"/>
      <c r="X78" s="9"/>
      <c r="Y78" s="10"/>
      <c r="Z78" s="9"/>
      <c r="AA78" s="10"/>
      <c r="AB78" s="11"/>
      <c r="AC78" s="10"/>
      <c r="AD78" s="7">
        <f>SUM(F78+H78+J78+L78+N78+P78+R78+T78+V78+X78+Z78+AB78)</f>
        <v>0</v>
      </c>
      <c r="AE78" s="7">
        <f>E78+AD78</f>
        <v>0</v>
      </c>
      <c r="AF78" s="8">
        <f>G78+I78+K78+M78+O78+Q78+S78+U78+W78+Y78+AA78+AC78</f>
        <v>0</v>
      </c>
      <c r="AG78" s="212">
        <f>SUM(AE78-AF78)</f>
        <v>0</v>
      </c>
      <c r="AH78" s="214"/>
      <c r="AI78" s="214"/>
    </row>
    <row r="79" spans="1:42" customHeight="1" ht="11.5">
      <c r="A79" s="5"/>
      <c r="B79" s="111"/>
      <c r="C79" s="4"/>
      <c r="D79" s="166"/>
      <c r="E79" s="86"/>
      <c r="F79" s="9"/>
      <c r="G79" s="10"/>
      <c r="H79" s="9"/>
      <c r="I79" s="10"/>
      <c r="J79" s="9"/>
      <c r="K79" s="10"/>
      <c r="L79" s="87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  <c r="X79" s="9"/>
      <c r="Y79" s="10"/>
      <c r="Z79" s="9"/>
      <c r="AA79" s="10"/>
      <c r="AB79" s="11"/>
      <c r="AC79" s="10"/>
      <c r="AD79" s="7">
        <f>SUM(F79+H79+J79+L79+N79+P79+R79+T79+V79+X79+Z79+AB79)</f>
        <v>0</v>
      </c>
      <c r="AE79" s="7">
        <f>E79+AD79</f>
        <v>0</v>
      </c>
      <c r="AF79" s="8">
        <f>G79+I79+K79+M79+O79+Q79+S79+U79+W79+Y79+AA79+AC79</f>
        <v>0</v>
      </c>
      <c r="AG79" s="212">
        <f>SUM(AE79-AF79)</f>
        <v>0</v>
      </c>
      <c r="AH79" s="214"/>
      <c r="AI79" s="214"/>
    </row>
    <row r="80" spans="1:42" customHeight="1" ht="11.5">
      <c r="A80" s="5"/>
      <c r="B80" s="111"/>
      <c r="C80" s="4"/>
      <c r="D80" s="166"/>
      <c r="E80" s="86"/>
      <c r="F80" s="9"/>
      <c r="G80" s="10"/>
      <c r="H80" s="9"/>
      <c r="I80" s="10"/>
      <c r="J80" s="9"/>
      <c r="K80" s="10"/>
      <c r="L80" s="87"/>
      <c r="M80" s="10"/>
      <c r="N80" s="9"/>
      <c r="O80" s="10"/>
      <c r="P80" s="9"/>
      <c r="Q80" s="10"/>
      <c r="R80" s="9"/>
      <c r="S80" s="10"/>
      <c r="T80" s="9"/>
      <c r="U80" s="10"/>
      <c r="V80" s="9"/>
      <c r="W80" s="10"/>
      <c r="X80" s="9"/>
      <c r="Y80" s="10"/>
      <c r="Z80" s="9"/>
      <c r="AA80" s="10"/>
      <c r="AB80" s="11"/>
      <c r="AC80" s="10"/>
      <c r="AD80" s="7">
        <f>SUM(F80+H80+J80+L80+N80+P80+R80+T80+V80+X80+Z80+AB80)</f>
        <v>0</v>
      </c>
      <c r="AE80" s="7">
        <f>E80+AD80</f>
        <v>0</v>
      </c>
      <c r="AF80" s="8">
        <f>G80+I80+K80+M80+O80+Q80+S80+U80+W80+Y80+AA80+AC80</f>
        <v>0</v>
      </c>
      <c r="AG80" s="212">
        <f>SUM(AE80-AF80)</f>
        <v>0</v>
      </c>
      <c r="AH80" s="214"/>
      <c r="AI80" s="214"/>
    </row>
    <row r="81" spans="1:42" customHeight="1" ht="11.5">
      <c r="A81" s="5"/>
      <c r="B81" s="111"/>
      <c r="C81" s="4"/>
      <c r="D81" s="166"/>
      <c r="E81" s="86"/>
      <c r="F81" s="9"/>
      <c r="G81" s="10"/>
      <c r="H81" s="9"/>
      <c r="I81" s="10"/>
      <c r="J81" s="9"/>
      <c r="K81" s="10"/>
      <c r="L81" s="87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  <c r="X81" s="9"/>
      <c r="Y81" s="10"/>
      <c r="Z81" s="9"/>
      <c r="AA81" s="10"/>
      <c r="AB81" s="11"/>
      <c r="AC81" s="10"/>
      <c r="AD81" s="7">
        <f>SUM(F81+H81+J81+L81+N81+P81+R81+T81+V81+X81+Z81+AB81)</f>
        <v>0</v>
      </c>
      <c r="AE81" s="7">
        <f>E81+AD81</f>
        <v>0</v>
      </c>
      <c r="AF81" s="8">
        <f>G81+I81+K81+M81+O81+Q81+S81+U81+W81+Y81+AA81+AC81</f>
        <v>0</v>
      </c>
      <c r="AG81" s="212">
        <f>SUM(AE81-AF81)</f>
        <v>0</v>
      </c>
      <c r="AH81" s="214"/>
      <c r="AI81" s="214"/>
    </row>
    <row r="82" spans="1:42" customHeight="1" ht="11.5">
      <c r="A82" s="5"/>
      <c r="B82" s="111"/>
      <c r="C82" s="4"/>
      <c r="D82" s="166"/>
      <c r="E82" s="86"/>
      <c r="F82" s="9"/>
      <c r="G82" s="10"/>
      <c r="H82" s="9"/>
      <c r="I82" s="10"/>
      <c r="J82" s="9"/>
      <c r="K82" s="10"/>
      <c r="L82" s="87"/>
      <c r="M82" s="10"/>
      <c r="N82" s="9"/>
      <c r="O82" s="10"/>
      <c r="P82" s="9"/>
      <c r="Q82" s="10"/>
      <c r="R82" s="9"/>
      <c r="S82" s="10"/>
      <c r="T82" s="9"/>
      <c r="U82" s="10"/>
      <c r="V82" s="9"/>
      <c r="W82" s="10"/>
      <c r="X82" s="9"/>
      <c r="Y82" s="10"/>
      <c r="Z82" s="9"/>
      <c r="AA82" s="10"/>
      <c r="AB82" s="11"/>
      <c r="AC82" s="10"/>
      <c r="AD82" s="7">
        <f>SUM(F82+H82+J82+L82+N82+P82+R82+T82+V82+X82+Z82+AB82)</f>
        <v>0</v>
      </c>
      <c r="AE82" s="7">
        <f>E82+AD82</f>
        <v>0</v>
      </c>
      <c r="AF82" s="8">
        <f>G82+I82+K82+M82+O82+Q82+S82+U82+W82+Y82+AA82+AC82</f>
        <v>0</v>
      </c>
      <c r="AG82" s="212">
        <f>SUM(AE82-AF82)</f>
        <v>0</v>
      </c>
      <c r="AH82" s="214"/>
      <c r="AI82" s="214"/>
    </row>
    <row r="83" spans="1:42" customHeight="1" ht="11.5">
      <c r="A83" s="5"/>
      <c r="B83" s="111"/>
      <c r="C83" s="4"/>
      <c r="D83" s="166"/>
      <c r="E83" s="86"/>
      <c r="F83" s="9"/>
      <c r="G83" s="10"/>
      <c r="H83" s="9"/>
      <c r="I83" s="10"/>
      <c r="J83" s="9"/>
      <c r="K83" s="10"/>
      <c r="L83" s="87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/>
      <c r="AB83" s="11"/>
      <c r="AC83" s="10"/>
      <c r="AD83" s="7">
        <f>SUM(F83+H83+J83+L83+N83+P83+R83+T83+V83+X83+Z83+AB83)</f>
        <v>0</v>
      </c>
      <c r="AE83" s="7">
        <f>E83+AD83</f>
        <v>0</v>
      </c>
      <c r="AF83" s="8">
        <f>G83+I83+K83+M83+O83+Q83+S83+U83+W83+Y83+AA83+AC83</f>
        <v>0</v>
      </c>
      <c r="AG83" s="212">
        <f>SUM(AE83-AF83)</f>
        <v>0</v>
      </c>
      <c r="AH83" s="214"/>
      <c r="AI83" s="214"/>
    </row>
    <row r="84" spans="1:42" customHeight="1" ht="11.5">
      <c r="A84" s="5"/>
      <c r="B84" s="111"/>
      <c r="C84" s="4"/>
      <c r="D84" s="166"/>
      <c r="E84" s="86"/>
      <c r="F84" s="9"/>
      <c r="G84" s="10"/>
      <c r="H84" s="9"/>
      <c r="I84" s="10"/>
      <c r="J84" s="9"/>
      <c r="K84" s="10"/>
      <c r="L84" s="87"/>
      <c r="M84" s="10"/>
      <c r="N84" s="9"/>
      <c r="O84" s="10"/>
      <c r="P84" s="9"/>
      <c r="Q84" s="10"/>
      <c r="R84" s="9"/>
      <c r="S84" s="10"/>
      <c r="T84" s="9"/>
      <c r="U84" s="10"/>
      <c r="V84" s="9"/>
      <c r="W84" s="10"/>
      <c r="X84" s="9"/>
      <c r="Y84" s="10"/>
      <c r="Z84" s="9"/>
      <c r="AA84" s="10"/>
      <c r="AB84" s="11"/>
      <c r="AC84" s="10"/>
      <c r="AD84" s="7">
        <f>SUM(F84+H84+J84+L84+N84+P84+R84+T84+V84+X84+Z84+AB84)</f>
        <v>0</v>
      </c>
      <c r="AE84" s="7">
        <f>E84+AD84</f>
        <v>0</v>
      </c>
      <c r="AF84" s="8">
        <f>G84+I84+K84+M84+O84+Q84+S84+U84+W84+Y84+AA84+AC84</f>
        <v>0</v>
      </c>
      <c r="AG84" s="212">
        <f>SUM(AE84-AF84)</f>
        <v>0</v>
      </c>
      <c r="AH84" s="214"/>
      <c r="AI84" s="214"/>
    </row>
    <row r="85" spans="1:42" customHeight="1" ht="11.5">
      <c r="A85" s="5"/>
      <c r="B85" s="111"/>
      <c r="C85" s="4"/>
      <c r="D85" s="166"/>
      <c r="E85" s="86"/>
      <c r="F85" s="9"/>
      <c r="G85" s="10"/>
      <c r="H85" s="9"/>
      <c r="I85" s="10"/>
      <c r="J85" s="9"/>
      <c r="K85" s="10"/>
      <c r="L85" s="87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/>
      <c r="AB85" s="11"/>
      <c r="AC85" s="10"/>
      <c r="AD85" s="7">
        <f>SUM(F85+H85+J85+L85+N85+P85+R85+T85+V85+X85+Z85+AB85)</f>
        <v>0</v>
      </c>
      <c r="AE85" s="7">
        <f>E85+AD85</f>
        <v>0</v>
      </c>
      <c r="AF85" s="8">
        <f>G85+I85+K85+M85+O85+Q85+S85+U85+W85+Y85+AA85+AC85</f>
        <v>0</v>
      </c>
      <c r="AG85" s="212">
        <f>SUM(AE85-AF85)</f>
        <v>0</v>
      </c>
      <c r="AH85" s="214"/>
      <c r="AI85" s="214"/>
    </row>
    <row r="86" spans="1:42" customHeight="1" ht="11.5">
      <c r="A86" s="5"/>
      <c r="B86" s="111"/>
      <c r="C86" s="4"/>
      <c r="D86" s="166"/>
      <c r="E86" s="86"/>
      <c r="F86" s="9"/>
      <c r="G86" s="10"/>
      <c r="H86" s="9"/>
      <c r="I86" s="10"/>
      <c r="J86" s="9"/>
      <c r="K86" s="10"/>
      <c r="L86" s="87"/>
      <c r="M86" s="10"/>
      <c r="N86" s="9"/>
      <c r="O86" s="10"/>
      <c r="P86" s="9"/>
      <c r="Q86" s="10"/>
      <c r="R86" s="9"/>
      <c r="S86" s="10"/>
      <c r="T86" s="9"/>
      <c r="U86" s="10"/>
      <c r="V86" s="9"/>
      <c r="W86" s="10"/>
      <c r="X86" s="9"/>
      <c r="Y86" s="10"/>
      <c r="Z86" s="9"/>
      <c r="AA86" s="10"/>
      <c r="AB86" s="11"/>
      <c r="AC86" s="10"/>
      <c r="AD86" s="7">
        <f>SUM(F86+H86+J86+L86+N86+P86+R86+T86+V86+X86+Z86+AB86)</f>
        <v>0</v>
      </c>
      <c r="AE86" s="7">
        <f>E86+AD86</f>
        <v>0</v>
      </c>
      <c r="AF86" s="8">
        <f>G86+I86+K86+M86+O86+Q86+S86+U86+W86+Y86+AA86+AC86</f>
        <v>0</v>
      </c>
      <c r="AG86" s="212">
        <f>SUM(AE86-AF86)</f>
        <v>0</v>
      </c>
      <c r="AH86" s="214"/>
      <c r="AI86" s="214"/>
    </row>
    <row r="87" spans="1:42" customHeight="1" ht="11.5">
      <c r="A87" s="5"/>
      <c r="B87" s="111"/>
      <c r="C87" s="4"/>
      <c r="D87" s="166"/>
      <c r="E87" s="86"/>
      <c r="F87" s="9"/>
      <c r="G87" s="10"/>
      <c r="H87" s="9"/>
      <c r="I87" s="10"/>
      <c r="J87" s="9"/>
      <c r="K87" s="10"/>
      <c r="L87" s="87"/>
      <c r="M87" s="10"/>
      <c r="N87" s="9"/>
      <c r="O87" s="10"/>
      <c r="P87" s="9"/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/>
      <c r="AB87" s="11"/>
      <c r="AC87" s="10"/>
      <c r="AD87" s="7">
        <f>SUM(F87+H87+J87+L87+N87+P87+R87+T87+V87+X87+Z87+AB87)</f>
        <v>0</v>
      </c>
      <c r="AE87" s="7">
        <f>E87+AD87</f>
        <v>0</v>
      </c>
      <c r="AF87" s="8">
        <f>G87+I87+K87+M87+O87+Q87+S87+U87+W87+Y87+AA87+AC87</f>
        <v>0</v>
      </c>
      <c r="AG87" s="212">
        <f>SUM(AE87-AF87)</f>
        <v>0</v>
      </c>
      <c r="AH87" s="214"/>
      <c r="AI87" s="214"/>
    </row>
    <row r="88" spans="1:42" customHeight="1" ht="11.5">
      <c r="A88" s="5"/>
      <c r="B88" s="111"/>
      <c r="C88" s="4"/>
      <c r="D88" s="166"/>
      <c r="E88" s="86"/>
      <c r="F88" s="9"/>
      <c r="G88" s="10"/>
      <c r="H88" s="9"/>
      <c r="I88" s="10"/>
      <c r="J88" s="9"/>
      <c r="K88" s="10"/>
      <c r="L88" s="87"/>
      <c r="M88" s="10"/>
      <c r="N88" s="9"/>
      <c r="O88" s="10"/>
      <c r="P88" s="9"/>
      <c r="Q88" s="10"/>
      <c r="R88" s="9"/>
      <c r="S88" s="10"/>
      <c r="T88" s="9"/>
      <c r="U88" s="10"/>
      <c r="V88" s="9"/>
      <c r="W88" s="10"/>
      <c r="X88" s="9"/>
      <c r="Y88" s="10"/>
      <c r="Z88" s="9"/>
      <c r="AA88" s="10"/>
      <c r="AB88" s="88"/>
      <c r="AC88" s="10"/>
      <c r="AD88" s="7">
        <f>SUM(F88+H88+J88+L88+N88+P88+R88+T88+V88+X88+Z88+AB88)</f>
        <v>0</v>
      </c>
      <c r="AE88" s="7">
        <f>E88+AD88</f>
        <v>0</v>
      </c>
      <c r="AF88" s="8">
        <f>G88+I88+K88+M88+O88+Q88+S88+U88+W88+Y88+AA88+AC88</f>
        <v>0</v>
      </c>
      <c r="AG88" s="212">
        <f>SUM(AE88-AF88)</f>
        <v>0</v>
      </c>
      <c r="AH88" s="214"/>
      <c r="AI88" s="214"/>
    </row>
    <row r="89" spans="1:42" customHeight="1" ht="11.5">
      <c r="A89" s="5"/>
      <c r="B89" s="111"/>
      <c r="C89" s="4"/>
      <c r="D89" s="166"/>
      <c r="E89" s="86"/>
      <c r="F89" s="9"/>
      <c r="G89" s="10"/>
      <c r="H89" s="9"/>
      <c r="I89" s="10"/>
      <c r="J89" s="9"/>
      <c r="K89" s="10"/>
      <c r="L89" s="87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/>
      <c r="AB89" s="11"/>
      <c r="AC89" s="10"/>
      <c r="AD89" s="7">
        <f>SUM(F89+H89+J89+L89+N89+P89+R89+T89+V89+X89+Z89+AB89)</f>
        <v>0</v>
      </c>
      <c r="AE89" s="7">
        <f>E89+AD89</f>
        <v>0</v>
      </c>
      <c r="AF89" s="8">
        <f>G89+I89+K89+M89+O89+Q89+S89+U89+W89+Y89+AA89+AC89</f>
        <v>0</v>
      </c>
      <c r="AG89" s="212">
        <f>SUM(AE89-AF89)</f>
        <v>0</v>
      </c>
      <c r="AH89" s="214"/>
      <c r="AI89" s="214"/>
    </row>
    <row r="90" spans="1:42" customHeight="1" ht="11.5">
      <c r="A90" s="5"/>
      <c r="B90" s="111"/>
      <c r="C90" s="4"/>
      <c r="D90" s="166"/>
      <c r="E90" s="86"/>
      <c r="F90" s="9"/>
      <c r="G90" s="10"/>
      <c r="H90" s="9"/>
      <c r="I90" s="10"/>
      <c r="J90" s="9"/>
      <c r="K90" s="10"/>
      <c r="L90" s="87"/>
      <c r="M90" s="10"/>
      <c r="N90" s="9"/>
      <c r="O90" s="10"/>
      <c r="P90" s="9"/>
      <c r="Q90" s="10"/>
      <c r="R90" s="9"/>
      <c r="S90" s="10"/>
      <c r="T90" s="9"/>
      <c r="U90" s="10"/>
      <c r="V90" s="9"/>
      <c r="W90" s="10"/>
      <c r="X90" s="9"/>
      <c r="Y90" s="10"/>
      <c r="Z90" s="9"/>
      <c r="AA90" s="10"/>
      <c r="AB90" s="11"/>
      <c r="AC90" s="10"/>
      <c r="AD90" s="7">
        <f>SUM(F90+H90+J90+L90+N90+P90+R90+T90+V90+X90+Z90+AB90)</f>
        <v>0</v>
      </c>
      <c r="AE90" s="7">
        <f>E90+AD90</f>
        <v>0</v>
      </c>
      <c r="AF90" s="8">
        <f>G90+I90+K90+M90+O90+Q90+S90+U90+W90+Y90+AA90+AC90</f>
        <v>0</v>
      </c>
      <c r="AG90" s="212">
        <f>SUM(AE90-AF90)</f>
        <v>0</v>
      </c>
      <c r="AH90" s="214"/>
      <c r="AI90" s="214"/>
    </row>
    <row r="91" spans="1:42" customHeight="1" ht="11.5">
      <c r="A91" s="5"/>
      <c r="B91" s="111"/>
      <c r="C91" s="4"/>
      <c r="D91" s="166"/>
      <c r="E91" s="86"/>
      <c r="F91" s="9"/>
      <c r="G91" s="10"/>
      <c r="H91" s="9"/>
      <c r="I91" s="10"/>
      <c r="J91" s="9"/>
      <c r="K91" s="10"/>
      <c r="L91" s="87"/>
      <c r="M91" s="10"/>
      <c r="N91" s="9"/>
      <c r="O91" s="10"/>
      <c r="P91" s="9"/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/>
      <c r="AB91" s="11"/>
      <c r="AC91" s="10"/>
      <c r="AD91" s="7">
        <f>SUM(F91+H91+J91+L91+N91+P91+R91+T91+V91+X91+Z91+AB91)</f>
        <v>0</v>
      </c>
      <c r="AE91" s="7">
        <f>E91+AD91</f>
        <v>0</v>
      </c>
      <c r="AF91" s="8">
        <f>G91+I91+K91+M91+O91+Q91+S91+U91+W91+Y91+AA91+AC91</f>
        <v>0</v>
      </c>
      <c r="AG91" s="212">
        <f>SUM(AE91-AF91)</f>
        <v>0</v>
      </c>
      <c r="AH91" s="214"/>
      <c r="AI91" s="214"/>
    </row>
    <row r="92" spans="1:42" customHeight="1" ht="11.5">
      <c r="A92" s="5"/>
      <c r="B92" s="111"/>
      <c r="C92" s="4"/>
      <c r="D92" s="166"/>
      <c r="E92" s="86"/>
      <c r="F92" s="9"/>
      <c r="G92" s="10"/>
      <c r="H92" s="9"/>
      <c r="I92" s="10"/>
      <c r="J92" s="9"/>
      <c r="K92" s="10"/>
      <c r="L92" s="87"/>
      <c r="M92" s="10"/>
      <c r="N92" s="9"/>
      <c r="O92" s="10"/>
      <c r="P92" s="9"/>
      <c r="Q92" s="10"/>
      <c r="R92" s="9"/>
      <c r="S92" s="10"/>
      <c r="T92" s="9"/>
      <c r="U92" s="10"/>
      <c r="V92" s="9"/>
      <c r="W92" s="10"/>
      <c r="X92" s="9"/>
      <c r="Y92" s="10"/>
      <c r="Z92" s="9"/>
      <c r="AA92" s="10"/>
      <c r="AB92" s="11"/>
      <c r="AC92" s="10"/>
      <c r="AD92" s="7">
        <f>SUM(F92+H92+J92+L92+N92+P92+R92+T92+V92+X92+Z92+AB92)</f>
        <v>0</v>
      </c>
      <c r="AE92" s="7">
        <f>E92+AD92</f>
        <v>0</v>
      </c>
      <c r="AF92" s="8">
        <f>G92+I92+K92+M92+O92+Q92+S92+U92+W92+Y92+AA92+AC92</f>
        <v>0</v>
      </c>
      <c r="AG92" s="212">
        <f>SUM(AE92-AF92)</f>
        <v>0</v>
      </c>
      <c r="AH92" s="214"/>
      <c r="AI92" s="214"/>
    </row>
    <row r="93" spans="1:42" customHeight="1" ht="11.5">
      <c r="A93" s="5"/>
      <c r="B93" s="111"/>
      <c r="C93" s="4"/>
      <c r="D93" s="166"/>
      <c r="E93" s="86"/>
      <c r="F93" s="9"/>
      <c r="G93" s="10"/>
      <c r="H93" s="9"/>
      <c r="I93" s="10"/>
      <c r="J93" s="9"/>
      <c r="K93" s="10"/>
      <c r="L93" s="87"/>
      <c r="M93" s="10"/>
      <c r="N93" s="9"/>
      <c r="O93" s="10"/>
      <c r="P93" s="9"/>
      <c r="Q93" s="10"/>
      <c r="R93" s="9"/>
      <c r="S93" s="10"/>
      <c r="T93" s="9"/>
      <c r="U93" s="10"/>
      <c r="V93" s="9"/>
      <c r="W93" s="10"/>
      <c r="X93" s="9"/>
      <c r="Y93" s="10"/>
      <c r="Z93" s="9"/>
      <c r="AA93" s="10"/>
      <c r="AB93" s="11"/>
      <c r="AC93" s="10"/>
      <c r="AD93" s="7">
        <f>SUM(F93+H93+J93+L93+N93+P93+R93+T93+V93+X93+Z93+AB93)</f>
        <v>0</v>
      </c>
      <c r="AE93" s="7">
        <f>E93+AD93</f>
        <v>0</v>
      </c>
      <c r="AF93" s="8">
        <f>G93+I93+K93+M93+O93+Q93+S93+U93+W93+Y93+AA93+AC93</f>
        <v>0</v>
      </c>
      <c r="AG93" s="212">
        <f>SUM(AE93-AF93)</f>
        <v>0</v>
      </c>
      <c r="AH93" s="214"/>
      <c r="AI93" s="214"/>
    </row>
    <row r="94" spans="1:42" customHeight="1" ht="11.5">
      <c r="A94" s="5"/>
      <c r="B94" s="111"/>
      <c r="C94" s="4"/>
      <c r="D94" s="166"/>
      <c r="E94" s="86"/>
      <c r="F94" s="9"/>
      <c r="G94" s="10"/>
      <c r="H94" s="9"/>
      <c r="I94" s="10"/>
      <c r="J94" s="9"/>
      <c r="K94" s="10"/>
      <c r="L94" s="87"/>
      <c r="M94" s="10"/>
      <c r="N94" s="9"/>
      <c r="O94" s="10"/>
      <c r="P94" s="9"/>
      <c r="Q94" s="10"/>
      <c r="R94" s="9"/>
      <c r="S94" s="10"/>
      <c r="T94" s="9"/>
      <c r="U94" s="10"/>
      <c r="V94" s="9"/>
      <c r="W94" s="10"/>
      <c r="X94" s="9"/>
      <c r="Y94" s="10"/>
      <c r="Z94" s="9"/>
      <c r="AA94" s="10"/>
      <c r="AB94" s="11"/>
      <c r="AC94" s="10"/>
      <c r="AD94" s="7">
        <f>SUM(F94+H94+J94+L94+N94+P94+R94+T94+V94+X94+Z94+AB94)</f>
        <v>0</v>
      </c>
      <c r="AE94" s="7">
        <f>E94+AD94</f>
        <v>0</v>
      </c>
      <c r="AF94" s="8">
        <f>G94+I94+K94+M94+O94+Q94+S94+U94+W94+Y94+AA94+AC94</f>
        <v>0</v>
      </c>
      <c r="AG94" s="212">
        <f>SUM(AE94-AF94)</f>
        <v>0</v>
      </c>
      <c r="AH94" s="214"/>
      <c r="AI94" s="214"/>
    </row>
    <row r="95" spans="1:42" customHeight="1" ht="11.5">
      <c r="A95" s="5"/>
      <c r="B95" s="111"/>
      <c r="C95" s="4"/>
      <c r="D95" s="166"/>
      <c r="E95" s="86"/>
      <c r="F95" s="9"/>
      <c r="G95" s="10"/>
      <c r="H95" s="9"/>
      <c r="I95" s="10"/>
      <c r="J95" s="9"/>
      <c r="K95" s="10"/>
      <c r="L95" s="87"/>
      <c r="M95" s="10"/>
      <c r="N95" s="9"/>
      <c r="O95" s="10"/>
      <c r="P95" s="9"/>
      <c r="Q95" s="10"/>
      <c r="R95" s="9"/>
      <c r="S95" s="10"/>
      <c r="T95" s="9"/>
      <c r="U95" s="10"/>
      <c r="V95" s="9"/>
      <c r="W95" s="10"/>
      <c r="X95" s="9"/>
      <c r="Y95" s="10"/>
      <c r="Z95" s="9"/>
      <c r="AA95" s="10"/>
      <c r="AB95" s="11"/>
      <c r="AC95" s="10"/>
      <c r="AD95" s="7">
        <f>SUM(F95+H95+J95+L95+N95+P95+R95+T95+V95+X95+Z95+AB95)</f>
        <v>0</v>
      </c>
      <c r="AE95" s="7">
        <f>E95+AD95</f>
        <v>0</v>
      </c>
      <c r="AF95" s="8">
        <f>G95+I95+K95+M95+O95+Q95+S95+U95+W95+Y95+AA95+AC95</f>
        <v>0</v>
      </c>
      <c r="AG95" s="212">
        <f>SUM(AE95-AF95)</f>
        <v>0</v>
      </c>
      <c r="AH95" s="214"/>
      <c r="AI95" s="214"/>
    </row>
    <row r="96" spans="1:42" customHeight="1" ht="11.5">
      <c r="A96" s="5"/>
      <c r="B96" s="112"/>
      <c r="C96" s="4"/>
      <c r="D96" s="166"/>
      <c r="E96" s="86"/>
      <c r="F96" s="9"/>
      <c r="G96" s="10"/>
      <c r="H96" s="9"/>
      <c r="I96" s="10"/>
      <c r="J96" s="9"/>
      <c r="K96" s="10"/>
      <c r="L96" s="87"/>
      <c r="M96" s="10"/>
      <c r="N96" s="9"/>
      <c r="O96" s="10"/>
      <c r="P96" s="9"/>
      <c r="Q96" s="10"/>
      <c r="R96" s="9"/>
      <c r="S96" s="10"/>
      <c r="T96" s="9"/>
      <c r="U96" s="10"/>
      <c r="V96" s="9"/>
      <c r="W96" s="10"/>
      <c r="X96" s="9"/>
      <c r="Y96" s="10"/>
      <c r="Z96" s="9"/>
      <c r="AA96" s="10"/>
      <c r="AB96" s="11"/>
      <c r="AC96" s="10"/>
      <c r="AD96" s="7">
        <f>SUM(F96+H96+J96+L96+N96+P96+R96+T96+V96+X96+Z96+AB96)</f>
        <v>0</v>
      </c>
      <c r="AE96" s="7">
        <f>E96+AD96</f>
        <v>0</v>
      </c>
      <c r="AF96" s="8">
        <f>G96+I96+K96+M96+O96+Q96+S96+U96+W96+Y96+AA96+AC96</f>
        <v>0</v>
      </c>
      <c r="AG96" s="212">
        <f>SUM(AE96-AF96)</f>
        <v>0</v>
      </c>
      <c r="AH96" s="214"/>
      <c r="AI96" s="214"/>
    </row>
    <row r="97" spans="1:42" customHeight="1" ht="11.5">
      <c r="A97" s="5"/>
      <c r="B97" s="112"/>
      <c r="C97" s="4"/>
      <c r="D97" s="166"/>
      <c r="E97" s="86"/>
      <c r="F97" s="9"/>
      <c r="G97" s="10"/>
      <c r="H97" s="9"/>
      <c r="I97" s="10"/>
      <c r="J97" s="9"/>
      <c r="K97" s="10"/>
      <c r="L97" s="87"/>
      <c r="M97" s="10"/>
      <c r="N97" s="9"/>
      <c r="O97" s="10"/>
      <c r="P97" s="9"/>
      <c r="Q97" s="10"/>
      <c r="R97" s="9"/>
      <c r="S97" s="10"/>
      <c r="T97" s="9"/>
      <c r="U97" s="10"/>
      <c r="V97" s="9"/>
      <c r="W97" s="10"/>
      <c r="X97" s="9"/>
      <c r="Y97" s="10"/>
      <c r="Z97" s="9"/>
      <c r="AA97" s="10"/>
      <c r="AB97" s="11"/>
      <c r="AC97" s="10"/>
      <c r="AD97" s="7">
        <f>SUM(F97+H97+J97+L97+N97+P97+R97+T97+V97+X97+Z97+AB97)</f>
        <v>0</v>
      </c>
      <c r="AE97" s="7">
        <f>E97+AD97</f>
        <v>0</v>
      </c>
      <c r="AF97" s="8">
        <f>G97+I97+K97+M97+O97+Q97+S97+U97+W97+Y97+AA97+AC97</f>
        <v>0</v>
      </c>
      <c r="AG97" s="212">
        <f>SUM(AE97-AF97)</f>
        <v>0</v>
      </c>
      <c r="AH97" s="214"/>
      <c r="AI97" s="214"/>
    </row>
    <row r="98" spans="1:42" customHeight="1" ht="11.5">
      <c r="A98" s="5"/>
      <c r="B98" s="112"/>
      <c r="C98" s="4"/>
      <c r="D98" s="166"/>
      <c r="E98" s="86"/>
      <c r="F98" s="9"/>
      <c r="G98" s="10"/>
      <c r="H98" s="9"/>
      <c r="I98" s="10"/>
      <c r="J98" s="9"/>
      <c r="K98" s="10"/>
      <c r="L98" s="87"/>
      <c r="M98" s="10"/>
      <c r="N98" s="9"/>
      <c r="O98" s="10"/>
      <c r="P98" s="9"/>
      <c r="Q98" s="10"/>
      <c r="R98" s="9"/>
      <c r="S98" s="10"/>
      <c r="T98" s="9"/>
      <c r="U98" s="10"/>
      <c r="V98" s="9"/>
      <c r="W98" s="10"/>
      <c r="X98" s="9"/>
      <c r="Y98" s="10"/>
      <c r="Z98" s="9"/>
      <c r="AA98" s="10"/>
      <c r="AB98" s="11"/>
      <c r="AC98" s="10"/>
      <c r="AD98" s="7">
        <f>SUM(F98+H98+J98+L98+N98+P98+R98+T98+V98+X98+Z98+AB98)</f>
        <v>0</v>
      </c>
      <c r="AE98" s="7">
        <f>E98+AD98</f>
        <v>0</v>
      </c>
      <c r="AF98" s="8">
        <f>G98+I98+K98+M98+O98+Q98+S98+U98+W98+Y98+AA98+AC98</f>
        <v>0</v>
      </c>
      <c r="AG98" s="212">
        <f>SUM(AE98-AF98)</f>
        <v>0</v>
      </c>
      <c r="AH98" s="214"/>
      <c r="AI98" s="214"/>
    </row>
    <row r="99" spans="1:42" customHeight="1" ht="11.5">
      <c r="A99" s="5"/>
      <c r="B99" s="112"/>
      <c r="C99" s="4"/>
      <c r="D99" s="166"/>
      <c r="E99" s="86"/>
      <c r="F99" s="9"/>
      <c r="G99" s="10"/>
      <c r="H99" s="9"/>
      <c r="I99" s="10"/>
      <c r="J99" s="9"/>
      <c r="K99" s="10"/>
      <c r="L99" s="87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/>
      <c r="AB99" s="11"/>
      <c r="AC99" s="10"/>
      <c r="AD99" s="7">
        <f>SUM(F99+H99+J99+L99+N99+P99+R99+T99+V99+X99+Z99+AB99)</f>
        <v>0</v>
      </c>
      <c r="AE99" s="7">
        <f>E99+AD99</f>
        <v>0</v>
      </c>
      <c r="AF99" s="8">
        <f>G99+I99+K99+M99+O99+Q99+S99+U99+W99+Y99+AA99+AC99</f>
        <v>0</v>
      </c>
      <c r="AG99" s="212">
        <f>SUM(AE99-AF99)</f>
        <v>0</v>
      </c>
      <c r="AH99" s="214"/>
      <c r="AI99" s="214"/>
    </row>
    <row r="100" spans="1:42" customHeight="1" ht="11.5">
      <c r="A100" s="5"/>
      <c r="B100" s="112"/>
      <c r="C100" s="4"/>
      <c r="D100" s="166"/>
      <c r="E100" s="86"/>
      <c r="F100" s="9"/>
      <c r="G100" s="10"/>
      <c r="H100" s="9"/>
      <c r="I100" s="10"/>
      <c r="J100" s="9"/>
      <c r="K100" s="10"/>
      <c r="L100" s="87"/>
      <c r="M100" s="10"/>
      <c r="N100" s="9"/>
      <c r="O100" s="10"/>
      <c r="P100" s="9"/>
      <c r="Q100" s="10"/>
      <c r="R100" s="9"/>
      <c r="S100" s="10"/>
      <c r="T100" s="9"/>
      <c r="U100" s="10"/>
      <c r="V100" s="9"/>
      <c r="W100" s="10"/>
      <c r="X100" s="9"/>
      <c r="Y100" s="10"/>
      <c r="Z100" s="9"/>
      <c r="AA100" s="10"/>
      <c r="AB100" s="11"/>
      <c r="AC100" s="10"/>
      <c r="AD100" s="7">
        <f>SUM(F100+H100+J100+L100+N100+P100+R100+T100+V100+X100+Z100+AB100)</f>
        <v>0</v>
      </c>
      <c r="AE100" s="7">
        <f>E100+AD100</f>
        <v>0</v>
      </c>
      <c r="AF100" s="8">
        <f>G100+I100+K100+M100+O100+Q100+S100+U100+W100+Y100+AA100+AC100</f>
        <v>0</v>
      </c>
      <c r="AG100" s="212">
        <f>SUM(AE100-AF100)</f>
        <v>0</v>
      </c>
      <c r="AH100" s="214"/>
      <c r="AI100" s="214"/>
    </row>
    <row r="101" spans="1:42" customHeight="1" ht="11.5">
      <c r="A101" s="5"/>
      <c r="B101" s="112"/>
      <c r="C101" s="4"/>
      <c r="D101" s="166"/>
      <c r="E101" s="86"/>
      <c r="F101" s="9"/>
      <c r="G101" s="10"/>
      <c r="H101" s="9"/>
      <c r="I101" s="10"/>
      <c r="J101" s="9"/>
      <c r="K101" s="10"/>
      <c r="L101" s="87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  <c r="X101" s="9"/>
      <c r="Y101" s="10"/>
      <c r="Z101" s="9"/>
      <c r="AA101" s="10"/>
      <c r="AB101" s="11"/>
      <c r="AC101" s="10"/>
      <c r="AD101" s="7">
        <f>SUM(F101+H101+J101+L101+N101+P101+R101+T101+V101+X101+Z101+AB101)</f>
        <v>0</v>
      </c>
      <c r="AE101" s="7">
        <f>E101+AD101</f>
        <v>0</v>
      </c>
      <c r="AF101" s="8">
        <f>G101+I101+K101+M101+O101+Q101+S101+U101+W101+Y101+AA101+AC101</f>
        <v>0</v>
      </c>
      <c r="AG101" s="212">
        <f>SUM(AE101-AF101)</f>
        <v>0</v>
      </c>
      <c r="AH101" s="214"/>
      <c r="AI101" s="214"/>
    </row>
    <row r="102" spans="1:42" customHeight="1" ht="11.5">
      <c r="A102" s="5"/>
      <c r="B102" s="112"/>
      <c r="C102" s="4"/>
      <c r="D102" s="166"/>
      <c r="E102" s="86"/>
      <c r="F102" s="9"/>
      <c r="G102" s="10"/>
      <c r="H102" s="9"/>
      <c r="I102" s="10"/>
      <c r="J102" s="9"/>
      <c r="K102" s="10"/>
      <c r="L102" s="87"/>
      <c r="M102" s="10"/>
      <c r="N102" s="9"/>
      <c r="O102" s="10"/>
      <c r="P102" s="9"/>
      <c r="Q102" s="10"/>
      <c r="R102" s="9"/>
      <c r="S102" s="10"/>
      <c r="T102" s="9"/>
      <c r="U102" s="10"/>
      <c r="V102" s="9"/>
      <c r="W102" s="10"/>
      <c r="X102" s="9"/>
      <c r="Y102" s="10"/>
      <c r="Z102" s="9"/>
      <c r="AA102" s="10"/>
      <c r="AB102" s="11"/>
      <c r="AC102" s="10"/>
      <c r="AD102" s="7">
        <f>SUM(F102+H102+J102+L102+N102+P102+R102+T102+V102+X102+Z102+AB102)</f>
        <v>0</v>
      </c>
      <c r="AE102" s="7">
        <f>E102+AD102</f>
        <v>0</v>
      </c>
      <c r="AF102" s="8">
        <f>G102+I102+K102+M102+O102+Q102+S102+U102+W102+Y102+AA102+AC102</f>
        <v>0</v>
      </c>
      <c r="AG102" s="212">
        <f>SUM(AE102-AF102)</f>
        <v>0</v>
      </c>
      <c r="AH102" s="214"/>
      <c r="AI102" s="214"/>
    </row>
    <row r="103" spans="1:42" customHeight="1" ht="11.5">
      <c r="A103" s="5"/>
      <c r="B103" s="112"/>
      <c r="C103" s="4"/>
      <c r="D103" s="166"/>
      <c r="E103" s="86"/>
      <c r="F103" s="9"/>
      <c r="G103" s="10"/>
      <c r="H103" s="9"/>
      <c r="I103" s="10"/>
      <c r="J103" s="9"/>
      <c r="K103" s="10"/>
      <c r="L103" s="87"/>
      <c r="M103" s="10"/>
      <c r="N103" s="9"/>
      <c r="O103" s="10"/>
      <c r="P103" s="9"/>
      <c r="Q103" s="10"/>
      <c r="R103" s="9"/>
      <c r="S103" s="10"/>
      <c r="T103" s="9"/>
      <c r="U103" s="10"/>
      <c r="V103" s="9"/>
      <c r="W103" s="10"/>
      <c r="X103" s="9"/>
      <c r="Y103" s="10"/>
      <c r="Z103" s="9"/>
      <c r="AA103" s="10"/>
      <c r="AB103" s="11"/>
      <c r="AC103" s="10"/>
      <c r="AD103" s="7">
        <f>SUM(F103+H103+J103+L103+N103+P103+R103+T103+V103+X103+Z103+AB103)</f>
        <v>0</v>
      </c>
      <c r="AE103" s="7">
        <f>E103+AD103</f>
        <v>0</v>
      </c>
      <c r="AF103" s="8">
        <f>G103+I103+K103+M103+O103+Q103+S103+U103+W103+Y103+AA103+AC103</f>
        <v>0</v>
      </c>
      <c r="AG103" s="212">
        <f>SUM(AE103-AF103)</f>
        <v>0</v>
      </c>
      <c r="AH103" s="214"/>
      <c r="AI103" s="214"/>
    </row>
    <row r="104" spans="1:42" customHeight="1" ht="11.5">
      <c r="A104" s="5"/>
      <c r="B104" s="112"/>
      <c r="C104" s="4"/>
      <c r="D104" s="166"/>
      <c r="E104" s="86"/>
      <c r="F104" s="9"/>
      <c r="G104" s="10"/>
      <c r="H104" s="9"/>
      <c r="I104" s="10"/>
      <c r="J104" s="9"/>
      <c r="K104" s="10"/>
      <c r="L104" s="87"/>
      <c r="M104" s="10"/>
      <c r="N104" s="9"/>
      <c r="O104" s="10"/>
      <c r="P104" s="9"/>
      <c r="Q104" s="10"/>
      <c r="R104" s="9"/>
      <c r="S104" s="10"/>
      <c r="T104" s="9"/>
      <c r="U104" s="10"/>
      <c r="V104" s="9"/>
      <c r="W104" s="10"/>
      <c r="X104" s="9"/>
      <c r="Y104" s="10"/>
      <c r="Z104" s="9"/>
      <c r="AA104" s="10"/>
      <c r="AB104" s="11"/>
      <c r="AC104" s="10"/>
      <c r="AD104" s="7">
        <f>SUM(F104+H104+J104+L104+N104+P104+R104+T104+V104+X104+Z104+AB104)</f>
        <v>0</v>
      </c>
      <c r="AE104" s="7">
        <f>E104+AD104</f>
        <v>0</v>
      </c>
      <c r="AF104" s="8">
        <f>G104+I104+K104+M104+O104+Q104+S104+U104+W104+Y104+AA104+AC104</f>
        <v>0</v>
      </c>
      <c r="AG104" s="212">
        <f>SUM(AE104-AF104)</f>
        <v>0</v>
      </c>
      <c r="AH104" s="214"/>
      <c r="AI104" s="214"/>
    </row>
    <row r="105" spans="1:42" customHeight="1" ht="11.5">
      <c r="A105" s="5"/>
      <c r="B105" s="113"/>
      <c r="C105" s="90"/>
      <c r="D105" s="167"/>
      <c r="E105" s="86"/>
      <c r="F105" s="9"/>
      <c r="G105" s="10"/>
      <c r="H105" s="9"/>
      <c r="I105" s="10"/>
      <c r="J105" s="9"/>
      <c r="K105" s="10"/>
      <c r="L105" s="87"/>
      <c r="M105" s="10"/>
      <c r="N105" s="9"/>
      <c r="O105" s="10"/>
      <c r="P105" s="9"/>
      <c r="Q105" s="10"/>
      <c r="R105" s="9"/>
      <c r="S105" s="10"/>
      <c r="T105" s="9"/>
      <c r="U105" s="10"/>
      <c r="V105" s="9"/>
      <c r="W105" s="10"/>
      <c r="X105" s="9"/>
      <c r="Y105" s="10"/>
      <c r="Z105" s="9"/>
      <c r="AA105" s="10"/>
      <c r="AB105" s="11"/>
      <c r="AC105" s="10"/>
      <c r="AD105" s="7">
        <f>SUM(F105+H105+J105+L105+N105+P105+R105+T105+V105+X105+Z105+AB105)</f>
        <v>0</v>
      </c>
      <c r="AE105" s="7">
        <f>E105+AD105</f>
        <v>0</v>
      </c>
      <c r="AF105" s="8">
        <f>G105+I105+K105+M105+O105+Q105+S105+U105+W105+Y105+AA105+AC105</f>
        <v>0</v>
      </c>
      <c r="AG105" s="212">
        <f>SUM(AE105-AF105)</f>
        <v>0</v>
      </c>
      <c r="AH105" s="214"/>
      <c r="AI105" s="214"/>
    </row>
    <row r="106" spans="1:42" customHeight="1" ht="11.5">
      <c r="A106" s="5"/>
      <c r="B106" s="112"/>
      <c r="C106" s="4"/>
      <c r="D106" s="166"/>
      <c r="E106" s="86"/>
      <c r="F106" s="9"/>
      <c r="G106" s="10"/>
      <c r="H106" s="9"/>
      <c r="I106" s="10"/>
      <c r="J106" s="9"/>
      <c r="K106" s="10"/>
      <c r="L106" s="87"/>
      <c r="M106" s="10"/>
      <c r="N106" s="9"/>
      <c r="O106" s="10"/>
      <c r="P106" s="9"/>
      <c r="Q106" s="10"/>
      <c r="R106" s="9"/>
      <c r="S106" s="10"/>
      <c r="T106" s="9"/>
      <c r="U106" s="10"/>
      <c r="V106" s="9"/>
      <c r="W106" s="10"/>
      <c r="X106" s="9"/>
      <c r="Y106" s="10"/>
      <c r="Z106" s="9"/>
      <c r="AA106" s="10"/>
      <c r="AB106" s="11"/>
      <c r="AC106" s="10"/>
      <c r="AD106" s="7">
        <f>SUM(F106+H106+J106+L106+N106+P106+R106+T106+V106+X106+Z106+AB106)</f>
        <v>0</v>
      </c>
      <c r="AE106" s="7">
        <f>E106+AD106</f>
        <v>0</v>
      </c>
      <c r="AF106" s="8">
        <f>G106+I106+K106+M106+O106+Q106+S106+U106+W106+Y106+AA106+AC106</f>
        <v>0</v>
      </c>
      <c r="AG106" s="212">
        <f>SUM(AE106-AF106)</f>
        <v>0</v>
      </c>
      <c r="AH106" s="214"/>
      <c r="AI106" s="214"/>
    </row>
    <row r="107" spans="1:42" customHeight="1" ht="11.5">
      <c r="A107" s="5"/>
      <c r="B107" s="112"/>
      <c r="C107" s="4"/>
      <c r="D107" s="166"/>
      <c r="E107" s="86"/>
      <c r="F107" s="9"/>
      <c r="G107" s="10"/>
      <c r="H107" s="9"/>
      <c r="I107" s="10"/>
      <c r="J107" s="9"/>
      <c r="K107" s="10"/>
      <c r="L107" s="87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  <c r="X107" s="9"/>
      <c r="Y107" s="10"/>
      <c r="Z107" s="9"/>
      <c r="AA107" s="10"/>
      <c r="AB107" s="11"/>
      <c r="AC107" s="10"/>
      <c r="AD107" s="7">
        <f>SUM(F107+H107+J107+L107+N107+P107+R107+T107+V107+X107+Z107+AB107)</f>
        <v>0</v>
      </c>
      <c r="AE107" s="7">
        <f>E107+AD107</f>
        <v>0</v>
      </c>
      <c r="AF107" s="8">
        <f>G107+I107+K107+M107+O107+Q107+S107+U107+W107+Y107+AA107+AC107</f>
        <v>0</v>
      </c>
      <c r="AG107" s="212">
        <f>SUM(AE107-AF107)</f>
        <v>0</v>
      </c>
      <c r="AH107" s="214"/>
      <c r="AI107" s="214"/>
    </row>
    <row r="108" spans="1:42" customHeight="1" ht="11.5">
      <c r="A108" s="5"/>
      <c r="B108" s="112"/>
      <c r="C108" s="4"/>
      <c r="D108" s="166"/>
      <c r="E108" s="86"/>
      <c r="F108" s="9"/>
      <c r="G108" s="10"/>
      <c r="H108" s="9"/>
      <c r="I108" s="10"/>
      <c r="J108" s="9"/>
      <c r="K108" s="10"/>
      <c r="L108" s="87"/>
      <c r="M108" s="10"/>
      <c r="N108" s="9"/>
      <c r="O108" s="10"/>
      <c r="P108" s="9"/>
      <c r="Q108" s="10"/>
      <c r="R108" s="9"/>
      <c r="S108" s="10"/>
      <c r="T108" s="9"/>
      <c r="U108" s="10"/>
      <c r="V108" s="9"/>
      <c r="W108" s="10"/>
      <c r="X108" s="9"/>
      <c r="Y108" s="10"/>
      <c r="Z108" s="9"/>
      <c r="AA108" s="10"/>
      <c r="AB108" s="11"/>
      <c r="AC108" s="10"/>
      <c r="AD108" s="7">
        <f>SUM(F108+H108+J108+L108+N108+P108+R108+T108+V108+X108+Z108+AB108)</f>
        <v>0</v>
      </c>
      <c r="AE108" s="7">
        <f>E108+AD108</f>
        <v>0</v>
      </c>
      <c r="AF108" s="8">
        <f>G108+I108+K108+M108+O108+Q108+S108+U108+W108+Y108+AA108+AC108</f>
        <v>0</v>
      </c>
      <c r="AG108" s="212">
        <f>SUM(AE108-AF108)</f>
        <v>0</v>
      </c>
      <c r="AH108" s="214"/>
      <c r="AI108" s="214"/>
    </row>
    <row r="109" spans="1:42" customHeight="1" ht="11.5">
      <c r="A109" s="5"/>
      <c r="B109" s="112"/>
      <c r="C109" s="4"/>
      <c r="D109" s="166"/>
      <c r="E109" s="86"/>
      <c r="F109" s="9"/>
      <c r="G109" s="10"/>
      <c r="H109" s="9"/>
      <c r="I109" s="10"/>
      <c r="J109" s="9"/>
      <c r="K109" s="10"/>
      <c r="L109" s="87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  <c r="X109" s="9"/>
      <c r="Y109" s="10"/>
      <c r="Z109" s="9"/>
      <c r="AA109" s="10"/>
      <c r="AB109" s="11"/>
      <c r="AC109" s="10"/>
      <c r="AD109" s="7">
        <f>SUM(F109+H109+J109+L109+N109+P109+R109+T109+V109+X109+Z109+AB109)</f>
        <v>0</v>
      </c>
      <c r="AE109" s="7">
        <f>E109+AD109</f>
        <v>0</v>
      </c>
      <c r="AF109" s="8">
        <f>G109+I109+K109+M109+O109+Q109+S109+U109+W109+Y109+AA109+AC109</f>
        <v>0</v>
      </c>
      <c r="AG109" s="212">
        <f>SUM(AE109-AF109)</f>
        <v>0</v>
      </c>
      <c r="AH109" s="214"/>
      <c r="AI109" s="214"/>
    </row>
    <row r="110" spans="1:42" customHeight="1" ht="11.5">
      <c r="A110" s="5"/>
      <c r="B110" s="112"/>
      <c r="C110" s="4"/>
      <c r="D110" s="166"/>
      <c r="E110" s="86"/>
      <c r="F110" s="9"/>
      <c r="G110" s="10"/>
      <c r="H110" s="9"/>
      <c r="I110" s="10"/>
      <c r="J110" s="9"/>
      <c r="K110" s="10"/>
      <c r="L110" s="87"/>
      <c r="M110" s="10"/>
      <c r="N110" s="9"/>
      <c r="O110" s="10"/>
      <c r="P110" s="9"/>
      <c r="Q110" s="10"/>
      <c r="R110" s="9"/>
      <c r="S110" s="10"/>
      <c r="T110" s="9"/>
      <c r="U110" s="10"/>
      <c r="V110" s="9"/>
      <c r="W110" s="10"/>
      <c r="X110" s="9"/>
      <c r="Y110" s="10"/>
      <c r="Z110" s="9"/>
      <c r="AA110" s="10"/>
      <c r="AB110" s="11"/>
      <c r="AC110" s="10"/>
      <c r="AD110" s="7">
        <f>SUM(F110+H110+J110+L110+N110+P110+R110+T110+V110+X110+Z110+AB110)</f>
        <v>0</v>
      </c>
      <c r="AE110" s="7">
        <f>E110+AD110</f>
        <v>0</v>
      </c>
      <c r="AF110" s="8">
        <f>G110+I110+K110+M110+O110+Q110+S110+U110+W110+Y110+AA110+AC110</f>
        <v>0</v>
      </c>
      <c r="AG110" s="212">
        <f>SUM(AE110-AF110)</f>
        <v>0</v>
      </c>
      <c r="AH110" s="214"/>
      <c r="AI110" s="214"/>
    </row>
    <row r="111" spans="1:42" customHeight="1" ht="11.5">
      <c r="A111" s="5"/>
      <c r="B111" s="112"/>
      <c r="C111" s="4"/>
      <c r="D111" s="166"/>
      <c r="E111" s="86"/>
      <c r="F111" s="9"/>
      <c r="G111" s="10"/>
      <c r="H111" s="9"/>
      <c r="I111" s="10"/>
      <c r="J111" s="9"/>
      <c r="K111" s="10"/>
      <c r="L111" s="87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  <c r="X111" s="9"/>
      <c r="Y111" s="10"/>
      <c r="Z111" s="9"/>
      <c r="AA111" s="10"/>
      <c r="AB111" s="11"/>
      <c r="AC111" s="10"/>
      <c r="AD111" s="7">
        <f>SUM(F111+H111+J111+L111+N111+P111+R111+T111+V111+X111+Z111+AB111)</f>
        <v>0</v>
      </c>
      <c r="AE111" s="7">
        <f>E111+AD111</f>
        <v>0</v>
      </c>
      <c r="AF111" s="8">
        <f>G111+I111+K111+M111+O111+Q111+S111+U111+W111+Y111+AA111+AC111</f>
        <v>0</v>
      </c>
      <c r="AG111" s="212">
        <f>SUM(AE111-AF111)</f>
        <v>0</v>
      </c>
      <c r="AH111" s="214"/>
      <c r="AI111" s="214"/>
    </row>
    <row r="112" spans="1:42" customHeight="1" ht="11.5">
      <c r="A112" s="5"/>
      <c r="B112" s="112"/>
      <c r="C112" s="4"/>
      <c r="D112" s="166"/>
      <c r="E112" s="86"/>
      <c r="F112" s="9"/>
      <c r="G112" s="10"/>
      <c r="H112" s="9"/>
      <c r="I112" s="10"/>
      <c r="J112" s="9"/>
      <c r="K112" s="10"/>
      <c r="L112" s="87"/>
      <c r="M112" s="10"/>
      <c r="N112" s="9"/>
      <c r="O112" s="10"/>
      <c r="P112" s="9"/>
      <c r="Q112" s="10"/>
      <c r="R112" s="9"/>
      <c r="S112" s="10"/>
      <c r="T112" s="9"/>
      <c r="U112" s="10"/>
      <c r="V112" s="9"/>
      <c r="W112" s="10"/>
      <c r="X112" s="9"/>
      <c r="Y112" s="10"/>
      <c r="Z112" s="9"/>
      <c r="AA112" s="10"/>
      <c r="AB112" s="11"/>
      <c r="AC112" s="10"/>
      <c r="AD112" s="7">
        <f>SUM(F112+H112+J112+L112+N112+P112+R112+T112+V112+X112+Z112+AB112)</f>
        <v>0</v>
      </c>
      <c r="AE112" s="7">
        <f>E112+AD112</f>
        <v>0</v>
      </c>
      <c r="AF112" s="8">
        <f>G112+I112+K112+M112+O112+Q112+S112+U112+W112+Y112+AA112+AC112</f>
        <v>0</v>
      </c>
      <c r="AG112" s="212">
        <f>SUM(AE112-AF112)</f>
        <v>0</v>
      </c>
      <c r="AH112" s="214"/>
      <c r="AI112" s="214"/>
    </row>
    <row r="113" spans="1:42" customHeight="1" ht="11.5">
      <c r="A113" s="5"/>
      <c r="B113" s="112"/>
      <c r="C113" s="4"/>
      <c r="D113" s="166"/>
      <c r="E113" s="86"/>
      <c r="F113" s="9"/>
      <c r="G113" s="10"/>
      <c r="H113" s="9"/>
      <c r="I113" s="10"/>
      <c r="J113" s="9"/>
      <c r="K113" s="10"/>
      <c r="L113" s="87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  <c r="X113" s="9"/>
      <c r="Y113" s="10"/>
      <c r="Z113" s="9"/>
      <c r="AA113" s="10"/>
      <c r="AB113" s="11"/>
      <c r="AC113" s="10"/>
      <c r="AD113" s="7">
        <f>SUM(F113+H113+J113+L113+N113+P113+R113+T113+V113+X113+Z113+AB113)</f>
        <v>0</v>
      </c>
      <c r="AE113" s="7">
        <f>E113+AD113</f>
        <v>0</v>
      </c>
      <c r="AF113" s="8">
        <f>G113+I113+K113+M113+O113+Q113+S113+U113+W113+Y113+AA113+AC113</f>
        <v>0</v>
      </c>
      <c r="AG113" s="212">
        <f>SUM(AE113-AF113)</f>
        <v>0</v>
      </c>
      <c r="AH113" s="214"/>
      <c r="AI113" s="214"/>
    </row>
    <row r="114" spans="1:42" customHeight="1" ht="11.5">
      <c r="A114" s="5"/>
      <c r="B114" s="112"/>
      <c r="C114" s="4"/>
      <c r="D114" s="166"/>
      <c r="E114" s="86"/>
      <c r="F114" s="9"/>
      <c r="G114" s="10"/>
      <c r="H114" s="9"/>
      <c r="I114" s="10"/>
      <c r="J114" s="9"/>
      <c r="K114" s="10"/>
      <c r="L114" s="87"/>
      <c r="M114" s="10"/>
      <c r="N114" s="9"/>
      <c r="O114" s="10"/>
      <c r="P114" s="9"/>
      <c r="Q114" s="10"/>
      <c r="R114" s="9"/>
      <c r="S114" s="10"/>
      <c r="T114" s="9"/>
      <c r="U114" s="10"/>
      <c r="V114" s="9"/>
      <c r="W114" s="10"/>
      <c r="X114" s="9"/>
      <c r="Y114" s="10"/>
      <c r="Z114" s="9"/>
      <c r="AA114" s="10"/>
      <c r="AB114" s="11"/>
      <c r="AC114" s="10"/>
      <c r="AD114" s="7">
        <f>SUM(F114+H114+J114+L114+N114+P114+R114+T114+V114+X114+Z114+AB114)</f>
        <v>0</v>
      </c>
      <c r="AE114" s="7">
        <f>E114+AD114</f>
        <v>0</v>
      </c>
      <c r="AF114" s="8">
        <f>G114+I114+K114+M114+O114+Q114+S114+U114+W114+Y114+AA114+AC114</f>
        <v>0</v>
      </c>
      <c r="AG114" s="212">
        <f>SUM(AE114-AF114)</f>
        <v>0</v>
      </c>
      <c r="AH114" s="214"/>
      <c r="AI114" s="214"/>
    </row>
    <row r="115" spans="1:42" customHeight="1" ht="11.5">
      <c r="A115" s="5"/>
      <c r="B115" s="112"/>
      <c r="C115" s="4"/>
      <c r="D115" s="166"/>
      <c r="E115" s="86"/>
      <c r="F115" s="9"/>
      <c r="G115" s="10"/>
      <c r="H115" s="9"/>
      <c r="I115" s="10"/>
      <c r="J115" s="9"/>
      <c r="K115" s="10"/>
      <c r="L115" s="87"/>
      <c r="M115" s="10"/>
      <c r="N115" s="9"/>
      <c r="O115" s="10"/>
      <c r="P115" s="9"/>
      <c r="Q115" s="10"/>
      <c r="R115" s="9"/>
      <c r="S115" s="10"/>
      <c r="T115" s="9"/>
      <c r="U115" s="10"/>
      <c r="V115" s="9"/>
      <c r="W115" s="10"/>
      <c r="X115" s="9"/>
      <c r="Y115" s="10"/>
      <c r="Z115" s="9"/>
      <c r="AA115" s="10"/>
      <c r="AB115" s="11"/>
      <c r="AC115" s="10"/>
      <c r="AD115" s="7">
        <f>SUM(F115+H115+J115+L115+N115+P115+R115+T115+V115+X115+Z115+AB115)</f>
        <v>0</v>
      </c>
      <c r="AE115" s="7">
        <f>E115+AD115</f>
        <v>0</v>
      </c>
      <c r="AF115" s="8">
        <f>G115+I115+K115+M115+O115+Q115+S115+U115+W115+Y115+AA115+AC115</f>
        <v>0</v>
      </c>
      <c r="AG115" s="212">
        <f>SUM(AE115-AF115)</f>
        <v>0</v>
      </c>
      <c r="AH115" s="214"/>
      <c r="AI115" s="214"/>
    </row>
    <row r="116" spans="1:42" customHeight="1" ht="11.5">
      <c r="A116" s="5"/>
      <c r="B116" s="112"/>
      <c r="C116" s="4"/>
      <c r="D116" s="166"/>
      <c r="E116" s="86"/>
      <c r="F116" s="9"/>
      <c r="G116" s="10"/>
      <c r="H116" s="9"/>
      <c r="I116" s="10"/>
      <c r="J116" s="9"/>
      <c r="K116" s="10"/>
      <c r="L116" s="87"/>
      <c r="M116" s="10"/>
      <c r="N116" s="9"/>
      <c r="O116" s="10"/>
      <c r="P116" s="9"/>
      <c r="Q116" s="10"/>
      <c r="R116" s="9"/>
      <c r="S116" s="10"/>
      <c r="T116" s="9"/>
      <c r="U116" s="10"/>
      <c r="V116" s="9"/>
      <c r="W116" s="10"/>
      <c r="X116" s="9"/>
      <c r="Y116" s="10"/>
      <c r="Z116" s="9"/>
      <c r="AA116" s="10"/>
      <c r="AB116" s="11"/>
      <c r="AC116" s="10"/>
      <c r="AD116" s="7">
        <f>SUM(F116+H116+J116+L116+N116+P116+R116+T116+V116+X116+Z116+AB116)</f>
        <v>0</v>
      </c>
      <c r="AE116" s="7">
        <f>E116+AD116</f>
        <v>0</v>
      </c>
      <c r="AF116" s="8">
        <f>G116+I116+K116+M116+O116+Q116+S116+U116+W116+Y116+AA116+AC116</f>
        <v>0</v>
      </c>
      <c r="AG116" s="212">
        <f>SUM(AE116-AF116)</f>
        <v>0</v>
      </c>
      <c r="AH116" s="214"/>
      <c r="AI116" s="214"/>
    </row>
    <row r="117" spans="1:42" customHeight="1" ht="11.5">
      <c r="A117" s="5"/>
      <c r="B117" s="113"/>
      <c r="C117" s="90"/>
      <c r="D117" s="167"/>
      <c r="E117" s="86"/>
      <c r="F117" s="9"/>
      <c r="G117" s="10"/>
      <c r="H117" s="9"/>
      <c r="I117" s="10"/>
      <c r="J117" s="9"/>
      <c r="K117" s="10"/>
      <c r="L117" s="87"/>
      <c r="M117" s="10"/>
      <c r="N117" s="9"/>
      <c r="O117" s="10"/>
      <c r="P117" s="9"/>
      <c r="Q117" s="10"/>
      <c r="R117" s="9"/>
      <c r="S117" s="10"/>
      <c r="T117" s="9"/>
      <c r="U117" s="10"/>
      <c r="V117" s="9"/>
      <c r="W117" s="10"/>
      <c r="X117" s="9"/>
      <c r="Y117" s="10"/>
      <c r="Z117" s="9"/>
      <c r="AA117" s="10"/>
      <c r="AB117" s="11"/>
      <c r="AC117" s="10"/>
      <c r="AD117" s="7">
        <f>SUM(F117+H117+J117+L117+N117+P117+R117+T117+V117+X117+Z117+AB117)</f>
        <v>0</v>
      </c>
      <c r="AE117" s="7">
        <f>E117+AD117</f>
        <v>0</v>
      </c>
      <c r="AF117" s="8">
        <f>G117+I117+K117+M117+O117+Q117+S117+U117+W117+Y117+AA117+AC117</f>
        <v>0</v>
      </c>
      <c r="AG117" s="212">
        <f>SUM(AE117-AF117)</f>
        <v>0</v>
      </c>
      <c r="AH117" s="214"/>
      <c r="AI117" s="214"/>
    </row>
    <row r="118" spans="1:42" customHeight="1" ht="11.5">
      <c r="A118" s="5"/>
      <c r="B118" s="113"/>
      <c r="C118" s="90"/>
      <c r="D118" s="167"/>
      <c r="E118" s="86"/>
      <c r="F118" s="9"/>
      <c r="G118" s="10"/>
      <c r="H118" s="9"/>
      <c r="I118" s="10"/>
      <c r="J118" s="9"/>
      <c r="K118" s="10"/>
      <c r="L118" s="87"/>
      <c r="M118" s="10"/>
      <c r="N118" s="9"/>
      <c r="O118" s="10"/>
      <c r="P118" s="9"/>
      <c r="Q118" s="10"/>
      <c r="R118" s="9"/>
      <c r="S118" s="10"/>
      <c r="T118" s="9"/>
      <c r="U118" s="10"/>
      <c r="V118" s="9"/>
      <c r="W118" s="10"/>
      <c r="X118" s="9"/>
      <c r="Y118" s="10"/>
      <c r="Z118" s="9"/>
      <c r="AA118" s="10"/>
      <c r="AB118" s="11"/>
      <c r="AC118" s="10"/>
      <c r="AD118" s="7">
        <f>SUM(F118+H118+J118+L118+N118+P118+R118+T118+V118+X118+Z118+AB118)</f>
        <v>0</v>
      </c>
      <c r="AE118" s="7">
        <f>E118+AD118</f>
        <v>0</v>
      </c>
      <c r="AF118" s="8">
        <f>G118+I118+K118+M118+O118+Q118+S118+U118+W118+Y118+AA118+AC118</f>
        <v>0</v>
      </c>
      <c r="AG118" s="212">
        <f>SUM(AE118-AF118)</f>
        <v>0</v>
      </c>
      <c r="AH118" s="214"/>
      <c r="AI118" s="214"/>
    </row>
    <row r="119" spans="1:42" customHeight="1" ht="11.5">
      <c r="A119" s="5"/>
      <c r="B119" s="113"/>
      <c r="C119" s="90"/>
      <c r="D119" s="167"/>
      <c r="E119" s="86"/>
      <c r="F119" s="9"/>
      <c r="G119" s="10"/>
      <c r="H119" s="9"/>
      <c r="I119" s="10"/>
      <c r="J119" s="9"/>
      <c r="K119" s="10"/>
      <c r="L119" s="87"/>
      <c r="M119" s="10"/>
      <c r="N119" s="9"/>
      <c r="O119" s="10"/>
      <c r="P119" s="9"/>
      <c r="Q119" s="10"/>
      <c r="R119" s="9"/>
      <c r="S119" s="10"/>
      <c r="T119" s="9"/>
      <c r="U119" s="10"/>
      <c r="V119" s="9"/>
      <c r="W119" s="10"/>
      <c r="X119" s="9"/>
      <c r="Y119" s="10"/>
      <c r="Z119" s="9"/>
      <c r="AA119" s="10"/>
      <c r="AB119" s="11"/>
      <c r="AC119" s="10"/>
      <c r="AD119" s="7">
        <f>SUM(F119+H119+J119+L119+N119+P119+R119+T119+V119+X119+Z119+AB119)</f>
        <v>0</v>
      </c>
      <c r="AE119" s="7">
        <f>E119+AD119</f>
        <v>0</v>
      </c>
      <c r="AF119" s="8">
        <f>G119+I119+K119+M119+O119+Q119+S119+U119+W119+Y119+AA119+AC119</f>
        <v>0</v>
      </c>
      <c r="AG119" s="212">
        <f>SUM(AE119-AF119)</f>
        <v>0</v>
      </c>
      <c r="AH119" s="214"/>
      <c r="AI119" s="214"/>
    </row>
    <row r="120" spans="1:42" customHeight="1" ht="11.5">
      <c r="A120" s="5"/>
      <c r="B120" s="112"/>
      <c r="C120" s="4"/>
      <c r="D120" s="166"/>
      <c r="E120" s="86"/>
      <c r="F120" s="9"/>
      <c r="G120" s="10"/>
      <c r="H120" s="9"/>
      <c r="I120" s="10"/>
      <c r="J120" s="9"/>
      <c r="K120" s="10"/>
      <c r="L120" s="87"/>
      <c r="M120" s="10"/>
      <c r="N120" s="9"/>
      <c r="O120" s="10"/>
      <c r="P120" s="9"/>
      <c r="Q120" s="10"/>
      <c r="R120" s="9"/>
      <c r="S120" s="10"/>
      <c r="T120" s="9"/>
      <c r="U120" s="10"/>
      <c r="V120" s="9"/>
      <c r="W120" s="10"/>
      <c r="X120" s="9"/>
      <c r="Y120" s="10"/>
      <c r="Z120" s="9"/>
      <c r="AA120" s="10"/>
      <c r="AB120" s="11"/>
      <c r="AC120" s="10"/>
      <c r="AD120" s="7">
        <f>SUM(F120+H120+J120+L120+N120+P120+R120+T120+V120+X120+Z120+AB120)</f>
        <v>0</v>
      </c>
      <c r="AE120" s="7">
        <f>E120+AD120</f>
        <v>0</v>
      </c>
      <c r="AF120" s="8">
        <f>G120+I120+K120+M120+O120+Q120+S120+U120+W120+Y120+AA120+AC120</f>
        <v>0</v>
      </c>
      <c r="AG120" s="212">
        <f>SUM(AE120-AF120)</f>
        <v>0</v>
      </c>
      <c r="AH120" s="214"/>
      <c r="AI120" s="214"/>
    </row>
    <row r="121" spans="1:42" customHeight="1" ht="11.5">
      <c r="A121" s="5"/>
      <c r="B121" s="112"/>
      <c r="C121" s="4"/>
      <c r="D121" s="166"/>
      <c r="E121" s="86"/>
      <c r="F121" s="9"/>
      <c r="G121" s="10"/>
      <c r="H121" s="9"/>
      <c r="I121" s="10"/>
      <c r="J121" s="9"/>
      <c r="K121" s="10"/>
      <c r="L121" s="87"/>
      <c r="M121" s="10"/>
      <c r="N121" s="9"/>
      <c r="O121" s="10"/>
      <c r="P121" s="9"/>
      <c r="Q121" s="10"/>
      <c r="R121" s="9"/>
      <c r="S121" s="10"/>
      <c r="T121" s="9"/>
      <c r="U121" s="10"/>
      <c r="V121" s="9"/>
      <c r="W121" s="10"/>
      <c r="X121" s="9"/>
      <c r="Y121" s="10"/>
      <c r="Z121" s="9"/>
      <c r="AA121" s="10"/>
      <c r="AB121" s="11"/>
      <c r="AC121" s="10"/>
      <c r="AD121" s="7">
        <f>SUM(F121+H121+J121+L121+N121+P121+R121+T121+V121+X121+Z121+AB121)</f>
        <v>0</v>
      </c>
      <c r="AE121" s="7">
        <f>E121+AD121</f>
        <v>0</v>
      </c>
      <c r="AF121" s="8">
        <f>G121+I121+K121+M121+O121+Q121+S121+U121+W121+Y121+AA121+AC121</f>
        <v>0</v>
      </c>
      <c r="AG121" s="212">
        <f>SUM(AE121-AF121)</f>
        <v>0</v>
      </c>
      <c r="AH121" s="214"/>
      <c r="AI121" s="214"/>
    </row>
    <row r="122" spans="1:42" customHeight="1" ht="11.5">
      <c r="A122" s="5"/>
      <c r="B122" s="112"/>
      <c r="C122" s="4"/>
      <c r="D122" s="166"/>
      <c r="E122" s="86"/>
      <c r="F122" s="9"/>
      <c r="G122" s="10"/>
      <c r="H122" s="9"/>
      <c r="I122" s="10"/>
      <c r="J122" s="9"/>
      <c r="K122" s="10"/>
      <c r="L122" s="87"/>
      <c r="M122" s="10"/>
      <c r="N122" s="9"/>
      <c r="O122" s="10"/>
      <c r="P122" s="9"/>
      <c r="Q122" s="10"/>
      <c r="R122" s="9"/>
      <c r="S122" s="10"/>
      <c r="T122" s="9"/>
      <c r="U122" s="10"/>
      <c r="V122" s="9"/>
      <c r="W122" s="10"/>
      <c r="X122" s="9"/>
      <c r="Y122" s="10"/>
      <c r="Z122" s="9"/>
      <c r="AA122" s="10"/>
      <c r="AB122" s="11"/>
      <c r="AC122" s="10"/>
      <c r="AD122" s="7">
        <f>SUM(F122+H122+J122+L122+N122+P122+R122+T122+V122+X122+Z122+AB122)</f>
        <v>0</v>
      </c>
      <c r="AE122" s="7">
        <f>E122+AD122</f>
        <v>0</v>
      </c>
      <c r="AF122" s="8">
        <f>G122+I122+K122+M122+O122+Q122+S122+U122+W122+Y122+AA122+AC122</f>
        <v>0</v>
      </c>
      <c r="AG122" s="212">
        <f>SUM(AE122-AF122)</f>
        <v>0</v>
      </c>
      <c r="AH122" s="214"/>
      <c r="AI122" s="214"/>
    </row>
    <row r="123" spans="1:42" customHeight="1" ht="11.5">
      <c r="A123" s="5"/>
      <c r="B123" s="112"/>
      <c r="C123" s="4"/>
      <c r="D123" s="166"/>
      <c r="E123" s="86"/>
      <c r="F123" s="9"/>
      <c r="G123" s="10"/>
      <c r="H123" s="9"/>
      <c r="I123" s="10"/>
      <c r="J123" s="9"/>
      <c r="K123" s="10"/>
      <c r="L123" s="87"/>
      <c r="M123" s="10"/>
      <c r="N123" s="9"/>
      <c r="O123" s="10"/>
      <c r="P123" s="9"/>
      <c r="Q123" s="10"/>
      <c r="R123" s="9"/>
      <c r="S123" s="10"/>
      <c r="T123" s="9"/>
      <c r="U123" s="10"/>
      <c r="V123" s="9"/>
      <c r="W123" s="10"/>
      <c r="X123" s="9"/>
      <c r="Y123" s="10"/>
      <c r="Z123" s="9"/>
      <c r="AA123" s="10"/>
      <c r="AB123" s="11"/>
      <c r="AC123" s="10"/>
      <c r="AD123" s="7">
        <f>SUM(F123+H123+J123+L123+N123+P123+R123+T123+V123+X123+Z123+AB123)</f>
        <v>0</v>
      </c>
      <c r="AE123" s="7">
        <f>E123+AD123</f>
        <v>0</v>
      </c>
      <c r="AF123" s="8">
        <f>G123+I123+K123+M123+O123+Q123+S123+U123+W123+Y123+AA123+AC123</f>
        <v>0</v>
      </c>
      <c r="AG123" s="212">
        <f>SUM(AE123-AF123)</f>
        <v>0</v>
      </c>
      <c r="AH123" s="214"/>
      <c r="AI123" s="214"/>
    </row>
    <row r="124" spans="1:42" customHeight="1" ht="11.5">
      <c r="A124" s="5"/>
      <c r="B124" s="112"/>
      <c r="C124" s="4"/>
      <c r="D124" s="166"/>
      <c r="E124" s="86"/>
      <c r="F124" s="9"/>
      <c r="G124" s="10"/>
      <c r="H124" s="9"/>
      <c r="I124" s="10"/>
      <c r="J124" s="9"/>
      <c r="K124" s="10"/>
      <c r="L124" s="87"/>
      <c r="M124" s="10"/>
      <c r="N124" s="9"/>
      <c r="O124" s="10"/>
      <c r="P124" s="9"/>
      <c r="Q124" s="10"/>
      <c r="R124" s="9"/>
      <c r="S124" s="10"/>
      <c r="T124" s="9"/>
      <c r="U124" s="10"/>
      <c r="V124" s="9"/>
      <c r="W124" s="10"/>
      <c r="X124" s="9"/>
      <c r="Y124" s="10"/>
      <c r="Z124" s="9"/>
      <c r="AA124" s="10"/>
      <c r="AB124" s="11"/>
      <c r="AC124" s="10"/>
      <c r="AD124" s="7">
        <f>SUM(F124+H124+J124+L124+N124+P124+R124+T124+V124+X124+Z124+AB124)</f>
        <v>0</v>
      </c>
      <c r="AE124" s="7">
        <f>E124+AD124</f>
        <v>0</v>
      </c>
      <c r="AF124" s="8">
        <f>G124+I124+K124+M124+O124+Q124+S124+U124+W124+Y124+AA124+AC124</f>
        <v>0</v>
      </c>
      <c r="AG124" s="212">
        <f>SUM(AE124-AF124)</f>
        <v>0</v>
      </c>
      <c r="AH124" s="214"/>
      <c r="AI124" s="214"/>
    </row>
    <row r="125" spans="1:42" customHeight="1" ht="11.5">
      <c r="A125" s="5"/>
      <c r="B125" s="112"/>
      <c r="C125" s="4"/>
      <c r="D125" s="166"/>
      <c r="E125" s="86"/>
      <c r="F125" s="9"/>
      <c r="G125" s="10"/>
      <c r="H125" s="9"/>
      <c r="I125" s="10"/>
      <c r="J125" s="9"/>
      <c r="K125" s="10"/>
      <c r="L125" s="87"/>
      <c r="M125" s="10"/>
      <c r="N125" s="9"/>
      <c r="O125" s="10"/>
      <c r="P125" s="9"/>
      <c r="Q125" s="10"/>
      <c r="R125" s="9"/>
      <c r="S125" s="10"/>
      <c r="T125" s="9"/>
      <c r="U125" s="10"/>
      <c r="V125" s="9"/>
      <c r="W125" s="10"/>
      <c r="X125" s="9"/>
      <c r="Y125" s="10"/>
      <c r="Z125" s="9"/>
      <c r="AA125" s="10"/>
      <c r="AB125" s="11"/>
      <c r="AC125" s="10"/>
      <c r="AD125" s="7">
        <f>SUM(F125+H125+J125+L125+N125+P125+R125+T125+V125+X125+Z125+AB125)</f>
        <v>0</v>
      </c>
      <c r="AE125" s="7">
        <f>E125+AD125</f>
        <v>0</v>
      </c>
      <c r="AF125" s="8">
        <f>G125+I125+K125+M125+O125+Q125+S125+U125+W125+Y125+AA125+AC125</f>
        <v>0</v>
      </c>
      <c r="AG125" s="212">
        <f>SUM(AE125-AF125)</f>
        <v>0</v>
      </c>
      <c r="AH125" s="214"/>
      <c r="AI125" s="214"/>
    </row>
    <row r="126" spans="1:42" customHeight="1" ht="11.5">
      <c r="A126" s="5"/>
      <c r="B126" s="112"/>
      <c r="C126" s="4"/>
      <c r="D126" s="166"/>
      <c r="E126" s="86"/>
      <c r="F126" s="9"/>
      <c r="G126" s="10"/>
      <c r="H126" s="9"/>
      <c r="I126" s="10"/>
      <c r="J126" s="9"/>
      <c r="K126" s="10"/>
      <c r="L126" s="87"/>
      <c r="M126" s="10"/>
      <c r="N126" s="9"/>
      <c r="O126" s="10"/>
      <c r="P126" s="9"/>
      <c r="Q126" s="10"/>
      <c r="R126" s="9"/>
      <c r="S126" s="10"/>
      <c r="T126" s="9"/>
      <c r="U126" s="10"/>
      <c r="V126" s="9"/>
      <c r="W126" s="10"/>
      <c r="X126" s="9"/>
      <c r="Y126" s="10"/>
      <c r="Z126" s="9"/>
      <c r="AA126" s="10"/>
      <c r="AB126" s="11"/>
      <c r="AC126" s="10"/>
      <c r="AD126" s="7">
        <f>SUM(F126+H126+J126+L126+N126+P126+R126+T126+V126+X126+Z126+AB126)</f>
        <v>0</v>
      </c>
      <c r="AE126" s="7">
        <f>E126+AD126</f>
        <v>0</v>
      </c>
      <c r="AF126" s="8">
        <f>G126+I126+K126+M126+O126+Q126+S126+U126+W126+Y126+AA126+AC126</f>
        <v>0</v>
      </c>
      <c r="AG126" s="212">
        <f>SUM(AE126-AF126)</f>
        <v>0</v>
      </c>
      <c r="AH126" s="214"/>
      <c r="AI126" s="214"/>
    </row>
    <row r="127" spans="1:42" customHeight="1" ht="11.5">
      <c r="A127" s="5"/>
      <c r="B127" s="112"/>
      <c r="C127" s="4"/>
      <c r="D127" s="166"/>
      <c r="E127" s="86"/>
      <c r="F127" s="9"/>
      <c r="G127" s="10"/>
      <c r="H127" s="9"/>
      <c r="I127" s="10"/>
      <c r="J127" s="9"/>
      <c r="K127" s="10"/>
      <c r="L127" s="87"/>
      <c r="M127" s="10"/>
      <c r="N127" s="9"/>
      <c r="O127" s="10"/>
      <c r="P127" s="9"/>
      <c r="Q127" s="10"/>
      <c r="R127" s="9"/>
      <c r="S127" s="10"/>
      <c r="T127" s="9"/>
      <c r="U127" s="10"/>
      <c r="V127" s="9"/>
      <c r="W127" s="10"/>
      <c r="X127" s="9"/>
      <c r="Y127" s="10"/>
      <c r="Z127" s="9"/>
      <c r="AA127" s="10"/>
      <c r="AB127" s="11"/>
      <c r="AC127" s="10"/>
      <c r="AD127" s="7">
        <f>SUM(F127+H127+J127+L127+N127+P127+R127+T127+V127+X127+Z127+AB127)</f>
        <v>0</v>
      </c>
      <c r="AE127" s="7">
        <f>E127+AD127</f>
        <v>0</v>
      </c>
      <c r="AF127" s="8">
        <f>G127+I127+K127+M127+O127+Q127+S127+U127+W127+Y127+AA127+AC127</f>
        <v>0</v>
      </c>
      <c r="AG127" s="212">
        <f>SUM(AE127-AF127)</f>
        <v>0</v>
      </c>
      <c r="AH127" s="214"/>
      <c r="AI127" s="214"/>
    </row>
    <row r="128" spans="1:42" customHeight="1" ht="11.5">
      <c r="A128" s="5"/>
      <c r="B128" s="112"/>
      <c r="C128" s="4"/>
      <c r="D128" s="166"/>
      <c r="E128" s="86"/>
      <c r="F128" s="9"/>
      <c r="G128" s="10"/>
      <c r="H128" s="9"/>
      <c r="I128" s="10"/>
      <c r="J128" s="9"/>
      <c r="K128" s="10"/>
      <c r="L128" s="87"/>
      <c r="M128" s="10"/>
      <c r="N128" s="9"/>
      <c r="O128" s="10"/>
      <c r="P128" s="9"/>
      <c r="Q128" s="10"/>
      <c r="R128" s="9"/>
      <c r="S128" s="10"/>
      <c r="T128" s="9"/>
      <c r="U128" s="10"/>
      <c r="V128" s="9"/>
      <c r="W128" s="10"/>
      <c r="X128" s="9"/>
      <c r="Y128" s="10"/>
      <c r="Z128" s="9"/>
      <c r="AA128" s="10"/>
      <c r="AB128" s="11"/>
      <c r="AC128" s="10"/>
      <c r="AD128" s="7">
        <f>SUM(F128+H128+J128+L128+N128+P128+R128+T128+V128+X128+Z128+AB128)</f>
        <v>0</v>
      </c>
      <c r="AE128" s="7">
        <f>E128+AD128</f>
        <v>0</v>
      </c>
      <c r="AF128" s="8">
        <f>G128+I128+K128+M128+O128+Q128+S128+U128+W128+Y128+AA128+AC128</f>
        <v>0</v>
      </c>
      <c r="AG128" s="212">
        <f>SUM(AE128-AF128)</f>
        <v>0</v>
      </c>
      <c r="AH128" s="214"/>
      <c r="AI128" s="214"/>
    </row>
    <row r="129" spans="1:42" customHeight="1" ht="11.5">
      <c r="A129" s="5"/>
      <c r="B129" s="113"/>
      <c r="C129" s="90"/>
      <c r="D129" s="167"/>
      <c r="E129" s="86"/>
      <c r="F129" s="9"/>
      <c r="G129" s="10"/>
      <c r="H129" s="9"/>
      <c r="I129" s="10"/>
      <c r="J129" s="9"/>
      <c r="K129" s="10"/>
      <c r="L129" s="87"/>
      <c r="M129" s="10"/>
      <c r="N129" s="9"/>
      <c r="O129" s="10"/>
      <c r="P129" s="9"/>
      <c r="Q129" s="10"/>
      <c r="R129" s="9"/>
      <c r="S129" s="10"/>
      <c r="T129" s="9"/>
      <c r="U129" s="10"/>
      <c r="V129" s="9"/>
      <c r="W129" s="10"/>
      <c r="X129" s="9"/>
      <c r="Y129" s="10"/>
      <c r="Z129" s="9"/>
      <c r="AA129" s="10"/>
      <c r="AB129" s="11"/>
      <c r="AC129" s="10"/>
      <c r="AD129" s="7">
        <f>SUM(F129+H129+J129+L129+N129+P129+R129+T129+V129+X129+Z129+AB129)</f>
        <v>0</v>
      </c>
      <c r="AE129" s="7">
        <f>E129+AD129</f>
        <v>0</v>
      </c>
      <c r="AF129" s="8">
        <f>G129+I129+K129+M129+O129+Q129+S129+U129+W129+Y129+AA129+AC129</f>
        <v>0</v>
      </c>
      <c r="AG129" s="212">
        <f>SUM(AE129-AF129)</f>
        <v>0</v>
      </c>
      <c r="AH129" s="214"/>
      <c r="AI129" s="214"/>
    </row>
    <row r="130" spans="1:42" customHeight="1" ht="11.5">
      <c r="A130" s="5"/>
      <c r="B130" s="113"/>
      <c r="C130" s="90"/>
      <c r="D130" s="167"/>
      <c r="E130" s="86"/>
      <c r="F130" s="9"/>
      <c r="G130" s="10"/>
      <c r="H130" s="9"/>
      <c r="I130" s="10"/>
      <c r="J130" s="9"/>
      <c r="K130" s="10"/>
      <c r="L130" s="87"/>
      <c r="M130" s="10"/>
      <c r="N130" s="9"/>
      <c r="O130" s="10"/>
      <c r="P130" s="9"/>
      <c r="Q130" s="10"/>
      <c r="R130" s="9"/>
      <c r="S130" s="10"/>
      <c r="T130" s="9"/>
      <c r="U130" s="10"/>
      <c r="V130" s="9"/>
      <c r="W130" s="10"/>
      <c r="X130" s="9"/>
      <c r="Y130" s="10"/>
      <c r="Z130" s="9"/>
      <c r="AA130" s="10"/>
      <c r="AB130" s="11"/>
      <c r="AC130" s="10"/>
      <c r="AD130" s="7">
        <f>SUM(F130+H130+J130+L130+N130+P130+R130+T130+V130+X130+Z130+AB130)</f>
        <v>0</v>
      </c>
      <c r="AE130" s="7">
        <f>E130+AD130</f>
        <v>0</v>
      </c>
      <c r="AF130" s="8">
        <f>G130+I130+K130+M130+O130+Q130+S130+U130+W130+Y130+AA130+AC130</f>
        <v>0</v>
      </c>
      <c r="AG130" s="212">
        <f>SUM(AE130-AF130)</f>
        <v>0</v>
      </c>
      <c r="AH130" s="214"/>
      <c r="AI130" s="214"/>
    </row>
    <row r="131" spans="1:42" customHeight="1" ht="11.5">
      <c r="A131" s="5"/>
      <c r="B131" s="111"/>
      <c r="C131" s="4"/>
      <c r="D131" s="166"/>
      <c r="E131" s="86"/>
      <c r="F131" s="9"/>
      <c r="G131" s="10"/>
      <c r="H131" s="9"/>
      <c r="I131" s="10"/>
      <c r="J131" s="9"/>
      <c r="K131" s="10"/>
      <c r="L131" s="87"/>
      <c r="M131" s="10"/>
      <c r="N131" s="9"/>
      <c r="O131" s="10"/>
      <c r="P131" s="9"/>
      <c r="Q131" s="10"/>
      <c r="R131" s="9"/>
      <c r="S131" s="10"/>
      <c r="T131" s="9"/>
      <c r="U131" s="10"/>
      <c r="V131" s="9"/>
      <c r="W131" s="10"/>
      <c r="X131" s="9"/>
      <c r="Y131" s="10"/>
      <c r="Z131" s="9"/>
      <c r="AA131" s="10"/>
      <c r="AB131" s="11"/>
      <c r="AC131" s="10"/>
      <c r="AD131" s="7">
        <f>SUM(F131+H131+J131+L131+N131+P131+R131+T131+V131+X131+Z131+AB131)</f>
        <v>0</v>
      </c>
      <c r="AE131" s="7">
        <f>E131+AD131</f>
        <v>0</v>
      </c>
      <c r="AF131" s="8">
        <f>G131+I131+K131+M131+O131+Q131+S131+U131+W131+Y131+AA131+AC131</f>
        <v>0</v>
      </c>
      <c r="AG131" s="212">
        <f>SUM(AE131-AF131)</f>
        <v>0</v>
      </c>
      <c r="AH131" s="214"/>
      <c r="AI131" s="214"/>
    </row>
    <row r="132" spans="1:42" customHeight="1" ht="11.5">
      <c r="A132" s="5"/>
      <c r="B132" s="111"/>
      <c r="C132" s="4"/>
      <c r="D132" s="166"/>
      <c r="E132" s="86"/>
      <c r="F132" s="9"/>
      <c r="G132" s="10"/>
      <c r="H132" s="9"/>
      <c r="I132" s="10"/>
      <c r="J132" s="9"/>
      <c r="K132" s="10"/>
      <c r="L132" s="87"/>
      <c r="M132" s="10"/>
      <c r="N132" s="9"/>
      <c r="O132" s="10"/>
      <c r="P132" s="9"/>
      <c r="Q132" s="10"/>
      <c r="R132" s="9"/>
      <c r="S132" s="10"/>
      <c r="T132" s="9"/>
      <c r="U132" s="10"/>
      <c r="V132" s="9"/>
      <c r="W132" s="10"/>
      <c r="X132" s="9"/>
      <c r="Y132" s="10"/>
      <c r="Z132" s="9"/>
      <c r="AA132" s="10"/>
      <c r="AB132" s="11"/>
      <c r="AC132" s="10"/>
      <c r="AD132" s="7">
        <f>SUM(F132+H132+J132+L132+N132+P132+R132+T132+V132+X132+Z132+AB132)</f>
        <v>0</v>
      </c>
      <c r="AE132" s="7">
        <f>E132+AD132</f>
        <v>0</v>
      </c>
      <c r="AF132" s="8">
        <f>G132+I132+K132+M132+O132+Q132+S132+U132+W132+Y132+AA132+AC132</f>
        <v>0</v>
      </c>
      <c r="AG132" s="212">
        <f>SUM(AE132-AF132)</f>
        <v>0</v>
      </c>
      <c r="AH132" s="214"/>
      <c r="AI132" s="214"/>
    </row>
    <row r="133" spans="1:42" customHeight="1" ht="11.5">
      <c r="A133" s="5"/>
      <c r="B133" s="111"/>
      <c r="C133" s="4"/>
      <c r="D133" s="166"/>
      <c r="E133" s="86"/>
      <c r="F133" s="9"/>
      <c r="G133" s="10"/>
      <c r="H133" s="9"/>
      <c r="I133" s="10"/>
      <c r="J133" s="9"/>
      <c r="K133" s="10"/>
      <c r="L133" s="87"/>
      <c r="M133" s="10"/>
      <c r="N133" s="9"/>
      <c r="O133" s="10"/>
      <c r="P133" s="9"/>
      <c r="Q133" s="10"/>
      <c r="R133" s="9"/>
      <c r="S133" s="10"/>
      <c r="T133" s="9"/>
      <c r="U133" s="10"/>
      <c r="V133" s="9"/>
      <c r="W133" s="10"/>
      <c r="X133" s="9"/>
      <c r="Y133" s="10"/>
      <c r="Z133" s="9"/>
      <c r="AA133" s="10"/>
      <c r="AB133" s="11"/>
      <c r="AC133" s="10"/>
      <c r="AD133" s="7">
        <f>SUM(F133+H133+J133+L133+N133+P133+R133+T133+V133+X133+Z133+AB133)</f>
        <v>0</v>
      </c>
      <c r="AE133" s="7">
        <f>E133+AD133</f>
        <v>0</v>
      </c>
      <c r="AF133" s="8">
        <f>G133+I133+K133+M133+O133+Q133+S133+U133+W133+Y133+AA133+AC133</f>
        <v>0</v>
      </c>
      <c r="AG133" s="212">
        <f>SUM(AE133-AF133)</f>
        <v>0</v>
      </c>
      <c r="AH133" s="214"/>
      <c r="AI133" s="214"/>
    </row>
    <row r="134" spans="1:42" customHeight="1" ht="11.5">
      <c r="A134" s="5"/>
      <c r="B134" s="111"/>
      <c r="C134" s="4"/>
      <c r="D134" s="166"/>
      <c r="E134" s="86"/>
      <c r="F134" s="9"/>
      <c r="G134" s="10"/>
      <c r="H134" s="9"/>
      <c r="I134" s="10"/>
      <c r="J134" s="9"/>
      <c r="K134" s="10"/>
      <c r="L134" s="87"/>
      <c r="M134" s="10"/>
      <c r="N134" s="9"/>
      <c r="O134" s="10"/>
      <c r="P134" s="9"/>
      <c r="Q134" s="10"/>
      <c r="R134" s="9"/>
      <c r="S134" s="10"/>
      <c r="T134" s="9"/>
      <c r="U134" s="10"/>
      <c r="V134" s="9"/>
      <c r="W134" s="10"/>
      <c r="X134" s="9"/>
      <c r="Y134" s="10"/>
      <c r="Z134" s="9"/>
      <c r="AA134" s="10"/>
      <c r="AB134" s="11"/>
      <c r="AC134" s="10"/>
      <c r="AD134" s="7">
        <f>SUM(F134+H134+J134+L134+N134+P134+R134+T134+V134+X134+Z134+AB134)</f>
        <v>0</v>
      </c>
      <c r="AE134" s="7">
        <f>E134+AD134</f>
        <v>0</v>
      </c>
      <c r="AF134" s="8">
        <f>G134+I134+K134+M134+O134+Q134+S134+U134+W134+Y134+AA134+AC134</f>
        <v>0</v>
      </c>
      <c r="AG134" s="212">
        <f>SUM(AE134-AF134)</f>
        <v>0</v>
      </c>
      <c r="AH134" s="214"/>
      <c r="AI134" s="214"/>
    </row>
    <row r="135" spans="1:42" customHeight="1" ht="11.5">
      <c r="A135" s="5"/>
      <c r="B135" s="111"/>
      <c r="C135" s="4"/>
      <c r="D135" s="166"/>
      <c r="E135" s="86"/>
      <c r="F135" s="9"/>
      <c r="G135" s="10"/>
      <c r="H135" s="9"/>
      <c r="I135" s="10"/>
      <c r="J135" s="9"/>
      <c r="K135" s="10"/>
      <c r="L135" s="87"/>
      <c r="M135" s="10"/>
      <c r="N135" s="9"/>
      <c r="O135" s="10"/>
      <c r="P135" s="9"/>
      <c r="Q135" s="10"/>
      <c r="R135" s="9"/>
      <c r="S135" s="10"/>
      <c r="T135" s="9"/>
      <c r="U135" s="10"/>
      <c r="V135" s="9"/>
      <c r="W135" s="10"/>
      <c r="X135" s="9"/>
      <c r="Y135" s="10"/>
      <c r="Z135" s="9"/>
      <c r="AA135" s="10"/>
      <c r="AB135" s="11"/>
      <c r="AC135" s="10"/>
      <c r="AD135" s="7">
        <f>SUM(F135+H135+J135+L135+N135+P135+R135+T135+V135+X135+Z135+AB135)</f>
        <v>0</v>
      </c>
      <c r="AE135" s="7">
        <f>E135+AD135</f>
        <v>0</v>
      </c>
      <c r="AF135" s="8">
        <f>G135+I135+K135+M135+O135+Q135+S135+U135+W135+Y135+AA135+AC135</f>
        <v>0</v>
      </c>
      <c r="AG135" s="212">
        <f>SUM(AE135-AF135)</f>
        <v>0</v>
      </c>
      <c r="AH135" s="214"/>
      <c r="AI135" s="214"/>
    </row>
    <row r="136" spans="1:42" customHeight="1" ht="11.5">
      <c r="A136" s="5"/>
      <c r="B136" s="113"/>
      <c r="C136" s="90"/>
      <c r="D136" s="167"/>
      <c r="E136" s="86"/>
      <c r="F136" s="9"/>
      <c r="G136" s="10"/>
      <c r="H136" s="9"/>
      <c r="I136" s="10"/>
      <c r="J136" s="9"/>
      <c r="K136" s="10"/>
      <c r="L136" s="87"/>
      <c r="M136" s="10"/>
      <c r="N136" s="9"/>
      <c r="O136" s="10"/>
      <c r="P136" s="9"/>
      <c r="Q136" s="10"/>
      <c r="R136" s="9"/>
      <c r="S136" s="10"/>
      <c r="T136" s="9"/>
      <c r="U136" s="10"/>
      <c r="V136" s="9"/>
      <c r="W136" s="10"/>
      <c r="X136" s="9"/>
      <c r="Y136" s="10"/>
      <c r="Z136" s="9"/>
      <c r="AA136" s="10"/>
      <c r="AB136" s="11"/>
      <c r="AC136" s="10"/>
      <c r="AD136" s="7">
        <f>SUM(F136+H136+J136+L136+N136+P136+R136+T136+V136+X136+Z136+AB136)</f>
        <v>0</v>
      </c>
      <c r="AE136" s="7">
        <f>E136+AD136</f>
        <v>0</v>
      </c>
      <c r="AF136" s="8">
        <f>G136+I136+K136+M136+O136+Q136+S136+U136+W136+Y136+AA136+AC136</f>
        <v>0</v>
      </c>
      <c r="AG136" s="212">
        <f>SUM(AE136-AF136)</f>
        <v>0</v>
      </c>
      <c r="AH136" s="214"/>
      <c r="AI136" s="214"/>
    </row>
    <row r="137" spans="1:42" customHeight="1" ht="11.5">
      <c r="A137" s="5"/>
      <c r="B137" s="113"/>
      <c r="C137" s="90"/>
      <c r="D137" s="167"/>
      <c r="E137" s="86"/>
      <c r="F137" s="9"/>
      <c r="G137" s="10"/>
      <c r="H137" s="9"/>
      <c r="I137" s="10"/>
      <c r="J137" s="9"/>
      <c r="K137" s="10"/>
      <c r="L137" s="87"/>
      <c r="M137" s="10"/>
      <c r="N137" s="9"/>
      <c r="O137" s="10"/>
      <c r="P137" s="9"/>
      <c r="Q137" s="10"/>
      <c r="R137" s="9"/>
      <c r="S137" s="10"/>
      <c r="T137" s="9"/>
      <c r="U137" s="10"/>
      <c r="V137" s="9"/>
      <c r="W137" s="10"/>
      <c r="X137" s="9"/>
      <c r="Y137" s="10"/>
      <c r="Z137" s="9"/>
      <c r="AA137" s="10"/>
      <c r="AB137" s="11"/>
      <c r="AC137" s="10"/>
      <c r="AD137" s="7">
        <f>SUM(F137+H137+J137+L137+N137+P137+R137+T137+V137+X137+Z137+AB137)</f>
        <v>0</v>
      </c>
      <c r="AE137" s="7">
        <f>E137+AD137</f>
        <v>0</v>
      </c>
      <c r="AF137" s="8">
        <f>G137+I137+K137+M137+O137+Q137+S137+U137+W137+Y137+AA137+AC137</f>
        <v>0</v>
      </c>
      <c r="AG137" s="212">
        <f>SUM(AE137-AF137)</f>
        <v>0</v>
      </c>
      <c r="AH137" s="214"/>
      <c r="AI137" s="214"/>
    </row>
    <row r="138" spans="1:42" customHeight="1" ht="11.5">
      <c r="A138" s="5"/>
      <c r="B138" s="113"/>
      <c r="C138" s="90"/>
      <c r="D138" s="167"/>
      <c r="E138" s="86"/>
      <c r="F138" s="9"/>
      <c r="G138" s="10"/>
      <c r="H138" s="9"/>
      <c r="I138" s="10"/>
      <c r="J138" s="9"/>
      <c r="K138" s="10"/>
      <c r="L138" s="87"/>
      <c r="M138" s="10"/>
      <c r="N138" s="9"/>
      <c r="O138" s="10"/>
      <c r="P138" s="9"/>
      <c r="Q138" s="10"/>
      <c r="R138" s="9"/>
      <c r="S138" s="10"/>
      <c r="T138" s="9"/>
      <c r="U138" s="10"/>
      <c r="V138" s="9"/>
      <c r="W138" s="10"/>
      <c r="X138" s="9"/>
      <c r="Y138" s="10"/>
      <c r="Z138" s="9"/>
      <c r="AA138" s="10"/>
      <c r="AB138" s="11"/>
      <c r="AC138" s="10"/>
      <c r="AD138" s="7">
        <f>SUM(F138+H138+J138+L138+N138+P138+R138+T138+V138+X138+Z138+AB138)</f>
        <v>0</v>
      </c>
      <c r="AE138" s="7">
        <f>E138+AD138</f>
        <v>0</v>
      </c>
      <c r="AF138" s="8">
        <f>G138+I138+K138+M138+O138+Q138+S138+U138+W138+Y138+AA138+AC138</f>
        <v>0</v>
      </c>
      <c r="AG138" s="212">
        <f>SUM(AE138-AF138)</f>
        <v>0</v>
      </c>
      <c r="AH138" s="214"/>
      <c r="AI138" s="214"/>
    </row>
    <row r="139" spans="1:42" customHeight="1" ht="11.5">
      <c r="A139" s="5"/>
      <c r="B139" s="113"/>
      <c r="C139" s="90"/>
      <c r="D139" s="167"/>
      <c r="E139" s="86"/>
      <c r="F139" s="9"/>
      <c r="G139" s="10"/>
      <c r="H139" s="9"/>
      <c r="I139" s="10"/>
      <c r="J139" s="9"/>
      <c r="K139" s="10"/>
      <c r="L139" s="87"/>
      <c r="M139" s="10"/>
      <c r="N139" s="9"/>
      <c r="O139" s="10"/>
      <c r="P139" s="9"/>
      <c r="Q139" s="10"/>
      <c r="R139" s="9"/>
      <c r="S139" s="10"/>
      <c r="T139" s="9"/>
      <c r="U139" s="10"/>
      <c r="V139" s="9"/>
      <c r="W139" s="10"/>
      <c r="X139" s="9"/>
      <c r="Y139" s="10"/>
      <c r="Z139" s="9"/>
      <c r="AA139" s="10"/>
      <c r="AB139" s="11"/>
      <c r="AC139" s="10"/>
      <c r="AD139" s="7">
        <f>SUM(F139+H139+J139+L139+N139+P139+R139+T139+V139+X139+Z139+AB139)</f>
        <v>0</v>
      </c>
      <c r="AE139" s="7">
        <f>E139+AD139</f>
        <v>0</v>
      </c>
      <c r="AF139" s="8">
        <f>G139+I139+K139+M139+O139+Q139+S139+U139+W139+Y139+AA139+AC139</f>
        <v>0</v>
      </c>
      <c r="AG139" s="212">
        <f>SUM(AE139-AF139)</f>
        <v>0</v>
      </c>
      <c r="AH139" s="214"/>
      <c r="AI139" s="214"/>
    </row>
    <row r="140" spans="1:42" customHeight="1" ht="11.5">
      <c r="A140" s="5"/>
      <c r="B140" s="113"/>
      <c r="C140" s="90"/>
      <c r="D140" s="167"/>
      <c r="E140" s="86"/>
      <c r="F140" s="9"/>
      <c r="G140" s="10"/>
      <c r="H140" s="9"/>
      <c r="I140" s="10"/>
      <c r="J140" s="9"/>
      <c r="K140" s="10"/>
      <c r="L140" s="87"/>
      <c r="M140" s="10"/>
      <c r="N140" s="9"/>
      <c r="O140" s="10"/>
      <c r="P140" s="9"/>
      <c r="Q140" s="10"/>
      <c r="R140" s="9"/>
      <c r="S140" s="10"/>
      <c r="T140" s="9"/>
      <c r="U140" s="10"/>
      <c r="V140" s="9"/>
      <c r="W140" s="10"/>
      <c r="X140" s="9"/>
      <c r="Y140" s="10"/>
      <c r="Z140" s="9"/>
      <c r="AA140" s="10"/>
      <c r="AB140" s="11"/>
      <c r="AC140" s="10"/>
      <c r="AD140" s="7">
        <f>SUM(F140+H140+J140+L140+N140+P140+R140+T140+V140+X140+Z140+AB140)</f>
        <v>0</v>
      </c>
      <c r="AE140" s="7">
        <f>E140+AD140</f>
        <v>0</v>
      </c>
      <c r="AF140" s="8">
        <f>G140+I140+K140+M140+O140+Q140+S140+U140+W140+Y140+AA140+AC140</f>
        <v>0</v>
      </c>
      <c r="AG140" s="212">
        <f>SUM(AE140-AF140)</f>
        <v>0</v>
      </c>
      <c r="AH140" s="214"/>
      <c r="AI140" s="214"/>
    </row>
    <row r="141" spans="1:42" customHeight="1" ht="11.5">
      <c r="A141" s="5"/>
      <c r="B141" s="113"/>
      <c r="C141" s="90"/>
      <c r="D141" s="167"/>
      <c r="E141" s="86"/>
      <c r="F141" s="9"/>
      <c r="G141" s="10"/>
      <c r="H141" s="9"/>
      <c r="I141" s="10"/>
      <c r="J141" s="9"/>
      <c r="K141" s="10"/>
      <c r="L141" s="87"/>
      <c r="M141" s="10"/>
      <c r="N141" s="9"/>
      <c r="O141" s="10"/>
      <c r="P141" s="9"/>
      <c r="Q141" s="10"/>
      <c r="R141" s="9"/>
      <c r="S141" s="10"/>
      <c r="T141" s="9"/>
      <c r="U141" s="10"/>
      <c r="V141" s="9"/>
      <c r="W141" s="10"/>
      <c r="X141" s="9"/>
      <c r="Y141" s="10"/>
      <c r="Z141" s="9"/>
      <c r="AA141" s="10"/>
      <c r="AB141" s="11"/>
      <c r="AC141" s="10"/>
      <c r="AD141" s="7">
        <f>SUM(F141+H141+J141+L141+N141+P141+R141+T141+V141+X141+Z141+AB141)</f>
        <v>0</v>
      </c>
      <c r="AE141" s="7">
        <f>E141+AD141</f>
        <v>0</v>
      </c>
      <c r="AF141" s="8">
        <f>G141+I141+K141+M141+O141+Q141+S141+U141+W141+Y141+AA141+AC141</f>
        <v>0</v>
      </c>
      <c r="AG141" s="212">
        <f>SUM(AE141-AF141)</f>
        <v>0</v>
      </c>
      <c r="AH141" s="214"/>
      <c r="AI141" s="214"/>
    </row>
    <row r="142" spans="1:42" customHeight="1" ht="11.5">
      <c r="A142" s="5"/>
      <c r="B142" s="113"/>
      <c r="C142" s="90"/>
      <c r="D142" s="167"/>
      <c r="E142" s="86"/>
      <c r="F142" s="9"/>
      <c r="G142" s="10"/>
      <c r="H142" s="9"/>
      <c r="I142" s="10"/>
      <c r="J142" s="9"/>
      <c r="K142" s="10"/>
      <c r="L142" s="87"/>
      <c r="M142" s="10"/>
      <c r="N142" s="9"/>
      <c r="O142" s="10"/>
      <c r="P142" s="9"/>
      <c r="Q142" s="10"/>
      <c r="R142" s="9"/>
      <c r="S142" s="10"/>
      <c r="T142" s="9"/>
      <c r="U142" s="10"/>
      <c r="V142" s="9"/>
      <c r="W142" s="10"/>
      <c r="X142" s="9"/>
      <c r="Y142" s="10"/>
      <c r="Z142" s="9"/>
      <c r="AA142" s="10"/>
      <c r="AB142" s="11"/>
      <c r="AC142" s="10"/>
      <c r="AD142" s="7">
        <f>SUM(F142+H142+J142+L142+N142+P142+R142+T142+V142+X142+Z142+AB142)</f>
        <v>0</v>
      </c>
      <c r="AE142" s="7">
        <f>E142+AD142</f>
        <v>0</v>
      </c>
      <c r="AF142" s="8">
        <f>G142+I142+K142+M142+O142+Q142+S142+U142+W142+Y142+AA142+AC142</f>
        <v>0</v>
      </c>
      <c r="AG142" s="212">
        <f>SUM(AE142-AF142)</f>
        <v>0</v>
      </c>
      <c r="AH142" s="214"/>
      <c r="AI142" s="214"/>
    </row>
    <row r="143" spans="1:42" customHeight="1" ht="11.5">
      <c r="A143" s="5"/>
      <c r="B143" s="113"/>
      <c r="C143" s="90"/>
      <c r="D143" s="167"/>
      <c r="E143" s="86"/>
      <c r="F143" s="9"/>
      <c r="G143" s="10"/>
      <c r="H143" s="9"/>
      <c r="I143" s="10"/>
      <c r="J143" s="9"/>
      <c r="K143" s="10"/>
      <c r="L143" s="87"/>
      <c r="M143" s="10"/>
      <c r="N143" s="9"/>
      <c r="O143" s="10"/>
      <c r="P143" s="9"/>
      <c r="Q143" s="10"/>
      <c r="R143" s="9"/>
      <c r="S143" s="10"/>
      <c r="T143" s="9"/>
      <c r="U143" s="10"/>
      <c r="V143" s="9"/>
      <c r="W143" s="10"/>
      <c r="X143" s="9"/>
      <c r="Y143" s="10"/>
      <c r="Z143" s="9"/>
      <c r="AA143" s="10"/>
      <c r="AB143" s="11"/>
      <c r="AC143" s="10"/>
      <c r="AD143" s="7">
        <f>SUM(F143+H143+J143+L143+N143+P143+R143+T143+V143+X143+Z143+AB143)</f>
        <v>0</v>
      </c>
      <c r="AE143" s="7">
        <f>E143+AD143</f>
        <v>0</v>
      </c>
      <c r="AF143" s="8">
        <f>G143+I143+K143+M143+O143+Q143+S143+U143+W143+Y143+AA143+AC143</f>
        <v>0</v>
      </c>
      <c r="AG143" s="212">
        <f>SUM(AE143-AF143)</f>
        <v>0</v>
      </c>
      <c r="AH143" s="214"/>
      <c r="AI143" s="214"/>
    </row>
    <row r="144" spans="1:42" customHeight="1" ht="11.5">
      <c r="A144" s="5"/>
      <c r="B144" s="113"/>
      <c r="C144" s="90"/>
      <c r="D144" s="167"/>
      <c r="E144" s="86"/>
      <c r="F144" s="9"/>
      <c r="G144" s="10"/>
      <c r="H144" s="9"/>
      <c r="I144" s="10"/>
      <c r="J144" s="9"/>
      <c r="K144" s="10"/>
      <c r="L144" s="87"/>
      <c r="M144" s="10"/>
      <c r="N144" s="9"/>
      <c r="O144" s="10"/>
      <c r="P144" s="9"/>
      <c r="Q144" s="10"/>
      <c r="R144" s="9"/>
      <c r="S144" s="10"/>
      <c r="T144" s="9"/>
      <c r="U144" s="10"/>
      <c r="V144" s="9"/>
      <c r="W144" s="10"/>
      <c r="X144" s="9"/>
      <c r="Y144" s="10"/>
      <c r="Z144" s="9"/>
      <c r="AA144" s="10"/>
      <c r="AB144" s="11"/>
      <c r="AC144" s="10"/>
      <c r="AD144" s="7">
        <f>SUM(F144+H144+J144+L144+N144+P144+R144+T144+V144+X144+Z144+AB144)</f>
        <v>0</v>
      </c>
      <c r="AE144" s="7">
        <f>E144+AD144</f>
        <v>0</v>
      </c>
      <c r="AF144" s="8">
        <f>G144+I144+K144+M144+O144+Q144+S144+U144+W144+Y144+AA144+AC144</f>
        <v>0</v>
      </c>
      <c r="AG144" s="212">
        <f>SUM(AE144-AF144)</f>
        <v>0</v>
      </c>
      <c r="AH144" s="214"/>
      <c r="AI144" s="214"/>
    </row>
    <row r="145" spans="1:42" customHeight="1" ht="11.5">
      <c r="A145" s="5"/>
      <c r="B145" s="113"/>
      <c r="C145" s="90"/>
      <c r="D145" s="167"/>
      <c r="E145" s="86"/>
      <c r="F145" s="9"/>
      <c r="G145" s="10"/>
      <c r="H145" s="9"/>
      <c r="I145" s="10"/>
      <c r="J145" s="9"/>
      <c r="K145" s="10"/>
      <c r="L145" s="87"/>
      <c r="M145" s="10"/>
      <c r="N145" s="9"/>
      <c r="O145" s="10"/>
      <c r="P145" s="9"/>
      <c r="Q145" s="10"/>
      <c r="R145" s="9"/>
      <c r="S145" s="10"/>
      <c r="T145" s="9"/>
      <c r="U145" s="10"/>
      <c r="V145" s="9"/>
      <c r="W145" s="10"/>
      <c r="X145" s="9"/>
      <c r="Y145" s="10"/>
      <c r="Z145" s="9"/>
      <c r="AA145" s="10"/>
      <c r="AB145" s="11"/>
      <c r="AC145" s="10"/>
      <c r="AD145" s="7">
        <f>SUM(F145+H145+J145+L145+N145+P145+R145+T145+V145+X145+Z145+AB145)</f>
        <v>0</v>
      </c>
      <c r="AE145" s="7">
        <f>E145+AD145</f>
        <v>0</v>
      </c>
      <c r="AF145" s="8">
        <f>G145+I145+K145+M145+O145+Q145+S145+U145+W145+Y145+AA145+AC145</f>
        <v>0</v>
      </c>
      <c r="AG145" s="212">
        <f>SUM(AE145-AF145)</f>
        <v>0</v>
      </c>
      <c r="AH145" s="214"/>
      <c r="AI145" s="214"/>
    </row>
    <row r="146" spans="1:42" customHeight="1" ht="11.5">
      <c r="A146" s="5"/>
      <c r="B146" s="113"/>
      <c r="C146" s="90"/>
      <c r="D146" s="167"/>
      <c r="E146" s="86"/>
      <c r="F146" s="9"/>
      <c r="G146" s="10"/>
      <c r="H146" s="9"/>
      <c r="I146" s="10"/>
      <c r="J146" s="9"/>
      <c r="K146" s="10"/>
      <c r="L146" s="87"/>
      <c r="M146" s="10"/>
      <c r="N146" s="9"/>
      <c r="O146" s="10"/>
      <c r="P146" s="9"/>
      <c r="Q146" s="10"/>
      <c r="R146" s="9"/>
      <c r="S146" s="10"/>
      <c r="T146" s="9"/>
      <c r="U146" s="10"/>
      <c r="V146" s="9"/>
      <c r="W146" s="10"/>
      <c r="X146" s="9"/>
      <c r="Y146" s="10"/>
      <c r="Z146" s="9"/>
      <c r="AA146" s="10"/>
      <c r="AB146" s="11"/>
      <c r="AC146" s="10"/>
      <c r="AD146" s="7">
        <f>SUM(F146+H146+J146+L146+N146+P146+R146+T146+V146+X146+Z146+AB146)</f>
        <v>0</v>
      </c>
      <c r="AE146" s="7">
        <f>E146+AD146</f>
        <v>0</v>
      </c>
      <c r="AF146" s="8">
        <f>G146+I146+K146+M146+O146+Q146+S146+U146+W146+Y146+AA146+AC146</f>
        <v>0</v>
      </c>
      <c r="AG146" s="212">
        <f>SUM(AE146-AF146)</f>
        <v>0</v>
      </c>
      <c r="AH146" s="214"/>
      <c r="AI146" s="214"/>
    </row>
    <row r="147" spans="1:42" customHeight="1" ht="11.5">
      <c r="A147" s="5"/>
      <c r="B147" s="113"/>
      <c r="C147" s="90"/>
      <c r="D147" s="167"/>
      <c r="E147" s="86"/>
      <c r="F147" s="9"/>
      <c r="G147" s="10"/>
      <c r="H147" s="9"/>
      <c r="I147" s="10"/>
      <c r="J147" s="9"/>
      <c r="K147" s="10"/>
      <c r="L147" s="87"/>
      <c r="M147" s="10"/>
      <c r="N147" s="9"/>
      <c r="O147" s="10"/>
      <c r="P147" s="9"/>
      <c r="Q147" s="10"/>
      <c r="R147" s="9"/>
      <c r="S147" s="10"/>
      <c r="T147" s="9"/>
      <c r="U147" s="10"/>
      <c r="V147" s="9"/>
      <c r="W147" s="10"/>
      <c r="X147" s="9"/>
      <c r="Y147" s="10"/>
      <c r="Z147" s="9"/>
      <c r="AA147" s="10"/>
      <c r="AB147" s="11"/>
      <c r="AC147" s="10"/>
      <c r="AD147" s="7">
        <f>SUM(F147+H147+J147+L147+N147+P147+R147+T147+V147+X147+Z147+AB147)</f>
        <v>0</v>
      </c>
      <c r="AE147" s="7">
        <f>E147+AD147</f>
        <v>0</v>
      </c>
      <c r="AF147" s="8">
        <f>G147+I147+K147+M147+O147+Q147+S147+U147+W147+Y147+AA147+AC147</f>
        <v>0</v>
      </c>
      <c r="AG147" s="212">
        <f>SUM(AE147-AF147)</f>
        <v>0</v>
      </c>
      <c r="AH147" s="214"/>
      <c r="AI147" s="214"/>
    </row>
    <row r="148" spans="1:42" customHeight="1" ht="11.5">
      <c r="A148" s="5"/>
      <c r="B148" s="113"/>
      <c r="C148" s="90"/>
      <c r="D148" s="167"/>
      <c r="E148" s="86"/>
      <c r="F148" s="9"/>
      <c r="G148" s="10"/>
      <c r="H148" s="9"/>
      <c r="I148" s="10"/>
      <c r="J148" s="9"/>
      <c r="K148" s="10"/>
      <c r="L148" s="87"/>
      <c r="M148" s="10"/>
      <c r="N148" s="9"/>
      <c r="O148" s="10"/>
      <c r="P148" s="9"/>
      <c r="Q148" s="10"/>
      <c r="R148" s="9"/>
      <c r="S148" s="10"/>
      <c r="T148" s="9"/>
      <c r="U148" s="10"/>
      <c r="V148" s="9"/>
      <c r="W148" s="10"/>
      <c r="X148" s="9"/>
      <c r="Y148" s="10"/>
      <c r="Z148" s="9"/>
      <c r="AA148" s="10"/>
      <c r="AB148" s="11"/>
      <c r="AC148" s="10"/>
      <c r="AD148" s="7">
        <f>SUM(F148+H148+J148+L148+N148+P148+R148+T148+V148+X148+Z148+AB148)</f>
        <v>0</v>
      </c>
      <c r="AE148" s="7">
        <f>E148+AD148</f>
        <v>0</v>
      </c>
      <c r="AF148" s="8">
        <f>G148+I148+K148+M148+O148+Q148+S148+U148+W148+Y148+AA148+AC148</f>
        <v>0</v>
      </c>
      <c r="AG148" s="212">
        <f>SUM(AE148-AF148)</f>
        <v>0</v>
      </c>
      <c r="AH148" s="214"/>
      <c r="AI148" s="214"/>
    </row>
    <row r="149" spans="1:42" customHeight="1" ht="11.5">
      <c r="A149" s="5"/>
      <c r="B149" s="113"/>
      <c r="C149" s="90"/>
      <c r="D149" s="167"/>
      <c r="E149" s="86"/>
      <c r="F149" s="9"/>
      <c r="G149" s="10"/>
      <c r="H149" s="9"/>
      <c r="I149" s="10"/>
      <c r="J149" s="9"/>
      <c r="K149" s="10"/>
      <c r="L149" s="87"/>
      <c r="M149" s="10"/>
      <c r="N149" s="9"/>
      <c r="O149" s="10"/>
      <c r="P149" s="9"/>
      <c r="Q149" s="10"/>
      <c r="R149" s="9"/>
      <c r="S149" s="10"/>
      <c r="T149" s="9"/>
      <c r="U149" s="10"/>
      <c r="V149" s="9"/>
      <c r="W149" s="10"/>
      <c r="X149" s="9"/>
      <c r="Y149" s="10"/>
      <c r="Z149" s="9"/>
      <c r="AA149" s="10"/>
      <c r="AB149" s="11"/>
      <c r="AC149" s="10"/>
      <c r="AD149" s="7">
        <f>SUM(F149+H149+J149+L149+N149+P149+R149+T149+V149+X149+Z149+AB149)</f>
        <v>0</v>
      </c>
      <c r="AE149" s="7">
        <f>E149+AD149</f>
        <v>0</v>
      </c>
      <c r="AF149" s="8">
        <f>G149+I149+K149+M149+O149+Q149+S149+U149+W149+Y149+AA149+AC149</f>
        <v>0</v>
      </c>
      <c r="AG149" s="212">
        <f>SUM(AE149-AF149)</f>
        <v>0</v>
      </c>
      <c r="AH149" s="214"/>
      <c r="AI149" s="214"/>
    </row>
    <row r="150" spans="1:42" customHeight="1" ht="11.5">
      <c r="A150" s="5"/>
      <c r="B150" s="113"/>
      <c r="C150" s="90"/>
      <c r="D150" s="167"/>
      <c r="E150" s="86"/>
      <c r="F150" s="9"/>
      <c r="G150" s="10"/>
      <c r="H150" s="9"/>
      <c r="I150" s="10"/>
      <c r="J150" s="9"/>
      <c r="K150" s="10"/>
      <c r="L150" s="87"/>
      <c r="M150" s="10"/>
      <c r="N150" s="9"/>
      <c r="O150" s="10"/>
      <c r="P150" s="9"/>
      <c r="Q150" s="10"/>
      <c r="R150" s="9"/>
      <c r="S150" s="10"/>
      <c r="T150" s="9"/>
      <c r="U150" s="10"/>
      <c r="V150" s="9"/>
      <c r="W150" s="10"/>
      <c r="X150" s="9"/>
      <c r="Y150" s="10"/>
      <c r="Z150" s="9"/>
      <c r="AA150" s="10"/>
      <c r="AB150" s="11"/>
      <c r="AC150" s="10"/>
      <c r="AD150" s="7">
        <f>SUM(F150+H150+J150+L150+N150+P150+R150+T150+V150+X150+Z150+AB150)</f>
        <v>0</v>
      </c>
      <c r="AE150" s="7">
        <f>E150+AD150</f>
        <v>0</v>
      </c>
      <c r="AF150" s="8">
        <f>G150+I150+K150+M150+O150+Q150+S150+U150+W150+Y150+AA150+AC150</f>
        <v>0</v>
      </c>
      <c r="AG150" s="212">
        <f>SUM(AE150-AF150)</f>
        <v>0</v>
      </c>
      <c r="AH150" s="214"/>
      <c r="AI150" s="214"/>
    </row>
    <row r="151" spans="1:42" customHeight="1" ht="11.5">
      <c r="A151" s="5"/>
      <c r="B151" s="113"/>
      <c r="C151" s="90"/>
      <c r="D151" s="167"/>
      <c r="E151" s="86"/>
      <c r="F151" s="9"/>
      <c r="G151" s="10"/>
      <c r="H151" s="9"/>
      <c r="I151" s="10"/>
      <c r="J151" s="9"/>
      <c r="K151" s="10"/>
      <c r="L151" s="87"/>
      <c r="M151" s="10"/>
      <c r="N151" s="9"/>
      <c r="O151" s="10"/>
      <c r="P151" s="9"/>
      <c r="Q151" s="10"/>
      <c r="R151" s="9"/>
      <c r="S151" s="10"/>
      <c r="T151" s="9"/>
      <c r="U151" s="10"/>
      <c r="V151" s="9"/>
      <c r="W151" s="10"/>
      <c r="X151" s="9"/>
      <c r="Y151" s="10"/>
      <c r="Z151" s="9"/>
      <c r="AA151" s="10"/>
      <c r="AB151" s="11"/>
      <c r="AC151" s="10"/>
      <c r="AD151" s="7">
        <f>SUM(F151+H151+J151+L151+N151+P151+R151+T151+V151+X151+Z151+AB151)</f>
        <v>0</v>
      </c>
      <c r="AE151" s="7">
        <f>E151+AD151</f>
        <v>0</v>
      </c>
      <c r="AF151" s="8">
        <f>G151+I151+K151+M151+O151+Q151+S151+U151+W151+Y151+AA151+AC151</f>
        <v>0</v>
      </c>
      <c r="AG151" s="212">
        <f>SUM(AE151-AF151)</f>
        <v>0</v>
      </c>
      <c r="AH151" s="214"/>
      <c r="AI151" s="214"/>
    </row>
    <row r="152" spans="1:42" customHeight="1" ht="11.5">
      <c r="A152" s="5"/>
      <c r="B152" s="113"/>
      <c r="C152" s="90"/>
      <c r="D152" s="167"/>
      <c r="E152" s="86"/>
      <c r="F152" s="9"/>
      <c r="G152" s="10"/>
      <c r="H152" s="9"/>
      <c r="I152" s="10"/>
      <c r="J152" s="9"/>
      <c r="K152" s="10"/>
      <c r="L152" s="87"/>
      <c r="M152" s="10"/>
      <c r="N152" s="9"/>
      <c r="O152" s="10"/>
      <c r="P152" s="9"/>
      <c r="Q152" s="10"/>
      <c r="R152" s="9"/>
      <c r="S152" s="10"/>
      <c r="T152" s="9"/>
      <c r="U152" s="10"/>
      <c r="V152" s="9"/>
      <c r="W152" s="10"/>
      <c r="X152" s="9"/>
      <c r="Y152" s="10"/>
      <c r="Z152" s="9"/>
      <c r="AA152" s="10"/>
      <c r="AB152" s="11"/>
      <c r="AC152" s="10"/>
      <c r="AD152" s="7">
        <f>SUM(F152+H152+J152+L152+N152+P152+R152+T152+V152+X152+Z152+AB152)</f>
        <v>0</v>
      </c>
      <c r="AE152" s="7">
        <f>E152+AD152</f>
        <v>0</v>
      </c>
      <c r="AF152" s="8">
        <f>G152+I152+K152+M152+O152+Q152+S152+U152+W152+Y152+AA152+AC152</f>
        <v>0</v>
      </c>
      <c r="AG152" s="212">
        <f>SUM(AE152-AF152)</f>
        <v>0</v>
      </c>
      <c r="AH152" s="214"/>
      <c r="AI152" s="214"/>
    </row>
    <row r="153" spans="1:42" customHeight="1" ht="11.5">
      <c r="A153" s="5"/>
      <c r="B153" s="113"/>
      <c r="C153" s="90"/>
      <c r="D153" s="167"/>
      <c r="E153" s="86"/>
      <c r="F153" s="9"/>
      <c r="G153" s="10"/>
      <c r="H153" s="9"/>
      <c r="I153" s="10"/>
      <c r="J153" s="9"/>
      <c r="K153" s="10"/>
      <c r="L153" s="87"/>
      <c r="M153" s="10"/>
      <c r="N153" s="9"/>
      <c r="O153" s="10"/>
      <c r="P153" s="9"/>
      <c r="Q153" s="10"/>
      <c r="R153" s="9"/>
      <c r="S153" s="10"/>
      <c r="T153" s="9"/>
      <c r="U153" s="10"/>
      <c r="V153" s="9"/>
      <c r="W153" s="10"/>
      <c r="X153" s="9"/>
      <c r="Y153" s="10"/>
      <c r="Z153" s="9"/>
      <c r="AA153" s="10"/>
      <c r="AB153" s="11"/>
      <c r="AC153" s="10"/>
      <c r="AD153" s="7">
        <f>SUM(F153+H153+J153+L153+N153+P153+R153+T153+V153+X153+Z153+AB153)</f>
        <v>0</v>
      </c>
      <c r="AE153" s="7">
        <f>E153+AD153</f>
        <v>0</v>
      </c>
      <c r="AF153" s="8">
        <f>G153+I153+K153+M153+O153+Q153+S153+U153+W153+Y153+AA153+AC153</f>
        <v>0</v>
      </c>
      <c r="AG153" s="212">
        <f>SUM(AE153-AF153)</f>
        <v>0</v>
      </c>
      <c r="AH153" s="214"/>
      <c r="AI153" s="214"/>
    </row>
    <row r="154" spans="1:42" customHeight="1" ht="11.5">
      <c r="A154" s="5"/>
      <c r="B154" s="113"/>
      <c r="C154" s="90"/>
      <c r="D154" s="167"/>
      <c r="E154" s="86"/>
      <c r="F154" s="9"/>
      <c r="G154" s="10"/>
      <c r="H154" s="9"/>
      <c r="I154" s="10"/>
      <c r="J154" s="9"/>
      <c r="K154" s="10"/>
      <c r="L154" s="87"/>
      <c r="M154" s="10"/>
      <c r="N154" s="9"/>
      <c r="O154" s="10"/>
      <c r="P154" s="9"/>
      <c r="Q154" s="10"/>
      <c r="R154" s="9"/>
      <c r="S154" s="10"/>
      <c r="T154" s="9"/>
      <c r="U154" s="10"/>
      <c r="V154" s="9"/>
      <c r="W154" s="10"/>
      <c r="X154" s="9"/>
      <c r="Y154" s="10"/>
      <c r="Z154" s="9"/>
      <c r="AA154" s="10"/>
      <c r="AB154" s="11"/>
      <c r="AC154" s="10"/>
      <c r="AD154" s="7">
        <f>SUM(F154+H154+J154+L154+N154+P154+R154+T154+V154+X154+Z154+AB154)</f>
        <v>0</v>
      </c>
      <c r="AE154" s="7">
        <f>E154+AD154</f>
        <v>0</v>
      </c>
      <c r="AF154" s="8">
        <f>G154+I154+K154+M154+O154+Q154+S154+U154+W154+Y154+AA154+AC154</f>
        <v>0</v>
      </c>
      <c r="AG154" s="212">
        <f>SUM(AE154-AF154)</f>
        <v>0</v>
      </c>
      <c r="AH154" s="214"/>
      <c r="AI154" s="214"/>
    </row>
    <row r="155" spans="1:42" customHeight="1" ht="11.5">
      <c r="A155" s="5"/>
      <c r="B155" s="113"/>
      <c r="C155" s="90"/>
      <c r="D155" s="167"/>
      <c r="E155" s="86"/>
      <c r="F155" s="9"/>
      <c r="G155" s="10"/>
      <c r="H155" s="9"/>
      <c r="I155" s="10"/>
      <c r="J155" s="9"/>
      <c r="K155" s="10"/>
      <c r="L155" s="87"/>
      <c r="M155" s="10"/>
      <c r="N155" s="9"/>
      <c r="O155" s="10"/>
      <c r="P155" s="9"/>
      <c r="Q155" s="10"/>
      <c r="R155" s="9"/>
      <c r="S155" s="10"/>
      <c r="T155" s="9"/>
      <c r="U155" s="10"/>
      <c r="V155" s="9"/>
      <c r="W155" s="10"/>
      <c r="X155" s="9"/>
      <c r="Y155" s="10"/>
      <c r="Z155" s="9"/>
      <c r="AA155" s="10"/>
      <c r="AB155" s="11"/>
      <c r="AC155" s="10"/>
      <c r="AD155" s="7">
        <f>SUM(F155+H155+J155+L155+N155+P155+R155+T155+V155+X155+Z155+AB155)</f>
        <v>0</v>
      </c>
      <c r="AE155" s="7">
        <f>E155+AD155</f>
        <v>0</v>
      </c>
      <c r="AF155" s="8">
        <f>G155+I155+K155+M155+O155+Q155+S155+U155+W155+Y155+AA155+AC155</f>
        <v>0</v>
      </c>
      <c r="AG155" s="212">
        <f>SUM(AE155-AF155)</f>
        <v>0</v>
      </c>
      <c r="AH155" s="214"/>
      <c r="AI155" s="214"/>
    </row>
    <row r="156" spans="1:42" customHeight="1" ht="11.5">
      <c r="A156" s="5"/>
      <c r="B156" s="113"/>
      <c r="C156" s="90"/>
      <c r="D156" s="167"/>
      <c r="E156" s="86"/>
      <c r="F156" s="9"/>
      <c r="G156" s="10"/>
      <c r="H156" s="9"/>
      <c r="I156" s="10"/>
      <c r="J156" s="9"/>
      <c r="K156" s="10"/>
      <c r="L156" s="87"/>
      <c r="M156" s="10"/>
      <c r="N156" s="9"/>
      <c r="O156" s="10"/>
      <c r="P156" s="9"/>
      <c r="Q156" s="10"/>
      <c r="R156" s="9"/>
      <c r="S156" s="10"/>
      <c r="T156" s="9"/>
      <c r="U156" s="10"/>
      <c r="V156" s="9"/>
      <c r="W156" s="10"/>
      <c r="X156" s="9"/>
      <c r="Y156" s="10"/>
      <c r="Z156" s="9"/>
      <c r="AA156" s="10"/>
      <c r="AB156" s="11"/>
      <c r="AC156" s="10"/>
      <c r="AD156" s="7">
        <f>SUM(F156+H156+J156+L156+N156+P156+R156+T156+V156+X156+Z156+AB156)</f>
        <v>0</v>
      </c>
      <c r="AE156" s="7">
        <f>E156+AD156</f>
        <v>0</v>
      </c>
      <c r="AF156" s="8">
        <f>G156+I156+K156+M156+O156+Q156+S156+U156+W156+Y156+AA156+AC156</f>
        <v>0</v>
      </c>
      <c r="AG156" s="212">
        <f>SUM(AE156-AF156)</f>
        <v>0</v>
      </c>
      <c r="AH156" s="214"/>
      <c r="AI156" s="214"/>
    </row>
    <row r="157" spans="1:42" customHeight="1" ht="11.5">
      <c r="A157" s="5"/>
      <c r="B157" s="113"/>
      <c r="C157" s="90"/>
      <c r="D157" s="167"/>
      <c r="E157" s="86"/>
      <c r="F157" s="9"/>
      <c r="G157" s="10"/>
      <c r="H157" s="9"/>
      <c r="I157" s="10"/>
      <c r="J157" s="9"/>
      <c r="K157" s="10"/>
      <c r="L157" s="87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  <c r="X157" s="9"/>
      <c r="Y157" s="10"/>
      <c r="Z157" s="9"/>
      <c r="AA157" s="10"/>
      <c r="AB157" s="11"/>
      <c r="AC157" s="10"/>
      <c r="AD157" s="7">
        <f>SUM(F157+H157+J157+L157+N157+P157+R157+T157+V157+X157+Z157+AB157)</f>
        <v>0</v>
      </c>
      <c r="AE157" s="7">
        <f>E157+AD157</f>
        <v>0</v>
      </c>
      <c r="AF157" s="8">
        <f>G157+I157+K157+M157+O157+Q157+S157+U157+W157+Y157+AA157+AC157</f>
        <v>0</v>
      </c>
      <c r="AG157" s="212">
        <f>SUM(AE157-AF157)</f>
        <v>0</v>
      </c>
      <c r="AH157" s="214"/>
      <c r="AI157" s="214"/>
    </row>
    <row r="158" spans="1:42" customHeight="1" ht="11.5">
      <c r="A158" s="5"/>
      <c r="B158" s="113"/>
      <c r="C158" s="90"/>
      <c r="D158" s="167"/>
      <c r="E158" s="86"/>
      <c r="F158" s="9"/>
      <c r="G158" s="10"/>
      <c r="H158" s="9"/>
      <c r="I158" s="10"/>
      <c r="J158" s="9"/>
      <c r="K158" s="10"/>
      <c r="L158" s="87"/>
      <c r="M158" s="10"/>
      <c r="N158" s="9"/>
      <c r="O158" s="10"/>
      <c r="P158" s="9"/>
      <c r="Q158" s="10"/>
      <c r="R158" s="9"/>
      <c r="S158" s="10"/>
      <c r="T158" s="9"/>
      <c r="U158" s="10"/>
      <c r="V158" s="9"/>
      <c r="W158" s="10"/>
      <c r="X158" s="9"/>
      <c r="Y158" s="10"/>
      <c r="Z158" s="9"/>
      <c r="AA158" s="10"/>
      <c r="AB158" s="11"/>
      <c r="AC158" s="10"/>
      <c r="AD158" s="7">
        <f>SUM(F158+H158+J158+L158+N158+P158+R158+T158+V158+X158+Z158+AB158)</f>
        <v>0</v>
      </c>
      <c r="AE158" s="7">
        <f>E158+AD158</f>
        <v>0</v>
      </c>
      <c r="AF158" s="8">
        <f>G158+I158+K158+M158+O158+Q158+S158+U158+W158+Y158+AA158+AC158</f>
        <v>0</v>
      </c>
      <c r="AG158" s="212">
        <f>SUM(AE158-AF158)</f>
        <v>0</v>
      </c>
      <c r="AH158" s="214"/>
      <c r="AI158" s="214"/>
    </row>
    <row r="159" spans="1:42" customHeight="1" ht="11.5">
      <c r="A159" s="5"/>
      <c r="B159" s="113"/>
      <c r="C159" s="90"/>
      <c r="D159" s="167"/>
      <c r="E159" s="86"/>
      <c r="F159" s="9"/>
      <c r="G159" s="10"/>
      <c r="H159" s="9"/>
      <c r="I159" s="10"/>
      <c r="J159" s="9"/>
      <c r="K159" s="10"/>
      <c r="L159" s="87"/>
      <c r="M159" s="10"/>
      <c r="N159" s="9"/>
      <c r="O159" s="10"/>
      <c r="P159" s="9"/>
      <c r="Q159" s="10"/>
      <c r="R159" s="9"/>
      <c r="S159" s="10"/>
      <c r="T159" s="9"/>
      <c r="U159" s="10"/>
      <c r="V159" s="9"/>
      <c r="W159" s="10"/>
      <c r="X159" s="9"/>
      <c r="Y159" s="10"/>
      <c r="Z159" s="9"/>
      <c r="AA159" s="10"/>
      <c r="AB159" s="11"/>
      <c r="AC159" s="10"/>
      <c r="AD159" s="7">
        <f>SUM(F159+H159+J159+L159+N159+P159+R159+T159+V159+X159+Z159+AB159)</f>
        <v>0</v>
      </c>
      <c r="AE159" s="7">
        <f>E159+AD159</f>
        <v>0</v>
      </c>
      <c r="AF159" s="8">
        <f>G159+I159+K159+M159+O159+Q159+S159+U159+W159+Y159+AA159+AC159</f>
        <v>0</v>
      </c>
      <c r="AG159" s="212">
        <f>SUM(AE159-AF159)</f>
        <v>0</v>
      </c>
      <c r="AH159" s="214"/>
      <c r="AI159" s="214"/>
    </row>
    <row r="160" spans="1:42" customHeight="1" ht="11.5">
      <c r="A160" s="5"/>
      <c r="B160" s="113"/>
      <c r="C160" s="90"/>
      <c r="D160" s="167"/>
      <c r="E160" s="86"/>
      <c r="F160" s="9"/>
      <c r="G160" s="10"/>
      <c r="H160" s="9"/>
      <c r="I160" s="10"/>
      <c r="J160" s="9"/>
      <c r="K160" s="10"/>
      <c r="L160" s="87"/>
      <c r="M160" s="10"/>
      <c r="N160" s="9"/>
      <c r="O160" s="10"/>
      <c r="P160" s="9"/>
      <c r="Q160" s="10"/>
      <c r="R160" s="9"/>
      <c r="S160" s="10"/>
      <c r="T160" s="9"/>
      <c r="U160" s="10"/>
      <c r="V160" s="9"/>
      <c r="W160" s="10"/>
      <c r="X160" s="9"/>
      <c r="Y160" s="10"/>
      <c r="Z160" s="9"/>
      <c r="AA160" s="10"/>
      <c r="AB160" s="11"/>
      <c r="AC160" s="10"/>
      <c r="AD160" s="7">
        <f>SUM(F160+H160+J160+L160+N160+P160+R160+T160+V160+X160+Z160+AB160)</f>
        <v>0</v>
      </c>
      <c r="AE160" s="7">
        <f>E160+AD160</f>
        <v>0</v>
      </c>
      <c r="AF160" s="8">
        <f>G160+I160+K160+M160+O160+Q160+S160+U160+W160+Y160+AA160+AC160</f>
        <v>0</v>
      </c>
      <c r="AG160" s="212">
        <f>SUM(AE160-AF160)</f>
        <v>0</v>
      </c>
      <c r="AH160" s="214"/>
      <c r="AI160" s="214"/>
    </row>
    <row r="161" spans="1:42" customHeight="1" ht="11.5">
      <c r="A161" s="5"/>
      <c r="B161" s="113"/>
      <c r="C161" s="90"/>
      <c r="D161" s="167"/>
      <c r="E161" s="86"/>
      <c r="F161" s="9"/>
      <c r="G161" s="10"/>
      <c r="H161" s="9"/>
      <c r="I161" s="10"/>
      <c r="J161" s="9"/>
      <c r="K161" s="10"/>
      <c r="L161" s="87"/>
      <c r="M161" s="10"/>
      <c r="N161" s="9"/>
      <c r="O161" s="10"/>
      <c r="P161" s="9"/>
      <c r="Q161" s="10"/>
      <c r="R161" s="9"/>
      <c r="S161" s="10"/>
      <c r="T161" s="9"/>
      <c r="U161" s="10"/>
      <c r="V161" s="9"/>
      <c r="W161" s="10"/>
      <c r="X161" s="9"/>
      <c r="Y161" s="10"/>
      <c r="Z161" s="9"/>
      <c r="AA161" s="10"/>
      <c r="AB161" s="11"/>
      <c r="AC161" s="10"/>
      <c r="AD161" s="7">
        <f>SUM(F161+H161+J161+L161+N161+P161+R161+T161+V161+X161+Z161+AB161)</f>
        <v>0</v>
      </c>
      <c r="AE161" s="7">
        <f>E161+AD161</f>
        <v>0</v>
      </c>
      <c r="AF161" s="8">
        <f>G161+I161+K161+M161+O161+Q161+S161+U161+W161+Y161+AA161+AC161</f>
        <v>0</v>
      </c>
      <c r="AG161" s="212">
        <f>SUM(AE161-AF161)</f>
        <v>0</v>
      </c>
      <c r="AH161" s="214"/>
      <c r="AI161" s="214"/>
    </row>
    <row r="162" spans="1:42" customHeight="1" ht="11.5">
      <c r="A162" s="5"/>
      <c r="B162" s="113"/>
      <c r="C162" s="90"/>
      <c r="D162" s="167"/>
      <c r="E162" s="86"/>
      <c r="F162" s="9"/>
      <c r="G162" s="10"/>
      <c r="H162" s="9"/>
      <c r="I162" s="10"/>
      <c r="J162" s="9"/>
      <c r="K162" s="10"/>
      <c r="L162" s="87"/>
      <c r="M162" s="10"/>
      <c r="N162" s="9"/>
      <c r="O162" s="10"/>
      <c r="P162" s="9"/>
      <c r="Q162" s="10"/>
      <c r="R162" s="9"/>
      <c r="S162" s="10"/>
      <c r="T162" s="9"/>
      <c r="U162" s="10"/>
      <c r="V162" s="9"/>
      <c r="W162" s="10"/>
      <c r="X162" s="9"/>
      <c r="Y162" s="10"/>
      <c r="Z162" s="9"/>
      <c r="AA162" s="10"/>
      <c r="AB162" s="11"/>
      <c r="AC162" s="10"/>
      <c r="AD162" s="7">
        <f>SUM(F162+H162+J162+L162+N162+P162+R162+T162+V162+X162+Z162+AB162)</f>
        <v>0</v>
      </c>
      <c r="AE162" s="7">
        <f>E162+AD162</f>
        <v>0</v>
      </c>
      <c r="AF162" s="8">
        <f>G162+I162+K162+M162+O162+Q162+S162+U162+W162+Y162+AA162+AC162</f>
        <v>0</v>
      </c>
      <c r="AG162" s="212">
        <f>SUM(AE162-AF162)</f>
        <v>0</v>
      </c>
      <c r="AH162" s="214"/>
      <c r="AI162" s="214"/>
    </row>
    <row r="163" spans="1:42" customHeight="1" ht="11.5">
      <c r="A163" s="5"/>
      <c r="B163" s="113"/>
      <c r="C163" s="90"/>
      <c r="D163" s="167"/>
      <c r="E163" s="86"/>
      <c r="F163" s="9"/>
      <c r="G163" s="10"/>
      <c r="H163" s="9"/>
      <c r="I163" s="10"/>
      <c r="J163" s="9"/>
      <c r="K163" s="10"/>
      <c r="L163" s="87"/>
      <c r="M163" s="10"/>
      <c r="N163" s="9"/>
      <c r="O163" s="10"/>
      <c r="P163" s="9"/>
      <c r="Q163" s="10"/>
      <c r="R163" s="9"/>
      <c r="S163" s="10"/>
      <c r="T163" s="9"/>
      <c r="U163" s="10"/>
      <c r="V163" s="9"/>
      <c r="W163" s="10"/>
      <c r="X163" s="9"/>
      <c r="Y163" s="10"/>
      <c r="Z163" s="9"/>
      <c r="AA163" s="10"/>
      <c r="AB163" s="11"/>
      <c r="AC163" s="10"/>
      <c r="AD163" s="7">
        <f>SUM(F163+H163+J163+L163+N163+P163+R163+T163+V163+X163+Z163+AB163)</f>
        <v>0</v>
      </c>
      <c r="AE163" s="7">
        <f>E163+AD163</f>
        <v>0</v>
      </c>
      <c r="AF163" s="8">
        <f>G163+I163+K163+M163+O163+Q163+S163+U163+W163+Y163+AA163+AC163</f>
        <v>0</v>
      </c>
      <c r="AG163" s="212">
        <f>SUM(AE163-AF163)</f>
        <v>0</v>
      </c>
      <c r="AH163" s="214"/>
      <c r="AI163" s="214"/>
    </row>
    <row r="164" spans="1:42" customHeight="1" ht="11.5">
      <c r="A164" s="5"/>
      <c r="B164" s="113"/>
      <c r="C164" s="90"/>
      <c r="D164" s="167"/>
      <c r="E164" s="86"/>
      <c r="F164" s="9"/>
      <c r="G164" s="10"/>
      <c r="H164" s="9"/>
      <c r="I164" s="10"/>
      <c r="J164" s="9"/>
      <c r="K164" s="10"/>
      <c r="L164" s="87"/>
      <c r="M164" s="10"/>
      <c r="N164" s="9"/>
      <c r="O164" s="10"/>
      <c r="P164" s="9"/>
      <c r="Q164" s="10"/>
      <c r="R164" s="9"/>
      <c r="S164" s="10"/>
      <c r="T164" s="9"/>
      <c r="U164" s="10"/>
      <c r="V164" s="9"/>
      <c r="W164" s="10"/>
      <c r="X164" s="9"/>
      <c r="Y164" s="10"/>
      <c r="Z164" s="9"/>
      <c r="AA164" s="10"/>
      <c r="AB164" s="11"/>
      <c r="AC164" s="10"/>
      <c r="AD164" s="7">
        <f>SUM(F164+H164+J164+L164+N164+P164+R164+T164+V164+X164+Z164+AB164)</f>
        <v>0</v>
      </c>
      <c r="AE164" s="7">
        <f>E164+AD164</f>
        <v>0</v>
      </c>
      <c r="AF164" s="8">
        <f>G164+I164+K164+M164+O164+Q164+S164+U164+W164+Y164+AA164+AC164</f>
        <v>0</v>
      </c>
      <c r="AG164" s="212">
        <f>SUM(AE164-AF164)</f>
        <v>0</v>
      </c>
      <c r="AH164" s="214"/>
      <c r="AI164" s="214"/>
    </row>
    <row r="165" spans="1:42" customHeight="1" ht="11.5">
      <c r="A165" s="5"/>
      <c r="B165" s="113"/>
      <c r="C165" s="90"/>
      <c r="D165" s="167"/>
      <c r="E165" s="86"/>
      <c r="F165" s="9"/>
      <c r="G165" s="10"/>
      <c r="H165" s="9"/>
      <c r="I165" s="10"/>
      <c r="J165" s="9"/>
      <c r="K165" s="10"/>
      <c r="L165" s="87"/>
      <c r="M165" s="10"/>
      <c r="N165" s="9"/>
      <c r="O165" s="10"/>
      <c r="P165" s="9"/>
      <c r="Q165" s="10"/>
      <c r="R165" s="9"/>
      <c r="S165" s="10"/>
      <c r="T165" s="9"/>
      <c r="U165" s="10"/>
      <c r="V165" s="9"/>
      <c r="W165" s="10"/>
      <c r="X165" s="9"/>
      <c r="Y165" s="10"/>
      <c r="Z165" s="9"/>
      <c r="AA165" s="10"/>
      <c r="AB165" s="11"/>
      <c r="AC165" s="10"/>
      <c r="AD165" s="7">
        <f>SUM(F165+H165+J165+L165+N165+P165+R165+T165+V165+X165+Z165+AB165)</f>
        <v>0</v>
      </c>
      <c r="AE165" s="7">
        <f>E165+AD165</f>
        <v>0</v>
      </c>
      <c r="AF165" s="8">
        <f>G165+I165+K165+M165+O165+Q165+S165+U165+W165+Y165+AA165+AC165</f>
        <v>0</v>
      </c>
      <c r="AG165" s="212">
        <f>SUM(AE165-AF165)</f>
        <v>0</v>
      </c>
      <c r="AH165" s="214"/>
      <c r="AI165" s="214"/>
    </row>
    <row r="166" spans="1:42" customHeight="1" ht="11.5">
      <c r="A166" s="5"/>
      <c r="B166" s="113"/>
      <c r="C166" s="90"/>
      <c r="D166" s="167"/>
      <c r="E166" s="86"/>
      <c r="F166" s="9"/>
      <c r="G166" s="10"/>
      <c r="H166" s="9"/>
      <c r="I166" s="10"/>
      <c r="J166" s="9"/>
      <c r="K166" s="10"/>
      <c r="L166" s="87"/>
      <c r="M166" s="10"/>
      <c r="N166" s="9"/>
      <c r="O166" s="10"/>
      <c r="P166" s="9"/>
      <c r="Q166" s="10"/>
      <c r="R166" s="9"/>
      <c r="S166" s="10"/>
      <c r="T166" s="9"/>
      <c r="U166" s="10"/>
      <c r="V166" s="9"/>
      <c r="W166" s="10"/>
      <c r="X166" s="9"/>
      <c r="Y166" s="10"/>
      <c r="Z166" s="9"/>
      <c r="AA166" s="10"/>
      <c r="AB166" s="11"/>
      <c r="AC166" s="10"/>
      <c r="AD166" s="7">
        <f>SUM(F166+H166+J166+L166+N166+P166+R166+T166+V166+X166+Z166+AB166)</f>
        <v>0</v>
      </c>
      <c r="AE166" s="7">
        <f>E166+AD166</f>
        <v>0</v>
      </c>
      <c r="AF166" s="8">
        <f>G166+I166+K166+M166+O166+Q166+S166+U166+W166+Y166+AA166+AC166</f>
        <v>0</v>
      </c>
      <c r="AG166" s="212">
        <f>SUM(AE166-AF166)</f>
        <v>0</v>
      </c>
      <c r="AH166" s="214"/>
      <c r="AI166" s="214"/>
    </row>
    <row r="167" spans="1:42" customHeight="1" ht="11.5">
      <c r="A167" s="5"/>
      <c r="B167" s="113"/>
      <c r="C167" s="90"/>
      <c r="D167" s="167"/>
      <c r="E167" s="86"/>
      <c r="F167" s="9"/>
      <c r="G167" s="10"/>
      <c r="H167" s="9"/>
      <c r="I167" s="10"/>
      <c r="J167" s="9"/>
      <c r="K167" s="10"/>
      <c r="L167" s="87"/>
      <c r="M167" s="10"/>
      <c r="N167" s="9"/>
      <c r="O167" s="10"/>
      <c r="P167" s="9"/>
      <c r="Q167" s="10"/>
      <c r="R167" s="9"/>
      <c r="S167" s="10"/>
      <c r="T167" s="9"/>
      <c r="U167" s="10"/>
      <c r="V167" s="9"/>
      <c r="W167" s="10"/>
      <c r="X167" s="9"/>
      <c r="Y167" s="10"/>
      <c r="Z167" s="9"/>
      <c r="AA167" s="10"/>
      <c r="AB167" s="11"/>
      <c r="AC167" s="10"/>
      <c r="AD167" s="7">
        <f>SUM(F167+H167+J167+L167+N167+P167+R167+T167+V167+X167+Z167+AB167)</f>
        <v>0</v>
      </c>
      <c r="AE167" s="7">
        <f>E167+AD167</f>
        <v>0</v>
      </c>
      <c r="AF167" s="8">
        <f>G167+I167+K167+M167+O167+Q167+S167+U167+W167+Y167+AA167+AC167</f>
        <v>0</v>
      </c>
      <c r="AG167" s="212">
        <f>SUM(AE167-AF167)</f>
        <v>0</v>
      </c>
      <c r="AH167" s="214"/>
      <c r="AI167" s="214"/>
    </row>
    <row r="168" spans="1:42" customHeight="1" ht="11.5">
      <c r="A168" s="5"/>
      <c r="B168" s="113"/>
      <c r="C168" s="90"/>
      <c r="D168" s="167"/>
      <c r="E168" s="86"/>
      <c r="F168" s="9"/>
      <c r="G168" s="10"/>
      <c r="H168" s="9"/>
      <c r="I168" s="10"/>
      <c r="J168" s="9"/>
      <c r="K168" s="10"/>
      <c r="L168" s="87"/>
      <c r="M168" s="10"/>
      <c r="N168" s="9"/>
      <c r="O168" s="10"/>
      <c r="P168" s="9"/>
      <c r="Q168" s="10"/>
      <c r="R168" s="9"/>
      <c r="S168" s="10"/>
      <c r="T168" s="9"/>
      <c r="U168" s="10"/>
      <c r="V168" s="9"/>
      <c r="W168" s="10"/>
      <c r="X168" s="9"/>
      <c r="Y168" s="10"/>
      <c r="Z168" s="9"/>
      <c r="AA168" s="10"/>
      <c r="AB168" s="11"/>
      <c r="AC168" s="10"/>
      <c r="AD168" s="7">
        <f>SUM(F168+H168+J168+L168+N168+P168+R168+T168+V168+X168+Z168+AB168)</f>
        <v>0</v>
      </c>
      <c r="AE168" s="7">
        <f>E168+AD168</f>
        <v>0</v>
      </c>
      <c r="AF168" s="8">
        <f>G168+I168+K168+M168+O168+Q168+S168+U168+W168+Y168+AA168+AC168</f>
        <v>0</v>
      </c>
      <c r="AG168" s="212">
        <f>SUM(AE168-AF168)</f>
        <v>0</v>
      </c>
      <c r="AH168" s="214"/>
      <c r="AI168" s="214"/>
    </row>
    <row r="169" spans="1:42" customHeight="1" ht="11.5">
      <c r="A169" s="5"/>
      <c r="B169" s="113"/>
      <c r="C169" s="90"/>
      <c r="D169" s="167"/>
      <c r="E169" s="86"/>
      <c r="F169" s="9"/>
      <c r="G169" s="10"/>
      <c r="H169" s="9"/>
      <c r="I169" s="10"/>
      <c r="J169" s="9"/>
      <c r="K169" s="10"/>
      <c r="L169" s="87"/>
      <c r="M169" s="10"/>
      <c r="N169" s="9"/>
      <c r="O169" s="10"/>
      <c r="P169" s="9"/>
      <c r="Q169" s="10"/>
      <c r="R169" s="9"/>
      <c r="S169" s="10"/>
      <c r="T169" s="9"/>
      <c r="U169" s="10"/>
      <c r="V169" s="9"/>
      <c r="W169" s="10"/>
      <c r="X169" s="9"/>
      <c r="Y169" s="10"/>
      <c r="Z169" s="9"/>
      <c r="AA169" s="10"/>
      <c r="AB169" s="11"/>
      <c r="AC169" s="10"/>
      <c r="AD169" s="7">
        <f>SUM(F169+H169+J169+L169+N169+P169+R169+T169+V169+X169+Z169+AB169)</f>
        <v>0</v>
      </c>
      <c r="AE169" s="7">
        <f>E169+AD169</f>
        <v>0</v>
      </c>
      <c r="AF169" s="8">
        <f>G169+I169+K169+M169+O169+Q169+S169+U169+W169+Y169+AA169+AC169</f>
        <v>0</v>
      </c>
      <c r="AG169" s="212">
        <f>SUM(AE169-AF169)</f>
        <v>0</v>
      </c>
      <c r="AH169" s="214"/>
      <c r="AI169" s="214"/>
    </row>
    <row r="170" spans="1:42" customHeight="1" ht="11.5">
      <c r="A170" s="5"/>
      <c r="B170" s="113"/>
      <c r="C170" s="90"/>
      <c r="D170" s="167"/>
      <c r="E170" s="86"/>
      <c r="F170" s="9"/>
      <c r="G170" s="10"/>
      <c r="H170" s="9"/>
      <c r="I170" s="10"/>
      <c r="J170" s="9"/>
      <c r="K170" s="10"/>
      <c r="L170" s="87"/>
      <c r="M170" s="10"/>
      <c r="N170" s="9"/>
      <c r="O170" s="10"/>
      <c r="P170" s="9"/>
      <c r="Q170" s="10"/>
      <c r="R170" s="9"/>
      <c r="S170" s="10"/>
      <c r="T170" s="9"/>
      <c r="U170" s="10"/>
      <c r="V170" s="9"/>
      <c r="W170" s="10"/>
      <c r="X170" s="9"/>
      <c r="Y170" s="10"/>
      <c r="Z170" s="9"/>
      <c r="AA170" s="10"/>
      <c r="AB170" s="11"/>
      <c r="AC170" s="10"/>
      <c r="AD170" s="7">
        <f>SUM(F170+H170+J170+L170+N170+P170+R170+T170+V170+X170+Z170+AB170)</f>
        <v>0</v>
      </c>
      <c r="AE170" s="7">
        <f>E170+AD170</f>
        <v>0</v>
      </c>
      <c r="AF170" s="8">
        <f>G170+I170+K170+M170+O170+Q170+S170+U170+W170+Y170+AA170+AC170</f>
        <v>0</v>
      </c>
      <c r="AG170" s="212">
        <f>SUM(AE170-AF170)</f>
        <v>0</v>
      </c>
      <c r="AH170" s="214"/>
      <c r="AI170" s="214"/>
    </row>
    <row r="171" spans="1:42" customHeight="1" ht="11.5">
      <c r="A171" s="5"/>
      <c r="B171" s="113"/>
      <c r="C171" s="90"/>
      <c r="D171" s="167"/>
      <c r="E171" s="86"/>
      <c r="F171" s="9"/>
      <c r="G171" s="10"/>
      <c r="H171" s="9"/>
      <c r="I171" s="10"/>
      <c r="J171" s="9"/>
      <c r="K171" s="10"/>
      <c r="L171" s="87"/>
      <c r="M171" s="10"/>
      <c r="N171" s="9"/>
      <c r="O171" s="10"/>
      <c r="P171" s="9"/>
      <c r="Q171" s="10"/>
      <c r="R171" s="9"/>
      <c r="S171" s="10"/>
      <c r="T171" s="9"/>
      <c r="U171" s="10"/>
      <c r="V171" s="9"/>
      <c r="W171" s="10"/>
      <c r="X171" s="9"/>
      <c r="Y171" s="10"/>
      <c r="Z171" s="9"/>
      <c r="AA171" s="10"/>
      <c r="AB171" s="11"/>
      <c r="AC171" s="10"/>
      <c r="AD171" s="7">
        <f>SUM(F171+H171+J171+L171+N171+P171+R171+T171+V171+X171+Z171+AB171)</f>
        <v>0</v>
      </c>
      <c r="AE171" s="7">
        <f>E171+AD171</f>
        <v>0</v>
      </c>
      <c r="AF171" s="8">
        <f>G171+I171+K171+M171+O171+Q171+S171+U171+W171+Y171+AA171+AC171</f>
        <v>0</v>
      </c>
      <c r="AG171" s="212">
        <f>SUM(AE171-AF171)</f>
        <v>0</v>
      </c>
      <c r="AH171" s="214"/>
      <c r="AI171" s="214"/>
    </row>
    <row r="172" spans="1:42" customHeight="1" ht="11.5">
      <c r="A172" s="5"/>
      <c r="B172" s="113"/>
      <c r="C172" s="90"/>
      <c r="D172" s="167"/>
      <c r="E172" s="86"/>
      <c r="F172" s="9"/>
      <c r="G172" s="10"/>
      <c r="H172" s="9"/>
      <c r="I172" s="10"/>
      <c r="J172" s="9"/>
      <c r="K172" s="10"/>
      <c r="L172" s="87"/>
      <c r="M172" s="10"/>
      <c r="N172" s="9"/>
      <c r="O172" s="10"/>
      <c r="P172" s="9"/>
      <c r="Q172" s="10"/>
      <c r="R172" s="9"/>
      <c r="S172" s="10"/>
      <c r="T172" s="9"/>
      <c r="U172" s="10"/>
      <c r="V172" s="9"/>
      <c r="W172" s="10"/>
      <c r="X172" s="9"/>
      <c r="Y172" s="10"/>
      <c r="Z172" s="9"/>
      <c r="AA172" s="10"/>
      <c r="AB172" s="11"/>
      <c r="AC172" s="10"/>
      <c r="AD172" s="7">
        <f>SUM(F172+H172+J172+L172+N172+P172+R172+T172+V172+X172+Z172+AB172)</f>
        <v>0</v>
      </c>
      <c r="AE172" s="7">
        <f>E172+AD172</f>
        <v>0</v>
      </c>
      <c r="AF172" s="8">
        <f>G172+I172+K172+M172+O172+Q172+S172+U172+W172+Y172+AA172+AC172</f>
        <v>0</v>
      </c>
      <c r="AG172" s="212">
        <f>SUM(AE172-AF172)</f>
        <v>0</v>
      </c>
      <c r="AH172" s="214"/>
      <c r="AI172" s="214"/>
    </row>
    <row r="173" spans="1:42" customHeight="1" ht="11.5">
      <c r="A173" s="5"/>
      <c r="B173" s="113"/>
      <c r="C173" s="90"/>
      <c r="D173" s="167"/>
      <c r="E173" s="86"/>
      <c r="F173" s="9"/>
      <c r="G173" s="10"/>
      <c r="H173" s="9"/>
      <c r="I173" s="10"/>
      <c r="J173" s="9"/>
      <c r="K173" s="10"/>
      <c r="L173" s="87"/>
      <c r="M173" s="10"/>
      <c r="N173" s="9"/>
      <c r="O173" s="10"/>
      <c r="P173" s="9"/>
      <c r="Q173" s="10"/>
      <c r="R173" s="9"/>
      <c r="S173" s="10"/>
      <c r="T173" s="9"/>
      <c r="U173" s="10"/>
      <c r="V173" s="9"/>
      <c r="W173" s="10"/>
      <c r="X173" s="9"/>
      <c r="Y173" s="10"/>
      <c r="Z173" s="9"/>
      <c r="AA173" s="10"/>
      <c r="AB173" s="11"/>
      <c r="AC173" s="10"/>
      <c r="AD173" s="7">
        <f>SUM(F173+H173+J173+L173+N173+P173+R173+T173+V173+X173+Z173+AB173)</f>
        <v>0</v>
      </c>
      <c r="AE173" s="7">
        <f>E173+AD173</f>
        <v>0</v>
      </c>
      <c r="AF173" s="8">
        <f>G173+I173+K173+M173+O173+Q173+S173+U173+W173+Y173+AA173+AC173</f>
        <v>0</v>
      </c>
      <c r="AG173" s="212">
        <f>SUM(AE173-AF173)</f>
        <v>0</v>
      </c>
      <c r="AH173" s="214"/>
      <c r="AI173" s="214"/>
    </row>
    <row r="174" spans="1:42" customHeight="1" ht="11.5">
      <c r="A174" s="5"/>
      <c r="B174" s="113"/>
      <c r="C174" s="90"/>
      <c r="D174" s="167"/>
      <c r="E174" s="86"/>
      <c r="F174" s="9"/>
      <c r="G174" s="10"/>
      <c r="H174" s="9"/>
      <c r="I174" s="10"/>
      <c r="J174" s="9"/>
      <c r="K174" s="10"/>
      <c r="L174" s="87"/>
      <c r="M174" s="10"/>
      <c r="N174" s="9"/>
      <c r="O174" s="10"/>
      <c r="P174" s="9"/>
      <c r="Q174" s="10"/>
      <c r="R174" s="9"/>
      <c r="S174" s="10"/>
      <c r="T174" s="9"/>
      <c r="U174" s="10"/>
      <c r="V174" s="9"/>
      <c r="W174" s="10"/>
      <c r="X174" s="9"/>
      <c r="Y174" s="10"/>
      <c r="Z174" s="9"/>
      <c r="AA174" s="10"/>
      <c r="AB174" s="11"/>
      <c r="AC174" s="10"/>
      <c r="AD174" s="7">
        <f>SUM(F174+H174+J174+L174+N174+P174+R174+T174+V174+X174+Z174+AB174)</f>
        <v>0</v>
      </c>
      <c r="AE174" s="7">
        <f>E174+AD174</f>
        <v>0</v>
      </c>
      <c r="AF174" s="8">
        <f>G174+I174+K174+M174+O174+Q174+S174+U174+W174+Y174+AA174+AC174</f>
        <v>0</v>
      </c>
      <c r="AG174" s="212">
        <f>SUM(AE174-AF174)</f>
        <v>0</v>
      </c>
      <c r="AH174" s="214"/>
      <c r="AI174" s="214"/>
    </row>
    <row r="175" spans="1:42" customHeight="1" ht="11.5">
      <c r="A175" s="5"/>
      <c r="B175" s="113"/>
      <c r="C175" s="90"/>
      <c r="D175" s="167"/>
      <c r="E175" s="86"/>
      <c r="F175" s="9"/>
      <c r="G175" s="10"/>
      <c r="H175" s="9"/>
      <c r="I175" s="10"/>
      <c r="J175" s="9"/>
      <c r="K175" s="10"/>
      <c r="L175" s="87"/>
      <c r="M175" s="10"/>
      <c r="N175" s="9"/>
      <c r="O175" s="10"/>
      <c r="P175" s="9"/>
      <c r="Q175" s="10"/>
      <c r="R175" s="9"/>
      <c r="S175" s="10"/>
      <c r="T175" s="9"/>
      <c r="U175" s="10"/>
      <c r="V175" s="9"/>
      <c r="W175" s="10"/>
      <c r="X175" s="9"/>
      <c r="Y175" s="10"/>
      <c r="Z175" s="9"/>
      <c r="AA175" s="10"/>
      <c r="AB175" s="11"/>
      <c r="AC175" s="10"/>
      <c r="AD175" s="7">
        <f>SUM(F175+H175+J175+L175+N175+P175+R175+T175+V175+X175+Z175+AB175)</f>
        <v>0</v>
      </c>
      <c r="AE175" s="7">
        <f>E175+AD175</f>
        <v>0</v>
      </c>
      <c r="AF175" s="8">
        <f>G175+I175+K175+M175+O175+Q175+S175+U175+W175+Y175+AA175+AC175</f>
        <v>0</v>
      </c>
      <c r="AG175" s="212">
        <f>SUM(AE175-AF175)</f>
        <v>0</v>
      </c>
      <c r="AH175" s="214"/>
      <c r="AI175" s="214"/>
    </row>
    <row r="176" spans="1:42" customHeight="1" ht="11.5">
      <c r="A176" s="5"/>
      <c r="B176" s="113"/>
      <c r="C176" s="90"/>
      <c r="D176" s="167"/>
      <c r="E176" s="86"/>
      <c r="F176" s="9"/>
      <c r="G176" s="10"/>
      <c r="H176" s="9"/>
      <c r="I176" s="10"/>
      <c r="J176" s="9"/>
      <c r="K176" s="10"/>
      <c r="L176" s="87"/>
      <c r="M176" s="10"/>
      <c r="N176" s="9"/>
      <c r="O176" s="10"/>
      <c r="P176" s="9"/>
      <c r="Q176" s="10"/>
      <c r="R176" s="9"/>
      <c r="S176" s="10"/>
      <c r="T176" s="9"/>
      <c r="U176" s="10"/>
      <c r="V176" s="9"/>
      <c r="W176" s="10"/>
      <c r="X176" s="9"/>
      <c r="Y176" s="10"/>
      <c r="Z176" s="9"/>
      <c r="AA176" s="10"/>
      <c r="AB176" s="11"/>
      <c r="AC176" s="10"/>
      <c r="AD176" s="7">
        <f>SUM(F176+H176+J176+L176+N176+P176+R176+T176+V176+X176+Z176+AB176)</f>
        <v>0</v>
      </c>
      <c r="AE176" s="7">
        <f>E176+AD176</f>
        <v>0</v>
      </c>
      <c r="AF176" s="8">
        <f>G176+I176+K176+M176+O176+Q176+S176+U176+W176+Y176+AA176+AC176</f>
        <v>0</v>
      </c>
      <c r="AG176" s="212">
        <f>SUM(AE176-AF176)</f>
        <v>0</v>
      </c>
      <c r="AH176" s="214"/>
      <c r="AI176" s="214"/>
    </row>
    <row r="177" spans="1:42" customHeight="1" ht="11.5">
      <c r="A177" s="5"/>
      <c r="B177" s="113"/>
      <c r="C177" s="90"/>
      <c r="D177" s="167"/>
      <c r="E177" s="86"/>
      <c r="F177" s="9"/>
      <c r="G177" s="10"/>
      <c r="H177" s="9"/>
      <c r="I177" s="10"/>
      <c r="J177" s="9"/>
      <c r="K177" s="10"/>
      <c r="L177" s="87"/>
      <c r="M177" s="10"/>
      <c r="N177" s="9"/>
      <c r="O177" s="10"/>
      <c r="P177" s="9"/>
      <c r="Q177" s="10"/>
      <c r="R177" s="9"/>
      <c r="S177" s="10"/>
      <c r="T177" s="9"/>
      <c r="U177" s="10"/>
      <c r="V177" s="9"/>
      <c r="W177" s="10"/>
      <c r="X177" s="9"/>
      <c r="Y177" s="10"/>
      <c r="Z177" s="9"/>
      <c r="AA177" s="10"/>
      <c r="AB177" s="11"/>
      <c r="AC177" s="10"/>
      <c r="AD177" s="7">
        <f>SUM(F177+H177+J177+L177+N177+P177+R177+T177+V177+X177+Z177+AB177)</f>
        <v>0</v>
      </c>
      <c r="AE177" s="7">
        <f>E177+AD177</f>
        <v>0</v>
      </c>
      <c r="AF177" s="8">
        <f>G177+I177+K177+M177+O177+Q177+S177+U177+W177+Y177+AA177+AC177</f>
        <v>0</v>
      </c>
      <c r="AG177" s="212">
        <f>SUM(AE177-AF177)</f>
        <v>0</v>
      </c>
      <c r="AH177" s="214"/>
      <c r="AI177" s="214"/>
    </row>
    <row r="178" spans="1:42" customHeight="1" ht="11.5">
      <c r="A178" s="5"/>
      <c r="B178" s="113"/>
      <c r="C178" s="90"/>
      <c r="D178" s="167"/>
      <c r="E178" s="86"/>
      <c r="F178" s="9"/>
      <c r="G178" s="10"/>
      <c r="H178" s="9"/>
      <c r="I178" s="10"/>
      <c r="J178" s="9"/>
      <c r="K178" s="10"/>
      <c r="L178" s="87"/>
      <c r="M178" s="10"/>
      <c r="N178" s="9"/>
      <c r="O178" s="10"/>
      <c r="P178" s="9"/>
      <c r="Q178" s="10"/>
      <c r="R178" s="9"/>
      <c r="S178" s="10"/>
      <c r="T178" s="9"/>
      <c r="U178" s="10"/>
      <c r="V178" s="9"/>
      <c r="W178" s="10"/>
      <c r="X178" s="9"/>
      <c r="Y178" s="10"/>
      <c r="Z178" s="9"/>
      <c r="AA178" s="10"/>
      <c r="AB178" s="11"/>
      <c r="AC178" s="10"/>
      <c r="AD178" s="7">
        <f>SUM(F178+H178+J178+L178+N178+P178+R178+T178+V178+X178+Z178+AB178)</f>
        <v>0</v>
      </c>
      <c r="AE178" s="7">
        <f>E178+AD178</f>
        <v>0</v>
      </c>
      <c r="AF178" s="8">
        <f>G178+I178+K178+M178+O178+Q178+S178+U178+W178+Y178+AA178+AC178</f>
        <v>0</v>
      </c>
      <c r="AG178" s="212">
        <f>SUM(AE178-AF178)</f>
        <v>0</v>
      </c>
      <c r="AH178" s="214"/>
      <c r="AI178" s="214"/>
    </row>
    <row r="179" spans="1:42" customHeight="1" ht="11.5">
      <c r="A179" s="5"/>
      <c r="B179" s="113"/>
      <c r="C179" s="90"/>
      <c r="D179" s="167"/>
      <c r="E179" s="86"/>
      <c r="F179" s="9"/>
      <c r="G179" s="10"/>
      <c r="H179" s="9"/>
      <c r="I179" s="10"/>
      <c r="J179" s="9"/>
      <c r="K179" s="10"/>
      <c r="L179" s="87"/>
      <c r="M179" s="10"/>
      <c r="N179" s="9"/>
      <c r="O179" s="10"/>
      <c r="P179" s="9"/>
      <c r="Q179" s="10"/>
      <c r="R179" s="9"/>
      <c r="S179" s="10"/>
      <c r="T179" s="9"/>
      <c r="U179" s="10"/>
      <c r="V179" s="9"/>
      <c r="W179" s="10"/>
      <c r="X179" s="9"/>
      <c r="Y179" s="10"/>
      <c r="Z179" s="9"/>
      <c r="AA179" s="10"/>
      <c r="AB179" s="11"/>
      <c r="AC179" s="10"/>
      <c r="AD179" s="7">
        <f>SUM(F179+H179+J179+L179+N179+P179+R179+T179+V179+X179+Z179+AB179)</f>
        <v>0</v>
      </c>
      <c r="AE179" s="7">
        <f>E179+AD179</f>
        <v>0</v>
      </c>
      <c r="AF179" s="8">
        <f>G179+I179+K179+M179+O179+Q179+S179+U179+W179+Y179+AA179+AC179</f>
        <v>0</v>
      </c>
      <c r="AG179" s="212">
        <f>SUM(AE179-AF179)</f>
        <v>0</v>
      </c>
      <c r="AH179" s="214"/>
      <c r="AI179" s="214"/>
    </row>
    <row r="180" spans="1:42" customHeight="1" ht="11.5">
      <c r="A180" s="5"/>
      <c r="B180" s="113"/>
      <c r="C180" s="90"/>
      <c r="D180" s="167"/>
      <c r="E180" s="86"/>
      <c r="F180" s="9"/>
      <c r="G180" s="10"/>
      <c r="H180" s="9"/>
      <c r="I180" s="10"/>
      <c r="J180" s="9"/>
      <c r="K180" s="10"/>
      <c r="L180" s="87"/>
      <c r="M180" s="10"/>
      <c r="N180" s="9"/>
      <c r="O180" s="10"/>
      <c r="P180" s="9"/>
      <c r="Q180" s="10"/>
      <c r="R180" s="9"/>
      <c r="S180" s="10"/>
      <c r="T180" s="9"/>
      <c r="U180" s="10"/>
      <c r="V180" s="9"/>
      <c r="W180" s="10"/>
      <c r="X180" s="9"/>
      <c r="Y180" s="10"/>
      <c r="Z180" s="9"/>
      <c r="AA180" s="10"/>
      <c r="AB180" s="11"/>
      <c r="AC180" s="10"/>
      <c r="AD180" s="7">
        <f>SUM(F180+H180+J180+L180+N180+P180+R180+T180+V180+X180+Z180+AB180)</f>
        <v>0</v>
      </c>
      <c r="AE180" s="7">
        <f>E180+AD180</f>
        <v>0</v>
      </c>
      <c r="AF180" s="8">
        <f>G180+I180+K180+M180+O180+Q180+S180+U180+W180+Y180+AA180+AC180</f>
        <v>0</v>
      </c>
      <c r="AG180" s="212">
        <f>SUM(AE180-AF180)</f>
        <v>0</v>
      </c>
      <c r="AH180" s="214"/>
      <c r="AI180" s="214"/>
    </row>
    <row r="181" spans="1:42" customHeight="1" ht="11.5">
      <c r="A181" s="5"/>
      <c r="B181" s="113"/>
      <c r="C181" s="90"/>
      <c r="D181" s="167"/>
      <c r="E181" s="86"/>
      <c r="F181" s="9"/>
      <c r="G181" s="10"/>
      <c r="H181" s="9"/>
      <c r="I181" s="10"/>
      <c r="J181" s="9"/>
      <c r="K181" s="10"/>
      <c r="L181" s="87"/>
      <c r="M181" s="10"/>
      <c r="N181" s="9"/>
      <c r="O181" s="10"/>
      <c r="P181" s="9"/>
      <c r="Q181" s="10"/>
      <c r="R181" s="9"/>
      <c r="S181" s="10"/>
      <c r="T181" s="9"/>
      <c r="U181" s="10"/>
      <c r="V181" s="9"/>
      <c r="W181" s="10"/>
      <c r="X181" s="9"/>
      <c r="Y181" s="10"/>
      <c r="Z181" s="9"/>
      <c r="AA181" s="10"/>
      <c r="AB181" s="11"/>
      <c r="AC181" s="10"/>
      <c r="AD181" s="7">
        <f>SUM(F181+H181+J181+L181+N181+P181+R181+T181+V181+X181+Z181+AB181)</f>
        <v>0</v>
      </c>
      <c r="AE181" s="7">
        <f>E181+AD181</f>
        <v>0</v>
      </c>
      <c r="AF181" s="8">
        <f>G181+I181+K181+M181+O181+Q181+S181+U181+W181+Y181+AA181+AC181</f>
        <v>0</v>
      </c>
      <c r="AG181" s="212">
        <f>SUM(AE181-AF181)</f>
        <v>0</v>
      </c>
      <c r="AH181" s="214"/>
      <c r="AI181" s="214"/>
    </row>
    <row r="182" spans="1:42" customHeight="1" ht="11.5">
      <c r="A182" s="5"/>
      <c r="B182" s="113"/>
      <c r="C182" s="90"/>
      <c r="D182" s="167"/>
      <c r="E182" s="86"/>
      <c r="F182" s="9"/>
      <c r="G182" s="10"/>
      <c r="H182" s="9"/>
      <c r="I182" s="10"/>
      <c r="J182" s="9"/>
      <c r="K182" s="10"/>
      <c r="L182" s="87"/>
      <c r="M182" s="10"/>
      <c r="N182" s="9"/>
      <c r="O182" s="10"/>
      <c r="P182" s="9"/>
      <c r="Q182" s="10"/>
      <c r="R182" s="9"/>
      <c r="S182" s="10"/>
      <c r="T182" s="9"/>
      <c r="U182" s="10"/>
      <c r="V182" s="9"/>
      <c r="W182" s="10"/>
      <c r="X182" s="9"/>
      <c r="Y182" s="10"/>
      <c r="Z182" s="9"/>
      <c r="AA182" s="10"/>
      <c r="AB182" s="11"/>
      <c r="AC182" s="10"/>
      <c r="AD182" s="7">
        <f>SUM(F182+H182+J182+L182+N182+P182+R182+T182+V182+X182+Z182+AB182)</f>
        <v>0</v>
      </c>
      <c r="AE182" s="7">
        <f>E182+AD182</f>
        <v>0</v>
      </c>
      <c r="AF182" s="8">
        <f>G182+I182+K182+M182+O182+Q182+S182+U182+W182+Y182+AA182+AC182</f>
        <v>0</v>
      </c>
      <c r="AG182" s="212">
        <f>SUM(AE182-AF182)</f>
        <v>0</v>
      </c>
      <c r="AH182" s="214"/>
      <c r="AI182" s="214"/>
    </row>
    <row r="183" spans="1:42" customHeight="1" ht="11.5">
      <c r="A183" s="5"/>
      <c r="B183" s="113"/>
      <c r="C183" s="90"/>
      <c r="D183" s="167"/>
      <c r="E183" s="86"/>
      <c r="F183" s="9"/>
      <c r="G183" s="10"/>
      <c r="H183" s="9"/>
      <c r="I183" s="10"/>
      <c r="J183" s="9"/>
      <c r="K183" s="10"/>
      <c r="L183" s="87"/>
      <c r="M183" s="10"/>
      <c r="N183" s="9"/>
      <c r="O183" s="10"/>
      <c r="P183" s="9"/>
      <c r="Q183" s="10"/>
      <c r="R183" s="9"/>
      <c r="S183" s="10"/>
      <c r="T183" s="9"/>
      <c r="U183" s="10"/>
      <c r="V183" s="9"/>
      <c r="W183" s="10"/>
      <c r="X183" s="9"/>
      <c r="Y183" s="10"/>
      <c r="Z183" s="9"/>
      <c r="AA183" s="10"/>
      <c r="AB183" s="11"/>
      <c r="AC183" s="10"/>
      <c r="AD183" s="7">
        <f>SUM(F183+H183+J183+L183+N183+P183+R183+T183+V183+X183+Z183+AB183)</f>
        <v>0</v>
      </c>
      <c r="AE183" s="7">
        <f>E183+AD183</f>
        <v>0</v>
      </c>
      <c r="AF183" s="8">
        <f>G183+I183+K183+M183+O183+Q183+S183+U183+W183+Y183+AA183+AC183</f>
        <v>0</v>
      </c>
      <c r="AG183" s="212">
        <f>SUM(AE183-AF183)</f>
        <v>0</v>
      </c>
      <c r="AH183" s="214"/>
      <c r="AI183" s="214"/>
    </row>
    <row r="184" spans="1:42" customHeight="1" ht="11.5">
      <c r="A184" s="5"/>
      <c r="B184" s="113"/>
      <c r="C184" s="90"/>
      <c r="D184" s="167"/>
      <c r="E184" s="86"/>
      <c r="F184" s="9"/>
      <c r="G184" s="10"/>
      <c r="H184" s="9"/>
      <c r="I184" s="10"/>
      <c r="J184" s="9"/>
      <c r="K184" s="10"/>
      <c r="L184" s="87"/>
      <c r="M184" s="10"/>
      <c r="N184" s="9"/>
      <c r="O184" s="10"/>
      <c r="P184" s="9"/>
      <c r="Q184" s="10"/>
      <c r="R184" s="9"/>
      <c r="S184" s="10"/>
      <c r="T184" s="9"/>
      <c r="U184" s="10"/>
      <c r="V184" s="9"/>
      <c r="W184" s="10"/>
      <c r="X184" s="9"/>
      <c r="Y184" s="10"/>
      <c r="Z184" s="9"/>
      <c r="AA184" s="10"/>
      <c r="AB184" s="11"/>
      <c r="AC184" s="10"/>
      <c r="AD184" s="7">
        <f>SUM(F184+H184+J184+L184+N184+P184+R184+T184+V184+X184+Z184+AB184)</f>
        <v>0</v>
      </c>
      <c r="AE184" s="7">
        <f>E184+AD184</f>
        <v>0</v>
      </c>
      <c r="AF184" s="8">
        <f>G184+I184+K184+M184+O184+Q184+S184+U184+W184+Y184+AA184+AC184</f>
        <v>0</v>
      </c>
      <c r="AG184" s="212">
        <f>SUM(AE184-AF184)</f>
        <v>0</v>
      </c>
      <c r="AH184" s="214"/>
      <c r="AI184" s="214"/>
    </row>
    <row r="185" spans="1:42" customHeight="1" ht="11.5">
      <c r="A185" s="5"/>
      <c r="B185" s="113"/>
      <c r="C185" s="90"/>
      <c r="D185" s="167"/>
      <c r="E185" s="86"/>
      <c r="F185" s="9"/>
      <c r="G185" s="10"/>
      <c r="H185" s="9"/>
      <c r="I185" s="10"/>
      <c r="J185" s="9"/>
      <c r="K185" s="10"/>
      <c r="L185" s="87"/>
      <c r="M185" s="10"/>
      <c r="N185" s="9"/>
      <c r="O185" s="10"/>
      <c r="P185" s="9"/>
      <c r="Q185" s="10"/>
      <c r="R185" s="9"/>
      <c r="S185" s="10"/>
      <c r="T185" s="9"/>
      <c r="U185" s="10"/>
      <c r="V185" s="9"/>
      <c r="W185" s="10"/>
      <c r="X185" s="9"/>
      <c r="Y185" s="10"/>
      <c r="Z185" s="9"/>
      <c r="AA185" s="10"/>
      <c r="AB185" s="11"/>
      <c r="AC185" s="10"/>
      <c r="AD185" s="7">
        <f>SUM(F185+H185+J185+L185+N185+P185+R185+T185+V185+X185+Z185+AB185)</f>
        <v>0</v>
      </c>
      <c r="AE185" s="7">
        <f>E185+AD185</f>
        <v>0</v>
      </c>
      <c r="AF185" s="8">
        <f>G185+I185+K185+M185+O185+Q185+S185+U185+W185+Y185+AA185+AC185</f>
        <v>0</v>
      </c>
      <c r="AG185" s="212">
        <f>SUM(AE185-AF185)</f>
        <v>0</v>
      </c>
      <c r="AH185" s="214"/>
      <c r="AI185" s="214"/>
    </row>
    <row r="186" spans="1:42" customHeight="1" ht="11.5">
      <c r="A186" s="5"/>
      <c r="B186" s="113"/>
      <c r="C186" s="90"/>
      <c r="D186" s="167"/>
      <c r="E186" s="86"/>
      <c r="F186" s="9"/>
      <c r="G186" s="10"/>
      <c r="H186" s="9"/>
      <c r="I186" s="10"/>
      <c r="J186" s="9"/>
      <c r="K186" s="10"/>
      <c r="L186" s="87"/>
      <c r="M186" s="10"/>
      <c r="N186" s="9"/>
      <c r="O186" s="10"/>
      <c r="P186" s="9"/>
      <c r="Q186" s="10"/>
      <c r="R186" s="9"/>
      <c r="S186" s="10"/>
      <c r="T186" s="9"/>
      <c r="U186" s="10"/>
      <c r="V186" s="9"/>
      <c r="W186" s="10"/>
      <c r="X186" s="9"/>
      <c r="Y186" s="10"/>
      <c r="Z186" s="9"/>
      <c r="AA186" s="10"/>
      <c r="AB186" s="11"/>
      <c r="AC186" s="10"/>
      <c r="AD186" s="7">
        <f>SUM(F186+H186+J186+L186+N186+P186+R186+T186+V186+X186+Z186+AB186)</f>
        <v>0</v>
      </c>
      <c r="AE186" s="7">
        <f>E186+AD186</f>
        <v>0</v>
      </c>
      <c r="AF186" s="8">
        <f>G186+I186+K186+M186+O186+Q186+S186+U186+W186+Y186+AA186+AC186</f>
        <v>0</v>
      </c>
      <c r="AG186" s="212">
        <f>SUM(AE186-AF186)</f>
        <v>0</v>
      </c>
      <c r="AH186" s="214"/>
      <c r="AI186" s="214"/>
    </row>
    <row r="187" spans="1:42" customHeight="1" ht="11.5">
      <c r="A187" s="5"/>
      <c r="B187" s="113"/>
      <c r="C187" s="90"/>
      <c r="D187" s="167"/>
      <c r="E187" s="86"/>
      <c r="F187" s="9"/>
      <c r="G187" s="10"/>
      <c r="H187" s="9"/>
      <c r="I187" s="10"/>
      <c r="J187" s="9"/>
      <c r="K187" s="10"/>
      <c r="L187" s="87"/>
      <c r="M187" s="10"/>
      <c r="N187" s="9"/>
      <c r="O187" s="10"/>
      <c r="P187" s="9"/>
      <c r="Q187" s="10"/>
      <c r="R187" s="9"/>
      <c r="S187" s="10"/>
      <c r="T187" s="9"/>
      <c r="U187" s="10"/>
      <c r="V187" s="9"/>
      <c r="W187" s="10"/>
      <c r="X187" s="9"/>
      <c r="Y187" s="10"/>
      <c r="Z187" s="9"/>
      <c r="AA187" s="10"/>
      <c r="AB187" s="11"/>
      <c r="AC187" s="10"/>
      <c r="AD187" s="7">
        <f>SUM(F187+H187+J187+L187+N187+P187+R187+T187+V187+X187+Z187+AB187)</f>
        <v>0</v>
      </c>
      <c r="AE187" s="7">
        <f>E187+AD187</f>
        <v>0</v>
      </c>
      <c r="AF187" s="8">
        <f>G187+I187+K187+M187+O187+Q187+S187+U187+W187+Y187+AA187+AC187</f>
        <v>0</v>
      </c>
      <c r="AG187" s="212">
        <f>SUM(AE187-AF187)</f>
        <v>0</v>
      </c>
      <c r="AH187" s="214"/>
      <c r="AI187" s="214"/>
    </row>
    <row r="188" spans="1:42" customHeight="1" ht="11.5">
      <c r="A188" s="5"/>
      <c r="B188" s="113"/>
      <c r="C188" s="90"/>
      <c r="D188" s="167"/>
      <c r="E188" s="86"/>
      <c r="F188" s="9"/>
      <c r="G188" s="10"/>
      <c r="H188" s="9"/>
      <c r="I188" s="10"/>
      <c r="J188" s="9"/>
      <c r="K188" s="10"/>
      <c r="L188" s="87"/>
      <c r="M188" s="10"/>
      <c r="N188" s="9"/>
      <c r="O188" s="10"/>
      <c r="P188" s="9"/>
      <c r="Q188" s="10"/>
      <c r="R188" s="9"/>
      <c r="S188" s="10"/>
      <c r="T188" s="9"/>
      <c r="U188" s="10"/>
      <c r="V188" s="9"/>
      <c r="W188" s="10"/>
      <c r="X188" s="9"/>
      <c r="Y188" s="10"/>
      <c r="Z188" s="9"/>
      <c r="AA188" s="10"/>
      <c r="AB188" s="11"/>
      <c r="AC188" s="10"/>
      <c r="AD188" s="7">
        <f>SUM(F188+H188+J188+L188+N188+P188+R188+T188+V188+X188+Z188+AB188)</f>
        <v>0</v>
      </c>
      <c r="AE188" s="7">
        <f>E188+AD188</f>
        <v>0</v>
      </c>
      <c r="AF188" s="8">
        <f>G188+I188+K188+M188+O188+Q188+S188+U188+W188+Y188+AA188+AC188</f>
        <v>0</v>
      </c>
      <c r="AG188" s="212">
        <f>SUM(AE188-AF188)</f>
        <v>0</v>
      </c>
      <c r="AH188" s="214"/>
      <c r="AI188" s="214"/>
    </row>
    <row r="189" spans="1:42" customHeight="1" ht="11.5">
      <c r="A189" s="5"/>
      <c r="B189" s="113"/>
      <c r="C189" s="90"/>
      <c r="D189" s="167"/>
      <c r="E189" s="86"/>
      <c r="F189" s="9"/>
      <c r="G189" s="10"/>
      <c r="H189" s="9"/>
      <c r="I189" s="10"/>
      <c r="J189" s="9"/>
      <c r="K189" s="10"/>
      <c r="L189" s="87"/>
      <c r="M189" s="10"/>
      <c r="N189" s="9"/>
      <c r="O189" s="10"/>
      <c r="P189" s="9"/>
      <c r="Q189" s="10"/>
      <c r="R189" s="9"/>
      <c r="S189" s="10"/>
      <c r="T189" s="9"/>
      <c r="U189" s="10"/>
      <c r="V189" s="9"/>
      <c r="W189" s="10"/>
      <c r="X189" s="9"/>
      <c r="Y189" s="10"/>
      <c r="Z189" s="9"/>
      <c r="AA189" s="10"/>
      <c r="AB189" s="11"/>
      <c r="AC189" s="10"/>
      <c r="AD189" s="7">
        <f>SUM(F189+H189+J189+L189+N189+P189+R189+T189+V189+X189+Z189+AB189)</f>
        <v>0</v>
      </c>
      <c r="AE189" s="7">
        <f>E189+AD189</f>
        <v>0</v>
      </c>
      <c r="AF189" s="8">
        <f>G189+I189+K189+M189+O189+Q189+S189+U189+W189+Y189+AA189+AC189</f>
        <v>0</v>
      </c>
      <c r="AG189" s="212">
        <f>SUM(AE189-AF189)</f>
        <v>0</v>
      </c>
      <c r="AH189" s="214"/>
      <c r="AI189" s="214"/>
    </row>
    <row r="190" spans="1:42" customHeight="1" ht="11.5">
      <c r="A190" s="5"/>
      <c r="B190" s="113"/>
      <c r="C190" s="90"/>
      <c r="D190" s="167"/>
      <c r="E190" s="86"/>
      <c r="F190" s="9"/>
      <c r="G190" s="10"/>
      <c r="H190" s="9"/>
      <c r="I190" s="10"/>
      <c r="J190" s="9"/>
      <c r="K190" s="10"/>
      <c r="L190" s="87"/>
      <c r="M190" s="10"/>
      <c r="N190" s="9"/>
      <c r="O190" s="10"/>
      <c r="P190" s="9"/>
      <c r="Q190" s="10"/>
      <c r="R190" s="9"/>
      <c r="S190" s="10"/>
      <c r="T190" s="9"/>
      <c r="U190" s="10"/>
      <c r="V190" s="9"/>
      <c r="W190" s="10"/>
      <c r="X190" s="9"/>
      <c r="Y190" s="10"/>
      <c r="Z190" s="9"/>
      <c r="AA190" s="10"/>
      <c r="AB190" s="11"/>
      <c r="AC190" s="10"/>
      <c r="AD190" s="7">
        <f>SUM(F190+H190+J190+L190+N190+P190+R190+T190+V190+X190+Z190+AB190)</f>
        <v>0</v>
      </c>
      <c r="AE190" s="7">
        <f>E190+AD190</f>
        <v>0</v>
      </c>
      <c r="AF190" s="8">
        <f>G190+I190+K190+M190+O190+Q190+S190+U190+W190+Y190+AA190+AC190</f>
        <v>0</v>
      </c>
      <c r="AG190" s="212">
        <f>SUM(AE190-AF190)</f>
        <v>0</v>
      </c>
      <c r="AH190" s="214"/>
      <c r="AI190" s="214"/>
    </row>
    <row r="191" spans="1:42" customHeight="1" ht="11.5">
      <c r="A191" s="5"/>
      <c r="B191" s="113"/>
      <c r="C191" s="90"/>
      <c r="D191" s="167"/>
      <c r="E191" s="86"/>
      <c r="F191" s="9"/>
      <c r="G191" s="10"/>
      <c r="H191" s="9"/>
      <c r="I191" s="10"/>
      <c r="J191" s="9"/>
      <c r="K191" s="10"/>
      <c r="L191" s="87"/>
      <c r="M191" s="10"/>
      <c r="N191" s="9"/>
      <c r="O191" s="10"/>
      <c r="P191" s="9"/>
      <c r="Q191" s="10"/>
      <c r="R191" s="9"/>
      <c r="S191" s="10"/>
      <c r="T191" s="9"/>
      <c r="U191" s="10"/>
      <c r="V191" s="9"/>
      <c r="W191" s="10"/>
      <c r="X191" s="9"/>
      <c r="Y191" s="10"/>
      <c r="Z191" s="9"/>
      <c r="AA191" s="10"/>
      <c r="AB191" s="11"/>
      <c r="AC191" s="10"/>
      <c r="AD191" s="7">
        <f>SUM(F191+H191+J191+L191+N191+P191+R191+T191+V191+X191+Z191+AB191)</f>
        <v>0</v>
      </c>
      <c r="AE191" s="7">
        <f>E191+AD191</f>
        <v>0</v>
      </c>
      <c r="AF191" s="8">
        <f>G191+I191+K191+M191+O191+Q191+S191+U191+W191+Y191+AA191+AC191</f>
        <v>0</v>
      </c>
      <c r="AG191" s="212">
        <f>SUM(AE191-AF191)</f>
        <v>0</v>
      </c>
      <c r="AH191" s="214"/>
      <c r="AI191" s="214"/>
    </row>
    <row r="192" spans="1:42" customHeight="1" ht="11.5">
      <c r="A192" s="5"/>
      <c r="B192" s="113"/>
      <c r="C192" s="90"/>
      <c r="D192" s="167"/>
      <c r="E192" s="86"/>
      <c r="F192" s="9"/>
      <c r="G192" s="10"/>
      <c r="H192" s="9"/>
      <c r="I192" s="10"/>
      <c r="J192" s="9"/>
      <c r="K192" s="10"/>
      <c r="L192" s="87"/>
      <c r="M192" s="10"/>
      <c r="N192" s="9"/>
      <c r="O192" s="10"/>
      <c r="P192" s="9"/>
      <c r="Q192" s="10"/>
      <c r="R192" s="9"/>
      <c r="S192" s="10"/>
      <c r="T192" s="9"/>
      <c r="U192" s="10"/>
      <c r="V192" s="9"/>
      <c r="W192" s="10"/>
      <c r="X192" s="9"/>
      <c r="Y192" s="10"/>
      <c r="Z192" s="9"/>
      <c r="AA192" s="10"/>
      <c r="AB192" s="11"/>
      <c r="AC192" s="10"/>
      <c r="AD192" s="7">
        <f>SUM(F192+H192+J192+L192+N192+P192+R192+T192+V192+X192+Z192+AB192)</f>
        <v>0</v>
      </c>
      <c r="AE192" s="7">
        <f>E192+AD192</f>
        <v>0</v>
      </c>
      <c r="AF192" s="8">
        <f>G192+I192+K192+M192+O192+Q192+S192+U192+W192+Y192+AA192+AC192</f>
        <v>0</v>
      </c>
      <c r="AG192" s="212">
        <f>SUM(AE192-AF192)</f>
        <v>0</v>
      </c>
      <c r="AH192" s="214"/>
      <c r="AI192" s="214"/>
    </row>
    <row r="193" spans="1:42" customHeight="1" ht="11.5">
      <c r="A193" s="5"/>
      <c r="B193" s="113"/>
      <c r="C193" s="90"/>
      <c r="D193" s="167"/>
      <c r="E193" s="86"/>
      <c r="F193" s="9"/>
      <c r="G193" s="10"/>
      <c r="H193" s="9"/>
      <c r="I193" s="10"/>
      <c r="J193" s="9"/>
      <c r="K193" s="10"/>
      <c r="L193" s="87"/>
      <c r="M193" s="10"/>
      <c r="N193" s="9"/>
      <c r="O193" s="10"/>
      <c r="P193" s="9"/>
      <c r="Q193" s="10"/>
      <c r="R193" s="9"/>
      <c r="S193" s="10"/>
      <c r="T193" s="9"/>
      <c r="U193" s="10"/>
      <c r="V193" s="9"/>
      <c r="W193" s="10"/>
      <c r="X193" s="9"/>
      <c r="Y193" s="10"/>
      <c r="Z193" s="9"/>
      <c r="AA193" s="10"/>
      <c r="AB193" s="11"/>
      <c r="AC193" s="10"/>
      <c r="AD193" s="7">
        <f>SUM(F193+H193+J193+L193+N193+P193+R193+T193+V193+X193+Z193+AB193)</f>
        <v>0</v>
      </c>
      <c r="AE193" s="7">
        <f>E193+AD193</f>
        <v>0</v>
      </c>
      <c r="AF193" s="8">
        <f>G193+I193+K193+M193+O193+Q193+S193+U193+W193+Y193+AA193+AC193</f>
        <v>0</v>
      </c>
      <c r="AG193" s="212">
        <f>SUM(AE193-AF193)</f>
        <v>0</v>
      </c>
      <c r="AH193" s="214"/>
      <c r="AI193" s="214"/>
    </row>
    <row r="194" spans="1:42" customHeight="1" ht="11.5">
      <c r="A194" s="5"/>
      <c r="B194" s="113"/>
      <c r="C194" s="90"/>
      <c r="D194" s="167"/>
      <c r="E194" s="86"/>
      <c r="F194" s="9"/>
      <c r="G194" s="10"/>
      <c r="H194" s="9"/>
      <c r="I194" s="10"/>
      <c r="J194" s="9"/>
      <c r="K194" s="10"/>
      <c r="L194" s="87"/>
      <c r="M194" s="10"/>
      <c r="N194" s="9"/>
      <c r="O194" s="10"/>
      <c r="P194" s="9"/>
      <c r="Q194" s="10"/>
      <c r="R194" s="9"/>
      <c r="S194" s="10"/>
      <c r="T194" s="9"/>
      <c r="U194" s="10"/>
      <c r="V194" s="9"/>
      <c r="W194" s="10"/>
      <c r="X194" s="9"/>
      <c r="Y194" s="10"/>
      <c r="Z194" s="9"/>
      <c r="AA194" s="10"/>
      <c r="AB194" s="11"/>
      <c r="AC194" s="10"/>
      <c r="AD194" s="7">
        <f>SUM(F194+H194+J194+L194+N194+P194+R194+T194+V194+X194+Z194+AB194)</f>
        <v>0</v>
      </c>
      <c r="AE194" s="7">
        <f>E194+AD194</f>
        <v>0</v>
      </c>
      <c r="AF194" s="8">
        <f>G194+I194+K194+M194+O194+Q194+S194+U194+W194+Y194+AA194+AC194</f>
        <v>0</v>
      </c>
      <c r="AG194" s="212">
        <f>SUM(AE194-AF194)</f>
        <v>0</v>
      </c>
      <c r="AH194" s="214"/>
      <c r="AI194" s="214"/>
    </row>
    <row r="195" spans="1:42" customHeight="1" ht="11.5">
      <c r="A195" s="5"/>
      <c r="B195" s="113"/>
      <c r="C195" s="90"/>
      <c r="D195" s="167"/>
      <c r="E195" s="86"/>
      <c r="F195" s="9"/>
      <c r="G195" s="10"/>
      <c r="H195" s="9"/>
      <c r="I195" s="10"/>
      <c r="J195" s="9"/>
      <c r="K195" s="10"/>
      <c r="L195" s="87"/>
      <c r="M195" s="10"/>
      <c r="N195" s="9"/>
      <c r="O195" s="10"/>
      <c r="P195" s="9"/>
      <c r="Q195" s="10"/>
      <c r="R195" s="9"/>
      <c r="S195" s="10"/>
      <c r="T195" s="9"/>
      <c r="U195" s="10"/>
      <c r="V195" s="9"/>
      <c r="W195" s="10"/>
      <c r="X195" s="9"/>
      <c r="Y195" s="10"/>
      <c r="Z195" s="9"/>
      <c r="AA195" s="10"/>
      <c r="AB195" s="11"/>
      <c r="AC195" s="10"/>
      <c r="AD195" s="7">
        <f>SUM(F195+H195+J195+L195+N195+P195+R195+T195+V195+X195+Z195+AB195)</f>
        <v>0</v>
      </c>
      <c r="AE195" s="7">
        <f>E195+AD195</f>
        <v>0</v>
      </c>
      <c r="AF195" s="8">
        <f>G195+I195+K195+M195+O195+Q195+S195+U195+W195+Y195+AA195+AC195</f>
        <v>0</v>
      </c>
      <c r="AG195" s="212">
        <f>SUM(AE195-AF195)</f>
        <v>0</v>
      </c>
      <c r="AH195" s="214"/>
      <c r="AI195" s="214"/>
    </row>
    <row r="196" spans="1:42" customHeight="1" ht="11.5">
      <c r="A196" s="5"/>
      <c r="B196" s="113"/>
      <c r="C196" s="90"/>
      <c r="D196" s="167"/>
      <c r="E196" s="86"/>
      <c r="F196" s="9"/>
      <c r="G196" s="10"/>
      <c r="H196" s="9"/>
      <c r="I196" s="10"/>
      <c r="J196" s="9"/>
      <c r="K196" s="10"/>
      <c r="L196" s="87"/>
      <c r="M196" s="10"/>
      <c r="N196" s="9"/>
      <c r="O196" s="10"/>
      <c r="P196" s="9"/>
      <c r="Q196" s="10"/>
      <c r="R196" s="9"/>
      <c r="S196" s="10"/>
      <c r="T196" s="9"/>
      <c r="U196" s="10"/>
      <c r="V196" s="9"/>
      <c r="W196" s="10"/>
      <c r="X196" s="9"/>
      <c r="Y196" s="10"/>
      <c r="Z196" s="9"/>
      <c r="AA196" s="10"/>
      <c r="AB196" s="11"/>
      <c r="AC196" s="10"/>
      <c r="AD196" s="7">
        <f>SUM(F196+H196+J196+L196+N196+P196+R196+T196+V196+X196+Z196+AB196)</f>
        <v>0</v>
      </c>
      <c r="AE196" s="7">
        <f>E196+AD196</f>
        <v>0</v>
      </c>
      <c r="AF196" s="8">
        <f>G196+I196+K196+M196+O196+Q196+S196+U196+W196+Y196+AA196+AC196</f>
        <v>0</v>
      </c>
      <c r="AG196" s="212">
        <f>SUM(AE196-AF196)</f>
        <v>0</v>
      </c>
      <c r="AH196" s="214"/>
      <c r="AI196" s="214"/>
    </row>
    <row r="197" spans="1:42" customHeight="1" ht="11.5">
      <c r="A197" s="5"/>
      <c r="B197" s="113"/>
      <c r="C197" s="90"/>
      <c r="D197" s="167"/>
      <c r="E197" s="86"/>
      <c r="F197" s="9"/>
      <c r="G197" s="10"/>
      <c r="H197" s="9"/>
      <c r="I197" s="10"/>
      <c r="J197" s="9"/>
      <c r="K197" s="10"/>
      <c r="L197" s="87"/>
      <c r="M197" s="10"/>
      <c r="N197" s="9"/>
      <c r="O197" s="10"/>
      <c r="P197" s="9"/>
      <c r="Q197" s="10"/>
      <c r="R197" s="9"/>
      <c r="S197" s="10"/>
      <c r="T197" s="9"/>
      <c r="U197" s="10"/>
      <c r="V197" s="9"/>
      <c r="W197" s="10"/>
      <c r="X197" s="9"/>
      <c r="Y197" s="10"/>
      <c r="Z197" s="9"/>
      <c r="AA197" s="10"/>
      <c r="AB197" s="11"/>
      <c r="AC197" s="10"/>
      <c r="AD197" s="7">
        <f>SUM(F197+H197+J197+L197+N197+P197+R197+T197+V197+X197+Z197+AB197)</f>
        <v>0</v>
      </c>
      <c r="AE197" s="7">
        <f>E197+AD197</f>
        <v>0</v>
      </c>
      <c r="AF197" s="8">
        <f>G197+I197+K197+M197+O197+Q197+S197+U197+W197+Y197+AA197+AC197</f>
        <v>0</v>
      </c>
      <c r="AG197" s="212">
        <f>SUM(AE197-AF197)</f>
        <v>0</v>
      </c>
      <c r="AH197" s="214"/>
      <c r="AI197" s="214"/>
    </row>
    <row r="198" spans="1:42" customHeight="1" ht="11.5">
      <c r="A198" s="5"/>
      <c r="B198" s="113"/>
      <c r="C198" s="90"/>
      <c r="D198" s="167"/>
      <c r="E198" s="86"/>
      <c r="F198" s="9"/>
      <c r="G198" s="10"/>
      <c r="H198" s="9"/>
      <c r="I198" s="10"/>
      <c r="J198" s="9"/>
      <c r="K198" s="10"/>
      <c r="L198" s="87"/>
      <c r="M198" s="10"/>
      <c r="N198" s="9"/>
      <c r="O198" s="10"/>
      <c r="P198" s="9"/>
      <c r="Q198" s="10"/>
      <c r="R198" s="9"/>
      <c r="S198" s="10"/>
      <c r="T198" s="9"/>
      <c r="U198" s="10"/>
      <c r="V198" s="9"/>
      <c r="W198" s="10"/>
      <c r="X198" s="9"/>
      <c r="Y198" s="10"/>
      <c r="Z198" s="9"/>
      <c r="AA198" s="10"/>
      <c r="AB198" s="11"/>
      <c r="AC198" s="10"/>
      <c r="AD198" s="7">
        <f>SUM(F198+H198+J198+L198+N198+P198+R198+T198+V198+X198+Z198+AB198)</f>
        <v>0</v>
      </c>
      <c r="AE198" s="7">
        <f>E198+AD198</f>
        <v>0</v>
      </c>
      <c r="AF198" s="8">
        <f>G198+I198+K198+M198+O198+Q198+S198+U198+W198+Y198+AA198+AC198</f>
        <v>0</v>
      </c>
      <c r="AG198" s="212">
        <f>SUM(AE198-AF198)</f>
        <v>0</v>
      </c>
      <c r="AH198" s="214"/>
      <c r="AI198" s="214"/>
    </row>
    <row r="199" spans="1:42" customHeight="1" ht="11.5">
      <c r="A199" s="5"/>
      <c r="B199" s="113"/>
      <c r="C199" s="90"/>
      <c r="D199" s="167"/>
      <c r="E199" s="86"/>
      <c r="F199" s="9"/>
      <c r="G199" s="10"/>
      <c r="H199" s="9"/>
      <c r="I199" s="10"/>
      <c r="J199" s="9"/>
      <c r="K199" s="10"/>
      <c r="L199" s="87"/>
      <c r="M199" s="10"/>
      <c r="N199" s="9"/>
      <c r="O199" s="10"/>
      <c r="P199" s="9"/>
      <c r="Q199" s="10"/>
      <c r="R199" s="9"/>
      <c r="S199" s="10"/>
      <c r="T199" s="9"/>
      <c r="U199" s="10"/>
      <c r="V199" s="9"/>
      <c r="W199" s="10"/>
      <c r="X199" s="9"/>
      <c r="Y199" s="10"/>
      <c r="Z199" s="9"/>
      <c r="AA199" s="10"/>
      <c r="AB199" s="11"/>
      <c r="AC199" s="10"/>
      <c r="AD199" s="7">
        <f>SUM(F199+H199+J199+L199+N199+P199+R199+T199+V199+X199+Z199+AB199)</f>
        <v>0</v>
      </c>
      <c r="AE199" s="7">
        <f>E199+AD199</f>
        <v>0</v>
      </c>
      <c r="AF199" s="8">
        <f>G199+I199+K199+M199+O199+Q199+S199+U199+W199+Y199+AA199+AC199</f>
        <v>0</v>
      </c>
      <c r="AG199" s="212">
        <f>SUM(AE199-AF199)</f>
        <v>0</v>
      </c>
      <c r="AH199" s="214"/>
      <c r="AI199" s="214"/>
    </row>
    <row r="200" spans="1:42" customHeight="1" ht="11.5">
      <c r="A200" s="5"/>
      <c r="B200" s="113"/>
      <c r="C200" s="90"/>
      <c r="D200" s="167"/>
      <c r="E200" s="86"/>
      <c r="F200" s="9"/>
      <c r="G200" s="10"/>
      <c r="H200" s="9"/>
      <c r="I200" s="10"/>
      <c r="J200" s="9"/>
      <c r="K200" s="10"/>
      <c r="L200" s="87"/>
      <c r="M200" s="10"/>
      <c r="N200" s="9"/>
      <c r="O200" s="10"/>
      <c r="P200" s="9"/>
      <c r="Q200" s="10"/>
      <c r="R200" s="9"/>
      <c r="S200" s="10"/>
      <c r="T200" s="9"/>
      <c r="U200" s="10"/>
      <c r="V200" s="9"/>
      <c r="W200" s="10"/>
      <c r="X200" s="9"/>
      <c r="Y200" s="10"/>
      <c r="Z200" s="9"/>
      <c r="AA200" s="10"/>
      <c r="AB200" s="11"/>
      <c r="AC200" s="10"/>
      <c r="AD200" s="7">
        <f>SUM(F200+H200+J200+L200+N200+P200+R200+T200+V200+X200+Z200+AB200)</f>
        <v>0</v>
      </c>
      <c r="AE200" s="7">
        <f>E200+AD200</f>
        <v>0</v>
      </c>
      <c r="AF200" s="8">
        <f>G200+I200+K200+M200+O200+Q200+S200+U200+W200+Y200+AA200+AC200</f>
        <v>0</v>
      </c>
      <c r="AG200" s="212">
        <f>SUM(AE200-AF200)</f>
        <v>0</v>
      </c>
      <c r="AH200" s="214"/>
      <c r="AI200" s="214"/>
    </row>
    <row r="201" spans="1:42" customHeight="1" ht="11.5">
      <c r="A201" s="5"/>
      <c r="B201" s="113"/>
      <c r="C201" s="90"/>
      <c r="D201" s="167"/>
      <c r="E201" s="86"/>
      <c r="F201" s="9"/>
      <c r="G201" s="10"/>
      <c r="H201" s="9"/>
      <c r="I201" s="10"/>
      <c r="J201" s="9"/>
      <c r="K201" s="10"/>
      <c r="L201" s="87"/>
      <c r="M201" s="10"/>
      <c r="N201" s="9"/>
      <c r="O201" s="10"/>
      <c r="P201" s="9"/>
      <c r="Q201" s="10"/>
      <c r="R201" s="9"/>
      <c r="S201" s="10"/>
      <c r="T201" s="9"/>
      <c r="U201" s="10"/>
      <c r="V201" s="9"/>
      <c r="W201" s="10"/>
      <c r="X201" s="9"/>
      <c r="Y201" s="10"/>
      <c r="Z201" s="9"/>
      <c r="AA201" s="10"/>
      <c r="AB201" s="11"/>
      <c r="AC201" s="10"/>
      <c r="AD201" s="7">
        <f>SUM(F201+H201+J201+L201+N201+P201+R201+T201+V201+X201+Z201+AB201)</f>
        <v>0</v>
      </c>
      <c r="AE201" s="7">
        <f>E201+AD201</f>
        <v>0</v>
      </c>
      <c r="AF201" s="8">
        <f>G201+I201+K201+M201+O201+Q201+S201+U201+W201+Y201+AA201+AC201</f>
        <v>0</v>
      </c>
      <c r="AG201" s="212">
        <f>SUM(AE201-AF201)</f>
        <v>0</v>
      </c>
      <c r="AH201" s="214"/>
      <c r="AI201" s="214"/>
    </row>
    <row r="202" spans="1:42" customHeight="1" ht="11.5">
      <c r="A202" s="5"/>
      <c r="B202" s="113"/>
      <c r="C202" s="90"/>
      <c r="D202" s="167"/>
      <c r="E202" s="86"/>
      <c r="F202" s="9"/>
      <c r="G202" s="10"/>
      <c r="H202" s="9"/>
      <c r="I202" s="10"/>
      <c r="J202" s="9"/>
      <c r="K202" s="10"/>
      <c r="L202" s="87"/>
      <c r="M202" s="10"/>
      <c r="N202" s="9"/>
      <c r="O202" s="10"/>
      <c r="P202" s="9"/>
      <c r="Q202" s="10"/>
      <c r="R202" s="9"/>
      <c r="S202" s="10"/>
      <c r="T202" s="9"/>
      <c r="U202" s="10"/>
      <c r="V202" s="9"/>
      <c r="W202" s="10"/>
      <c r="X202" s="9"/>
      <c r="Y202" s="10"/>
      <c r="Z202" s="9"/>
      <c r="AA202" s="10"/>
      <c r="AB202" s="11"/>
      <c r="AC202" s="10"/>
      <c r="AD202" s="7">
        <f>SUM(F202+H202+J202+L202+N202+P202+R202+T202+V202+X202+Z202+AB202)</f>
        <v>0</v>
      </c>
      <c r="AE202" s="7">
        <f>E202+AD202</f>
        <v>0</v>
      </c>
      <c r="AF202" s="8">
        <f>G202+I202+K202+M202+O202+Q202+S202+U202+W202+Y202+AA202+AC202</f>
        <v>0</v>
      </c>
      <c r="AG202" s="212">
        <f>SUM(AE202-AF202)</f>
        <v>0</v>
      </c>
      <c r="AH202" s="214"/>
      <c r="AI202" s="214"/>
    </row>
    <row r="203" spans="1:42" customHeight="1" ht="11.5">
      <c r="A203" s="5"/>
      <c r="B203" s="113"/>
      <c r="C203" s="90"/>
      <c r="D203" s="167"/>
      <c r="E203" s="86"/>
      <c r="F203" s="9"/>
      <c r="G203" s="10"/>
      <c r="H203" s="9"/>
      <c r="I203" s="10"/>
      <c r="J203" s="9"/>
      <c r="K203" s="10"/>
      <c r="L203" s="87"/>
      <c r="M203" s="10"/>
      <c r="N203" s="9"/>
      <c r="O203" s="10"/>
      <c r="P203" s="9"/>
      <c r="Q203" s="10"/>
      <c r="R203" s="9"/>
      <c r="S203" s="10"/>
      <c r="T203" s="9"/>
      <c r="U203" s="10"/>
      <c r="V203" s="9"/>
      <c r="W203" s="10"/>
      <c r="X203" s="9"/>
      <c r="Y203" s="10"/>
      <c r="Z203" s="9"/>
      <c r="AA203" s="10"/>
      <c r="AB203" s="11"/>
      <c r="AC203" s="10"/>
      <c r="AD203" s="7">
        <f>SUM(F203+H203+J203+L203+N203+P203+R203+T203+V203+X203+Z203+AB203)</f>
        <v>0</v>
      </c>
      <c r="AE203" s="7">
        <f>E203+AD203</f>
        <v>0</v>
      </c>
      <c r="AF203" s="8">
        <f>G203+I203+K203+M203+O203+Q203+S203+U203+W203+Y203+AA203+AC203</f>
        <v>0</v>
      </c>
      <c r="AG203" s="212">
        <f>SUM(AE203-AF203)</f>
        <v>0</v>
      </c>
      <c r="AH203" s="214"/>
      <c r="AI203" s="214"/>
    </row>
    <row r="204" spans="1:42" customHeight="1" ht="11.5">
      <c r="A204" s="5"/>
      <c r="B204" s="113"/>
      <c r="C204" s="90"/>
      <c r="D204" s="167"/>
      <c r="E204" s="86"/>
      <c r="F204" s="9"/>
      <c r="G204" s="10"/>
      <c r="H204" s="9"/>
      <c r="I204" s="10"/>
      <c r="J204" s="9"/>
      <c r="K204" s="10"/>
      <c r="L204" s="87"/>
      <c r="M204" s="10"/>
      <c r="N204" s="9"/>
      <c r="O204" s="10"/>
      <c r="P204" s="9"/>
      <c r="Q204" s="10"/>
      <c r="R204" s="9"/>
      <c r="S204" s="10"/>
      <c r="T204" s="9"/>
      <c r="U204" s="10"/>
      <c r="V204" s="9"/>
      <c r="W204" s="10"/>
      <c r="X204" s="9"/>
      <c r="Y204" s="10"/>
      <c r="Z204" s="9"/>
      <c r="AA204" s="10"/>
      <c r="AB204" s="11"/>
      <c r="AC204" s="10"/>
      <c r="AD204" s="7">
        <f>SUM(F204+H204+J204+L204+N204+P204+R204+T204+V204+X204+Z204+AB204)</f>
        <v>0</v>
      </c>
      <c r="AE204" s="7">
        <f>E204+AD204</f>
        <v>0</v>
      </c>
      <c r="AF204" s="8">
        <f>G204+I204+K204+M204+O204+Q204+S204+U204+W204+Y204+AA204+AC204</f>
        <v>0</v>
      </c>
      <c r="AG204" s="212">
        <f>SUM(AE204-AF204)</f>
        <v>0</v>
      </c>
      <c r="AH204" s="214"/>
      <c r="AI204" s="214"/>
    </row>
    <row r="205" spans="1:42" customHeight="1" ht="11.5">
      <c r="A205" s="5"/>
      <c r="B205" s="113"/>
      <c r="C205" s="90"/>
      <c r="D205" s="167"/>
      <c r="E205" s="86"/>
      <c r="F205" s="9"/>
      <c r="G205" s="10"/>
      <c r="H205" s="9"/>
      <c r="I205" s="10"/>
      <c r="J205" s="9"/>
      <c r="K205" s="10"/>
      <c r="L205" s="87"/>
      <c r="M205" s="10"/>
      <c r="N205" s="9"/>
      <c r="O205" s="10"/>
      <c r="P205" s="9"/>
      <c r="Q205" s="10"/>
      <c r="R205" s="9"/>
      <c r="S205" s="10"/>
      <c r="T205" s="9"/>
      <c r="U205" s="10"/>
      <c r="V205" s="9"/>
      <c r="W205" s="10"/>
      <c r="X205" s="9"/>
      <c r="Y205" s="10"/>
      <c r="Z205" s="9"/>
      <c r="AA205" s="10"/>
      <c r="AB205" s="11"/>
      <c r="AC205" s="10"/>
      <c r="AD205" s="7">
        <f>SUM(F205+H205+J205+L205+N205+P205+R205+T205+V205+X205+Z205+AB205)</f>
        <v>0</v>
      </c>
      <c r="AE205" s="7">
        <f>E205+AD205</f>
        <v>0</v>
      </c>
      <c r="AF205" s="8">
        <f>G205+I205+K205+M205+O205+Q205+S205+U205+W205+Y205+AA205+AC205</f>
        <v>0</v>
      </c>
      <c r="AG205" s="212">
        <f>SUM(AE205-AF205)</f>
        <v>0</v>
      </c>
      <c r="AH205" s="214"/>
      <c r="AI205" s="214"/>
    </row>
    <row r="206" spans="1:42" customHeight="1" ht="11.5">
      <c r="A206" s="5"/>
      <c r="B206" s="113"/>
      <c r="C206" s="90"/>
      <c r="D206" s="167"/>
      <c r="E206" s="86"/>
      <c r="F206" s="9"/>
      <c r="G206" s="10"/>
      <c r="H206" s="9"/>
      <c r="I206" s="10"/>
      <c r="J206" s="9"/>
      <c r="K206" s="10"/>
      <c r="L206" s="87"/>
      <c r="M206" s="10"/>
      <c r="N206" s="9"/>
      <c r="O206" s="10"/>
      <c r="P206" s="9"/>
      <c r="Q206" s="10"/>
      <c r="R206" s="9"/>
      <c r="S206" s="10"/>
      <c r="T206" s="9"/>
      <c r="U206" s="10"/>
      <c r="V206" s="9"/>
      <c r="W206" s="10"/>
      <c r="X206" s="9"/>
      <c r="Y206" s="10"/>
      <c r="Z206" s="9"/>
      <c r="AA206" s="10"/>
      <c r="AB206" s="11"/>
      <c r="AC206" s="10"/>
      <c r="AD206" s="7">
        <f>SUM(F206+H206+J206+L206+N206+P206+R206+T206+V206+X206+Z206+AB206)</f>
        <v>0</v>
      </c>
      <c r="AE206" s="7">
        <f>E206+AD206</f>
        <v>0</v>
      </c>
      <c r="AF206" s="8">
        <f>G206+I206+K206+M206+O206+Q206+S206+U206+W206+Y206+AA206+AC206</f>
        <v>0</v>
      </c>
      <c r="AG206" s="212">
        <f>SUM(AE206-AF206)</f>
        <v>0</v>
      </c>
      <c r="AH206" s="214"/>
      <c r="AI206" s="214"/>
    </row>
    <row r="207" spans="1:42" customHeight="1" ht="11.5">
      <c r="A207" s="5"/>
      <c r="B207" s="113"/>
      <c r="C207" s="90"/>
      <c r="D207" s="167"/>
      <c r="E207" s="86"/>
      <c r="F207" s="9"/>
      <c r="G207" s="10"/>
      <c r="H207" s="9"/>
      <c r="I207" s="10"/>
      <c r="J207" s="9"/>
      <c r="K207" s="10"/>
      <c r="L207" s="87"/>
      <c r="M207" s="10"/>
      <c r="N207" s="9"/>
      <c r="O207" s="10"/>
      <c r="P207" s="9"/>
      <c r="Q207" s="10"/>
      <c r="R207" s="9"/>
      <c r="S207" s="10"/>
      <c r="T207" s="9"/>
      <c r="U207" s="10"/>
      <c r="V207" s="9"/>
      <c r="W207" s="10"/>
      <c r="X207" s="9"/>
      <c r="Y207" s="10"/>
      <c r="Z207" s="9"/>
      <c r="AA207" s="10"/>
      <c r="AB207" s="11"/>
      <c r="AC207" s="10"/>
      <c r="AD207" s="7">
        <f>SUM(F207+H207+J207+L207+N207+P207+R207+T207+V207+X207+Z207+AB207)</f>
        <v>0</v>
      </c>
      <c r="AE207" s="7">
        <f>E207+AD207</f>
        <v>0</v>
      </c>
      <c r="AF207" s="8">
        <f>G207+I207+K207+M207+O207+Q207+S207+U207+W207+Y207+AA207+AC207</f>
        <v>0</v>
      </c>
      <c r="AG207" s="212">
        <f>SUM(AE207-AF207)</f>
        <v>0</v>
      </c>
      <c r="AH207" s="214"/>
      <c r="AI207" s="214"/>
    </row>
    <row r="208" spans="1:42" customHeight="1" ht="11.5">
      <c r="A208" s="5"/>
      <c r="B208" s="113"/>
      <c r="C208" s="90"/>
      <c r="D208" s="167"/>
      <c r="E208" s="86"/>
      <c r="F208" s="9"/>
      <c r="G208" s="10"/>
      <c r="H208" s="9"/>
      <c r="I208" s="10"/>
      <c r="J208" s="9"/>
      <c r="K208" s="10"/>
      <c r="L208" s="87"/>
      <c r="M208" s="10"/>
      <c r="N208" s="9"/>
      <c r="O208" s="10"/>
      <c r="P208" s="9"/>
      <c r="Q208" s="10"/>
      <c r="R208" s="9"/>
      <c r="S208" s="10"/>
      <c r="T208" s="9"/>
      <c r="U208" s="10"/>
      <c r="V208" s="9"/>
      <c r="W208" s="10"/>
      <c r="X208" s="9"/>
      <c r="Y208" s="10"/>
      <c r="Z208" s="9"/>
      <c r="AA208" s="10"/>
      <c r="AB208" s="11"/>
      <c r="AC208" s="10"/>
      <c r="AD208" s="7">
        <f>SUM(F208+H208+J208+L208+N208+P208+R208+T208+V208+X208+Z208+AB208)</f>
        <v>0</v>
      </c>
      <c r="AE208" s="7">
        <f>E208+AD208</f>
        <v>0</v>
      </c>
      <c r="AF208" s="8">
        <f>G208+I208+K208+M208+O208+Q208+S208+U208+W208+Y208+AA208+AC208</f>
        <v>0</v>
      </c>
      <c r="AG208" s="212">
        <f>SUM(AE208-AF208)</f>
        <v>0</v>
      </c>
      <c r="AH208" s="214"/>
      <c r="AI208" s="214"/>
    </row>
    <row r="209" spans="1:42" customHeight="1" ht="11.5">
      <c r="A209" s="5"/>
      <c r="B209" s="113"/>
      <c r="C209" s="90"/>
      <c r="D209" s="167"/>
      <c r="E209" s="86"/>
      <c r="F209" s="9"/>
      <c r="G209" s="10"/>
      <c r="H209" s="9"/>
      <c r="I209" s="10"/>
      <c r="J209" s="9"/>
      <c r="K209" s="10"/>
      <c r="L209" s="87"/>
      <c r="M209" s="10"/>
      <c r="N209" s="9"/>
      <c r="O209" s="10"/>
      <c r="P209" s="9"/>
      <c r="Q209" s="10"/>
      <c r="R209" s="9"/>
      <c r="S209" s="10"/>
      <c r="T209" s="9"/>
      <c r="U209" s="10"/>
      <c r="V209" s="9"/>
      <c r="W209" s="10"/>
      <c r="X209" s="9"/>
      <c r="Y209" s="10"/>
      <c r="Z209" s="9"/>
      <c r="AA209" s="10"/>
      <c r="AB209" s="11"/>
      <c r="AC209" s="10"/>
      <c r="AD209" s="7">
        <f>SUM(F209+H209+J209+L209+N209+P209+R209+T209+V209+X209+Z209+AB209)</f>
        <v>0</v>
      </c>
      <c r="AE209" s="7">
        <f>E209+AD209</f>
        <v>0</v>
      </c>
      <c r="AF209" s="8">
        <f>G209+I209+K209+M209+O209+Q209+S209+U209+W209+Y209+AA209+AC209</f>
        <v>0</v>
      </c>
      <c r="AG209" s="212">
        <f>SUM(AE209-AF209)</f>
        <v>0</v>
      </c>
      <c r="AH209" s="214"/>
      <c r="AI209" s="214"/>
    </row>
    <row r="210" spans="1:42" customHeight="1" ht="11.5">
      <c r="A210" s="5"/>
      <c r="B210" s="113"/>
      <c r="C210" s="90"/>
      <c r="D210" s="167"/>
      <c r="E210" s="86"/>
      <c r="F210" s="9"/>
      <c r="G210" s="10"/>
      <c r="H210" s="9"/>
      <c r="I210" s="10"/>
      <c r="J210" s="9"/>
      <c r="K210" s="10"/>
      <c r="L210" s="87"/>
      <c r="M210" s="10"/>
      <c r="N210" s="9"/>
      <c r="O210" s="10"/>
      <c r="P210" s="9"/>
      <c r="Q210" s="10"/>
      <c r="R210" s="9"/>
      <c r="S210" s="10"/>
      <c r="T210" s="9"/>
      <c r="U210" s="10"/>
      <c r="V210" s="9"/>
      <c r="W210" s="10"/>
      <c r="X210" s="9"/>
      <c r="Y210" s="10"/>
      <c r="Z210" s="9"/>
      <c r="AA210" s="10"/>
      <c r="AB210" s="11"/>
      <c r="AC210" s="10"/>
      <c r="AD210" s="7">
        <f>SUM(F210+H210+J210+L210+N210+P210+R210+T210+V210+X210+Z210+AB210)</f>
        <v>0</v>
      </c>
      <c r="AE210" s="7">
        <f>E210+AD210</f>
        <v>0</v>
      </c>
      <c r="AF210" s="8">
        <f>G210+I210+K210+M210+O210+Q210+S210+U210+W210+Y210+AA210+AC210</f>
        <v>0</v>
      </c>
      <c r="AG210" s="212">
        <f>SUM(AE210-AF210)</f>
        <v>0</v>
      </c>
      <c r="AH210" s="214"/>
      <c r="AI210" s="214"/>
    </row>
    <row r="211" spans="1:42" customHeight="1" ht="11.5">
      <c r="A211" s="5"/>
      <c r="B211" s="113"/>
      <c r="C211" s="90"/>
      <c r="D211" s="167"/>
      <c r="E211" s="86"/>
      <c r="F211" s="9"/>
      <c r="G211" s="10"/>
      <c r="H211" s="9"/>
      <c r="I211" s="10"/>
      <c r="J211" s="9"/>
      <c r="K211" s="10"/>
      <c r="L211" s="87"/>
      <c r="M211" s="10"/>
      <c r="N211" s="9"/>
      <c r="O211" s="10"/>
      <c r="P211" s="9"/>
      <c r="Q211" s="10"/>
      <c r="R211" s="9"/>
      <c r="S211" s="10"/>
      <c r="T211" s="9"/>
      <c r="U211" s="10"/>
      <c r="V211" s="9"/>
      <c r="W211" s="10"/>
      <c r="X211" s="9"/>
      <c r="Y211" s="10"/>
      <c r="Z211" s="9"/>
      <c r="AA211" s="10"/>
      <c r="AB211" s="11"/>
      <c r="AC211" s="10"/>
      <c r="AD211" s="7">
        <f>SUM(F211+H211+J211+L211+N211+P211+R211+T211+V211+X211+Z211+AB211)</f>
        <v>0</v>
      </c>
      <c r="AE211" s="7">
        <f>E211+AD211</f>
        <v>0</v>
      </c>
      <c r="AF211" s="8">
        <f>G211+I211+K211+M211+O211+Q211+S211+U211+W211+Y211+AA211+AC211</f>
        <v>0</v>
      </c>
      <c r="AG211" s="212">
        <f>SUM(AE211-AF211)</f>
        <v>0</v>
      </c>
      <c r="AH211" s="214"/>
      <c r="AI211" s="214"/>
    </row>
    <row r="212" spans="1:42" customHeight="1" ht="11.5">
      <c r="A212" s="5"/>
      <c r="B212" s="113"/>
      <c r="C212" s="90"/>
      <c r="D212" s="167"/>
      <c r="E212" s="86"/>
      <c r="F212" s="9"/>
      <c r="G212" s="10"/>
      <c r="H212" s="9"/>
      <c r="I212" s="10"/>
      <c r="J212" s="9"/>
      <c r="K212" s="10"/>
      <c r="L212" s="87"/>
      <c r="M212" s="10"/>
      <c r="N212" s="9"/>
      <c r="O212" s="10"/>
      <c r="P212" s="9"/>
      <c r="Q212" s="10"/>
      <c r="R212" s="9"/>
      <c r="S212" s="10"/>
      <c r="T212" s="9"/>
      <c r="U212" s="10"/>
      <c r="V212" s="9"/>
      <c r="W212" s="10"/>
      <c r="X212" s="9"/>
      <c r="Y212" s="10"/>
      <c r="Z212" s="9"/>
      <c r="AA212" s="10"/>
      <c r="AB212" s="11"/>
      <c r="AC212" s="10"/>
      <c r="AD212" s="7">
        <f>SUM(F212+H212+J212+L212+N212+P212+R212+T212+V212+X212+Z212+AB212)</f>
        <v>0</v>
      </c>
      <c r="AE212" s="7">
        <f>E212+AD212</f>
        <v>0</v>
      </c>
      <c r="AF212" s="8">
        <f>G212+I212+K212+M212+O212+Q212+S212+U212+W212+Y212+AA212+AC212</f>
        <v>0</v>
      </c>
      <c r="AG212" s="212">
        <f>SUM(AE212-AF212)</f>
        <v>0</v>
      </c>
      <c r="AH212" s="214"/>
      <c r="AI212" s="214"/>
    </row>
    <row r="213" spans="1:42" customHeight="1" ht="11.5">
      <c r="A213" s="5"/>
      <c r="B213" s="113"/>
      <c r="C213" s="90"/>
      <c r="D213" s="167"/>
      <c r="E213" s="86"/>
      <c r="F213" s="9"/>
      <c r="G213" s="10"/>
      <c r="H213" s="9"/>
      <c r="I213" s="10"/>
      <c r="J213" s="9"/>
      <c r="K213" s="10"/>
      <c r="L213" s="87"/>
      <c r="M213" s="10"/>
      <c r="N213" s="9"/>
      <c r="O213" s="10"/>
      <c r="P213" s="9"/>
      <c r="Q213" s="10"/>
      <c r="R213" s="9"/>
      <c r="S213" s="10"/>
      <c r="T213" s="9"/>
      <c r="U213" s="10"/>
      <c r="V213" s="9"/>
      <c r="W213" s="10"/>
      <c r="X213" s="9"/>
      <c r="Y213" s="10"/>
      <c r="Z213" s="9"/>
      <c r="AA213" s="10"/>
      <c r="AB213" s="11"/>
      <c r="AC213" s="10"/>
      <c r="AD213" s="7">
        <f>SUM(F213+H213+J213+L213+N213+P213+R213+T213+V213+X213+Z213+AB213)</f>
        <v>0</v>
      </c>
      <c r="AE213" s="7">
        <f>E213+AD213</f>
        <v>0</v>
      </c>
      <c r="AF213" s="8">
        <f>G213+I213+K213+M213+O213+Q213+S213+U213+W213+Y213+AA213+AC213</f>
        <v>0</v>
      </c>
      <c r="AG213" s="212">
        <f>SUM(AE213-AF213)</f>
        <v>0</v>
      </c>
      <c r="AH213" s="214"/>
      <c r="AI213" s="214"/>
    </row>
    <row r="214" spans="1:42" customHeight="1" ht="11.5">
      <c r="A214" s="5"/>
      <c r="B214" s="113"/>
      <c r="C214" s="90"/>
      <c r="D214" s="167"/>
      <c r="E214" s="86"/>
      <c r="F214" s="9"/>
      <c r="G214" s="10"/>
      <c r="H214" s="9"/>
      <c r="I214" s="10"/>
      <c r="J214" s="9"/>
      <c r="K214" s="10"/>
      <c r="L214" s="87"/>
      <c r="M214" s="10"/>
      <c r="N214" s="9"/>
      <c r="O214" s="10"/>
      <c r="P214" s="9"/>
      <c r="Q214" s="10"/>
      <c r="R214" s="9"/>
      <c r="S214" s="10"/>
      <c r="T214" s="9"/>
      <c r="U214" s="10"/>
      <c r="V214" s="9"/>
      <c r="W214" s="10"/>
      <c r="X214" s="9"/>
      <c r="Y214" s="10"/>
      <c r="Z214" s="9"/>
      <c r="AA214" s="10"/>
      <c r="AB214" s="11"/>
      <c r="AC214" s="10"/>
      <c r="AD214" s="7">
        <f>SUM(F214+H214+J214+L214+N214+P214+R214+T214+V214+X214+Z214+AB214)</f>
        <v>0</v>
      </c>
      <c r="AE214" s="7">
        <f>E214+AD214</f>
        <v>0</v>
      </c>
      <c r="AF214" s="8">
        <f>G214+I214+K214+M214+O214+Q214+S214+U214+W214+Y214+AA214+AC214</f>
        <v>0</v>
      </c>
      <c r="AG214" s="212">
        <f>SUM(AE214-AF214)</f>
        <v>0</v>
      </c>
      <c r="AH214" s="214"/>
      <c r="AI214" s="214"/>
    </row>
    <row r="215" spans="1:42" customHeight="1" ht="11.5">
      <c r="A215" s="5"/>
      <c r="B215" s="113"/>
      <c r="C215" s="90"/>
      <c r="D215" s="167"/>
      <c r="E215" s="86"/>
      <c r="F215" s="9"/>
      <c r="G215" s="10"/>
      <c r="H215" s="9"/>
      <c r="I215" s="10"/>
      <c r="J215" s="9"/>
      <c r="K215" s="10"/>
      <c r="L215" s="87"/>
      <c r="M215" s="10"/>
      <c r="N215" s="9"/>
      <c r="O215" s="10"/>
      <c r="P215" s="9"/>
      <c r="Q215" s="10"/>
      <c r="R215" s="9"/>
      <c r="S215" s="10"/>
      <c r="T215" s="9"/>
      <c r="U215" s="10"/>
      <c r="V215" s="9"/>
      <c r="W215" s="10"/>
      <c r="X215" s="9"/>
      <c r="Y215" s="10"/>
      <c r="Z215" s="9"/>
      <c r="AA215" s="10"/>
      <c r="AB215" s="11"/>
      <c r="AC215" s="10"/>
      <c r="AD215" s="7">
        <f>SUM(F215+H215+J215+L215+N215+P215+R215+T215+V215+X215+Z215+AB215)</f>
        <v>0</v>
      </c>
      <c r="AE215" s="7">
        <f>E215+AD215</f>
        <v>0</v>
      </c>
      <c r="AF215" s="8">
        <f>G215+I215+K215+M215+O215+Q215+S215+U215+W215+Y215+AA215+AC215</f>
        <v>0</v>
      </c>
      <c r="AG215" s="212">
        <f>SUM(AE215-AF215)</f>
        <v>0</v>
      </c>
      <c r="AH215" s="214"/>
      <c r="AI215" s="214"/>
    </row>
    <row r="216" spans="1:42" customHeight="1" ht="11.5">
      <c r="A216" s="5"/>
      <c r="B216" s="113"/>
      <c r="C216" s="90"/>
      <c r="D216" s="167"/>
      <c r="E216" s="86"/>
      <c r="F216" s="9"/>
      <c r="G216" s="10"/>
      <c r="H216" s="9"/>
      <c r="I216" s="10"/>
      <c r="J216" s="9"/>
      <c r="K216" s="10"/>
      <c r="L216" s="87"/>
      <c r="M216" s="10"/>
      <c r="N216" s="9"/>
      <c r="O216" s="10"/>
      <c r="P216" s="9"/>
      <c r="Q216" s="10"/>
      <c r="R216" s="9"/>
      <c r="S216" s="10"/>
      <c r="T216" s="9"/>
      <c r="U216" s="10"/>
      <c r="V216" s="9"/>
      <c r="W216" s="10"/>
      <c r="X216" s="9"/>
      <c r="Y216" s="10"/>
      <c r="Z216" s="9"/>
      <c r="AA216" s="10"/>
      <c r="AB216" s="11"/>
      <c r="AC216" s="10"/>
      <c r="AD216" s="7">
        <f>SUM(F216+H216+J216+L216+N216+P216+R216+T216+V216+X216+Z216+AB216)</f>
        <v>0</v>
      </c>
      <c r="AE216" s="7">
        <f>E216+AD216</f>
        <v>0</v>
      </c>
      <c r="AF216" s="8">
        <f>G216+I216+K216+M216+O216+Q216+S216+U216+W216+Y216+AA216+AC216</f>
        <v>0</v>
      </c>
      <c r="AG216" s="212">
        <f>SUM(AE216-AF216)</f>
        <v>0</v>
      </c>
      <c r="AH216" s="214"/>
      <c r="AI216" s="214"/>
    </row>
    <row r="217" spans="1:42" customHeight="1" ht="11.5">
      <c r="A217" s="5"/>
      <c r="B217" s="113"/>
      <c r="C217" s="90"/>
      <c r="D217" s="167"/>
      <c r="E217" s="86"/>
      <c r="F217" s="9"/>
      <c r="G217" s="10"/>
      <c r="H217" s="9"/>
      <c r="I217" s="10"/>
      <c r="J217" s="9"/>
      <c r="K217" s="10"/>
      <c r="L217" s="87"/>
      <c r="M217" s="10"/>
      <c r="N217" s="9"/>
      <c r="O217" s="10"/>
      <c r="P217" s="9"/>
      <c r="Q217" s="10"/>
      <c r="R217" s="9"/>
      <c r="S217" s="10"/>
      <c r="T217" s="9"/>
      <c r="U217" s="10"/>
      <c r="V217" s="9"/>
      <c r="W217" s="10"/>
      <c r="X217" s="9"/>
      <c r="Y217" s="10"/>
      <c r="Z217" s="9"/>
      <c r="AA217" s="10"/>
      <c r="AB217" s="11"/>
      <c r="AC217" s="10"/>
      <c r="AD217" s="7">
        <f>SUM(F217+H217+J217+L217+N217+P217+R217+T217+V217+X217+Z217+AB217)</f>
        <v>0</v>
      </c>
      <c r="AE217" s="7">
        <f>E217+AD217</f>
        <v>0</v>
      </c>
      <c r="AF217" s="8">
        <f>G217+I217+K217+M217+O217+Q217+S217+U217+W217+Y217+AA217+AC217</f>
        <v>0</v>
      </c>
      <c r="AG217" s="212">
        <f>SUM(AE217-AF217)</f>
        <v>0</v>
      </c>
      <c r="AH217" s="214"/>
      <c r="AI217" s="214"/>
    </row>
    <row r="218" spans="1:42" customHeight="1" ht="11.5">
      <c r="A218" s="5"/>
      <c r="B218" s="113"/>
      <c r="C218" s="90"/>
      <c r="D218" s="167"/>
      <c r="E218" s="86"/>
      <c r="F218" s="9"/>
      <c r="G218" s="10"/>
      <c r="H218" s="9"/>
      <c r="I218" s="10"/>
      <c r="J218" s="9"/>
      <c r="K218" s="10"/>
      <c r="L218" s="87"/>
      <c r="M218" s="10"/>
      <c r="N218" s="9"/>
      <c r="O218" s="10"/>
      <c r="P218" s="9"/>
      <c r="Q218" s="10"/>
      <c r="R218" s="9"/>
      <c r="S218" s="10"/>
      <c r="T218" s="9"/>
      <c r="U218" s="10"/>
      <c r="V218" s="9"/>
      <c r="W218" s="10"/>
      <c r="X218" s="9"/>
      <c r="Y218" s="10"/>
      <c r="Z218" s="9"/>
      <c r="AA218" s="10"/>
      <c r="AB218" s="11"/>
      <c r="AC218" s="10"/>
      <c r="AD218" s="7">
        <f>SUM(F218+H218+J218+L218+N218+P218+R218+T218+V218+X218+Z218+AB218)</f>
        <v>0</v>
      </c>
      <c r="AE218" s="7">
        <f>E218+AD218</f>
        <v>0</v>
      </c>
      <c r="AF218" s="8">
        <f>G218+I218+K218+M218+O218+Q218+S218+U218+W218+Y218+AA218+AC218</f>
        <v>0</v>
      </c>
      <c r="AG218" s="212">
        <f>SUM(AE218-AF218)</f>
        <v>0</v>
      </c>
      <c r="AH218" s="214"/>
      <c r="AI218" s="214"/>
    </row>
    <row r="219" spans="1:42" customHeight="1" ht="11.5">
      <c r="A219" s="5"/>
      <c r="B219" s="113"/>
      <c r="C219" s="90"/>
      <c r="D219" s="167"/>
      <c r="E219" s="86"/>
      <c r="F219" s="9"/>
      <c r="G219" s="10"/>
      <c r="H219" s="9"/>
      <c r="I219" s="10"/>
      <c r="J219" s="9"/>
      <c r="K219" s="10"/>
      <c r="L219" s="87"/>
      <c r="M219" s="10"/>
      <c r="N219" s="9"/>
      <c r="O219" s="10"/>
      <c r="P219" s="9"/>
      <c r="Q219" s="10"/>
      <c r="R219" s="9"/>
      <c r="S219" s="10"/>
      <c r="T219" s="9"/>
      <c r="U219" s="10"/>
      <c r="V219" s="9"/>
      <c r="W219" s="10"/>
      <c r="X219" s="9"/>
      <c r="Y219" s="10"/>
      <c r="Z219" s="9"/>
      <c r="AA219" s="10"/>
      <c r="AB219" s="11"/>
      <c r="AC219" s="10"/>
      <c r="AD219" s="7">
        <f>SUM(F219+H219+J219+L219+N219+P219+R219+T219+V219+X219+Z219+AB219)</f>
        <v>0</v>
      </c>
      <c r="AE219" s="7">
        <f>E219+AD219</f>
        <v>0</v>
      </c>
      <c r="AF219" s="8">
        <f>G219+I219+K219+M219+O219+Q219+S219+U219+W219+Y219+AA219+AC219</f>
        <v>0</v>
      </c>
      <c r="AG219" s="212">
        <f>SUM(AE219-AF219)</f>
        <v>0</v>
      </c>
      <c r="AH219" s="214"/>
      <c r="AI219" s="214"/>
    </row>
    <row r="220" spans="1:42" customHeight="1" ht="11.5">
      <c r="A220" s="5"/>
      <c r="B220" s="113"/>
      <c r="C220" s="90"/>
      <c r="D220" s="167"/>
      <c r="E220" s="86"/>
      <c r="F220" s="9"/>
      <c r="G220" s="10"/>
      <c r="H220" s="9"/>
      <c r="I220" s="10"/>
      <c r="J220" s="9"/>
      <c r="K220" s="10"/>
      <c r="L220" s="87"/>
      <c r="M220" s="10"/>
      <c r="N220" s="9"/>
      <c r="O220" s="10"/>
      <c r="P220" s="9"/>
      <c r="Q220" s="10"/>
      <c r="R220" s="9"/>
      <c r="S220" s="10"/>
      <c r="T220" s="9"/>
      <c r="U220" s="10"/>
      <c r="V220" s="9"/>
      <c r="W220" s="10"/>
      <c r="X220" s="9"/>
      <c r="Y220" s="10"/>
      <c r="Z220" s="9"/>
      <c r="AA220" s="10"/>
      <c r="AB220" s="11"/>
      <c r="AC220" s="10"/>
      <c r="AD220" s="7">
        <f>SUM(F220+H220+J220+L220+N220+P220+R220+T220+V220+X220+Z220+AB220)</f>
        <v>0</v>
      </c>
      <c r="AE220" s="7">
        <f>E220+AD220</f>
        <v>0</v>
      </c>
      <c r="AF220" s="8">
        <f>G220+I220+K220+M220+O220+Q220+S220+U220+W220+Y220+AA220+AC220</f>
        <v>0</v>
      </c>
      <c r="AG220" s="212">
        <f>SUM(AE220-AF220)</f>
        <v>0</v>
      </c>
      <c r="AH220" s="214"/>
      <c r="AI220" s="214"/>
    </row>
    <row r="221" spans="1:42" customHeight="1" ht="11.5">
      <c r="A221" s="5"/>
      <c r="B221" s="113"/>
      <c r="C221" s="90"/>
      <c r="D221" s="167"/>
      <c r="E221" s="86"/>
      <c r="F221" s="9"/>
      <c r="G221" s="10"/>
      <c r="H221" s="9"/>
      <c r="I221" s="10"/>
      <c r="J221" s="9"/>
      <c r="K221" s="10"/>
      <c r="L221" s="87"/>
      <c r="M221" s="10"/>
      <c r="N221" s="9"/>
      <c r="O221" s="10"/>
      <c r="P221" s="9"/>
      <c r="Q221" s="10"/>
      <c r="R221" s="9"/>
      <c r="S221" s="10"/>
      <c r="T221" s="9"/>
      <c r="U221" s="10"/>
      <c r="V221" s="9"/>
      <c r="W221" s="10"/>
      <c r="X221" s="9"/>
      <c r="Y221" s="10"/>
      <c r="Z221" s="9"/>
      <c r="AA221" s="10"/>
      <c r="AB221" s="11"/>
      <c r="AC221" s="10"/>
      <c r="AD221" s="7">
        <f>SUM(F221+H221+J221+L221+N221+P221+R221+T221+V221+X221+Z221+AB221)</f>
        <v>0</v>
      </c>
      <c r="AE221" s="7">
        <f>E221+AD221</f>
        <v>0</v>
      </c>
      <c r="AF221" s="8">
        <f>G221+I221+K221+M221+O221+Q221+S221+U221+W221+Y221+AA221+AC221</f>
        <v>0</v>
      </c>
      <c r="AG221" s="212">
        <f>SUM(AE221-AF221)</f>
        <v>0</v>
      </c>
      <c r="AH221" s="214"/>
      <c r="AI221" s="214"/>
    </row>
    <row r="222" spans="1:42" customHeight="1" ht="11.5">
      <c r="A222" s="5"/>
      <c r="B222" s="113"/>
      <c r="C222" s="90"/>
      <c r="D222" s="167"/>
      <c r="E222" s="86"/>
      <c r="F222" s="9"/>
      <c r="G222" s="10"/>
      <c r="H222" s="9"/>
      <c r="I222" s="10"/>
      <c r="J222" s="9"/>
      <c r="K222" s="10"/>
      <c r="L222" s="87"/>
      <c r="M222" s="10"/>
      <c r="N222" s="9"/>
      <c r="O222" s="10"/>
      <c r="P222" s="9"/>
      <c r="Q222" s="10"/>
      <c r="R222" s="9"/>
      <c r="S222" s="10"/>
      <c r="T222" s="9"/>
      <c r="U222" s="10"/>
      <c r="V222" s="9"/>
      <c r="W222" s="10"/>
      <c r="X222" s="9"/>
      <c r="Y222" s="10"/>
      <c r="Z222" s="9"/>
      <c r="AA222" s="10"/>
      <c r="AB222" s="11"/>
      <c r="AC222" s="10"/>
      <c r="AD222" s="7">
        <f>SUM(F222+H222+J222+L222+N222+P222+R222+T222+V222+X222+Z222+AB222)</f>
        <v>0</v>
      </c>
      <c r="AE222" s="7">
        <f>E222+AD222</f>
        <v>0</v>
      </c>
      <c r="AF222" s="8">
        <f>G222+I222+K222+M222+O222+Q222+S222+U222+W222+Y222+AA222+AC222</f>
        <v>0</v>
      </c>
      <c r="AG222" s="212">
        <f>SUM(AE222-AF222)</f>
        <v>0</v>
      </c>
      <c r="AH222" s="214"/>
      <c r="AI222" s="214"/>
    </row>
    <row r="223" spans="1:42" customHeight="1" ht="11.5">
      <c r="A223" s="5"/>
      <c r="B223" s="113"/>
      <c r="C223" s="90"/>
      <c r="D223" s="167"/>
      <c r="E223" s="86"/>
      <c r="F223" s="9"/>
      <c r="G223" s="10"/>
      <c r="H223" s="9"/>
      <c r="I223" s="10"/>
      <c r="J223" s="9"/>
      <c r="K223" s="10"/>
      <c r="L223" s="87"/>
      <c r="M223" s="10"/>
      <c r="N223" s="9"/>
      <c r="O223" s="10"/>
      <c r="P223" s="9"/>
      <c r="Q223" s="10"/>
      <c r="R223" s="9"/>
      <c r="S223" s="10"/>
      <c r="T223" s="9"/>
      <c r="U223" s="10"/>
      <c r="V223" s="9"/>
      <c r="W223" s="10"/>
      <c r="X223" s="9"/>
      <c r="Y223" s="10"/>
      <c r="Z223" s="9"/>
      <c r="AA223" s="10"/>
      <c r="AB223" s="11"/>
      <c r="AC223" s="10"/>
      <c r="AD223" s="7">
        <f>SUM(F223+H223+J223+L223+N223+P223+R223+T223+V223+X223+Z223+AB223)</f>
        <v>0</v>
      </c>
      <c r="AE223" s="7">
        <f>E223+AD223</f>
        <v>0</v>
      </c>
      <c r="AF223" s="8">
        <f>G223+I223+K223+M223+O223+Q223+S223+U223+W223+Y223+AA223+AC223</f>
        <v>0</v>
      </c>
      <c r="AG223" s="212">
        <f>SUM(AE223-AF223)</f>
        <v>0</v>
      </c>
      <c r="AH223" s="214"/>
      <c r="AI223" s="214"/>
    </row>
    <row r="224" spans="1:42" customHeight="1" ht="11.5">
      <c r="A224" s="5"/>
      <c r="B224" s="113"/>
      <c r="C224" s="90"/>
      <c r="D224" s="167"/>
      <c r="E224" s="86"/>
      <c r="F224" s="9"/>
      <c r="G224" s="10"/>
      <c r="H224" s="9"/>
      <c r="I224" s="10"/>
      <c r="J224" s="9"/>
      <c r="K224" s="10"/>
      <c r="L224" s="87"/>
      <c r="M224" s="10"/>
      <c r="N224" s="9"/>
      <c r="O224" s="10"/>
      <c r="P224" s="9"/>
      <c r="Q224" s="10"/>
      <c r="R224" s="9"/>
      <c r="S224" s="10"/>
      <c r="T224" s="9"/>
      <c r="U224" s="10"/>
      <c r="V224" s="9"/>
      <c r="W224" s="10"/>
      <c r="X224" s="9"/>
      <c r="Y224" s="10"/>
      <c r="Z224" s="9"/>
      <c r="AA224" s="10"/>
      <c r="AB224" s="11"/>
      <c r="AC224" s="10"/>
      <c r="AD224" s="7">
        <f>SUM(F224+H224+J224+L224+N224+P224+R224+T224+V224+X224+Z224+AB224)</f>
        <v>0</v>
      </c>
      <c r="AE224" s="7">
        <f>E224+AD224</f>
        <v>0</v>
      </c>
      <c r="AF224" s="8">
        <f>G224+I224+K224+M224+O224+Q224+S224+U224+W224+Y224+AA224+AC224</f>
        <v>0</v>
      </c>
      <c r="AG224" s="212">
        <f>SUM(AE224-AF224)</f>
        <v>0</v>
      </c>
      <c r="AH224" s="214"/>
      <c r="AI224" s="214"/>
    </row>
    <row r="225" spans="1:42" customHeight="1" ht="11.5">
      <c r="A225" s="5"/>
      <c r="B225" s="113"/>
      <c r="C225" s="90"/>
      <c r="D225" s="167"/>
      <c r="E225" s="86"/>
      <c r="F225" s="9"/>
      <c r="G225" s="10"/>
      <c r="H225" s="9"/>
      <c r="I225" s="10"/>
      <c r="J225" s="9"/>
      <c r="K225" s="10"/>
      <c r="L225" s="87"/>
      <c r="M225" s="10"/>
      <c r="N225" s="9"/>
      <c r="O225" s="10"/>
      <c r="P225" s="9"/>
      <c r="Q225" s="10"/>
      <c r="R225" s="9"/>
      <c r="S225" s="10"/>
      <c r="T225" s="9"/>
      <c r="U225" s="10"/>
      <c r="V225" s="9"/>
      <c r="W225" s="10"/>
      <c r="X225" s="9"/>
      <c r="Y225" s="10"/>
      <c r="Z225" s="9"/>
      <c r="AA225" s="10"/>
      <c r="AB225" s="11"/>
      <c r="AC225" s="10"/>
      <c r="AD225" s="7">
        <f>SUM(F225+H225+J225+L225+N225+P225+R225+T225+V225+X225+Z225+AB225)</f>
        <v>0</v>
      </c>
      <c r="AE225" s="7">
        <f>E225+AD225</f>
        <v>0</v>
      </c>
      <c r="AF225" s="8">
        <f>G225+I225+K225+M225+O225+Q225+S225+U225+W225+Y225+AA225+AC225</f>
        <v>0</v>
      </c>
      <c r="AG225" s="212">
        <f>SUM(AE225-AF225)</f>
        <v>0</v>
      </c>
      <c r="AH225" s="214"/>
      <c r="AI225" s="214"/>
    </row>
    <row r="226" spans="1:42" customHeight="1" ht="11.5">
      <c r="A226" s="5"/>
      <c r="B226" s="113"/>
      <c r="C226" s="90"/>
      <c r="D226" s="167"/>
      <c r="E226" s="86"/>
      <c r="F226" s="9"/>
      <c r="G226" s="10"/>
      <c r="H226" s="9"/>
      <c r="I226" s="10"/>
      <c r="J226" s="9"/>
      <c r="K226" s="10"/>
      <c r="L226" s="87"/>
      <c r="M226" s="10"/>
      <c r="N226" s="9"/>
      <c r="O226" s="10"/>
      <c r="P226" s="9"/>
      <c r="Q226" s="10"/>
      <c r="R226" s="9"/>
      <c r="S226" s="10"/>
      <c r="T226" s="9"/>
      <c r="U226" s="10"/>
      <c r="V226" s="9"/>
      <c r="W226" s="10"/>
      <c r="X226" s="9"/>
      <c r="Y226" s="10"/>
      <c r="Z226" s="9"/>
      <c r="AA226" s="10"/>
      <c r="AB226" s="11"/>
      <c r="AC226" s="10"/>
      <c r="AD226" s="7">
        <f>SUM(F226+H226+J226+L226+N226+P226+R226+T226+V226+X226+Z226+AB226)</f>
        <v>0</v>
      </c>
      <c r="AE226" s="7">
        <f>E226+AD226</f>
        <v>0</v>
      </c>
      <c r="AF226" s="8">
        <f>G226+I226+K226+M226+O226+Q226+S226+U226+W226+Y226+AA226+AC226</f>
        <v>0</v>
      </c>
      <c r="AG226" s="212">
        <f>SUM(AE226-AF226)</f>
        <v>0</v>
      </c>
      <c r="AH226" s="214"/>
      <c r="AI226" s="214"/>
    </row>
    <row r="227" spans="1:42" customHeight="1" ht="11.5">
      <c r="A227" s="5"/>
      <c r="B227" s="113"/>
      <c r="C227" s="90"/>
      <c r="D227" s="167"/>
      <c r="E227" s="86"/>
      <c r="F227" s="9"/>
      <c r="G227" s="10"/>
      <c r="H227" s="9"/>
      <c r="I227" s="10"/>
      <c r="J227" s="9"/>
      <c r="K227" s="10"/>
      <c r="L227" s="87"/>
      <c r="M227" s="10"/>
      <c r="N227" s="9"/>
      <c r="O227" s="10"/>
      <c r="P227" s="9"/>
      <c r="Q227" s="10"/>
      <c r="R227" s="9"/>
      <c r="S227" s="10"/>
      <c r="T227" s="9"/>
      <c r="U227" s="10"/>
      <c r="V227" s="9"/>
      <c r="W227" s="10"/>
      <c r="X227" s="9"/>
      <c r="Y227" s="10"/>
      <c r="Z227" s="9"/>
      <c r="AA227" s="10"/>
      <c r="AB227" s="11"/>
      <c r="AC227" s="10"/>
      <c r="AD227" s="7">
        <f>SUM(F227+H227+J227+L227+N227+P227+R227+T227+V227+X227+Z227+AB227)</f>
        <v>0</v>
      </c>
      <c r="AE227" s="7">
        <f>E227+AD227</f>
        <v>0</v>
      </c>
      <c r="AF227" s="8">
        <f>G227+I227+K227+M227+O227+Q227+S227+U227+W227+Y227+AA227+AC227</f>
        <v>0</v>
      </c>
      <c r="AG227" s="212">
        <f>SUM(AE227-AF227)</f>
        <v>0</v>
      </c>
      <c r="AH227" s="214"/>
      <c r="AI227" s="214"/>
    </row>
    <row r="228" spans="1:42" customHeight="1" ht="11.5">
      <c r="A228" s="5"/>
      <c r="B228" s="113"/>
      <c r="C228" s="90"/>
      <c r="D228" s="167"/>
      <c r="E228" s="86"/>
      <c r="F228" s="9"/>
      <c r="G228" s="10"/>
      <c r="H228" s="9"/>
      <c r="I228" s="10"/>
      <c r="J228" s="9"/>
      <c r="K228" s="10"/>
      <c r="L228" s="87"/>
      <c r="M228" s="10"/>
      <c r="N228" s="9"/>
      <c r="O228" s="10"/>
      <c r="P228" s="9"/>
      <c r="Q228" s="10"/>
      <c r="R228" s="9"/>
      <c r="S228" s="10"/>
      <c r="T228" s="9"/>
      <c r="U228" s="10"/>
      <c r="V228" s="9"/>
      <c r="W228" s="10"/>
      <c r="X228" s="9"/>
      <c r="Y228" s="10"/>
      <c r="Z228" s="9"/>
      <c r="AA228" s="10"/>
      <c r="AB228" s="11"/>
      <c r="AC228" s="10"/>
      <c r="AD228" s="7">
        <f>SUM(F228+H228+J228+L228+N228+P228+R228+T228+V228+X228+Z228+AB228)</f>
        <v>0</v>
      </c>
      <c r="AE228" s="7">
        <f>E228+AD228</f>
        <v>0</v>
      </c>
      <c r="AF228" s="8">
        <f>G228+I228+K228+M228+O228+Q228+S228+U228+W228+Y228+AA228+AC228</f>
        <v>0</v>
      </c>
      <c r="AG228" s="212">
        <f>SUM(AE228-AF228)</f>
        <v>0</v>
      </c>
      <c r="AH228" s="214"/>
      <c r="AI228" s="214"/>
    </row>
    <row r="229" spans="1:42" customHeight="1" ht="11.5">
      <c r="A229" s="5"/>
      <c r="B229" s="113"/>
      <c r="C229" s="90"/>
      <c r="D229" s="167"/>
      <c r="E229" s="86"/>
      <c r="F229" s="9"/>
      <c r="G229" s="10"/>
      <c r="H229" s="9"/>
      <c r="I229" s="10"/>
      <c r="J229" s="9"/>
      <c r="K229" s="10"/>
      <c r="L229" s="87"/>
      <c r="M229" s="10"/>
      <c r="N229" s="9"/>
      <c r="O229" s="10"/>
      <c r="P229" s="9"/>
      <c r="Q229" s="10"/>
      <c r="R229" s="9"/>
      <c r="S229" s="10"/>
      <c r="T229" s="9"/>
      <c r="U229" s="10"/>
      <c r="V229" s="9"/>
      <c r="W229" s="10"/>
      <c r="X229" s="9"/>
      <c r="Y229" s="10"/>
      <c r="Z229" s="9"/>
      <c r="AA229" s="10"/>
      <c r="AB229" s="11"/>
      <c r="AC229" s="10"/>
      <c r="AD229" s="7">
        <f>SUM(F229+H229+J229+L229+N229+P229+R229+T229+V229+X229+Z229+AB229)</f>
        <v>0</v>
      </c>
      <c r="AE229" s="7">
        <f>E229+AD229</f>
        <v>0</v>
      </c>
      <c r="AF229" s="8">
        <f>G229+I229+K229+M229+O229+Q229+S229+U229+W229+Y229+AA229+AC229</f>
        <v>0</v>
      </c>
      <c r="AG229" s="212">
        <f>SUM(AE229-AF229)</f>
        <v>0</v>
      </c>
      <c r="AH229" s="214"/>
      <c r="AI229" s="214"/>
    </row>
    <row r="230" spans="1:42" customHeight="1" ht="11.5">
      <c r="A230" s="5"/>
      <c r="B230" s="113"/>
      <c r="C230" s="90"/>
      <c r="D230" s="167"/>
      <c r="E230" s="86"/>
      <c r="F230" s="9"/>
      <c r="G230" s="10"/>
      <c r="H230" s="9"/>
      <c r="I230" s="10"/>
      <c r="J230" s="9"/>
      <c r="K230" s="10"/>
      <c r="L230" s="87"/>
      <c r="M230" s="10"/>
      <c r="N230" s="9"/>
      <c r="O230" s="10"/>
      <c r="P230" s="9"/>
      <c r="Q230" s="10"/>
      <c r="R230" s="9"/>
      <c r="S230" s="10"/>
      <c r="T230" s="9"/>
      <c r="U230" s="10"/>
      <c r="V230" s="9"/>
      <c r="W230" s="10"/>
      <c r="X230" s="9"/>
      <c r="Y230" s="10"/>
      <c r="Z230" s="9"/>
      <c r="AA230" s="10"/>
      <c r="AB230" s="11"/>
      <c r="AC230" s="10"/>
      <c r="AD230" s="7">
        <f>SUM(F230+H230+J230+L230+N230+P230+R230+T230+V230+X230+Z230+AB230)</f>
        <v>0</v>
      </c>
      <c r="AE230" s="7">
        <f>E230+AD230</f>
        <v>0</v>
      </c>
      <c r="AF230" s="8">
        <f>G230+I230+K230+M230+O230+Q230+S230+U230+W230+Y230+AA230+AC230</f>
        <v>0</v>
      </c>
      <c r="AG230" s="212">
        <f>SUM(AE230-AF230)</f>
        <v>0</v>
      </c>
      <c r="AH230" s="214"/>
      <c r="AI230" s="214"/>
    </row>
    <row r="231" spans="1:42" customHeight="1" ht="11.5">
      <c r="A231" s="5"/>
      <c r="B231" s="113"/>
      <c r="C231" s="90"/>
      <c r="D231" s="167"/>
      <c r="E231" s="86"/>
      <c r="F231" s="9"/>
      <c r="G231" s="10"/>
      <c r="H231" s="9"/>
      <c r="I231" s="10"/>
      <c r="J231" s="9"/>
      <c r="K231" s="10"/>
      <c r="L231" s="87"/>
      <c r="M231" s="10"/>
      <c r="N231" s="9"/>
      <c r="O231" s="10"/>
      <c r="P231" s="9"/>
      <c r="Q231" s="10"/>
      <c r="R231" s="9"/>
      <c r="S231" s="10"/>
      <c r="T231" s="9"/>
      <c r="U231" s="10"/>
      <c r="V231" s="9"/>
      <c r="W231" s="10"/>
      <c r="X231" s="9"/>
      <c r="Y231" s="10"/>
      <c r="Z231" s="9"/>
      <c r="AA231" s="10"/>
      <c r="AB231" s="11"/>
      <c r="AC231" s="10"/>
      <c r="AD231" s="7">
        <f>SUM(F231+H231+J231+L231+N231+P231+R231+T231+V231+X231+Z231+AB231)</f>
        <v>0</v>
      </c>
      <c r="AE231" s="7">
        <f>E231+AD231</f>
        <v>0</v>
      </c>
      <c r="AF231" s="8">
        <f>G231+I231+K231+M231+O231+Q231+S231+U231+W231+Y231+AA231+AC231</f>
        <v>0</v>
      </c>
      <c r="AG231" s="212">
        <f>SUM(AE231-AF231)</f>
        <v>0</v>
      </c>
      <c r="AH231" s="214"/>
      <c r="AI231" s="214"/>
    </row>
    <row r="232" spans="1:42" customHeight="1" ht="11.5">
      <c r="A232" s="5"/>
      <c r="B232" s="113"/>
      <c r="C232" s="90"/>
      <c r="D232" s="167"/>
      <c r="E232" s="86"/>
      <c r="F232" s="9"/>
      <c r="G232" s="10"/>
      <c r="H232" s="9"/>
      <c r="I232" s="10"/>
      <c r="J232" s="9"/>
      <c r="K232" s="10"/>
      <c r="L232" s="87"/>
      <c r="M232" s="10"/>
      <c r="N232" s="9"/>
      <c r="O232" s="10"/>
      <c r="P232" s="9"/>
      <c r="Q232" s="10"/>
      <c r="R232" s="9"/>
      <c r="S232" s="10"/>
      <c r="T232" s="9"/>
      <c r="U232" s="10"/>
      <c r="V232" s="9"/>
      <c r="W232" s="10"/>
      <c r="X232" s="9"/>
      <c r="Y232" s="10"/>
      <c r="Z232" s="9"/>
      <c r="AA232" s="10"/>
      <c r="AB232" s="11"/>
      <c r="AC232" s="10"/>
      <c r="AD232" s="7">
        <f>SUM(F232+H232+J232+L232+N232+P232+R232+T232+V232+X232+Z232+AB232)</f>
        <v>0</v>
      </c>
      <c r="AE232" s="7">
        <f>E232+AD232</f>
        <v>0</v>
      </c>
      <c r="AF232" s="8">
        <f>G232+I232+K232+M232+O232+Q232+S232+U232+W232+Y232+AA232+AC232</f>
        <v>0</v>
      </c>
      <c r="AG232" s="212">
        <f>SUM(AE232-AF232)</f>
        <v>0</v>
      </c>
      <c r="AH232" s="214"/>
      <c r="AI232" s="214"/>
    </row>
    <row r="233" spans="1:42" customHeight="1" ht="11.5">
      <c r="A233" s="5"/>
      <c r="B233" s="113"/>
      <c r="C233" s="90"/>
      <c r="D233" s="167"/>
      <c r="E233" s="86"/>
      <c r="F233" s="9"/>
      <c r="G233" s="10"/>
      <c r="H233" s="9"/>
      <c r="I233" s="10"/>
      <c r="J233" s="9"/>
      <c r="K233" s="10"/>
      <c r="L233" s="87"/>
      <c r="M233" s="10"/>
      <c r="N233" s="9"/>
      <c r="O233" s="10"/>
      <c r="P233" s="9"/>
      <c r="Q233" s="10"/>
      <c r="R233" s="9"/>
      <c r="S233" s="10"/>
      <c r="T233" s="9"/>
      <c r="U233" s="10"/>
      <c r="V233" s="9"/>
      <c r="W233" s="10"/>
      <c r="X233" s="9"/>
      <c r="Y233" s="10"/>
      <c r="Z233" s="9"/>
      <c r="AA233" s="10"/>
      <c r="AB233" s="11"/>
      <c r="AC233" s="10"/>
      <c r="AD233" s="7">
        <f>SUM(F233+H233+J233+L233+N233+P233+R233+T233+V233+X233+Z233+AB233)</f>
        <v>0</v>
      </c>
      <c r="AE233" s="7">
        <f>E233+AD233</f>
        <v>0</v>
      </c>
      <c r="AF233" s="8">
        <f>G233+I233+K233+M233+O233+Q233+S233+U233+W233+Y233+AA233+AC233</f>
        <v>0</v>
      </c>
      <c r="AG233" s="212">
        <f>SUM(AE233-AF233)</f>
        <v>0</v>
      </c>
      <c r="AH233" s="214"/>
      <c r="AI233" s="214"/>
    </row>
    <row r="234" spans="1:42" customHeight="1" ht="11.5">
      <c r="A234" s="5"/>
      <c r="B234" s="113"/>
      <c r="C234" s="90"/>
      <c r="D234" s="167"/>
      <c r="E234" s="86"/>
      <c r="F234" s="9"/>
      <c r="G234" s="10"/>
      <c r="H234" s="9"/>
      <c r="I234" s="10"/>
      <c r="J234" s="9"/>
      <c r="K234" s="10"/>
      <c r="L234" s="87"/>
      <c r="M234" s="10"/>
      <c r="N234" s="9"/>
      <c r="O234" s="10"/>
      <c r="P234" s="9"/>
      <c r="Q234" s="10"/>
      <c r="R234" s="9"/>
      <c r="S234" s="10"/>
      <c r="T234" s="9"/>
      <c r="U234" s="10"/>
      <c r="V234" s="9"/>
      <c r="W234" s="10"/>
      <c r="X234" s="9"/>
      <c r="Y234" s="10"/>
      <c r="Z234" s="9"/>
      <c r="AA234" s="10"/>
      <c r="AB234" s="11"/>
      <c r="AC234" s="10"/>
      <c r="AD234" s="7">
        <f>SUM(F234+H234+J234+L234+N234+P234+R234+T234+V234+X234+Z234+AB234)</f>
        <v>0</v>
      </c>
      <c r="AE234" s="7">
        <f>E234+AD234</f>
        <v>0</v>
      </c>
      <c r="AF234" s="8">
        <f>G234+I234+K234+M234+O234+Q234+S234+U234+W234+Y234+AA234+AC234</f>
        <v>0</v>
      </c>
      <c r="AG234" s="212">
        <f>SUM(AE234-AF234)</f>
        <v>0</v>
      </c>
      <c r="AH234" s="214"/>
      <c r="AI234" s="214"/>
    </row>
    <row r="235" spans="1:42" customHeight="1" ht="11.5">
      <c r="A235" s="5"/>
      <c r="B235" s="113"/>
      <c r="C235" s="90"/>
      <c r="D235" s="167"/>
      <c r="E235" s="86"/>
      <c r="F235" s="9"/>
      <c r="G235" s="10"/>
      <c r="H235" s="9"/>
      <c r="I235" s="10"/>
      <c r="J235" s="9"/>
      <c r="K235" s="10"/>
      <c r="L235" s="87"/>
      <c r="M235" s="10"/>
      <c r="N235" s="9"/>
      <c r="O235" s="10"/>
      <c r="P235" s="9"/>
      <c r="Q235" s="10"/>
      <c r="R235" s="9"/>
      <c r="S235" s="10"/>
      <c r="T235" s="9"/>
      <c r="U235" s="10"/>
      <c r="V235" s="9"/>
      <c r="W235" s="10"/>
      <c r="X235" s="9"/>
      <c r="Y235" s="10"/>
      <c r="Z235" s="9"/>
      <c r="AA235" s="10"/>
      <c r="AB235" s="11"/>
      <c r="AC235" s="10"/>
      <c r="AD235" s="7">
        <f>SUM(F235+H235+J235+L235+N235+P235+R235+T235+V235+X235+Z235+AB235)</f>
        <v>0</v>
      </c>
      <c r="AE235" s="7">
        <f>E235+AD235</f>
        <v>0</v>
      </c>
      <c r="AF235" s="8">
        <f>G235+I235+K235+M235+O235+Q235+S235+U235+W235+Y235+AA235+AC235</f>
        <v>0</v>
      </c>
      <c r="AG235" s="212">
        <f>SUM(AE235-AF235)</f>
        <v>0</v>
      </c>
      <c r="AH235" s="214"/>
      <c r="AI235" s="214"/>
    </row>
    <row r="236" spans="1:42" customHeight="1" ht="11.5">
      <c r="A236" s="5"/>
      <c r="B236" s="113"/>
      <c r="C236" s="90"/>
      <c r="D236" s="167"/>
      <c r="E236" s="86"/>
      <c r="F236" s="9"/>
      <c r="G236" s="10"/>
      <c r="H236" s="9"/>
      <c r="I236" s="10"/>
      <c r="J236" s="9"/>
      <c r="K236" s="10"/>
      <c r="L236" s="87"/>
      <c r="M236" s="10"/>
      <c r="N236" s="9"/>
      <c r="O236" s="10"/>
      <c r="P236" s="9"/>
      <c r="Q236" s="10"/>
      <c r="R236" s="9"/>
      <c r="S236" s="10"/>
      <c r="T236" s="9"/>
      <c r="U236" s="10"/>
      <c r="V236" s="9"/>
      <c r="W236" s="10"/>
      <c r="X236" s="9"/>
      <c r="Y236" s="10"/>
      <c r="Z236" s="9"/>
      <c r="AA236" s="10"/>
      <c r="AB236" s="11"/>
      <c r="AC236" s="10"/>
      <c r="AD236" s="7">
        <f>SUM(F236+H236+J236+L236+N236+P236+R236+T236+V236+X236+Z236+AB236)</f>
        <v>0</v>
      </c>
      <c r="AE236" s="7">
        <f>E236+AD236</f>
        <v>0</v>
      </c>
      <c r="AF236" s="8">
        <f>G236+I236+K236+M236+O236+Q236+S236+U236+W236+Y236+AA236+AC236</f>
        <v>0</v>
      </c>
      <c r="AG236" s="212">
        <f>SUM(AE236-AF236)</f>
        <v>0</v>
      </c>
      <c r="AH236" s="214"/>
      <c r="AI236" s="214"/>
    </row>
    <row r="237" spans="1:42" customHeight="1" ht="11.5">
      <c r="A237" s="5"/>
      <c r="B237" s="113"/>
      <c r="C237" s="90"/>
      <c r="D237" s="167"/>
      <c r="E237" s="86"/>
      <c r="F237" s="9"/>
      <c r="G237" s="10"/>
      <c r="H237" s="9"/>
      <c r="I237" s="10"/>
      <c r="J237" s="9"/>
      <c r="K237" s="10"/>
      <c r="L237" s="87"/>
      <c r="M237" s="10"/>
      <c r="N237" s="9"/>
      <c r="O237" s="10"/>
      <c r="P237" s="9"/>
      <c r="Q237" s="10"/>
      <c r="R237" s="9"/>
      <c r="S237" s="10"/>
      <c r="T237" s="9"/>
      <c r="U237" s="10"/>
      <c r="V237" s="9"/>
      <c r="W237" s="10"/>
      <c r="X237" s="9"/>
      <c r="Y237" s="10"/>
      <c r="Z237" s="9"/>
      <c r="AA237" s="10"/>
      <c r="AB237" s="11"/>
      <c r="AC237" s="10"/>
      <c r="AD237" s="7">
        <f>SUM(F237+H237+J237+L237+N237+P237+R237+T237+V237+X237+Z237+AB237)</f>
        <v>0</v>
      </c>
      <c r="AE237" s="7">
        <f>E237+AD237</f>
        <v>0</v>
      </c>
      <c r="AF237" s="8">
        <f>G237+I237+K237+M237+O237+Q237+S237+U237+W237+Y237+AA237+AC237</f>
        <v>0</v>
      </c>
      <c r="AG237" s="212">
        <f>SUM(AE237-AF237)</f>
        <v>0</v>
      </c>
      <c r="AH237" s="214"/>
      <c r="AI237" s="214"/>
    </row>
    <row r="238" spans="1:42" customHeight="1" ht="11.5">
      <c r="A238" s="5"/>
      <c r="B238" s="113"/>
      <c r="C238" s="90"/>
      <c r="D238" s="167"/>
      <c r="E238" s="86"/>
      <c r="F238" s="9"/>
      <c r="G238" s="10"/>
      <c r="H238" s="9"/>
      <c r="I238" s="10"/>
      <c r="J238" s="9"/>
      <c r="K238" s="10"/>
      <c r="L238" s="87"/>
      <c r="M238" s="10"/>
      <c r="N238" s="9"/>
      <c r="O238" s="10"/>
      <c r="P238" s="9"/>
      <c r="Q238" s="10"/>
      <c r="R238" s="9"/>
      <c r="S238" s="10"/>
      <c r="T238" s="9"/>
      <c r="U238" s="10"/>
      <c r="V238" s="9"/>
      <c r="W238" s="10"/>
      <c r="X238" s="9"/>
      <c r="Y238" s="10"/>
      <c r="Z238" s="9"/>
      <c r="AA238" s="10"/>
      <c r="AB238" s="11"/>
      <c r="AC238" s="10"/>
      <c r="AD238" s="7">
        <f>SUM(F238+H238+J238+L238+N238+P238+R238+T238+V238+X238+Z238+AB238)</f>
        <v>0</v>
      </c>
      <c r="AE238" s="7">
        <f>E238+AD238</f>
        <v>0</v>
      </c>
      <c r="AF238" s="8">
        <f>G238+I238+K238+M238+O238+Q238+S238+U238+W238+Y238+AA238+AC238</f>
        <v>0</v>
      </c>
      <c r="AG238" s="212">
        <f>SUM(AE238-AF238)</f>
        <v>0</v>
      </c>
      <c r="AH238" s="214"/>
      <c r="AI238" s="214"/>
    </row>
    <row r="239" spans="1:42" customHeight="1" ht="11.5">
      <c r="A239" s="5"/>
      <c r="B239" s="113"/>
      <c r="C239" s="90"/>
      <c r="D239" s="167"/>
      <c r="E239" s="86"/>
      <c r="F239" s="9"/>
      <c r="G239" s="10"/>
      <c r="H239" s="9"/>
      <c r="I239" s="10"/>
      <c r="J239" s="9"/>
      <c r="K239" s="10"/>
      <c r="L239" s="87"/>
      <c r="M239" s="10"/>
      <c r="N239" s="9"/>
      <c r="O239" s="10"/>
      <c r="P239" s="9"/>
      <c r="Q239" s="10"/>
      <c r="R239" s="9"/>
      <c r="S239" s="10"/>
      <c r="T239" s="9"/>
      <c r="U239" s="10"/>
      <c r="V239" s="9"/>
      <c r="W239" s="10"/>
      <c r="X239" s="9"/>
      <c r="Y239" s="10"/>
      <c r="Z239" s="9"/>
      <c r="AA239" s="10"/>
      <c r="AB239" s="11"/>
      <c r="AC239" s="10"/>
      <c r="AD239" s="7">
        <f>SUM(F239+H239+J239+L239+N239+P239+R239+T239+V239+X239+Z239+AB239)</f>
        <v>0</v>
      </c>
      <c r="AE239" s="7">
        <f>E239+AD239</f>
        <v>0</v>
      </c>
      <c r="AF239" s="8">
        <f>G239+I239+K239+M239+O239+Q239+S239+U239+W239+Y239+AA239+AC239</f>
        <v>0</v>
      </c>
      <c r="AG239" s="212">
        <f>SUM(AE239-AF239)</f>
        <v>0</v>
      </c>
      <c r="AH239" s="214"/>
      <c r="AI239" s="214"/>
    </row>
    <row r="240" spans="1:42" customHeight="1" ht="11.5">
      <c r="A240" s="5"/>
      <c r="B240" s="113"/>
      <c r="C240" s="90"/>
      <c r="D240" s="167"/>
      <c r="E240" s="86"/>
      <c r="F240" s="9"/>
      <c r="G240" s="10"/>
      <c r="H240" s="9"/>
      <c r="I240" s="10"/>
      <c r="J240" s="9"/>
      <c r="K240" s="10"/>
      <c r="L240" s="87"/>
      <c r="M240" s="10"/>
      <c r="N240" s="9"/>
      <c r="O240" s="10"/>
      <c r="P240" s="9"/>
      <c r="Q240" s="10"/>
      <c r="R240" s="9"/>
      <c r="S240" s="10"/>
      <c r="T240" s="9"/>
      <c r="U240" s="10"/>
      <c r="V240" s="9"/>
      <c r="W240" s="10"/>
      <c r="X240" s="9"/>
      <c r="Y240" s="10"/>
      <c r="Z240" s="9"/>
      <c r="AA240" s="10"/>
      <c r="AB240" s="11"/>
      <c r="AC240" s="10"/>
      <c r="AD240" s="7">
        <f>SUM(F240+H240+J240+L240+N240+P240+R240+T240+V240+X240+Z240+AB240)</f>
        <v>0</v>
      </c>
      <c r="AE240" s="7">
        <f>E240+AD240</f>
        <v>0</v>
      </c>
      <c r="AF240" s="8">
        <f>G240+I240+K240+M240+O240+Q240+S240+U240+W240+Y240+AA240+AC240</f>
        <v>0</v>
      </c>
      <c r="AG240" s="212">
        <f>SUM(AE240-AF240)</f>
        <v>0</v>
      </c>
      <c r="AH240" s="214"/>
      <c r="AI240" s="214"/>
    </row>
    <row r="241" spans="1:42" customHeight="1" ht="11.5">
      <c r="A241" s="5"/>
      <c r="B241" s="113"/>
      <c r="C241" s="90"/>
      <c r="D241" s="167"/>
      <c r="E241" s="86"/>
      <c r="F241" s="9"/>
      <c r="G241" s="10"/>
      <c r="H241" s="9"/>
      <c r="I241" s="10"/>
      <c r="J241" s="9"/>
      <c r="K241" s="10"/>
      <c r="L241" s="87"/>
      <c r="M241" s="10"/>
      <c r="N241" s="9"/>
      <c r="O241" s="10"/>
      <c r="P241" s="9"/>
      <c r="Q241" s="10"/>
      <c r="R241" s="9"/>
      <c r="S241" s="10"/>
      <c r="T241" s="9"/>
      <c r="U241" s="10"/>
      <c r="V241" s="9"/>
      <c r="W241" s="10"/>
      <c r="X241" s="9"/>
      <c r="Y241" s="10"/>
      <c r="Z241" s="9"/>
      <c r="AA241" s="10"/>
      <c r="AB241" s="11"/>
      <c r="AC241" s="10"/>
      <c r="AD241" s="7">
        <f>SUM(F241+H241+J241+L241+N241+P241+R241+T241+V241+X241+Z241+AB241)</f>
        <v>0</v>
      </c>
      <c r="AE241" s="7">
        <f>E241+AD241</f>
        <v>0</v>
      </c>
      <c r="AF241" s="8">
        <f>G241+I241+K241+M241+O241+Q241+S241+U241+W241+Y241+AA241+AC241</f>
        <v>0</v>
      </c>
      <c r="AG241" s="212">
        <f>SUM(AE241-AF241)</f>
        <v>0</v>
      </c>
      <c r="AH241" s="214"/>
      <c r="AI241" s="214"/>
    </row>
    <row r="242" spans="1:42" customHeight="1" ht="11.5">
      <c r="A242" s="5"/>
      <c r="B242" s="113"/>
      <c r="C242" s="90"/>
      <c r="D242" s="167"/>
      <c r="E242" s="86"/>
      <c r="F242" s="9"/>
      <c r="G242" s="10"/>
      <c r="H242" s="9"/>
      <c r="I242" s="10"/>
      <c r="J242" s="9"/>
      <c r="K242" s="10"/>
      <c r="L242" s="87"/>
      <c r="M242" s="10"/>
      <c r="N242" s="9"/>
      <c r="O242" s="10"/>
      <c r="P242" s="9"/>
      <c r="Q242" s="10"/>
      <c r="R242" s="9"/>
      <c r="S242" s="10"/>
      <c r="T242" s="9"/>
      <c r="U242" s="10"/>
      <c r="V242" s="9"/>
      <c r="W242" s="10"/>
      <c r="X242" s="9"/>
      <c r="Y242" s="10"/>
      <c r="Z242" s="9"/>
      <c r="AA242" s="10"/>
      <c r="AB242" s="11"/>
      <c r="AC242" s="10"/>
      <c r="AD242" s="7">
        <f>SUM(F242+H242+J242+L242+N242+P242+R242+T242+V242+X242+Z242+AB242)</f>
        <v>0</v>
      </c>
      <c r="AE242" s="7">
        <f>E242+AD242</f>
        <v>0</v>
      </c>
      <c r="AF242" s="8">
        <f>G242+I242+K242+M242+O242+Q242+S242+U242+W242+Y242+AA242+AC242</f>
        <v>0</v>
      </c>
      <c r="AG242" s="212">
        <f>SUM(AE242-AF242)</f>
        <v>0</v>
      </c>
      <c r="AH242" s="214"/>
      <c r="AI242" s="214"/>
    </row>
    <row r="243" spans="1:42" customHeight="1" ht="11.5">
      <c r="A243" s="5"/>
      <c r="B243" s="113"/>
      <c r="C243" s="90"/>
      <c r="D243" s="167"/>
      <c r="E243" s="86"/>
      <c r="F243" s="9"/>
      <c r="G243" s="10"/>
      <c r="H243" s="9"/>
      <c r="I243" s="10"/>
      <c r="J243" s="9"/>
      <c r="K243" s="10"/>
      <c r="L243" s="87"/>
      <c r="M243" s="10"/>
      <c r="N243" s="9"/>
      <c r="O243" s="10"/>
      <c r="P243" s="9"/>
      <c r="Q243" s="10"/>
      <c r="R243" s="9"/>
      <c r="S243" s="10"/>
      <c r="T243" s="9"/>
      <c r="U243" s="10"/>
      <c r="V243" s="9"/>
      <c r="W243" s="10"/>
      <c r="X243" s="9"/>
      <c r="Y243" s="10"/>
      <c r="Z243" s="9"/>
      <c r="AA243" s="10"/>
      <c r="AB243" s="11"/>
      <c r="AC243" s="10"/>
      <c r="AD243" s="7">
        <f>SUM(F243+H243+J243+L243+N243+P243+R243+T243+V243+X243+Z243+AB243)</f>
        <v>0</v>
      </c>
      <c r="AE243" s="7">
        <f>E243+AD243</f>
        <v>0</v>
      </c>
      <c r="AF243" s="8">
        <f>G243+I243+K243+M243+O243+Q243+S243+U243+W243+Y243+AA243+AC243</f>
        <v>0</v>
      </c>
      <c r="AG243" s="212">
        <f>SUM(AE243-AF243)</f>
        <v>0</v>
      </c>
      <c r="AH243" s="214"/>
      <c r="AI243" s="214"/>
    </row>
    <row r="244" spans="1:42" customHeight="1" ht="11.5">
      <c r="A244" s="5"/>
      <c r="B244" s="113"/>
      <c r="C244" s="90"/>
      <c r="D244" s="167"/>
      <c r="E244" s="86"/>
      <c r="F244" s="9"/>
      <c r="G244" s="10"/>
      <c r="H244" s="9"/>
      <c r="I244" s="10"/>
      <c r="J244" s="9"/>
      <c r="K244" s="10"/>
      <c r="L244" s="87"/>
      <c r="M244" s="10"/>
      <c r="N244" s="9"/>
      <c r="O244" s="10"/>
      <c r="P244" s="9"/>
      <c r="Q244" s="10"/>
      <c r="R244" s="9"/>
      <c r="S244" s="10"/>
      <c r="T244" s="9"/>
      <c r="U244" s="10"/>
      <c r="V244" s="9"/>
      <c r="W244" s="10"/>
      <c r="X244" s="9"/>
      <c r="Y244" s="10"/>
      <c r="Z244" s="9"/>
      <c r="AA244" s="10"/>
      <c r="AB244" s="11"/>
      <c r="AC244" s="10"/>
      <c r="AD244" s="7">
        <f>SUM(F244+H244+J244+L244+N244+P244+R244+T244+V244+X244+Z244+AB244)</f>
        <v>0</v>
      </c>
      <c r="AE244" s="7">
        <f>E244+AD244</f>
        <v>0</v>
      </c>
      <c r="AF244" s="8">
        <f>G244+I244+K244+M244+O244+Q244+S244+U244+W244+Y244+AA244+AC244</f>
        <v>0</v>
      </c>
      <c r="AG244" s="212">
        <f>SUM(AE244-AF244)</f>
        <v>0</v>
      </c>
      <c r="AH244" s="214"/>
      <c r="AI244" s="214"/>
    </row>
    <row r="245" spans="1:42" customHeight="1" ht="11.5">
      <c r="A245" s="5"/>
      <c r="B245" s="113"/>
      <c r="C245" s="90"/>
      <c r="D245" s="167"/>
      <c r="E245" s="86"/>
      <c r="F245" s="9"/>
      <c r="G245" s="10"/>
      <c r="H245" s="9"/>
      <c r="I245" s="10"/>
      <c r="J245" s="9"/>
      <c r="K245" s="10"/>
      <c r="L245" s="87"/>
      <c r="M245" s="10"/>
      <c r="N245" s="9"/>
      <c r="O245" s="10"/>
      <c r="P245" s="9"/>
      <c r="Q245" s="10"/>
      <c r="R245" s="9"/>
      <c r="S245" s="10"/>
      <c r="T245" s="9"/>
      <c r="U245" s="10"/>
      <c r="V245" s="9"/>
      <c r="W245" s="10"/>
      <c r="X245" s="9"/>
      <c r="Y245" s="10"/>
      <c r="Z245" s="9"/>
      <c r="AA245" s="10"/>
      <c r="AB245" s="11"/>
      <c r="AC245" s="10"/>
      <c r="AD245" s="7">
        <f>SUM(F245+H245+J245+L245+N245+P245+R245+T245+V245+X245+Z245+AB245)</f>
        <v>0</v>
      </c>
      <c r="AE245" s="7">
        <f>E245+AD245</f>
        <v>0</v>
      </c>
      <c r="AF245" s="8">
        <f>G245+I245+K245+M245+O245+Q245+S245+U245+W245+Y245+AA245+AC245</f>
        <v>0</v>
      </c>
      <c r="AG245" s="212">
        <f>SUM(AE245-AF245)</f>
        <v>0</v>
      </c>
      <c r="AH245" s="214"/>
      <c r="AI245" s="214"/>
    </row>
    <row r="246" spans="1:42" customHeight="1" ht="11.5">
      <c r="A246" s="5"/>
      <c r="B246" s="113"/>
      <c r="C246" s="90"/>
      <c r="D246" s="167"/>
      <c r="E246" s="86"/>
      <c r="F246" s="9"/>
      <c r="G246" s="10"/>
      <c r="H246" s="9"/>
      <c r="I246" s="10"/>
      <c r="J246" s="9"/>
      <c r="K246" s="10"/>
      <c r="L246" s="87"/>
      <c r="M246" s="10"/>
      <c r="N246" s="9"/>
      <c r="O246" s="10"/>
      <c r="P246" s="9"/>
      <c r="Q246" s="10"/>
      <c r="R246" s="9"/>
      <c r="S246" s="10"/>
      <c r="T246" s="9"/>
      <c r="U246" s="10"/>
      <c r="V246" s="9"/>
      <c r="W246" s="10"/>
      <c r="X246" s="9"/>
      <c r="Y246" s="10"/>
      <c r="Z246" s="9"/>
      <c r="AA246" s="10"/>
      <c r="AB246" s="11"/>
      <c r="AC246" s="10"/>
      <c r="AD246" s="7">
        <f>SUM(F246+H246+J246+L246+N246+P246+R246+T246+V246+X246+Z246+AB246)</f>
        <v>0</v>
      </c>
      <c r="AE246" s="7">
        <f>E246+AD246</f>
        <v>0</v>
      </c>
      <c r="AF246" s="8">
        <f>G246+I246+K246+M246+O246+Q246+S246+U246+W246+Y246+AA246+AC246</f>
        <v>0</v>
      </c>
      <c r="AG246" s="212">
        <f>SUM(AE246-AF246)</f>
        <v>0</v>
      </c>
      <c r="AH246" s="214"/>
      <c r="AI246" s="214"/>
    </row>
    <row r="247" spans="1:42" customHeight="1" ht="11.5">
      <c r="A247" s="5"/>
      <c r="B247" s="113"/>
      <c r="C247" s="90"/>
      <c r="D247" s="167"/>
      <c r="E247" s="86"/>
      <c r="F247" s="9"/>
      <c r="G247" s="10"/>
      <c r="H247" s="9"/>
      <c r="I247" s="10"/>
      <c r="J247" s="9"/>
      <c r="K247" s="10"/>
      <c r="L247" s="87"/>
      <c r="M247" s="10"/>
      <c r="N247" s="9"/>
      <c r="O247" s="10"/>
      <c r="P247" s="9"/>
      <c r="Q247" s="10"/>
      <c r="R247" s="9"/>
      <c r="S247" s="10"/>
      <c r="T247" s="9"/>
      <c r="U247" s="10"/>
      <c r="V247" s="9"/>
      <c r="W247" s="10"/>
      <c r="X247" s="9"/>
      <c r="Y247" s="10"/>
      <c r="Z247" s="9"/>
      <c r="AA247" s="10"/>
      <c r="AB247" s="11"/>
      <c r="AC247" s="10"/>
      <c r="AD247" s="7">
        <f>SUM(F247+H247+J247+L247+N247+P247+R247+T247+V247+X247+Z247+AB247)</f>
        <v>0</v>
      </c>
      <c r="AE247" s="7">
        <f>E247+AD247</f>
        <v>0</v>
      </c>
      <c r="AF247" s="8">
        <f>G247+I247+K247+M247+O247+Q247+S247+U247+W247+Y247+AA247+AC247</f>
        <v>0</v>
      </c>
      <c r="AG247" s="212">
        <f>SUM(AE247-AF247)</f>
        <v>0</v>
      </c>
      <c r="AH247" s="214"/>
      <c r="AI247" s="214"/>
    </row>
    <row r="248" spans="1:42" customHeight="1" ht="11.5">
      <c r="A248" s="5"/>
      <c r="B248" s="113"/>
      <c r="C248" s="90"/>
      <c r="D248" s="167"/>
      <c r="E248" s="86"/>
      <c r="F248" s="9"/>
      <c r="G248" s="10"/>
      <c r="H248" s="9"/>
      <c r="I248" s="10"/>
      <c r="J248" s="9"/>
      <c r="K248" s="10"/>
      <c r="L248" s="87"/>
      <c r="M248" s="10"/>
      <c r="N248" s="9"/>
      <c r="O248" s="10"/>
      <c r="P248" s="9"/>
      <c r="Q248" s="10"/>
      <c r="R248" s="9"/>
      <c r="S248" s="10"/>
      <c r="T248" s="9"/>
      <c r="U248" s="10"/>
      <c r="V248" s="9"/>
      <c r="W248" s="10"/>
      <c r="X248" s="9"/>
      <c r="Y248" s="10"/>
      <c r="Z248" s="9"/>
      <c r="AA248" s="10"/>
      <c r="AB248" s="11"/>
      <c r="AC248" s="10"/>
      <c r="AD248" s="7">
        <f>SUM(F248+H248+J248+L248+N248+P248+R248+T248+V248+X248+Z248+AB248)</f>
        <v>0</v>
      </c>
      <c r="AE248" s="7">
        <f>E248+AD248</f>
        <v>0</v>
      </c>
      <c r="AF248" s="8">
        <f>G248+I248+K248+M248+O248+Q248+S248+U248+W248+Y248+AA248+AC248</f>
        <v>0</v>
      </c>
      <c r="AG248" s="212">
        <f>SUM(AE248-AF248)</f>
        <v>0</v>
      </c>
      <c r="AH248" s="214"/>
      <c r="AI248" s="214"/>
    </row>
    <row r="249" spans="1:42" customHeight="1" ht="11.5">
      <c r="A249" s="5"/>
      <c r="B249" s="113"/>
      <c r="C249" s="90"/>
      <c r="D249" s="167"/>
      <c r="E249" s="86"/>
      <c r="F249" s="9"/>
      <c r="G249" s="10"/>
      <c r="H249" s="9"/>
      <c r="I249" s="10"/>
      <c r="J249" s="9"/>
      <c r="K249" s="10"/>
      <c r="L249" s="87"/>
      <c r="M249" s="10"/>
      <c r="N249" s="9"/>
      <c r="O249" s="10"/>
      <c r="P249" s="9"/>
      <c r="Q249" s="10"/>
      <c r="R249" s="9"/>
      <c r="S249" s="10"/>
      <c r="T249" s="9"/>
      <c r="U249" s="10"/>
      <c r="V249" s="9"/>
      <c r="W249" s="10"/>
      <c r="X249" s="9"/>
      <c r="Y249" s="10"/>
      <c r="Z249" s="9"/>
      <c r="AA249" s="10"/>
      <c r="AB249" s="11"/>
      <c r="AC249" s="10"/>
      <c r="AD249" s="7">
        <f>SUM(F249+H249+J249+L249+N249+P249+R249+T249+V249+X249+Z249+AB249)</f>
        <v>0</v>
      </c>
      <c r="AE249" s="7">
        <f>E249+AD249</f>
        <v>0</v>
      </c>
      <c r="AF249" s="8">
        <f>G249+I249+K249+M249+O249+Q249+S249+U249+W249+Y249+AA249+AC249</f>
        <v>0</v>
      </c>
      <c r="AG249" s="212">
        <f>SUM(AE249-AF249)</f>
        <v>0</v>
      </c>
      <c r="AH249" s="214"/>
      <c r="AI249" s="214"/>
    </row>
    <row r="250" spans="1:42" customHeight="1" ht="11.5">
      <c r="A250" s="5"/>
      <c r="B250" s="113"/>
      <c r="C250" s="90"/>
      <c r="D250" s="167"/>
      <c r="E250" s="86"/>
      <c r="F250" s="9"/>
      <c r="G250" s="10"/>
      <c r="H250" s="9"/>
      <c r="I250" s="10"/>
      <c r="J250" s="9"/>
      <c r="K250" s="10"/>
      <c r="L250" s="87"/>
      <c r="M250" s="10"/>
      <c r="N250" s="9"/>
      <c r="O250" s="10"/>
      <c r="P250" s="9"/>
      <c r="Q250" s="10"/>
      <c r="R250" s="9"/>
      <c r="S250" s="10"/>
      <c r="T250" s="9"/>
      <c r="U250" s="10"/>
      <c r="V250" s="9"/>
      <c r="W250" s="10"/>
      <c r="X250" s="9"/>
      <c r="Y250" s="10"/>
      <c r="Z250" s="9"/>
      <c r="AA250" s="10"/>
      <c r="AB250" s="11"/>
      <c r="AC250" s="10"/>
      <c r="AD250" s="7">
        <f>SUM(F250+H250+J250+L250+N250+P250+R250+T250+V250+X250+Z250+AB250)</f>
        <v>0</v>
      </c>
      <c r="AE250" s="7">
        <f>E250+AD250</f>
        <v>0</v>
      </c>
      <c r="AF250" s="8">
        <f>G250+I250+K250+M250+O250+Q250+S250+U250+W250+Y250+AA250+AC250</f>
        <v>0</v>
      </c>
      <c r="AG250" s="212">
        <f>SUM(AE250-AF250)</f>
        <v>0</v>
      </c>
      <c r="AH250" s="214"/>
      <c r="AI250" s="214"/>
    </row>
    <row r="251" spans="1:42" customHeight="1" ht="11.5">
      <c r="A251" s="5"/>
      <c r="B251" s="113"/>
      <c r="C251" s="90"/>
      <c r="D251" s="167"/>
      <c r="E251" s="86"/>
      <c r="F251" s="9"/>
      <c r="G251" s="10"/>
      <c r="H251" s="9"/>
      <c r="I251" s="10"/>
      <c r="J251" s="9"/>
      <c r="K251" s="10"/>
      <c r="L251" s="87"/>
      <c r="M251" s="10"/>
      <c r="N251" s="9"/>
      <c r="O251" s="10"/>
      <c r="P251" s="9"/>
      <c r="Q251" s="10"/>
      <c r="R251" s="9"/>
      <c r="S251" s="10"/>
      <c r="T251" s="9"/>
      <c r="U251" s="10"/>
      <c r="V251" s="9"/>
      <c r="W251" s="10"/>
      <c r="X251" s="9"/>
      <c r="Y251" s="10"/>
      <c r="Z251" s="9"/>
      <c r="AA251" s="10"/>
      <c r="AB251" s="11"/>
      <c r="AC251" s="10"/>
      <c r="AD251" s="7">
        <f>SUM(F251+H251+J251+L251+N251+P251+R251+T251+V251+X251+Z251+AB251)</f>
        <v>0</v>
      </c>
      <c r="AE251" s="7">
        <f>E251+AD251</f>
        <v>0</v>
      </c>
      <c r="AF251" s="8">
        <f>G251+I251+K251+M251+O251+Q251+S251+U251+W251+Y251+AA251+AC251</f>
        <v>0</v>
      </c>
      <c r="AG251" s="212">
        <f>SUM(AE251-AF251)</f>
        <v>0</v>
      </c>
      <c r="AH251" s="214"/>
      <c r="AI251" s="214"/>
    </row>
    <row r="252" spans="1:42" customHeight="1" ht="11.5">
      <c r="A252" s="5"/>
      <c r="B252" s="113"/>
      <c r="C252" s="90"/>
      <c r="D252" s="167"/>
      <c r="E252" s="86"/>
      <c r="F252" s="9"/>
      <c r="G252" s="10"/>
      <c r="H252" s="9"/>
      <c r="I252" s="10"/>
      <c r="J252" s="9"/>
      <c r="K252" s="10"/>
      <c r="L252" s="87"/>
      <c r="M252" s="10"/>
      <c r="N252" s="9"/>
      <c r="O252" s="10"/>
      <c r="P252" s="9"/>
      <c r="Q252" s="10"/>
      <c r="R252" s="9"/>
      <c r="S252" s="10"/>
      <c r="T252" s="9"/>
      <c r="U252" s="10"/>
      <c r="V252" s="9"/>
      <c r="W252" s="10"/>
      <c r="X252" s="9"/>
      <c r="Y252" s="10"/>
      <c r="Z252" s="9"/>
      <c r="AA252" s="10"/>
      <c r="AB252" s="11"/>
      <c r="AC252" s="10"/>
      <c r="AD252" s="7">
        <f>SUM(F252+H252+J252+L252+N252+P252+R252+T252+V252+X252+Z252+AB252)</f>
        <v>0</v>
      </c>
      <c r="AE252" s="7">
        <f>E252+AD252</f>
        <v>0</v>
      </c>
      <c r="AF252" s="8">
        <f>G252+I252+K252+M252+O252+Q252+S252+U252+W252+Y252+AA252+AC252</f>
        <v>0</v>
      </c>
      <c r="AG252" s="212">
        <f>SUM(AE252-AF252)</f>
        <v>0</v>
      </c>
      <c r="AH252" s="214"/>
      <c r="AI252" s="214"/>
    </row>
    <row r="253" spans="1:42" customHeight="1" ht="11.5">
      <c r="A253" s="5"/>
      <c r="B253" s="113"/>
      <c r="C253" s="90"/>
      <c r="D253" s="167"/>
      <c r="E253" s="86"/>
      <c r="F253" s="9"/>
      <c r="G253" s="10"/>
      <c r="H253" s="9"/>
      <c r="I253" s="10"/>
      <c r="J253" s="9"/>
      <c r="K253" s="10"/>
      <c r="L253" s="87"/>
      <c r="M253" s="10"/>
      <c r="N253" s="9"/>
      <c r="O253" s="10"/>
      <c r="P253" s="9"/>
      <c r="Q253" s="10"/>
      <c r="R253" s="9"/>
      <c r="S253" s="10"/>
      <c r="T253" s="9"/>
      <c r="U253" s="10"/>
      <c r="V253" s="9"/>
      <c r="W253" s="10"/>
      <c r="X253" s="9"/>
      <c r="Y253" s="10"/>
      <c r="Z253" s="9"/>
      <c r="AA253" s="10"/>
      <c r="AB253" s="11"/>
      <c r="AC253" s="10"/>
      <c r="AD253" s="7">
        <f>SUM(F253+H253+J253+L253+N253+P253+R253+T253+V253+X253+Z253+AB253)</f>
        <v>0</v>
      </c>
      <c r="AE253" s="7">
        <f>E253+AD253</f>
        <v>0</v>
      </c>
      <c r="AF253" s="8">
        <f>G253+I253+K253+M253+O253+Q253+S253+U253+W253+Y253+AA253+AC253</f>
        <v>0</v>
      </c>
      <c r="AG253" s="212">
        <f>SUM(AE253-AF253)</f>
        <v>0</v>
      </c>
      <c r="AH253" s="214"/>
      <c r="AI253" s="214"/>
    </row>
    <row r="254" spans="1:42" customHeight="1" ht="11.5">
      <c r="A254" s="5"/>
      <c r="B254" s="113"/>
      <c r="C254" s="90"/>
      <c r="D254" s="167"/>
      <c r="E254" s="86"/>
      <c r="F254" s="9"/>
      <c r="G254" s="10"/>
      <c r="H254" s="9"/>
      <c r="I254" s="10"/>
      <c r="J254" s="9"/>
      <c r="K254" s="10"/>
      <c r="L254" s="87"/>
      <c r="M254" s="10"/>
      <c r="N254" s="9"/>
      <c r="O254" s="10"/>
      <c r="P254" s="9"/>
      <c r="Q254" s="10"/>
      <c r="R254" s="9"/>
      <c r="S254" s="10"/>
      <c r="T254" s="9"/>
      <c r="U254" s="10"/>
      <c r="V254" s="9"/>
      <c r="W254" s="10"/>
      <c r="X254" s="9"/>
      <c r="Y254" s="10"/>
      <c r="Z254" s="9"/>
      <c r="AA254" s="10"/>
      <c r="AB254" s="11"/>
      <c r="AC254" s="10"/>
      <c r="AD254" s="7">
        <f>SUM(F254+H254+J254+L254+N254+P254+R254+T254+V254+X254+Z254+AB254)</f>
        <v>0</v>
      </c>
      <c r="AE254" s="7">
        <f>E254+AD254</f>
        <v>0</v>
      </c>
      <c r="AF254" s="8">
        <f>G254+I254+K254+M254+O254+Q254+S254+U254+W254+Y254+AA254+AC254</f>
        <v>0</v>
      </c>
      <c r="AG254" s="212">
        <f>SUM(AE254-AF254)</f>
        <v>0</v>
      </c>
      <c r="AH254" s="214"/>
      <c r="AI254" s="214"/>
    </row>
    <row r="255" spans="1:42" customHeight="1" ht="11.5">
      <c r="A255" s="5"/>
      <c r="B255" s="113"/>
      <c r="C255" s="90"/>
      <c r="D255" s="167"/>
      <c r="E255" s="86"/>
      <c r="F255" s="9"/>
      <c r="G255" s="10"/>
      <c r="H255" s="9"/>
      <c r="I255" s="10"/>
      <c r="J255" s="9"/>
      <c r="K255" s="10"/>
      <c r="L255" s="87"/>
      <c r="M255" s="10"/>
      <c r="N255" s="9"/>
      <c r="O255" s="10"/>
      <c r="P255" s="9"/>
      <c r="Q255" s="10"/>
      <c r="R255" s="9"/>
      <c r="S255" s="10"/>
      <c r="T255" s="9"/>
      <c r="U255" s="10"/>
      <c r="V255" s="9"/>
      <c r="W255" s="10"/>
      <c r="X255" s="9"/>
      <c r="Y255" s="10"/>
      <c r="Z255" s="9"/>
      <c r="AA255" s="10"/>
      <c r="AB255" s="11"/>
      <c r="AC255" s="10"/>
      <c r="AD255" s="7">
        <f>SUM(F255+H255+J255+L255+N255+P255+R255+T255+V255+X255+Z255+AB255)</f>
        <v>0</v>
      </c>
      <c r="AE255" s="7">
        <f>E255+AD255</f>
        <v>0</v>
      </c>
      <c r="AF255" s="8">
        <f>G255+I255+K255+M255+O255+Q255+S255+U255+W255+Y255+AA255+AC255</f>
        <v>0</v>
      </c>
      <c r="AG255" s="212">
        <f>SUM(AE255-AF255)</f>
        <v>0</v>
      </c>
      <c r="AH255" s="214"/>
      <c r="AI255" s="214"/>
    </row>
    <row r="256" spans="1:42" customHeight="1" ht="11.5">
      <c r="A256" s="5"/>
      <c r="B256" s="113"/>
      <c r="C256" s="90"/>
      <c r="D256" s="167"/>
      <c r="E256" s="86"/>
      <c r="F256" s="9"/>
      <c r="G256" s="10"/>
      <c r="H256" s="9"/>
      <c r="I256" s="10"/>
      <c r="J256" s="9"/>
      <c r="K256" s="10"/>
      <c r="L256" s="87"/>
      <c r="M256" s="10"/>
      <c r="N256" s="9"/>
      <c r="O256" s="10"/>
      <c r="P256" s="9"/>
      <c r="Q256" s="10"/>
      <c r="R256" s="9"/>
      <c r="S256" s="10"/>
      <c r="T256" s="9"/>
      <c r="U256" s="10"/>
      <c r="V256" s="9"/>
      <c r="W256" s="10"/>
      <c r="X256" s="9"/>
      <c r="Y256" s="10"/>
      <c r="Z256" s="9"/>
      <c r="AA256" s="10"/>
      <c r="AB256" s="11"/>
      <c r="AC256" s="10"/>
      <c r="AD256" s="7">
        <f>SUM(F256+H256+J256+L256+N256+P256+R256+T256+V256+X256+Z256+AB256)</f>
        <v>0</v>
      </c>
      <c r="AE256" s="7">
        <f>E256+AD256</f>
        <v>0</v>
      </c>
      <c r="AF256" s="8">
        <f>G256+I256+K256+M256+O256+Q256+S256+U256+W256+Y256+AA256+AC256</f>
        <v>0</v>
      </c>
      <c r="AG256" s="212">
        <f>SUM(AE256-AF256)</f>
        <v>0</v>
      </c>
      <c r="AH256" s="214"/>
      <c r="AI256" s="214"/>
    </row>
    <row r="257" spans="1:42" customHeight="1" ht="11.5">
      <c r="A257" s="5"/>
      <c r="B257" s="113"/>
      <c r="C257" s="90"/>
      <c r="D257" s="167"/>
      <c r="E257" s="86"/>
      <c r="F257" s="9"/>
      <c r="G257" s="10"/>
      <c r="H257" s="9"/>
      <c r="I257" s="10"/>
      <c r="J257" s="9"/>
      <c r="K257" s="10"/>
      <c r="L257" s="87"/>
      <c r="M257" s="10"/>
      <c r="N257" s="9"/>
      <c r="O257" s="10"/>
      <c r="P257" s="9"/>
      <c r="Q257" s="10"/>
      <c r="R257" s="9"/>
      <c r="S257" s="10"/>
      <c r="T257" s="9"/>
      <c r="U257" s="10"/>
      <c r="V257" s="9"/>
      <c r="W257" s="10"/>
      <c r="X257" s="9"/>
      <c r="Y257" s="10"/>
      <c r="Z257" s="9"/>
      <c r="AA257" s="10"/>
      <c r="AB257" s="11"/>
      <c r="AC257" s="10"/>
      <c r="AD257" s="7">
        <f>SUM(F257+H257+J257+L257+N257+P257+R257+T257+V257+X257+Z257+AB257)</f>
        <v>0</v>
      </c>
      <c r="AE257" s="7">
        <f>E257+AD257</f>
        <v>0</v>
      </c>
      <c r="AF257" s="8">
        <f>G257+I257+K257+M257+O257+Q257+S257+U257+W257+Y257+AA257+AC257</f>
        <v>0</v>
      </c>
      <c r="AG257" s="212">
        <f>SUM(AE257-AF257)</f>
        <v>0</v>
      </c>
      <c r="AH257" s="214"/>
      <c r="AI257" s="214"/>
    </row>
    <row r="258" spans="1:42" customHeight="1" ht="11.5">
      <c r="A258" s="5"/>
      <c r="B258" s="113"/>
      <c r="C258" s="90"/>
      <c r="D258" s="167"/>
      <c r="E258" s="86"/>
      <c r="F258" s="9"/>
      <c r="G258" s="10"/>
      <c r="H258" s="9"/>
      <c r="I258" s="10"/>
      <c r="J258" s="9"/>
      <c r="K258" s="10"/>
      <c r="L258" s="87"/>
      <c r="M258" s="10"/>
      <c r="N258" s="9"/>
      <c r="O258" s="10"/>
      <c r="P258" s="9"/>
      <c r="Q258" s="10"/>
      <c r="R258" s="9"/>
      <c r="S258" s="10"/>
      <c r="T258" s="9"/>
      <c r="U258" s="10"/>
      <c r="V258" s="9"/>
      <c r="W258" s="10"/>
      <c r="X258" s="9"/>
      <c r="Y258" s="10"/>
      <c r="Z258" s="9"/>
      <c r="AA258" s="10"/>
      <c r="AB258" s="11"/>
      <c r="AC258" s="10"/>
      <c r="AD258" s="7">
        <f>SUM(F258+H258+J258+L258+N258+P258+R258+T258+V258+X258+Z258+AB258)</f>
        <v>0</v>
      </c>
      <c r="AE258" s="7">
        <f>E258+AD258</f>
        <v>0</v>
      </c>
      <c r="AF258" s="8">
        <f>G258+I258+K258+M258+O258+Q258+S258+U258+W258+Y258+AA258+AC258</f>
        <v>0</v>
      </c>
      <c r="AG258" s="212">
        <f>SUM(AE258-AF258)</f>
        <v>0</v>
      </c>
      <c r="AH258" s="214"/>
      <c r="AI258" s="214"/>
    </row>
    <row r="259" spans="1:42" customHeight="1" ht="11.5">
      <c r="A259" s="5"/>
      <c r="B259" s="113"/>
      <c r="C259" s="90"/>
      <c r="D259" s="167"/>
      <c r="E259" s="86"/>
      <c r="F259" s="9"/>
      <c r="G259" s="10"/>
      <c r="H259" s="9"/>
      <c r="I259" s="10"/>
      <c r="J259" s="9"/>
      <c r="K259" s="10"/>
      <c r="L259" s="87"/>
      <c r="M259" s="10"/>
      <c r="N259" s="9"/>
      <c r="O259" s="10"/>
      <c r="P259" s="9"/>
      <c r="Q259" s="10"/>
      <c r="R259" s="9"/>
      <c r="S259" s="10"/>
      <c r="T259" s="9"/>
      <c r="U259" s="10"/>
      <c r="V259" s="9"/>
      <c r="W259" s="10"/>
      <c r="X259" s="9"/>
      <c r="Y259" s="10"/>
      <c r="Z259" s="9"/>
      <c r="AA259" s="10"/>
      <c r="AB259" s="11"/>
      <c r="AC259" s="10"/>
      <c r="AD259" s="7">
        <f>SUM(F259+H259+J259+L259+N259+P259+R259+T259+V259+X259+Z259+AB259)</f>
        <v>0</v>
      </c>
      <c r="AE259" s="7">
        <f>E259+AD259</f>
        <v>0</v>
      </c>
      <c r="AF259" s="8">
        <f>G259+I259+K259+M259+O259+Q259+S259+U259+W259+Y259+AA259+AC259</f>
        <v>0</v>
      </c>
      <c r="AG259" s="212">
        <f>SUM(AE259-AF259)</f>
        <v>0</v>
      </c>
      <c r="AH259" s="214"/>
      <c r="AI259" s="214"/>
    </row>
    <row r="260" spans="1:42" customHeight="1" ht="11.5">
      <c r="A260" s="5"/>
      <c r="B260" s="113"/>
      <c r="C260" s="90"/>
      <c r="D260" s="167"/>
      <c r="E260" s="86"/>
      <c r="F260" s="9"/>
      <c r="G260" s="10"/>
      <c r="H260" s="9"/>
      <c r="I260" s="10"/>
      <c r="J260" s="9"/>
      <c r="K260" s="10"/>
      <c r="L260" s="87"/>
      <c r="M260" s="10"/>
      <c r="N260" s="9"/>
      <c r="O260" s="10"/>
      <c r="P260" s="9"/>
      <c r="Q260" s="10"/>
      <c r="R260" s="9"/>
      <c r="S260" s="10"/>
      <c r="T260" s="9"/>
      <c r="U260" s="10"/>
      <c r="V260" s="9"/>
      <c r="W260" s="10"/>
      <c r="X260" s="9"/>
      <c r="Y260" s="10"/>
      <c r="Z260" s="9"/>
      <c r="AA260" s="10"/>
      <c r="AB260" s="11"/>
      <c r="AC260" s="10"/>
      <c r="AD260" s="7">
        <f>SUM(F260+H260+J260+L260+N260+P260+R260+T260+V260+X260+Z260+AB260)</f>
        <v>0</v>
      </c>
      <c r="AE260" s="7">
        <f>E260+AD260</f>
        <v>0</v>
      </c>
      <c r="AF260" s="8">
        <f>G260+I260+K260+M260+O260+Q260+S260+U260+W260+Y260+AA260+AC260</f>
        <v>0</v>
      </c>
      <c r="AG260" s="212">
        <f>SUM(AE260-AF260)</f>
        <v>0</v>
      </c>
      <c r="AH260" s="214"/>
      <c r="AI260" s="214"/>
    </row>
    <row r="261" spans="1:42" customHeight="1" ht="11.5">
      <c r="A261" s="5"/>
      <c r="B261" s="113"/>
      <c r="C261" s="90"/>
      <c r="D261" s="167"/>
      <c r="E261" s="86"/>
      <c r="F261" s="9"/>
      <c r="G261" s="10"/>
      <c r="H261" s="9"/>
      <c r="I261" s="10"/>
      <c r="J261" s="9"/>
      <c r="K261" s="10"/>
      <c r="L261" s="87"/>
      <c r="M261" s="10"/>
      <c r="N261" s="9"/>
      <c r="O261" s="10"/>
      <c r="P261" s="9"/>
      <c r="Q261" s="10"/>
      <c r="R261" s="9"/>
      <c r="S261" s="10"/>
      <c r="T261" s="9"/>
      <c r="U261" s="10"/>
      <c r="V261" s="9"/>
      <c r="W261" s="10"/>
      <c r="X261" s="9"/>
      <c r="Y261" s="10"/>
      <c r="Z261" s="9"/>
      <c r="AA261" s="10"/>
      <c r="AB261" s="11"/>
      <c r="AC261" s="10"/>
      <c r="AD261" s="7">
        <f>SUM(F261+H261+J261+L261+N261+P261+R261+T261+V261+X261+Z261+AB261)</f>
        <v>0</v>
      </c>
      <c r="AE261" s="7">
        <f>E261+AD261</f>
        <v>0</v>
      </c>
      <c r="AF261" s="8">
        <f>G261+I261+K261+M261+O261+Q261+S261+U261+W261+Y261+AA261+AC261</f>
        <v>0</v>
      </c>
      <c r="AG261" s="212">
        <f>SUM(AE261-AF261)</f>
        <v>0</v>
      </c>
      <c r="AH261" s="214"/>
      <c r="AI261" s="214"/>
    </row>
    <row r="262" spans="1:42" customHeight="1" ht="11.5">
      <c r="A262" s="5"/>
      <c r="B262" s="113"/>
      <c r="C262" s="90"/>
      <c r="D262" s="167"/>
      <c r="E262" s="86"/>
      <c r="F262" s="9"/>
      <c r="G262" s="10"/>
      <c r="H262" s="9"/>
      <c r="I262" s="10"/>
      <c r="J262" s="9"/>
      <c r="K262" s="10"/>
      <c r="L262" s="87"/>
      <c r="M262" s="10"/>
      <c r="N262" s="9"/>
      <c r="O262" s="10"/>
      <c r="P262" s="9"/>
      <c r="Q262" s="10"/>
      <c r="R262" s="9"/>
      <c r="S262" s="10"/>
      <c r="T262" s="9"/>
      <c r="U262" s="10"/>
      <c r="V262" s="9"/>
      <c r="W262" s="10"/>
      <c r="X262" s="9"/>
      <c r="Y262" s="10"/>
      <c r="Z262" s="9"/>
      <c r="AA262" s="10"/>
      <c r="AB262" s="11"/>
      <c r="AC262" s="10"/>
      <c r="AD262" s="7">
        <f>SUM(F262+H262+J262+L262+N262+P262+R262+T262+V262+X262+Z262+AB262)</f>
        <v>0</v>
      </c>
      <c r="AE262" s="7">
        <f>E262+AD262</f>
        <v>0</v>
      </c>
      <c r="AF262" s="8">
        <f>G262+I262+K262+M262+O262+Q262+S262+U262+W262+Y262+AA262+AC262</f>
        <v>0</v>
      </c>
      <c r="AG262" s="212">
        <f>SUM(AE262-AF262)</f>
        <v>0</v>
      </c>
      <c r="AH262" s="214"/>
      <c r="AI262" s="214"/>
    </row>
    <row r="263" spans="1:42" customHeight="1" ht="11.5">
      <c r="A263" s="5"/>
      <c r="B263" s="113"/>
      <c r="C263" s="90"/>
      <c r="D263" s="167"/>
      <c r="E263" s="86"/>
      <c r="F263" s="9"/>
      <c r="G263" s="10"/>
      <c r="H263" s="9"/>
      <c r="I263" s="10"/>
      <c r="J263" s="9"/>
      <c r="K263" s="10"/>
      <c r="L263" s="87"/>
      <c r="M263" s="10"/>
      <c r="N263" s="9"/>
      <c r="O263" s="10"/>
      <c r="P263" s="9"/>
      <c r="Q263" s="10"/>
      <c r="R263" s="9"/>
      <c r="S263" s="10"/>
      <c r="T263" s="9"/>
      <c r="U263" s="10"/>
      <c r="V263" s="9"/>
      <c r="W263" s="10"/>
      <c r="X263" s="9"/>
      <c r="Y263" s="10"/>
      <c r="Z263" s="9"/>
      <c r="AA263" s="10"/>
      <c r="AB263" s="11"/>
      <c r="AC263" s="10"/>
      <c r="AD263" s="7">
        <f>SUM(F263+H263+J263+L263+N263+P263+R263+T263+V263+X263+Z263+AB263)</f>
        <v>0</v>
      </c>
      <c r="AE263" s="7">
        <f>E263+AD263</f>
        <v>0</v>
      </c>
      <c r="AF263" s="8">
        <f>G263+I263+K263+M263+O263+Q263+S263+U263+W263+Y263+AA263+AC263</f>
        <v>0</v>
      </c>
      <c r="AG263" s="212">
        <f>SUM(AE263-AF263)</f>
        <v>0</v>
      </c>
      <c r="AH263" s="214"/>
      <c r="AI263" s="214"/>
    </row>
    <row r="264" spans="1:42" customHeight="1" ht="11.5">
      <c r="A264" s="5"/>
      <c r="B264" s="113"/>
      <c r="C264" s="90"/>
      <c r="D264" s="167"/>
      <c r="E264" s="86"/>
      <c r="F264" s="9"/>
      <c r="G264" s="10"/>
      <c r="H264" s="9"/>
      <c r="I264" s="10"/>
      <c r="J264" s="9"/>
      <c r="K264" s="10"/>
      <c r="L264" s="87"/>
      <c r="M264" s="10"/>
      <c r="N264" s="9"/>
      <c r="O264" s="10"/>
      <c r="P264" s="9"/>
      <c r="Q264" s="10"/>
      <c r="R264" s="9"/>
      <c r="S264" s="10"/>
      <c r="T264" s="9"/>
      <c r="U264" s="10"/>
      <c r="V264" s="9"/>
      <c r="W264" s="10"/>
      <c r="X264" s="9"/>
      <c r="Y264" s="10"/>
      <c r="Z264" s="9"/>
      <c r="AA264" s="10"/>
      <c r="AB264" s="11"/>
      <c r="AC264" s="10"/>
      <c r="AD264" s="7">
        <f>SUM(F264+H264+J264+L264+N264+P264+R264+T264+V264+X264+Z264+AB264)</f>
        <v>0</v>
      </c>
      <c r="AE264" s="7">
        <f>E264+AD264</f>
        <v>0</v>
      </c>
      <c r="AF264" s="8">
        <f>G264+I264+K264+M264+O264+Q264+S264+U264+W264+Y264+AA264+AC264</f>
        <v>0</v>
      </c>
      <c r="AG264" s="212">
        <f>SUM(AE264-AF264)</f>
        <v>0</v>
      </c>
      <c r="AH264" s="214"/>
      <c r="AI264" s="214"/>
    </row>
    <row r="265" spans="1:42" customHeight="1" ht="11.5">
      <c r="A265" s="5"/>
      <c r="B265" s="113"/>
      <c r="C265" s="90"/>
      <c r="D265" s="167"/>
      <c r="E265" s="86"/>
      <c r="F265" s="9"/>
      <c r="G265" s="10"/>
      <c r="H265" s="9"/>
      <c r="I265" s="10"/>
      <c r="J265" s="9"/>
      <c r="K265" s="10"/>
      <c r="L265" s="87"/>
      <c r="M265" s="10"/>
      <c r="N265" s="9"/>
      <c r="O265" s="10"/>
      <c r="P265" s="9"/>
      <c r="Q265" s="10"/>
      <c r="R265" s="9"/>
      <c r="S265" s="10"/>
      <c r="T265" s="9"/>
      <c r="U265" s="10"/>
      <c r="V265" s="9"/>
      <c r="W265" s="10"/>
      <c r="X265" s="9"/>
      <c r="Y265" s="10"/>
      <c r="Z265" s="9"/>
      <c r="AA265" s="10"/>
      <c r="AB265" s="11"/>
      <c r="AC265" s="10"/>
      <c r="AD265" s="7">
        <f>SUM(F265+H265+J265+L265+N265+P265+R265+T265+V265+X265+Z265+AB265)</f>
        <v>0</v>
      </c>
      <c r="AE265" s="7">
        <f>E265+AD265</f>
        <v>0</v>
      </c>
      <c r="AF265" s="8">
        <f>G265+I265+K265+M265+O265+Q265+S265+U265+W265+Y265+AA265+AC265</f>
        <v>0</v>
      </c>
      <c r="AG265" s="212">
        <f>SUM(AE265-AF265)</f>
        <v>0</v>
      </c>
      <c r="AH265" s="214"/>
      <c r="AI265" s="214"/>
    </row>
    <row r="266" spans="1:42" customHeight="1" ht="11.5">
      <c r="A266" s="5"/>
      <c r="B266" s="113"/>
      <c r="C266" s="90"/>
      <c r="D266" s="167"/>
      <c r="E266" s="86"/>
      <c r="F266" s="9"/>
      <c r="G266" s="10"/>
      <c r="H266" s="9"/>
      <c r="I266" s="10"/>
      <c r="J266" s="9"/>
      <c r="K266" s="10"/>
      <c r="L266" s="87"/>
      <c r="M266" s="10"/>
      <c r="N266" s="9"/>
      <c r="O266" s="10"/>
      <c r="P266" s="9"/>
      <c r="Q266" s="10"/>
      <c r="R266" s="9"/>
      <c r="S266" s="10"/>
      <c r="T266" s="9"/>
      <c r="U266" s="10"/>
      <c r="V266" s="9"/>
      <c r="W266" s="10"/>
      <c r="X266" s="9"/>
      <c r="Y266" s="10"/>
      <c r="Z266" s="9"/>
      <c r="AA266" s="10"/>
      <c r="AB266" s="11"/>
      <c r="AC266" s="10"/>
      <c r="AD266" s="7">
        <f>SUM(F266+H266+J266+L266+N266+P266+R266+T266+V266+X266+Z266+AB266)</f>
        <v>0</v>
      </c>
      <c r="AE266" s="7">
        <f>E266+AD266</f>
        <v>0</v>
      </c>
      <c r="AF266" s="8">
        <f>G266+I266+K266+M266+O266+Q266+S266+U266+W266+Y266+AA266+AC266</f>
        <v>0</v>
      </c>
      <c r="AG266" s="212">
        <f>SUM(AE266-AF266)</f>
        <v>0</v>
      </c>
      <c r="AH266" s="214"/>
      <c r="AI266" s="214"/>
    </row>
    <row r="267" spans="1:42" customHeight="1" ht="11.5">
      <c r="A267" s="5"/>
      <c r="B267" s="113"/>
      <c r="C267" s="90"/>
      <c r="D267" s="167"/>
      <c r="E267" s="86"/>
      <c r="F267" s="9"/>
      <c r="G267" s="10"/>
      <c r="H267" s="9"/>
      <c r="I267" s="10"/>
      <c r="J267" s="9"/>
      <c r="K267" s="10"/>
      <c r="L267" s="87"/>
      <c r="M267" s="10"/>
      <c r="N267" s="9"/>
      <c r="O267" s="10"/>
      <c r="P267" s="9"/>
      <c r="Q267" s="10"/>
      <c r="R267" s="9"/>
      <c r="S267" s="10"/>
      <c r="T267" s="9"/>
      <c r="U267" s="10"/>
      <c r="V267" s="9"/>
      <c r="W267" s="10"/>
      <c r="X267" s="9"/>
      <c r="Y267" s="10"/>
      <c r="Z267" s="9"/>
      <c r="AA267" s="10"/>
      <c r="AB267" s="11"/>
      <c r="AC267" s="10"/>
      <c r="AD267" s="7">
        <f>SUM(F267+H267+J267+L267+N267+P267+R267+T267+V267+X267+Z267+AB267)</f>
        <v>0</v>
      </c>
      <c r="AE267" s="7">
        <f>E267+AD267</f>
        <v>0</v>
      </c>
      <c r="AF267" s="8">
        <f>G267+I267+K267+M267+O267+Q267+S267+U267+W267+Y267+AA267+AC267</f>
        <v>0</v>
      </c>
      <c r="AG267" s="212">
        <f>SUM(AE267-AF267)</f>
        <v>0</v>
      </c>
      <c r="AH267" s="214"/>
      <c r="AI267" s="214"/>
    </row>
    <row r="268" spans="1:42" customHeight="1" ht="11.5">
      <c r="A268" s="5"/>
      <c r="B268" s="113"/>
      <c r="C268" s="90"/>
      <c r="D268" s="167"/>
      <c r="E268" s="86"/>
      <c r="F268" s="9"/>
      <c r="G268" s="10"/>
      <c r="H268" s="9"/>
      <c r="I268" s="10"/>
      <c r="J268" s="9"/>
      <c r="K268" s="10"/>
      <c r="L268" s="87"/>
      <c r="M268" s="10"/>
      <c r="N268" s="9"/>
      <c r="O268" s="10"/>
      <c r="P268" s="9"/>
      <c r="Q268" s="10"/>
      <c r="R268" s="9"/>
      <c r="S268" s="10"/>
      <c r="T268" s="9"/>
      <c r="U268" s="10"/>
      <c r="V268" s="9"/>
      <c r="W268" s="10"/>
      <c r="X268" s="9"/>
      <c r="Y268" s="10"/>
      <c r="Z268" s="9"/>
      <c r="AA268" s="10"/>
      <c r="AB268" s="11"/>
      <c r="AC268" s="10"/>
      <c r="AD268" s="7">
        <f>SUM(F268+H268+J268+L268+N268+P268+R268+T268+V268+X268+Z268+AB268)</f>
        <v>0</v>
      </c>
      <c r="AE268" s="7">
        <f>E268+AD268</f>
        <v>0</v>
      </c>
      <c r="AF268" s="8">
        <f>G268+I268+K268+M268+O268+Q268+S268+U268+W268+Y268+AA268+AC268</f>
        <v>0</v>
      </c>
      <c r="AG268" s="212">
        <f>SUM(AE268-AF268)</f>
        <v>0</v>
      </c>
      <c r="AH268" s="214"/>
      <c r="AI268" s="214"/>
    </row>
    <row r="269" spans="1:42" customHeight="1" ht="11.5">
      <c r="A269" s="5"/>
      <c r="B269" s="113"/>
      <c r="C269" s="90"/>
      <c r="D269" s="167"/>
      <c r="E269" s="86"/>
      <c r="F269" s="9"/>
      <c r="G269" s="10"/>
      <c r="H269" s="9"/>
      <c r="I269" s="10"/>
      <c r="J269" s="9"/>
      <c r="K269" s="10"/>
      <c r="L269" s="87"/>
      <c r="M269" s="10"/>
      <c r="N269" s="9"/>
      <c r="O269" s="10"/>
      <c r="P269" s="9"/>
      <c r="Q269" s="10"/>
      <c r="R269" s="9"/>
      <c r="S269" s="10"/>
      <c r="T269" s="9"/>
      <c r="U269" s="10"/>
      <c r="V269" s="9"/>
      <c r="W269" s="10"/>
      <c r="X269" s="9"/>
      <c r="Y269" s="10"/>
      <c r="Z269" s="9"/>
      <c r="AA269" s="10"/>
      <c r="AB269" s="11"/>
      <c r="AC269" s="10"/>
      <c r="AD269" s="7">
        <f>SUM(F269+H269+J269+L269+N269+P269+R269+T269+V269+X269+Z269+AB269)</f>
        <v>0</v>
      </c>
      <c r="AE269" s="7">
        <f>E269+AD269</f>
        <v>0</v>
      </c>
      <c r="AF269" s="8">
        <f>G269+I269+K269+M269+O269+Q269+S269+U269+W269+Y269+AA269+AC269</f>
        <v>0</v>
      </c>
      <c r="AG269" s="212">
        <f>SUM(AE269-AF269)</f>
        <v>0</v>
      </c>
      <c r="AH269" s="214"/>
      <c r="AI269" s="214"/>
    </row>
    <row r="270" spans="1:42" customHeight="1" ht="11.5">
      <c r="A270" s="5"/>
      <c r="B270" s="113"/>
      <c r="C270" s="90"/>
      <c r="D270" s="167"/>
      <c r="E270" s="86"/>
      <c r="F270" s="9"/>
      <c r="G270" s="10"/>
      <c r="H270" s="9"/>
      <c r="I270" s="10"/>
      <c r="J270" s="9"/>
      <c r="K270" s="10"/>
      <c r="L270" s="87"/>
      <c r="M270" s="10"/>
      <c r="N270" s="9"/>
      <c r="O270" s="10"/>
      <c r="P270" s="9"/>
      <c r="Q270" s="10"/>
      <c r="R270" s="9"/>
      <c r="S270" s="10"/>
      <c r="T270" s="9"/>
      <c r="U270" s="10"/>
      <c r="V270" s="9"/>
      <c r="W270" s="10"/>
      <c r="X270" s="9"/>
      <c r="Y270" s="10"/>
      <c r="Z270" s="9"/>
      <c r="AA270" s="10"/>
      <c r="AB270" s="11"/>
      <c r="AC270" s="10"/>
      <c r="AD270" s="7">
        <f>SUM(F270+H270+J270+L270+N270+P270+R270+T270+V270+X270+Z270+AB270)</f>
        <v>0</v>
      </c>
      <c r="AE270" s="7">
        <f>E270+AD270</f>
        <v>0</v>
      </c>
      <c r="AF270" s="8">
        <f>G270+I270+K270+M270+O270+Q270+S270+U270+W270+Y270+AA270+AC270</f>
        <v>0</v>
      </c>
      <c r="AG270" s="212">
        <f>SUM(AE270-AF270)</f>
        <v>0</v>
      </c>
      <c r="AH270" s="214"/>
      <c r="AI270" s="214"/>
    </row>
    <row r="271" spans="1:42" customHeight="1" ht="11.5">
      <c r="A271" s="5"/>
      <c r="B271" s="113"/>
      <c r="C271" s="90"/>
      <c r="D271" s="167"/>
      <c r="E271" s="86"/>
      <c r="F271" s="9"/>
      <c r="G271" s="10"/>
      <c r="H271" s="9"/>
      <c r="I271" s="10"/>
      <c r="J271" s="9"/>
      <c r="K271" s="10"/>
      <c r="L271" s="87"/>
      <c r="M271" s="10"/>
      <c r="N271" s="9"/>
      <c r="O271" s="10"/>
      <c r="P271" s="9"/>
      <c r="Q271" s="10"/>
      <c r="R271" s="9"/>
      <c r="S271" s="10"/>
      <c r="T271" s="9"/>
      <c r="U271" s="10"/>
      <c r="V271" s="9"/>
      <c r="W271" s="10"/>
      <c r="X271" s="9"/>
      <c r="Y271" s="10"/>
      <c r="Z271" s="9"/>
      <c r="AA271" s="10"/>
      <c r="AB271" s="11"/>
      <c r="AC271" s="10"/>
      <c r="AD271" s="7">
        <f>SUM(F271+H271+J271+L271+N271+P271+R271+T271+V271+X271+Z271+AB271)</f>
        <v>0</v>
      </c>
      <c r="AE271" s="7">
        <f>E271+AD271</f>
        <v>0</v>
      </c>
      <c r="AF271" s="8">
        <f>G271+I271+K271+M271+O271+Q271+S271+U271+W271+Y271+AA271+AC271</f>
        <v>0</v>
      </c>
      <c r="AG271" s="212">
        <f>SUM(AE271-AF271)</f>
        <v>0</v>
      </c>
      <c r="AH271" s="214"/>
      <c r="AI271" s="214"/>
    </row>
    <row r="272" spans="1:42" customHeight="1" ht="11.5">
      <c r="A272" s="5"/>
      <c r="B272" s="113"/>
      <c r="C272" s="90"/>
      <c r="D272" s="167"/>
      <c r="E272" s="86"/>
      <c r="F272" s="9"/>
      <c r="G272" s="10"/>
      <c r="H272" s="9"/>
      <c r="I272" s="10"/>
      <c r="J272" s="9"/>
      <c r="K272" s="10"/>
      <c r="L272" s="87"/>
      <c r="M272" s="10"/>
      <c r="N272" s="9"/>
      <c r="O272" s="10"/>
      <c r="P272" s="9"/>
      <c r="Q272" s="10"/>
      <c r="R272" s="9"/>
      <c r="S272" s="10"/>
      <c r="T272" s="9"/>
      <c r="U272" s="10"/>
      <c r="V272" s="9"/>
      <c r="W272" s="10"/>
      <c r="X272" s="9"/>
      <c r="Y272" s="10"/>
      <c r="Z272" s="9"/>
      <c r="AA272" s="10"/>
      <c r="AB272" s="11"/>
      <c r="AC272" s="10"/>
      <c r="AD272" s="7">
        <f>SUM(F272+H272+J272+L272+N272+P272+R272+T272+V272+X272+Z272+AB272)</f>
        <v>0</v>
      </c>
      <c r="AE272" s="7">
        <f>E272+AD272</f>
        <v>0</v>
      </c>
      <c r="AF272" s="8">
        <f>G272+I272+K272+M272+O272+Q272+S272+U272+W272+Y272+AA272+AC272</f>
        <v>0</v>
      </c>
      <c r="AG272" s="212">
        <f>SUM(AE272-AF272)</f>
        <v>0</v>
      </c>
      <c r="AH272" s="214"/>
      <c r="AI272" s="214"/>
    </row>
    <row r="273" spans="1:42" customHeight="1" ht="11.5">
      <c r="A273" s="5"/>
      <c r="B273" s="113"/>
      <c r="C273" s="90"/>
      <c r="D273" s="167"/>
      <c r="E273" s="86"/>
      <c r="F273" s="9"/>
      <c r="G273" s="10"/>
      <c r="H273" s="9"/>
      <c r="I273" s="10"/>
      <c r="J273" s="9"/>
      <c r="K273" s="10"/>
      <c r="L273" s="87"/>
      <c r="M273" s="10"/>
      <c r="N273" s="9"/>
      <c r="O273" s="10"/>
      <c r="P273" s="9"/>
      <c r="Q273" s="10"/>
      <c r="R273" s="9"/>
      <c r="S273" s="10"/>
      <c r="T273" s="9"/>
      <c r="U273" s="10"/>
      <c r="V273" s="9"/>
      <c r="W273" s="10"/>
      <c r="X273" s="9"/>
      <c r="Y273" s="10"/>
      <c r="Z273" s="9"/>
      <c r="AA273" s="10"/>
      <c r="AB273" s="11"/>
      <c r="AC273" s="10"/>
      <c r="AD273" s="7">
        <f>SUM(F273+H273+J273+L273+N273+P273+R273+T273+V273+X273+Z273+AB273)</f>
        <v>0</v>
      </c>
      <c r="AE273" s="7">
        <f>E273+AD273</f>
        <v>0</v>
      </c>
      <c r="AF273" s="8">
        <f>G273+I273+K273+M273+O273+Q273+S273+U273+W273+Y273+AA273+AC273</f>
        <v>0</v>
      </c>
      <c r="AG273" s="212">
        <f>SUM(AE273-AF273)</f>
        <v>0</v>
      </c>
      <c r="AH273" s="214"/>
      <c r="AI273" s="214"/>
    </row>
    <row r="274" spans="1:42" customHeight="1" ht="11.5">
      <c r="A274" s="5"/>
      <c r="B274" s="113"/>
      <c r="C274" s="90"/>
      <c r="D274" s="167"/>
      <c r="E274" s="86"/>
      <c r="F274" s="9"/>
      <c r="G274" s="10"/>
      <c r="H274" s="9"/>
      <c r="I274" s="10"/>
      <c r="J274" s="9"/>
      <c r="K274" s="10"/>
      <c r="L274" s="87"/>
      <c r="M274" s="10"/>
      <c r="N274" s="9"/>
      <c r="O274" s="10"/>
      <c r="P274" s="9"/>
      <c r="Q274" s="10"/>
      <c r="R274" s="9"/>
      <c r="S274" s="10"/>
      <c r="T274" s="9"/>
      <c r="U274" s="10"/>
      <c r="V274" s="9"/>
      <c r="W274" s="10"/>
      <c r="X274" s="9"/>
      <c r="Y274" s="10"/>
      <c r="Z274" s="9"/>
      <c r="AA274" s="10"/>
      <c r="AB274" s="11"/>
      <c r="AC274" s="10"/>
      <c r="AD274" s="7">
        <f>SUM(F274+H274+J274+L274+N274+P274+R274+T274+V274+X274+Z274+AB274)</f>
        <v>0</v>
      </c>
      <c r="AE274" s="7">
        <f>E274+AD274</f>
        <v>0</v>
      </c>
      <c r="AF274" s="8">
        <f>G274+I274+K274+M274+O274+Q274+S274+U274+W274+Y274+AA274+AC274</f>
        <v>0</v>
      </c>
      <c r="AG274" s="212">
        <f>SUM(AE274-AF274)</f>
        <v>0</v>
      </c>
      <c r="AH274" s="214"/>
      <c r="AI274" s="214"/>
    </row>
    <row r="275" spans="1:42" customHeight="1" ht="11.5">
      <c r="A275" s="5"/>
      <c r="B275" s="113"/>
      <c r="C275" s="90"/>
      <c r="D275" s="167"/>
      <c r="E275" s="86"/>
      <c r="F275" s="9"/>
      <c r="G275" s="10"/>
      <c r="H275" s="9"/>
      <c r="I275" s="10"/>
      <c r="J275" s="9"/>
      <c r="K275" s="10"/>
      <c r="L275" s="87"/>
      <c r="M275" s="10"/>
      <c r="N275" s="9"/>
      <c r="O275" s="10"/>
      <c r="P275" s="9"/>
      <c r="Q275" s="10"/>
      <c r="R275" s="9"/>
      <c r="S275" s="10"/>
      <c r="T275" s="9"/>
      <c r="U275" s="10"/>
      <c r="V275" s="9"/>
      <c r="W275" s="10"/>
      <c r="X275" s="9"/>
      <c r="Y275" s="10"/>
      <c r="Z275" s="9"/>
      <c r="AA275" s="10"/>
      <c r="AB275" s="11"/>
      <c r="AC275" s="10"/>
      <c r="AD275" s="7">
        <f>SUM(F275+H275+J275+L275+N275+P275+R275+T275+V275+X275+Z275+AB275)</f>
        <v>0</v>
      </c>
      <c r="AE275" s="7">
        <f>E275+AD275</f>
        <v>0</v>
      </c>
      <c r="AF275" s="8">
        <f>G275+I275+K275+M275+O275+Q275+S275+U275+W275+Y275+AA275+AC275</f>
        <v>0</v>
      </c>
      <c r="AG275" s="212">
        <f>SUM(AE275-AF275)</f>
        <v>0</v>
      </c>
      <c r="AH275" s="214"/>
      <c r="AI275" s="214"/>
    </row>
    <row r="276" spans="1:42" customHeight="1" ht="11.5">
      <c r="A276" s="5"/>
      <c r="B276" s="113"/>
      <c r="C276" s="90"/>
      <c r="D276" s="167"/>
      <c r="E276" s="86"/>
      <c r="F276" s="9"/>
      <c r="G276" s="10"/>
      <c r="H276" s="9"/>
      <c r="I276" s="10"/>
      <c r="J276" s="9"/>
      <c r="K276" s="10"/>
      <c r="L276" s="87"/>
      <c r="M276" s="10"/>
      <c r="N276" s="9"/>
      <c r="O276" s="10"/>
      <c r="P276" s="9"/>
      <c r="Q276" s="10"/>
      <c r="R276" s="9"/>
      <c r="S276" s="10"/>
      <c r="T276" s="9"/>
      <c r="U276" s="10"/>
      <c r="V276" s="9"/>
      <c r="W276" s="10"/>
      <c r="X276" s="9"/>
      <c r="Y276" s="10"/>
      <c r="Z276" s="9"/>
      <c r="AA276" s="10"/>
      <c r="AB276" s="11"/>
      <c r="AC276" s="10"/>
      <c r="AD276" s="7">
        <f>SUM(F276+H276+J276+L276+N276+P276+R276+T276+V276+X276+Z276+AB276)</f>
        <v>0</v>
      </c>
      <c r="AE276" s="7">
        <f>E276+AD276</f>
        <v>0</v>
      </c>
      <c r="AF276" s="8">
        <f>G276+I276+K276+M276+O276+Q276+S276+U276+W276+Y276+AA276+AC276</f>
        <v>0</v>
      </c>
      <c r="AG276" s="212">
        <f>SUM(AE276-AF276)</f>
        <v>0</v>
      </c>
      <c r="AH276" s="214"/>
      <c r="AI276" s="214"/>
    </row>
    <row r="277" spans="1:42" customHeight="1" ht="11.5">
      <c r="A277" s="5"/>
      <c r="B277" s="113"/>
      <c r="C277" s="90"/>
      <c r="D277" s="167"/>
      <c r="E277" s="86"/>
      <c r="F277" s="9"/>
      <c r="G277" s="10"/>
      <c r="H277" s="9"/>
      <c r="I277" s="10"/>
      <c r="J277" s="9"/>
      <c r="K277" s="10"/>
      <c r="L277" s="87"/>
      <c r="M277" s="10"/>
      <c r="N277" s="9"/>
      <c r="O277" s="10"/>
      <c r="P277" s="9"/>
      <c r="Q277" s="10"/>
      <c r="R277" s="9"/>
      <c r="S277" s="10"/>
      <c r="T277" s="9"/>
      <c r="U277" s="10"/>
      <c r="V277" s="9"/>
      <c r="W277" s="10"/>
      <c r="X277" s="9"/>
      <c r="Y277" s="10"/>
      <c r="Z277" s="9"/>
      <c r="AA277" s="10"/>
      <c r="AB277" s="11"/>
      <c r="AC277" s="10"/>
      <c r="AD277" s="7">
        <f>SUM(F277+H277+J277+L277+N277+P277+R277+T277+V277+X277+Z277+AB277)</f>
        <v>0</v>
      </c>
      <c r="AE277" s="7">
        <f>E277+AD277</f>
        <v>0</v>
      </c>
      <c r="AF277" s="8">
        <f>G277+I277+K277+M277+O277+Q277+S277+U277+W277+Y277+AA277+AC277</f>
        <v>0</v>
      </c>
      <c r="AG277" s="212">
        <f>SUM(AE277-AF277)</f>
        <v>0</v>
      </c>
      <c r="AH277" s="214"/>
      <c r="AI277" s="214"/>
    </row>
    <row r="278" spans="1:42" customHeight="1" ht="11.5">
      <c r="A278" s="5"/>
      <c r="B278" s="113"/>
      <c r="C278" s="90"/>
      <c r="D278" s="167"/>
      <c r="E278" s="86"/>
      <c r="F278" s="9"/>
      <c r="G278" s="10"/>
      <c r="H278" s="9"/>
      <c r="I278" s="10"/>
      <c r="J278" s="9"/>
      <c r="K278" s="10"/>
      <c r="L278" s="87"/>
      <c r="M278" s="10"/>
      <c r="N278" s="9"/>
      <c r="O278" s="10"/>
      <c r="P278" s="9"/>
      <c r="Q278" s="10"/>
      <c r="R278" s="9"/>
      <c r="S278" s="10"/>
      <c r="T278" s="9"/>
      <c r="U278" s="10"/>
      <c r="V278" s="9"/>
      <c r="W278" s="10"/>
      <c r="X278" s="9"/>
      <c r="Y278" s="10"/>
      <c r="Z278" s="9"/>
      <c r="AA278" s="10"/>
      <c r="AB278" s="11"/>
      <c r="AC278" s="10"/>
      <c r="AD278" s="7">
        <f>SUM(F278+H278+J278+L278+N278+P278+R278+T278+V278+X278+Z278+AB278)</f>
        <v>0</v>
      </c>
      <c r="AE278" s="7">
        <f>E278+AD278</f>
        <v>0</v>
      </c>
      <c r="AF278" s="8">
        <f>G278+I278+K278+M278+O278+Q278+S278+U278+W278+Y278+AA278+AC278</f>
        <v>0</v>
      </c>
      <c r="AG278" s="212">
        <f>SUM(AE278-AF278)</f>
        <v>0</v>
      </c>
      <c r="AH278" s="214"/>
      <c r="AI278" s="214"/>
    </row>
    <row r="279" spans="1:42" customHeight="1" ht="11.5">
      <c r="A279" s="5"/>
      <c r="B279" s="113"/>
      <c r="C279" s="90"/>
      <c r="D279" s="167"/>
      <c r="E279" s="86"/>
      <c r="F279" s="9"/>
      <c r="G279" s="10"/>
      <c r="H279" s="9"/>
      <c r="I279" s="10"/>
      <c r="J279" s="9"/>
      <c r="K279" s="10"/>
      <c r="L279" s="87"/>
      <c r="M279" s="10"/>
      <c r="N279" s="9"/>
      <c r="O279" s="10"/>
      <c r="P279" s="9"/>
      <c r="Q279" s="10"/>
      <c r="R279" s="9"/>
      <c r="S279" s="10"/>
      <c r="T279" s="9"/>
      <c r="U279" s="10"/>
      <c r="V279" s="9"/>
      <c r="W279" s="10"/>
      <c r="X279" s="9"/>
      <c r="Y279" s="10"/>
      <c r="Z279" s="9"/>
      <c r="AA279" s="10"/>
      <c r="AB279" s="11"/>
      <c r="AC279" s="10"/>
      <c r="AD279" s="7">
        <f>SUM(F279+H279+J279+L279+N279+P279+R279+T279+V279+X279+Z279+AB279)</f>
        <v>0</v>
      </c>
      <c r="AE279" s="7">
        <f>E279+AD279</f>
        <v>0</v>
      </c>
      <c r="AF279" s="8">
        <f>G279+I279+K279+M279+O279+Q279+S279+U279+W279+Y279+AA279+AC279</f>
        <v>0</v>
      </c>
      <c r="AG279" s="212">
        <f>SUM(AE279-AF279)</f>
        <v>0</v>
      </c>
      <c r="AH279" s="214"/>
      <c r="AI279" s="214"/>
    </row>
    <row r="280" spans="1:42" customHeight="1" ht="11.5">
      <c r="A280" s="5"/>
      <c r="B280" s="113"/>
      <c r="C280" s="90"/>
      <c r="D280" s="167"/>
      <c r="E280" s="86"/>
      <c r="F280" s="9"/>
      <c r="G280" s="10"/>
      <c r="H280" s="9"/>
      <c r="I280" s="10"/>
      <c r="J280" s="9"/>
      <c r="K280" s="10"/>
      <c r="L280" s="87"/>
      <c r="M280" s="10"/>
      <c r="N280" s="9"/>
      <c r="O280" s="10"/>
      <c r="P280" s="9"/>
      <c r="Q280" s="10"/>
      <c r="R280" s="9"/>
      <c r="S280" s="10"/>
      <c r="T280" s="9"/>
      <c r="U280" s="10"/>
      <c r="V280" s="9"/>
      <c r="W280" s="10"/>
      <c r="X280" s="9"/>
      <c r="Y280" s="10"/>
      <c r="Z280" s="9"/>
      <c r="AA280" s="10"/>
      <c r="AB280" s="11"/>
      <c r="AC280" s="10"/>
      <c r="AD280" s="7">
        <f>SUM(F280+H280+J280+L280+N280+P280+R280+T280+V280+X280+Z280+AB280)</f>
        <v>0</v>
      </c>
      <c r="AE280" s="7">
        <f>E280+AD280</f>
        <v>0</v>
      </c>
      <c r="AF280" s="8">
        <f>G280+I280+K280+M280+O280+Q280+S280+U280+W280+Y280+AA280+AC280</f>
        <v>0</v>
      </c>
      <c r="AG280" s="212">
        <f>SUM(AE280-AF280)</f>
        <v>0</v>
      </c>
      <c r="AH280" s="214"/>
      <c r="AI280" s="214"/>
    </row>
    <row r="281" spans="1:42" customHeight="1" ht="11.5">
      <c r="A281" s="5"/>
      <c r="B281" s="113"/>
      <c r="C281" s="90"/>
      <c r="D281" s="167"/>
      <c r="E281" s="86"/>
      <c r="F281" s="9"/>
      <c r="G281" s="10"/>
      <c r="H281" s="9"/>
      <c r="I281" s="10"/>
      <c r="J281" s="9"/>
      <c r="K281" s="10"/>
      <c r="L281" s="87"/>
      <c r="M281" s="10"/>
      <c r="N281" s="9"/>
      <c r="O281" s="10"/>
      <c r="P281" s="9"/>
      <c r="Q281" s="10"/>
      <c r="R281" s="9"/>
      <c r="S281" s="10"/>
      <c r="T281" s="9"/>
      <c r="U281" s="10"/>
      <c r="V281" s="9"/>
      <c r="W281" s="10"/>
      <c r="X281" s="9"/>
      <c r="Y281" s="10"/>
      <c r="Z281" s="9"/>
      <c r="AA281" s="10"/>
      <c r="AB281" s="11"/>
      <c r="AC281" s="10"/>
      <c r="AD281" s="7">
        <f>SUM(F281+H281+J281+L281+N281+P281+R281+T281+V281+X281+Z281+AB281)</f>
        <v>0</v>
      </c>
      <c r="AE281" s="7">
        <f>E281+AD281</f>
        <v>0</v>
      </c>
      <c r="AF281" s="8">
        <f>G281+I281+K281+M281+O281+Q281+S281+U281+W281+Y281+AA281+AC281</f>
        <v>0</v>
      </c>
      <c r="AG281" s="212">
        <f>SUM(AE281-AF281)</f>
        <v>0</v>
      </c>
      <c r="AH281" s="214"/>
      <c r="AI281" s="214"/>
    </row>
    <row r="282" spans="1:42" customHeight="1" ht="11.5">
      <c r="A282" s="5"/>
      <c r="B282" s="113"/>
      <c r="C282" s="90"/>
      <c r="D282" s="167"/>
      <c r="E282" s="86"/>
      <c r="F282" s="9"/>
      <c r="G282" s="10"/>
      <c r="H282" s="9"/>
      <c r="I282" s="10"/>
      <c r="J282" s="9"/>
      <c r="K282" s="10"/>
      <c r="L282" s="87"/>
      <c r="M282" s="10"/>
      <c r="N282" s="9"/>
      <c r="O282" s="10"/>
      <c r="P282" s="9"/>
      <c r="Q282" s="10"/>
      <c r="R282" s="9"/>
      <c r="S282" s="10"/>
      <c r="T282" s="9"/>
      <c r="U282" s="10"/>
      <c r="V282" s="9"/>
      <c r="W282" s="10"/>
      <c r="X282" s="9"/>
      <c r="Y282" s="10"/>
      <c r="Z282" s="9"/>
      <c r="AA282" s="10"/>
      <c r="AB282" s="11"/>
      <c r="AC282" s="10"/>
      <c r="AD282" s="7">
        <f>SUM(F282+H282+J282+L282+N282+P282+R282+T282+V282+X282+Z282+AB282)</f>
        <v>0</v>
      </c>
      <c r="AE282" s="7">
        <f>E282+AD282</f>
        <v>0</v>
      </c>
      <c r="AF282" s="8">
        <f>G282+I282+K282+M282+O282+Q282+S282+U282+W282+Y282+AA282+AC282</f>
        <v>0</v>
      </c>
      <c r="AG282" s="212">
        <f>SUM(AE282-AF282)</f>
        <v>0</v>
      </c>
      <c r="AH282" s="214"/>
      <c r="AI282" s="214"/>
    </row>
    <row r="283" spans="1:42" customHeight="1" ht="11.5">
      <c r="A283" s="5"/>
      <c r="B283" s="113"/>
      <c r="C283" s="90"/>
      <c r="D283" s="167"/>
      <c r="E283" s="86"/>
      <c r="F283" s="9"/>
      <c r="G283" s="10"/>
      <c r="H283" s="9"/>
      <c r="I283" s="10"/>
      <c r="J283" s="9"/>
      <c r="K283" s="10"/>
      <c r="L283" s="87"/>
      <c r="M283" s="10"/>
      <c r="N283" s="9"/>
      <c r="O283" s="10"/>
      <c r="P283" s="9"/>
      <c r="Q283" s="10"/>
      <c r="R283" s="9"/>
      <c r="S283" s="10"/>
      <c r="T283" s="9"/>
      <c r="U283" s="10"/>
      <c r="V283" s="9"/>
      <c r="W283" s="10"/>
      <c r="X283" s="9"/>
      <c r="Y283" s="10"/>
      <c r="Z283" s="9"/>
      <c r="AA283" s="10"/>
      <c r="AB283" s="11"/>
      <c r="AC283" s="10"/>
      <c r="AD283" s="7">
        <f>SUM(F283+H283+J283+L283+N283+P283+R283+T283+V283+X283+Z283+AB283)</f>
        <v>0</v>
      </c>
      <c r="AE283" s="7">
        <f>E283+AD283</f>
        <v>0</v>
      </c>
      <c r="AF283" s="8">
        <f>G283+I283+K283+M283+O283+Q283+S283+U283+W283+Y283+AA283+AC283</f>
        <v>0</v>
      </c>
      <c r="AG283" s="212">
        <f>SUM(AE283-AF283)</f>
        <v>0</v>
      </c>
      <c r="AH283" s="214"/>
      <c r="AI283" s="214"/>
    </row>
    <row r="284" spans="1:42" customHeight="1" ht="11.5">
      <c r="A284" s="5"/>
      <c r="B284" s="113"/>
      <c r="C284" s="90"/>
      <c r="D284" s="167"/>
      <c r="E284" s="86"/>
      <c r="F284" s="9"/>
      <c r="G284" s="10"/>
      <c r="H284" s="9"/>
      <c r="I284" s="10"/>
      <c r="J284" s="9"/>
      <c r="K284" s="10"/>
      <c r="L284" s="87"/>
      <c r="M284" s="10"/>
      <c r="N284" s="9"/>
      <c r="O284" s="10"/>
      <c r="P284" s="9"/>
      <c r="Q284" s="10"/>
      <c r="R284" s="9"/>
      <c r="S284" s="10"/>
      <c r="T284" s="9"/>
      <c r="U284" s="10"/>
      <c r="V284" s="9"/>
      <c r="W284" s="10"/>
      <c r="X284" s="9"/>
      <c r="Y284" s="10"/>
      <c r="Z284" s="9"/>
      <c r="AA284" s="10"/>
      <c r="AB284" s="11"/>
      <c r="AC284" s="10"/>
      <c r="AD284" s="7">
        <f>SUM(F284+H284+J284+L284+N284+P284+R284+T284+V284+X284+Z284+AB284)</f>
        <v>0</v>
      </c>
      <c r="AE284" s="7">
        <f>E284+AD284</f>
        <v>0</v>
      </c>
      <c r="AF284" s="8">
        <f>G284+I284+K284+M284+O284+Q284+S284+U284+W284+Y284+AA284+AC284</f>
        <v>0</v>
      </c>
      <c r="AG284" s="212">
        <f>SUM(AE284-AF284)</f>
        <v>0</v>
      </c>
      <c r="AH284" s="214"/>
      <c r="AI284" s="214"/>
    </row>
    <row r="285" spans="1:42" customHeight="1" ht="11.5">
      <c r="A285" s="5"/>
      <c r="B285" s="113"/>
      <c r="C285" s="90"/>
      <c r="D285" s="167"/>
      <c r="E285" s="86"/>
      <c r="F285" s="9"/>
      <c r="G285" s="10"/>
      <c r="H285" s="9"/>
      <c r="I285" s="10"/>
      <c r="J285" s="9"/>
      <c r="K285" s="10"/>
      <c r="L285" s="87"/>
      <c r="M285" s="10"/>
      <c r="N285" s="9"/>
      <c r="O285" s="10"/>
      <c r="P285" s="9"/>
      <c r="Q285" s="10"/>
      <c r="R285" s="9"/>
      <c r="S285" s="10"/>
      <c r="T285" s="9"/>
      <c r="U285" s="10"/>
      <c r="V285" s="9"/>
      <c r="W285" s="10"/>
      <c r="X285" s="9"/>
      <c r="Y285" s="10"/>
      <c r="Z285" s="9"/>
      <c r="AA285" s="10"/>
      <c r="AB285" s="11"/>
      <c r="AC285" s="10"/>
      <c r="AD285" s="7">
        <f>SUM(F285+H285+J285+L285+N285+P285+R285+T285+V285+X285+Z285+AB285)</f>
        <v>0</v>
      </c>
      <c r="AE285" s="7">
        <f>E285+AD285</f>
        <v>0</v>
      </c>
      <c r="AF285" s="8">
        <f>G285+I285+K285+M285+O285+Q285+S285+U285+W285+Y285+AA285+AC285</f>
        <v>0</v>
      </c>
      <c r="AG285" s="212">
        <f>SUM(AE285-AF285)</f>
        <v>0</v>
      </c>
      <c r="AH285" s="214"/>
      <c r="AI285" s="214"/>
    </row>
    <row r="286" spans="1:42" customHeight="1" ht="11.5">
      <c r="A286" s="5"/>
      <c r="B286" s="113"/>
      <c r="C286" s="90"/>
      <c r="D286" s="167"/>
      <c r="E286" s="86"/>
      <c r="F286" s="9"/>
      <c r="G286" s="10"/>
      <c r="H286" s="9"/>
      <c r="I286" s="10"/>
      <c r="J286" s="9"/>
      <c r="K286" s="10"/>
      <c r="L286" s="87"/>
      <c r="M286" s="10"/>
      <c r="N286" s="9"/>
      <c r="O286" s="10"/>
      <c r="P286" s="9"/>
      <c r="Q286" s="10"/>
      <c r="R286" s="9"/>
      <c r="S286" s="10"/>
      <c r="T286" s="9"/>
      <c r="U286" s="10"/>
      <c r="V286" s="9"/>
      <c r="W286" s="10"/>
      <c r="X286" s="9"/>
      <c r="Y286" s="10"/>
      <c r="Z286" s="9"/>
      <c r="AA286" s="10"/>
      <c r="AB286" s="11"/>
      <c r="AC286" s="10"/>
      <c r="AD286" s="7">
        <f>SUM(F286+H286+J286+L286+N286+P286+R286+T286+V286+X286+Z286+AB286)</f>
        <v>0</v>
      </c>
      <c r="AE286" s="7">
        <f>E286+AD286</f>
        <v>0</v>
      </c>
      <c r="AF286" s="8">
        <f>G286+I286+K286+M286+O286+Q286+S286+U286+W286+Y286+AA286+AC286</f>
        <v>0</v>
      </c>
      <c r="AG286" s="212">
        <f>SUM(AE286-AF286)</f>
        <v>0</v>
      </c>
      <c r="AH286" s="214"/>
      <c r="AI286" s="214"/>
    </row>
    <row r="287" spans="1:42" customHeight="1" ht="11.5">
      <c r="A287" s="5"/>
      <c r="B287" s="113"/>
      <c r="C287" s="90"/>
      <c r="D287" s="167"/>
      <c r="E287" s="86"/>
      <c r="F287" s="9"/>
      <c r="G287" s="10"/>
      <c r="H287" s="9"/>
      <c r="I287" s="10"/>
      <c r="J287" s="9"/>
      <c r="K287" s="10"/>
      <c r="L287" s="87"/>
      <c r="M287" s="10"/>
      <c r="N287" s="9"/>
      <c r="O287" s="10"/>
      <c r="P287" s="9"/>
      <c r="Q287" s="10"/>
      <c r="R287" s="9"/>
      <c r="S287" s="10"/>
      <c r="T287" s="9"/>
      <c r="U287" s="10"/>
      <c r="V287" s="9"/>
      <c r="W287" s="10"/>
      <c r="X287" s="9"/>
      <c r="Y287" s="10"/>
      <c r="Z287" s="9"/>
      <c r="AA287" s="10"/>
      <c r="AB287" s="11"/>
      <c r="AC287" s="10"/>
      <c r="AD287" s="7">
        <f>SUM(F287+H287+J287+L287+N287+P287+R287+T287+V287+X287+Z287+AB287)</f>
        <v>0</v>
      </c>
      <c r="AE287" s="7">
        <f>E287+AD287</f>
        <v>0</v>
      </c>
      <c r="AF287" s="8">
        <f>G287+I287+K287+M287+O287+Q287+S287+U287+W287+Y287+AA287+AC287</f>
        <v>0</v>
      </c>
      <c r="AG287" s="212">
        <f>SUM(AE287-AF287)</f>
        <v>0</v>
      </c>
      <c r="AH287" s="214"/>
      <c r="AI287" s="214"/>
    </row>
    <row r="288" spans="1:42" customHeight="1" ht="11.5">
      <c r="A288" s="5"/>
      <c r="B288" s="113"/>
      <c r="C288" s="90"/>
      <c r="D288" s="167"/>
      <c r="E288" s="86"/>
      <c r="F288" s="9"/>
      <c r="G288" s="10"/>
      <c r="H288" s="9"/>
      <c r="I288" s="10"/>
      <c r="J288" s="9"/>
      <c r="K288" s="10"/>
      <c r="L288" s="87"/>
      <c r="M288" s="10"/>
      <c r="N288" s="9"/>
      <c r="O288" s="10"/>
      <c r="P288" s="9"/>
      <c r="Q288" s="10"/>
      <c r="R288" s="9"/>
      <c r="S288" s="10"/>
      <c r="T288" s="9"/>
      <c r="U288" s="10"/>
      <c r="V288" s="9"/>
      <c r="W288" s="10"/>
      <c r="X288" s="9"/>
      <c r="Y288" s="10"/>
      <c r="Z288" s="9"/>
      <c r="AA288" s="10"/>
      <c r="AB288" s="11"/>
      <c r="AC288" s="10"/>
      <c r="AD288" s="7">
        <f>SUM(F288+H288+J288+L288+N288+P288+R288+T288+V288+X288+Z288+AB288)</f>
        <v>0</v>
      </c>
      <c r="AE288" s="7">
        <f>E288+AD288</f>
        <v>0</v>
      </c>
      <c r="AF288" s="8">
        <f>G288+I288+K288+M288+O288+Q288+S288+U288+W288+Y288+AA288+AC288</f>
        <v>0</v>
      </c>
      <c r="AG288" s="212">
        <f>SUM(AE288-AF288)</f>
        <v>0</v>
      </c>
      <c r="AH288" s="214"/>
      <c r="AI288" s="214"/>
    </row>
    <row r="289" spans="1:42" customHeight="1" ht="11.5">
      <c r="A289" s="5"/>
      <c r="B289" s="113"/>
      <c r="C289" s="90"/>
      <c r="D289" s="167"/>
      <c r="E289" s="86"/>
      <c r="F289" s="9"/>
      <c r="G289" s="10"/>
      <c r="H289" s="9"/>
      <c r="I289" s="10"/>
      <c r="J289" s="9"/>
      <c r="K289" s="10"/>
      <c r="L289" s="87"/>
      <c r="M289" s="10"/>
      <c r="N289" s="9"/>
      <c r="O289" s="10"/>
      <c r="P289" s="9"/>
      <c r="Q289" s="10"/>
      <c r="R289" s="9"/>
      <c r="S289" s="10"/>
      <c r="T289" s="9"/>
      <c r="U289" s="10"/>
      <c r="V289" s="9"/>
      <c r="W289" s="10"/>
      <c r="X289" s="9"/>
      <c r="Y289" s="10"/>
      <c r="Z289" s="9"/>
      <c r="AA289" s="10"/>
      <c r="AB289" s="11"/>
      <c r="AC289" s="10"/>
      <c r="AD289" s="7">
        <f>SUM(F289+H289+J289+L289+N289+P289+R289+T289+V289+X289+Z289+AB289)</f>
        <v>0</v>
      </c>
      <c r="AE289" s="7">
        <f>E289+AD289</f>
        <v>0</v>
      </c>
      <c r="AF289" s="8">
        <f>G289+I289+K289+M289+O289+Q289+S289+U289+W289+Y289+AA289+AC289</f>
        <v>0</v>
      </c>
      <c r="AG289" s="212">
        <f>SUM(AE289-AF289)</f>
        <v>0</v>
      </c>
      <c r="AH289" s="214"/>
      <c r="AI289" s="214"/>
    </row>
    <row r="290" spans="1:42" customHeight="1" ht="11.5">
      <c r="A290" s="5"/>
      <c r="B290" s="113"/>
      <c r="C290" s="90"/>
      <c r="D290" s="167"/>
      <c r="E290" s="86"/>
      <c r="F290" s="9"/>
      <c r="G290" s="10"/>
      <c r="H290" s="9"/>
      <c r="I290" s="10"/>
      <c r="J290" s="9"/>
      <c r="K290" s="10"/>
      <c r="L290" s="87"/>
      <c r="M290" s="10"/>
      <c r="N290" s="9"/>
      <c r="O290" s="10"/>
      <c r="P290" s="9"/>
      <c r="Q290" s="10"/>
      <c r="R290" s="9"/>
      <c r="S290" s="10"/>
      <c r="T290" s="9"/>
      <c r="U290" s="10"/>
      <c r="V290" s="9"/>
      <c r="W290" s="10"/>
      <c r="X290" s="9"/>
      <c r="Y290" s="10"/>
      <c r="Z290" s="9"/>
      <c r="AA290" s="10"/>
      <c r="AB290" s="11"/>
      <c r="AC290" s="10"/>
      <c r="AD290" s="7">
        <f>SUM(F290+H290+J290+L290+N290+P290+R290+T290+V290+X290+Z290+AB290)</f>
        <v>0</v>
      </c>
      <c r="AE290" s="7">
        <f>E290+AD290</f>
        <v>0</v>
      </c>
      <c r="AF290" s="8">
        <f>G290+I290+K290+M290+O290+Q290+S290+U290+W290+Y290+AA290+AC290</f>
        <v>0</v>
      </c>
      <c r="AG290" s="212">
        <f>SUM(AE290-AF290)</f>
        <v>0</v>
      </c>
      <c r="AH290" s="214"/>
      <c r="AI290" s="214"/>
    </row>
    <row r="291" spans="1:42" customHeight="1" ht="11.5">
      <c r="A291" s="5"/>
      <c r="B291" s="113"/>
      <c r="C291" s="90"/>
      <c r="D291" s="167"/>
      <c r="E291" s="86"/>
      <c r="F291" s="9"/>
      <c r="G291" s="10"/>
      <c r="H291" s="9"/>
      <c r="I291" s="10"/>
      <c r="J291" s="9"/>
      <c r="K291" s="10"/>
      <c r="L291" s="87"/>
      <c r="M291" s="10"/>
      <c r="N291" s="9"/>
      <c r="O291" s="10"/>
      <c r="P291" s="9"/>
      <c r="Q291" s="10"/>
      <c r="R291" s="9"/>
      <c r="S291" s="10"/>
      <c r="T291" s="9"/>
      <c r="U291" s="10"/>
      <c r="V291" s="9"/>
      <c r="W291" s="10"/>
      <c r="X291" s="9"/>
      <c r="Y291" s="10"/>
      <c r="Z291" s="9"/>
      <c r="AA291" s="10"/>
      <c r="AB291" s="11"/>
      <c r="AC291" s="10"/>
      <c r="AD291" s="7">
        <f>SUM(F291+H291+J291+L291+N291+P291+R291+T291+V291+X291+Z291+AB291)</f>
        <v>0</v>
      </c>
      <c r="AE291" s="7">
        <f>E291+AD291</f>
        <v>0</v>
      </c>
      <c r="AF291" s="8">
        <f>G291+I291+K291+M291+O291+Q291+S291+U291+W291+Y291+AA291+AC291</f>
        <v>0</v>
      </c>
      <c r="AG291" s="212">
        <f>SUM(AE291-AF291)</f>
        <v>0</v>
      </c>
      <c r="AH291" s="214"/>
      <c r="AI291" s="214"/>
    </row>
    <row r="292" spans="1:42" customHeight="1" ht="11.5">
      <c r="A292" s="5"/>
      <c r="B292" s="113"/>
      <c r="C292" s="90"/>
      <c r="D292" s="167"/>
      <c r="E292" s="86"/>
      <c r="F292" s="9"/>
      <c r="G292" s="10"/>
      <c r="H292" s="9"/>
      <c r="I292" s="10"/>
      <c r="J292" s="9"/>
      <c r="K292" s="10"/>
      <c r="L292" s="87"/>
      <c r="M292" s="10"/>
      <c r="N292" s="9"/>
      <c r="O292" s="10"/>
      <c r="P292" s="9"/>
      <c r="Q292" s="10"/>
      <c r="R292" s="9"/>
      <c r="S292" s="10"/>
      <c r="T292" s="9"/>
      <c r="U292" s="10"/>
      <c r="V292" s="9"/>
      <c r="W292" s="10"/>
      <c r="X292" s="9"/>
      <c r="Y292" s="10"/>
      <c r="Z292" s="9"/>
      <c r="AA292" s="10"/>
      <c r="AB292" s="11"/>
      <c r="AC292" s="10"/>
      <c r="AD292" s="7">
        <f>SUM(F292+H292+J292+L292+N292+P292+R292+T292+V292+X292+Z292+AB292)</f>
        <v>0</v>
      </c>
      <c r="AE292" s="7">
        <f>E292+AD292</f>
        <v>0</v>
      </c>
      <c r="AF292" s="8">
        <f>G292+I292+K292+M292+O292+Q292+S292+U292+W292+Y292+AA292+AC292</f>
        <v>0</v>
      </c>
      <c r="AG292" s="212">
        <f>SUM(AE292-AF292)</f>
        <v>0</v>
      </c>
      <c r="AH292" s="214"/>
      <c r="AI292" s="214"/>
    </row>
    <row r="293" spans="1:42" customHeight="1" ht="11.5">
      <c r="A293" s="5"/>
      <c r="B293" s="113"/>
      <c r="C293" s="90"/>
      <c r="D293" s="167"/>
      <c r="E293" s="86"/>
      <c r="F293" s="9"/>
      <c r="G293" s="10"/>
      <c r="H293" s="9"/>
      <c r="I293" s="10"/>
      <c r="J293" s="9"/>
      <c r="K293" s="10"/>
      <c r="L293" s="87"/>
      <c r="M293" s="10"/>
      <c r="N293" s="9"/>
      <c r="O293" s="10"/>
      <c r="P293" s="9"/>
      <c r="Q293" s="10"/>
      <c r="R293" s="9"/>
      <c r="S293" s="10"/>
      <c r="T293" s="9"/>
      <c r="U293" s="10"/>
      <c r="V293" s="9"/>
      <c r="W293" s="10"/>
      <c r="X293" s="9"/>
      <c r="Y293" s="10"/>
      <c r="Z293" s="9"/>
      <c r="AA293" s="10"/>
      <c r="AB293" s="11"/>
      <c r="AC293" s="10"/>
      <c r="AD293" s="7">
        <f>SUM(F293+H293+J293+L293+N293+P293+R293+T293+V293+X293+Z293+AB293)</f>
        <v>0</v>
      </c>
      <c r="AE293" s="7">
        <f>E293+AD293</f>
        <v>0</v>
      </c>
      <c r="AF293" s="8">
        <f>G293+I293+K293+M293+O293+Q293+S293+U293+W293+Y293+AA293+AC293</f>
        <v>0</v>
      </c>
      <c r="AG293" s="212">
        <f>SUM(AE293-AF293)</f>
        <v>0</v>
      </c>
      <c r="AH293" s="214"/>
      <c r="AI293" s="214"/>
    </row>
    <row r="294" spans="1:42" customHeight="1" ht="11.5">
      <c r="A294" s="5"/>
      <c r="B294" s="113"/>
      <c r="C294" s="90"/>
      <c r="D294" s="167"/>
      <c r="E294" s="86"/>
      <c r="F294" s="9"/>
      <c r="G294" s="10"/>
      <c r="H294" s="9"/>
      <c r="I294" s="10"/>
      <c r="J294" s="9"/>
      <c r="K294" s="10"/>
      <c r="L294" s="87"/>
      <c r="M294" s="10"/>
      <c r="N294" s="9"/>
      <c r="O294" s="10"/>
      <c r="P294" s="9"/>
      <c r="Q294" s="10"/>
      <c r="R294" s="9"/>
      <c r="S294" s="10"/>
      <c r="T294" s="9"/>
      <c r="U294" s="10"/>
      <c r="V294" s="9"/>
      <c r="W294" s="10"/>
      <c r="X294" s="9"/>
      <c r="Y294" s="10"/>
      <c r="Z294" s="9"/>
      <c r="AA294" s="10"/>
      <c r="AB294" s="11"/>
      <c r="AC294" s="10"/>
      <c r="AD294" s="7">
        <f>SUM(F294+H294+J294+L294+N294+P294+R294+T294+V294+X294+Z294+AB294)</f>
        <v>0</v>
      </c>
      <c r="AE294" s="7">
        <f>E294+AD294</f>
        <v>0</v>
      </c>
      <c r="AF294" s="8">
        <f>G294+I294+K294+M294+O294+Q294+S294+U294+W294+Y294+AA294+AC294</f>
        <v>0</v>
      </c>
      <c r="AG294" s="212">
        <f>SUM(AE294-AF294)</f>
        <v>0</v>
      </c>
      <c r="AH294" s="214"/>
      <c r="AI294" s="214"/>
    </row>
    <row r="295" spans="1:42" customHeight="1" ht="11.5">
      <c r="A295" s="5"/>
      <c r="B295" s="113"/>
      <c r="C295" s="90"/>
      <c r="D295" s="167"/>
      <c r="E295" s="86"/>
      <c r="F295" s="9"/>
      <c r="G295" s="10"/>
      <c r="H295" s="9"/>
      <c r="I295" s="10"/>
      <c r="J295" s="9"/>
      <c r="K295" s="10"/>
      <c r="L295" s="87"/>
      <c r="M295" s="10"/>
      <c r="N295" s="9"/>
      <c r="O295" s="10"/>
      <c r="P295" s="9"/>
      <c r="Q295" s="10"/>
      <c r="R295" s="9"/>
      <c r="S295" s="10"/>
      <c r="T295" s="9"/>
      <c r="U295" s="10"/>
      <c r="V295" s="9"/>
      <c r="W295" s="10"/>
      <c r="X295" s="9"/>
      <c r="Y295" s="10"/>
      <c r="Z295" s="9"/>
      <c r="AA295" s="10"/>
      <c r="AB295" s="11"/>
      <c r="AC295" s="10"/>
      <c r="AD295" s="7">
        <f>SUM(F295+H295+J295+L295+N295+P295+R295+T295+V295+X295+Z295+AB295)</f>
        <v>0</v>
      </c>
      <c r="AE295" s="7">
        <f>E295+AD295</f>
        <v>0</v>
      </c>
      <c r="AF295" s="8">
        <f>G295+I295+K295+M295+O295+Q295+S295+U295+W295+Y295+AA295+AC295</f>
        <v>0</v>
      </c>
      <c r="AG295" s="212">
        <f>SUM(AE295-AF295)</f>
        <v>0</v>
      </c>
      <c r="AH295" s="214"/>
      <c r="AI295" s="214"/>
    </row>
    <row r="296" spans="1:42" customHeight="1" ht="11.5">
      <c r="A296" s="5"/>
      <c r="B296" s="113"/>
      <c r="C296" s="90"/>
      <c r="D296" s="167"/>
      <c r="E296" s="86"/>
      <c r="F296" s="9"/>
      <c r="G296" s="10"/>
      <c r="H296" s="9"/>
      <c r="I296" s="10"/>
      <c r="J296" s="9"/>
      <c r="K296" s="10"/>
      <c r="L296" s="87"/>
      <c r="M296" s="10"/>
      <c r="N296" s="9"/>
      <c r="O296" s="10"/>
      <c r="P296" s="9"/>
      <c r="Q296" s="10"/>
      <c r="R296" s="9"/>
      <c r="S296" s="10"/>
      <c r="T296" s="9"/>
      <c r="U296" s="10"/>
      <c r="V296" s="9"/>
      <c r="W296" s="10"/>
      <c r="X296" s="9"/>
      <c r="Y296" s="10"/>
      <c r="Z296" s="9"/>
      <c r="AA296" s="10"/>
      <c r="AB296" s="11"/>
      <c r="AC296" s="10"/>
      <c r="AD296" s="7">
        <f>SUM(F296+H296+J296+L296+N296+P296+R296+T296+V296+X296+Z296+AB296)</f>
        <v>0</v>
      </c>
      <c r="AE296" s="7">
        <f>E296+AD296</f>
        <v>0</v>
      </c>
      <c r="AF296" s="8">
        <f>G296+I296+K296+M296+O296+Q296+S296+U296+W296+Y296+AA296+AC296</f>
        <v>0</v>
      </c>
      <c r="AG296" s="212">
        <f>SUM(AE296-AF296)</f>
        <v>0</v>
      </c>
      <c r="AH296" s="214"/>
      <c r="AI296" s="214"/>
    </row>
    <row r="297" spans="1:42" customHeight="1" ht="11.5">
      <c r="A297" s="5"/>
      <c r="B297" s="113"/>
      <c r="C297" s="90"/>
      <c r="D297" s="167"/>
      <c r="E297" s="86"/>
      <c r="F297" s="9"/>
      <c r="G297" s="10"/>
      <c r="H297" s="9"/>
      <c r="I297" s="10"/>
      <c r="J297" s="9"/>
      <c r="K297" s="10"/>
      <c r="L297" s="87"/>
      <c r="M297" s="10"/>
      <c r="N297" s="9"/>
      <c r="O297" s="10"/>
      <c r="P297" s="9"/>
      <c r="Q297" s="10"/>
      <c r="R297" s="9"/>
      <c r="S297" s="10"/>
      <c r="T297" s="9"/>
      <c r="U297" s="10"/>
      <c r="V297" s="9"/>
      <c r="W297" s="10"/>
      <c r="X297" s="9"/>
      <c r="Y297" s="10"/>
      <c r="Z297" s="9"/>
      <c r="AA297" s="10"/>
      <c r="AB297" s="11"/>
      <c r="AC297" s="10"/>
      <c r="AD297" s="7">
        <f>SUM(F297+H297+J297+L297+N297+P297+R297+T297+V297+X297+Z297+AB297)</f>
        <v>0</v>
      </c>
      <c r="AE297" s="7">
        <f>E297+AD297</f>
        <v>0</v>
      </c>
      <c r="AF297" s="8">
        <f>G297+I297+K297+M297+O297+Q297+S297+U297+W297+Y297+AA297+AC297</f>
        <v>0</v>
      </c>
      <c r="AG297" s="212">
        <f>SUM(AE297-AF297)</f>
        <v>0</v>
      </c>
      <c r="AH297" s="214"/>
      <c r="AI297" s="214"/>
    </row>
    <row r="298" spans="1:42" customHeight="1" ht="11.5">
      <c r="A298" s="5"/>
      <c r="B298" s="113"/>
      <c r="C298" s="90"/>
      <c r="D298" s="167"/>
      <c r="E298" s="86"/>
      <c r="F298" s="9"/>
      <c r="G298" s="10"/>
      <c r="H298" s="9"/>
      <c r="I298" s="10"/>
      <c r="J298" s="9"/>
      <c r="K298" s="10"/>
      <c r="L298" s="87"/>
      <c r="M298" s="10"/>
      <c r="N298" s="9"/>
      <c r="O298" s="10"/>
      <c r="P298" s="9"/>
      <c r="Q298" s="10"/>
      <c r="R298" s="9"/>
      <c r="S298" s="10"/>
      <c r="T298" s="9"/>
      <c r="U298" s="10"/>
      <c r="V298" s="9"/>
      <c r="W298" s="10"/>
      <c r="X298" s="9"/>
      <c r="Y298" s="10"/>
      <c r="Z298" s="9"/>
      <c r="AA298" s="10"/>
      <c r="AB298" s="11"/>
      <c r="AC298" s="10"/>
      <c r="AD298" s="7">
        <f>SUM(F298+H298+J298+L298+N298+P298+R298+T298+V298+X298+Z298+AB298)</f>
        <v>0</v>
      </c>
      <c r="AE298" s="7">
        <f>E298+AD298</f>
        <v>0</v>
      </c>
      <c r="AF298" s="8">
        <f>G298+I298+K298+M298+O298+Q298+S298+U298+W298+Y298+AA298+AC298</f>
        <v>0</v>
      </c>
      <c r="AG298" s="212">
        <f>SUM(AE298-AF298)</f>
        <v>0</v>
      </c>
      <c r="AH298" s="214"/>
      <c r="AI298" s="214"/>
    </row>
    <row r="299" spans="1:42" customHeight="1" ht="11.5">
      <c r="A299" s="5"/>
      <c r="B299" s="113"/>
      <c r="C299" s="90"/>
      <c r="D299" s="167"/>
      <c r="E299" s="86"/>
      <c r="F299" s="9"/>
      <c r="G299" s="10"/>
      <c r="H299" s="9"/>
      <c r="I299" s="10"/>
      <c r="J299" s="9"/>
      <c r="K299" s="10"/>
      <c r="L299" s="87"/>
      <c r="M299" s="10"/>
      <c r="N299" s="9"/>
      <c r="O299" s="10"/>
      <c r="P299" s="9"/>
      <c r="Q299" s="10"/>
      <c r="R299" s="9"/>
      <c r="S299" s="10"/>
      <c r="T299" s="9"/>
      <c r="U299" s="10"/>
      <c r="V299" s="9"/>
      <c r="W299" s="10"/>
      <c r="X299" s="9"/>
      <c r="Y299" s="10"/>
      <c r="Z299" s="9"/>
      <c r="AA299" s="10"/>
      <c r="AB299" s="11"/>
      <c r="AC299" s="10"/>
      <c r="AD299" s="7">
        <f>SUM(F299+H299+J299+L299+N299+P299+R299+T299+V299+X299+Z299+AB299)</f>
        <v>0</v>
      </c>
      <c r="AE299" s="7">
        <f>E299+AD299</f>
        <v>0</v>
      </c>
      <c r="AF299" s="8">
        <f>G299+I299+K299+M299+O299+Q299+S299+U299+W299+Y299+AA299+AC299</f>
        <v>0</v>
      </c>
      <c r="AG299" s="212">
        <f>SUM(AE299-AF299)</f>
        <v>0</v>
      </c>
      <c r="AH299" s="214"/>
      <c r="AI299" s="214"/>
    </row>
    <row r="300" spans="1:42" customHeight="1" ht="11.5">
      <c r="A300" s="5"/>
      <c r="B300" s="113"/>
      <c r="C300" s="90"/>
      <c r="D300" s="167"/>
      <c r="E300" s="86"/>
      <c r="F300" s="9"/>
      <c r="G300" s="10"/>
      <c r="H300" s="9"/>
      <c r="I300" s="10"/>
      <c r="J300" s="9"/>
      <c r="K300" s="10"/>
      <c r="L300" s="87"/>
      <c r="M300" s="10"/>
      <c r="N300" s="9"/>
      <c r="O300" s="10"/>
      <c r="P300" s="9"/>
      <c r="Q300" s="10"/>
      <c r="R300" s="9"/>
      <c r="S300" s="10"/>
      <c r="T300" s="9"/>
      <c r="U300" s="10"/>
      <c r="V300" s="9"/>
      <c r="W300" s="10"/>
      <c r="X300" s="9"/>
      <c r="Y300" s="10"/>
      <c r="Z300" s="9"/>
      <c r="AA300" s="10"/>
      <c r="AB300" s="11"/>
      <c r="AC300" s="10"/>
      <c r="AD300" s="7">
        <f>SUM(F300+H300+J300+L300+N300+P300+R300+T300+V300+X300+Z300+AB300)</f>
        <v>0</v>
      </c>
      <c r="AE300" s="7">
        <f>E300+AD300</f>
        <v>0</v>
      </c>
      <c r="AF300" s="8">
        <f>G300+I300+K300+M300+O300+Q300+S300+U300+W300+Y300+AA300+AC300</f>
        <v>0</v>
      </c>
      <c r="AG300" s="212">
        <f>SUM(AE300-AF300)</f>
        <v>0</v>
      </c>
      <c r="AH300" s="214"/>
      <c r="AI300" s="214"/>
    </row>
    <row r="301" spans="1:42" customHeight="1" ht="11.5">
      <c r="A301" s="5"/>
      <c r="B301" s="113"/>
      <c r="C301" s="90"/>
      <c r="D301" s="167"/>
      <c r="E301" s="86"/>
      <c r="F301" s="9"/>
      <c r="G301" s="10"/>
      <c r="H301" s="9"/>
      <c r="I301" s="10"/>
      <c r="J301" s="9"/>
      <c r="K301" s="10"/>
      <c r="L301" s="87"/>
      <c r="M301" s="10"/>
      <c r="N301" s="9"/>
      <c r="O301" s="10"/>
      <c r="P301" s="9"/>
      <c r="Q301" s="10"/>
      <c r="R301" s="9"/>
      <c r="S301" s="10"/>
      <c r="T301" s="9"/>
      <c r="U301" s="10"/>
      <c r="V301" s="9"/>
      <c r="W301" s="10"/>
      <c r="X301" s="9"/>
      <c r="Y301" s="10"/>
      <c r="Z301" s="9"/>
      <c r="AA301" s="10"/>
      <c r="AB301" s="11"/>
      <c r="AC301" s="10"/>
      <c r="AD301" s="7">
        <f>SUM(F301+H301+J301+L301+N301+P301+R301+T301+V301+X301+Z301+AB301)</f>
        <v>0</v>
      </c>
      <c r="AE301" s="7">
        <f>E301+AD301</f>
        <v>0</v>
      </c>
      <c r="AF301" s="8">
        <f>G301+I301+K301+M301+O301+Q301+S301+U301+W301+Y301+AA301+AC301</f>
        <v>0</v>
      </c>
      <c r="AG301" s="212">
        <f>SUM(AE301-AF301)</f>
        <v>0</v>
      </c>
      <c r="AH301" s="214"/>
      <c r="AI301" s="214"/>
    </row>
    <row r="302" spans="1:42" customHeight="1" ht="11.5">
      <c r="A302" s="5"/>
      <c r="B302" s="113"/>
      <c r="C302" s="90"/>
      <c r="D302" s="167"/>
      <c r="E302" s="86"/>
      <c r="F302" s="9"/>
      <c r="G302" s="10"/>
      <c r="H302" s="9"/>
      <c r="I302" s="10"/>
      <c r="J302" s="9"/>
      <c r="K302" s="10"/>
      <c r="L302" s="87"/>
      <c r="M302" s="10"/>
      <c r="N302" s="9"/>
      <c r="O302" s="10"/>
      <c r="P302" s="9"/>
      <c r="Q302" s="10"/>
      <c r="R302" s="9"/>
      <c r="S302" s="10"/>
      <c r="T302" s="9"/>
      <c r="U302" s="10"/>
      <c r="V302" s="9"/>
      <c r="W302" s="10"/>
      <c r="X302" s="9"/>
      <c r="Y302" s="10"/>
      <c r="Z302" s="9"/>
      <c r="AA302" s="10"/>
      <c r="AB302" s="11"/>
      <c r="AC302" s="10"/>
      <c r="AD302" s="7">
        <f>SUM(F302+H302+J302+L302+N302+P302+R302+T302+V302+X302+Z302+AB302)</f>
        <v>0</v>
      </c>
      <c r="AE302" s="7">
        <f>E302+AD302</f>
        <v>0</v>
      </c>
      <c r="AF302" s="8">
        <f>G302+I302+K302+M302+O302+Q302+S302+U302+W302+Y302+AA302+AC302</f>
        <v>0</v>
      </c>
      <c r="AG302" s="212">
        <f>SUM(AE302-AF302)</f>
        <v>0</v>
      </c>
      <c r="AH302" s="214"/>
      <c r="AI302" s="214"/>
    </row>
    <row r="303" spans="1:42" customHeight="1" ht="11.5">
      <c r="A303" s="5"/>
      <c r="B303" s="113"/>
      <c r="C303" s="90"/>
      <c r="D303" s="167"/>
      <c r="E303" s="86"/>
      <c r="F303" s="9"/>
      <c r="G303" s="10"/>
      <c r="H303" s="9"/>
      <c r="I303" s="10"/>
      <c r="J303" s="9"/>
      <c r="K303" s="10"/>
      <c r="L303" s="87"/>
      <c r="M303" s="10"/>
      <c r="N303" s="9"/>
      <c r="O303" s="10"/>
      <c r="P303" s="9"/>
      <c r="Q303" s="10"/>
      <c r="R303" s="9"/>
      <c r="S303" s="10"/>
      <c r="T303" s="9"/>
      <c r="U303" s="10"/>
      <c r="V303" s="9"/>
      <c r="W303" s="10"/>
      <c r="X303" s="9"/>
      <c r="Y303" s="10"/>
      <c r="Z303" s="9"/>
      <c r="AA303" s="10"/>
      <c r="AB303" s="11"/>
      <c r="AC303" s="10"/>
      <c r="AD303" s="7">
        <f>SUM(F303+H303+J303+L303+N303+P303+R303+T303+V303+X303+Z303+AB303)</f>
        <v>0</v>
      </c>
      <c r="AE303" s="7">
        <f>E303+AD303</f>
        <v>0</v>
      </c>
      <c r="AF303" s="8">
        <f>G303+I303+K303+M303+O303+Q303+S303+U303+W303+Y303+AA303+AC303</f>
        <v>0</v>
      </c>
      <c r="AG303" s="212">
        <f>SUM(AE303-AF303)</f>
        <v>0</v>
      </c>
      <c r="AH303" s="214"/>
      <c r="AI303" s="214"/>
    </row>
    <row r="304" spans="1:42" customHeight="1" ht="11.5">
      <c r="A304" s="5"/>
      <c r="B304" s="113"/>
      <c r="C304" s="90"/>
      <c r="D304" s="167"/>
      <c r="E304" s="86"/>
      <c r="F304" s="9"/>
      <c r="G304" s="10"/>
      <c r="H304" s="9"/>
      <c r="I304" s="10"/>
      <c r="J304" s="9"/>
      <c r="K304" s="10"/>
      <c r="L304" s="87"/>
      <c r="M304" s="10"/>
      <c r="N304" s="9"/>
      <c r="O304" s="10"/>
      <c r="P304" s="9"/>
      <c r="Q304" s="10"/>
      <c r="R304" s="9"/>
      <c r="S304" s="10"/>
      <c r="T304" s="9"/>
      <c r="U304" s="10"/>
      <c r="V304" s="9"/>
      <c r="W304" s="10"/>
      <c r="X304" s="9"/>
      <c r="Y304" s="10"/>
      <c r="Z304" s="9"/>
      <c r="AA304" s="10"/>
      <c r="AB304" s="11"/>
      <c r="AC304" s="10"/>
      <c r="AD304" s="7">
        <f>SUM(F304+H304+J304+L304+N304+P304+R304+T304+V304+X304+Z304+AB304)</f>
        <v>0</v>
      </c>
      <c r="AE304" s="7">
        <f>E304+AD304</f>
        <v>0</v>
      </c>
      <c r="AF304" s="8">
        <f>G304+I304+K304+M304+O304+Q304+S304+U304+W304+Y304+AA304+AC304</f>
        <v>0</v>
      </c>
      <c r="AG304" s="212">
        <f>SUM(AE304-AF304)</f>
        <v>0</v>
      </c>
      <c r="AH304" s="214"/>
      <c r="AI304" s="214"/>
    </row>
    <row r="305" spans="1:42" customHeight="1" ht="11.5">
      <c r="A305" s="5"/>
      <c r="B305" s="113"/>
      <c r="C305" s="90"/>
      <c r="D305" s="167"/>
      <c r="E305" s="86"/>
      <c r="F305" s="9"/>
      <c r="G305" s="10"/>
      <c r="H305" s="9"/>
      <c r="I305" s="10"/>
      <c r="J305" s="9"/>
      <c r="K305" s="10"/>
      <c r="L305" s="87"/>
      <c r="M305" s="10"/>
      <c r="N305" s="9"/>
      <c r="O305" s="10"/>
      <c r="P305" s="9"/>
      <c r="Q305" s="10"/>
      <c r="R305" s="9"/>
      <c r="S305" s="10"/>
      <c r="T305" s="9"/>
      <c r="U305" s="10"/>
      <c r="V305" s="9"/>
      <c r="W305" s="10"/>
      <c r="X305" s="9"/>
      <c r="Y305" s="10"/>
      <c r="Z305" s="9"/>
      <c r="AA305" s="10"/>
      <c r="AB305" s="11"/>
      <c r="AC305" s="10"/>
      <c r="AD305" s="7">
        <f>SUM(F305+H305+J305+L305+N305+P305+R305+T305+V305+X305+Z305+AB305)</f>
        <v>0</v>
      </c>
      <c r="AE305" s="7">
        <f>E305+AD305</f>
        <v>0</v>
      </c>
      <c r="AF305" s="8">
        <f>G305+I305+K305+M305+O305+Q305+S305+U305+W305+Y305+AA305+AC305</f>
        <v>0</v>
      </c>
      <c r="AG305" s="212">
        <f>SUM(AE305-AF305)</f>
        <v>0</v>
      </c>
      <c r="AH305" s="214"/>
      <c r="AI305" s="214"/>
    </row>
    <row r="306" spans="1:42" customHeight="1" ht="11.5">
      <c r="A306" s="5"/>
      <c r="B306" s="113"/>
      <c r="C306" s="90"/>
      <c r="D306" s="167"/>
      <c r="E306" s="86"/>
      <c r="F306" s="9"/>
      <c r="G306" s="10"/>
      <c r="H306" s="9"/>
      <c r="I306" s="10"/>
      <c r="J306" s="9"/>
      <c r="K306" s="10"/>
      <c r="L306" s="87"/>
      <c r="M306" s="10"/>
      <c r="N306" s="9"/>
      <c r="O306" s="10"/>
      <c r="P306" s="9"/>
      <c r="Q306" s="10"/>
      <c r="R306" s="9"/>
      <c r="S306" s="10"/>
      <c r="T306" s="9"/>
      <c r="U306" s="10"/>
      <c r="V306" s="9"/>
      <c r="W306" s="10"/>
      <c r="X306" s="9"/>
      <c r="Y306" s="10"/>
      <c r="Z306" s="9"/>
      <c r="AA306" s="10"/>
      <c r="AB306" s="11"/>
      <c r="AC306" s="10"/>
      <c r="AD306" s="7">
        <f>SUM(F306+H306+J306+L306+N306+P306+R306+T306+V306+X306+Z306+AB306)</f>
        <v>0</v>
      </c>
      <c r="AE306" s="7">
        <f>E306+AD306</f>
        <v>0</v>
      </c>
      <c r="AF306" s="8">
        <f>G306+I306+K306+M306+O306+Q306+S306+U306+W306+Y306+AA306+AC306</f>
        <v>0</v>
      </c>
      <c r="AG306" s="212">
        <f>SUM(AE306-AF306)</f>
        <v>0</v>
      </c>
      <c r="AH306" s="214"/>
      <c r="AI306" s="214"/>
    </row>
    <row r="307" spans="1:42" customHeight="1" ht="11.5">
      <c r="A307" s="5"/>
      <c r="B307" s="113"/>
      <c r="C307" s="90"/>
      <c r="D307" s="167"/>
      <c r="E307" s="86"/>
      <c r="F307" s="9"/>
      <c r="G307" s="10"/>
      <c r="H307" s="9"/>
      <c r="I307" s="10"/>
      <c r="J307" s="9"/>
      <c r="K307" s="10"/>
      <c r="L307" s="87"/>
      <c r="M307" s="10"/>
      <c r="N307" s="9"/>
      <c r="O307" s="10"/>
      <c r="P307" s="9"/>
      <c r="Q307" s="10"/>
      <c r="R307" s="9"/>
      <c r="S307" s="10"/>
      <c r="T307" s="9"/>
      <c r="U307" s="10"/>
      <c r="V307" s="9"/>
      <c r="W307" s="10"/>
      <c r="X307" s="9"/>
      <c r="Y307" s="10"/>
      <c r="Z307" s="9"/>
      <c r="AA307" s="10"/>
      <c r="AB307" s="11"/>
      <c r="AC307" s="10"/>
      <c r="AD307" s="7">
        <f>SUM(F307+H307+J307+L307+N307+P307+R307+T307+V307+X307+Z307+AB307)</f>
        <v>0</v>
      </c>
      <c r="AE307" s="7">
        <f>E307+AD307</f>
        <v>0</v>
      </c>
      <c r="AF307" s="8">
        <f>G307+I307+K307+M307+O307+Q307+S307+U307+W307+Y307+AA307+AC307</f>
        <v>0</v>
      </c>
      <c r="AG307" s="212">
        <f>SUM(AE307-AF307)</f>
        <v>0</v>
      </c>
      <c r="AH307" s="214"/>
      <c r="AI307" s="214"/>
    </row>
    <row r="308" spans="1:42" customHeight="1" ht="11.5">
      <c r="A308" s="5"/>
      <c r="B308" s="113"/>
      <c r="C308" s="90"/>
      <c r="D308" s="167"/>
      <c r="E308" s="86"/>
      <c r="F308" s="9"/>
      <c r="G308" s="10"/>
      <c r="H308" s="9"/>
      <c r="I308" s="10"/>
      <c r="J308" s="9"/>
      <c r="K308" s="10"/>
      <c r="L308" s="87"/>
      <c r="M308" s="10"/>
      <c r="N308" s="9"/>
      <c r="O308" s="10"/>
      <c r="P308" s="9"/>
      <c r="Q308" s="10"/>
      <c r="R308" s="9"/>
      <c r="S308" s="10"/>
      <c r="T308" s="9"/>
      <c r="U308" s="10"/>
      <c r="V308" s="9"/>
      <c r="W308" s="10"/>
      <c r="X308" s="9"/>
      <c r="Y308" s="10"/>
      <c r="Z308" s="9"/>
      <c r="AA308" s="10"/>
      <c r="AB308" s="11"/>
      <c r="AC308" s="10"/>
      <c r="AD308" s="7">
        <f>SUM(F308+H308+J308+L308+N308+P308+R308+T308+V308+X308+Z308+AB308)</f>
        <v>0</v>
      </c>
      <c r="AE308" s="7">
        <f>E308+AD308</f>
        <v>0</v>
      </c>
      <c r="AF308" s="8">
        <f>G308+I308+K308+M308+O308+Q308+S308+U308+W308+Y308+AA308+AC308</f>
        <v>0</v>
      </c>
      <c r="AG308" s="212">
        <f>SUM(AE308-AF308)</f>
        <v>0</v>
      </c>
      <c r="AH308" s="214"/>
      <c r="AI308" s="214"/>
    </row>
    <row r="309" spans="1:42" customHeight="1" ht="11.5">
      <c r="A309" s="5"/>
      <c r="B309" s="113"/>
      <c r="C309" s="90"/>
      <c r="D309" s="167"/>
      <c r="E309" s="86"/>
      <c r="F309" s="9"/>
      <c r="G309" s="10"/>
      <c r="H309" s="9"/>
      <c r="I309" s="10"/>
      <c r="J309" s="9"/>
      <c r="K309" s="10"/>
      <c r="L309" s="87"/>
      <c r="M309" s="10"/>
      <c r="N309" s="9"/>
      <c r="O309" s="10"/>
      <c r="P309" s="9"/>
      <c r="Q309" s="10"/>
      <c r="R309" s="9"/>
      <c r="S309" s="10"/>
      <c r="T309" s="9"/>
      <c r="U309" s="10"/>
      <c r="V309" s="9"/>
      <c r="W309" s="10"/>
      <c r="X309" s="9"/>
      <c r="Y309" s="10"/>
      <c r="Z309" s="9"/>
      <c r="AA309" s="10"/>
      <c r="AB309" s="11"/>
      <c r="AC309" s="10"/>
      <c r="AD309" s="7">
        <f>SUM(F309+H309+J309+L309+N309+P309+R309+T309+V309+X309+Z309+AB309)</f>
        <v>0</v>
      </c>
      <c r="AE309" s="7">
        <f>E309+AD309</f>
        <v>0</v>
      </c>
      <c r="AF309" s="8">
        <f>G309+I309+K309+M309+O309+Q309+S309+U309+W309+Y309+AA309+AC309</f>
        <v>0</v>
      </c>
      <c r="AG309" s="212">
        <f>SUM(AE309-AF309)</f>
        <v>0</v>
      </c>
      <c r="AH309" s="214"/>
      <c r="AI309" s="214"/>
    </row>
    <row r="310" spans="1:42" customHeight="1" ht="11.5">
      <c r="A310" s="5"/>
      <c r="B310" s="113"/>
      <c r="C310" s="90"/>
      <c r="D310" s="167"/>
      <c r="E310" s="86"/>
      <c r="F310" s="9"/>
      <c r="G310" s="10"/>
      <c r="H310" s="9"/>
      <c r="I310" s="10"/>
      <c r="J310" s="9"/>
      <c r="K310" s="10"/>
      <c r="L310" s="87"/>
      <c r="M310" s="10"/>
      <c r="N310" s="9"/>
      <c r="O310" s="10"/>
      <c r="P310" s="9"/>
      <c r="Q310" s="10"/>
      <c r="R310" s="9"/>
      <c r="S310" s="10"/>
      <c r="T310" s="9"/>
      <c r="U310" s="10"/>
      <c r="V310" s="9"/>
      <c r="W310" s="10"/>
      <c r="X310" s="9"/>
      <c r="Y310" s="10"/>
      <c r="Z310" s="9"/>
      <c r="AA310" s="10"/>
      <c r="AB310" s="11"/>
      <c r="AC310" s="10"/>
      <c r="AD310" s="7">
        <f>SUM(F310+H310+J310+L310+N310+P310+R310+T310+V310+X310+Z310+AB310)</f>
        <v>0</v>
      </c>
      <c r="AE310" s="7">
        <f>E310+AD310</f>
        <v>0</v>
      </c>
      <c r="AF310" s="8">
        <f>G310+I310+K310+M310+O310+Q310+S310+U310+W310+Y310+AA310+AC310</f>
        <v>0</v>
      </c>
      <c r="AG310" s="212">
        <f>SUM(AE310-AF310)</f>
        <v>0</v>
      </c>
      <c r="AH310" s="214"/>
      <c r="AI310" s="214"/>
    </row>
    <row r="311" spans="1:42" customHeight="1" ht="11.5">
      <c r="A311" s="5"/>
      <c r="B311" s="113"/>
      <c r="C311" s="90"/>
      <c r="D311" s="167"/>
      <c r="E311" s="86"/>
      <c r="F311" s="9"/>
      <c r="G311" s="10"/>
      <c r="H311" s="9"/>
      <c r="I311" s="10"/>
      <c r="J311" s="9"/>
      <c r="K311" s="10"/>
      <c r="L311" s="87"/>
      <c r="M311" s="10"/>
      <c r="N311" s="9"/>
      <c r="O311" s="10"/>
      <c r="P311" s="9"/>
      <c r="Q311" s="10"/>
      <c r="R311" s="9"/>
      <c r="S311" s="10"/>
      <c r="T311" s="9"/>
      <c r="U311" s="10"/>
      <c r="V311" s="9"/>
      <c r="W311" s="10"/>
      <c r="X311" s="9"/>
      <c r="Y311" s="10"/>
      <c r="Z311" s="9"/>
      <c r="AA311" s="10"/>
      <c r="AB311" s="11"/>
      <c r="AC311" s="10"/>
      <c r="AD311" s="7">
        <f>SUM(F311+H311+J311+L311+N311+P311+R311+T311+V311+X311+Z311+AB311)</f>
        <v>0</v>
      </c>
      <c r="AE311" s="7">
        <f>E311+AD311</f>
        <v>0</v>
      </c>
      <c r="AF311" s="8">
        <f>G311+I311+K311+M311+O311+Q311+S311+U311+W311+Y311+AA311+AC311</f>
        <v>0</v>
      </c>
      <c r="AG311" s="212">
        <f>SUM(AE311-AF311)</f>
        <v>0</v>
      </c>
      <c r="AH311" s="214"/>
      <c r="AI311" s="214"/>
    </row>
    <row r="312" spans="1:42" customHeight="1" ht="11.5">
      <c r="A312" s="5"/>
      <c r="B312" s="113"/>
      <c r="C312" s="90"/>
      <c r="D312" s="167"/>
      <c r="E312" s="86"/>
      <c r="F312" s="9"/>
      <c r="G312" s="10"/>
      <c r="H312" s="9"/>
      <c r="I312" s="10"/>
      <c r="J312" s="9"/>
      <c r="K312" s="10"/>
      <c r="L312" s="87"/>
      <c r="M312" s="10"/>
      <c r="N312" s="9"/>
      <c r="O312" s="10"/>
      <c r="P312" s="9"/>
      <c r="Q312" s="10"/>
      <c r="R312" s="9"/>
      <c r="S312" s="10"/>
      <c r="T312" s="9"/>
      <c r="U312" s="10"/>
      <c r="V312" s="9"/>
      <c r="W312" s="10"/>
      <c r="X312" s="9"/>
      <c r="Y312" s="10"/>
      <c r="Z312" s="9"/>
      <c r="AA312" s="10"/>
      <c r="AB312" s="11"/>
      <c r="AC312" s="10"/>
      <c r="AD312" s="7">
        <f>SUM(F312+H312+J312+L312+N312+P312+R312+T312+V312+X312+Z312+AB312)</f>
        <v>0</v>
      </c>
      <c r="AE312" s="7">
        <f>E312+AD312</f>
        <v>0</v>
      </c>
      <c r="AF312" s="8">
        <f>G312+I312+K312+M312+O312+Q312+S312+U312+W312+Y312+AA312+AC312</f>
        <v>0</v>
      </c>
      <c r="AG312" s="212">
        <f>SUM(AE312-AF312)</f>
        <v>0</v>
      </c>
      <c r="AH312" s="214"/>
      <c r="AI312" s="214"/>
    </row>
    <row r="313" spans="1:42" customHeight="1" ht="11.5">
      <c r="A313" s="5"/>
      <c r="B313" s="113"/>
      <c r="C313" s="90"/>
      <c r="D313" s="167"/>
      <c r="E313" s="86"/>
      <c r="F313" s="9"/>
      <c r="G313" s="10"/>
      <c r="H313" s="9"/>
      <c r="I313" s="10"/>
      <c r="J313" s="9"/>
      <c r="K313" s="10"/>
      <c r="L313" s="87"/>
      <c r="M313" s="10"/>
      <c r="N313" s="9"/>
      <c r="O313" s="10"/>
      <c r="P313" s="9"/>
      <c r="Q313" s="10"/>
      <c r="R313" s="9"/>
      <c r="S313" s="10"/>
      <c r="T313" s="9"/>
      <c r="U313" s="10"/>
      <c r="V313" s="9"/>
      <c r="W313" s="10"/>
      <c r="X313" s="9"/>
      <c r="Y313" s="10"/>
      <c r="Z313" s="9"/>
      <c r="AA313" s="10"/>
      <c r="AB313" s="11"/>
      <c r="AC313" s="10"/>
      <c r="AD313" s="7">
        <f>SUM(F313+H313+J313+L313+N313+P313+R313+T313+V313+X313+Z313+AB313)</f>
        <v>0</v>
      </c>
      <c r="AE313" s="7">
        <f>E313+AD313</f>
        <v>0</v>
      </c>
      <c r="AF313" s="8">
        <f>G313+I313+K313+M313+O313+Q313+S313+U313+W313+Y313+AA313+AC313</f>
        <v>0</v>
      </c>
      <c r="AG313" s="212">
        <f>SUM(AE313-AF313)</f>
        <v>0</v>
      </c>
      <c r="AH313" s="214"/>
      <c r="AI313" s="214"/>
    </row>
    <row r="314" spans="1:42" customHeight="1" ht="11.5">
      <c r="A314" s="5"/>
      <c r="B314" s="113"/>
      <c r="C314" s="90"/>
      <c r="D314" s="167"/>
      <c r="E314" s="86"/>
      <c r="F314" s="9"/>
      <c r="G314" s="10"/>
      <c r="H314" s="9"/>
      <c r="I314" s="10"/>
      <c r="J314" s="9"/>
      <c r="K314" s="10"/>
      <c r="L314" s="87"/>
      <c r="M314" s="10"/>
      <c r="N314" s="9"/>
      <c r="O314" s="10"/>
      <c r="P314" s="9"/>
      <c r="Q314" s="10"/>
      <c r="R314" s="9"/>
      <c r="S314" s="10"/>
      <c r="T314" s="9"/>
      <c r="U314" s="10"/>
      <c r="V314" s="9"/>
      <c r="W314" s="10"/>
      <c r="X314" s="9"/>
      <c r="Y314" s="10"/>
      <c r="Z314" s="9"/>
      <c r="AA314" s="10"/>
      <c r="AB314" s="11"/>
      <c r="AC314" s="10"/>
      <c r="AD314" s="7">
        <f>SUM(F314+H314+J314+L314+N314+P314+R314+T314+V314+X314+Z314+AB314)</f>
        <v>0</v>
      </c>
      <c r="AE314" s="7">
        <f>E314+AD314</f>
        <v>0</v>
      </c>
      <c r="AF314" s="8">
        <f>G314+I314+K314+M314+O314+Q314+S314+U314+W314+Y314+AA314+AC314</f>
        <v>0</v>
      </c>
      <c r="AG314" s="212">
        <f>SUM(AE314-AF314)</f>
        <v>0</v>
      </c>
      <c r="AH314" s="214"/>
      <c r="AI314" s="214"/>
    </row>
    <row r="315" spans="1:42" customHeight="1" ht="11.5">
      <c r="A315" s="5"/>
      <c r="B315" s="113"/>
      <c r="C315" s="90"/>
      <c r="D315" s="167"/>
      <c r="E315" s="86"/>
      <c r="F315" s="9"/>
      <c r="G315" s="10"/>
      <c r="H315" s="9"/>
      <c r="I315" s="10"/>
      <c r="J315" s="9"/>
      <c r="K315" s="10"/>
      <c r="L315" s="87"/>
      <c r="M315" s="10"/>
      <c r="N315" s="9"/>
      <c r="O315" s="10"/>
      <c r="P315" s="9"/>
      <c r="Q315" s="10"/>
      <c r="R315" s="9"/>
      <c r="S315" s="10"/>
      <c r="T315" s="9"/>
      <c r="U315" s="10"/>
      <c r="V315" s="9"/>
      <c r="W315" s="10"/>
      <c r="X315" s="9"/>
      <c r="Y315" s="10"/>
      <c r="Z315" s="9"/>
      <c r="AA315" s="10"/>
      <c r="AB315" s="11"/>
      <c r="AC315" s="10"/>
      <c r="AD315" s="7">
        <f>SUM(F315+H315+J315+L315+N315+P315+R315+T315+V315+X315+Z315+AB315)</f>
        <v>0</v>
      </c>
      <c r="AE315" s="7">
        <f>E315+AD315</f>
        <v>0</v>
      </c>
      <c r="AF315" s="8">
        <f>G315+I315+K315+M315+O315+Q315+S315+U315+W315+Y315+AA315+AC315</f>
        <v>0</v>
      </c>
      <c r="AG315" s="212">
        <f>SUM(AE315-AF315)</f>
        <v>0</v>
      </c>
      <c r="AH315" s="214"/>
      <c r="AI315" s="214"/>
    </row>
    <row r="316" spans="1:42" customHeight="1" ht="11.5">
      <c r="A316" s="5"/>
      <c r="B316" s="113"/>
      <c r="C316" s="90"/>
      <c r="D316" s="167"/>
      <c r="E316" s="86"/>
      <c r="F316" s="9"/>
      <c r="G316" s="10"/>
      <c r="H316" s="9"/>
      <c r="I316" s="10"/>
      <c r="J316" s="9"/>
      <c r="K316" s="10"/>
      <c r="L316" s="87"/>
      <c r="M316" s="10"/>
      <c r="N316" s="9"/>
      <c r="O316" s="10"/>
      <c r="P316" s="9"/>
      <c r="Q316" s="10"/>
      <c r="R316" s="9"/>
      <c r="S316" s="10"/>
      <c r="T316" s="9"/>
      <c r="U316" s="10"/>
      <c r="V316" s="9"/>
      <c r="W316" s="10"/>
      <c r="X316" s="9"/>
      <c r="Y316" s="10"/>
      <c r="Z316" s="9"/>
      <c r="AA316" s="10"/>
      <c r="AB316" s="11"/>
      <c r="AC316" s="10"/>
      <c r="AD316" s="7">
        <f>SUM(F316+H316+J316+L316+N316+P316+R316+T316+V316+X316+Z316+AB316)</f>
        <v>0</v>
      </c>
      <c r="AE316" s="7">
        <f>E316+AD316</f>
        <v>0</v>
      </c>
      <c r="AF316" s="8">
        <f>G316+I316+K316+M316+O316+Q316+S316+U316+W316+Y316+AA316+AC316</f>
        <v>0</v>
      </c>
      <c r="AG316" s="212">
        <f>SUM(AE316-AF316)</f>
        <v>0</v>
      </c>
      <c r="AH316" s="214"/>
      <c r="AI316" s="214"/>
    </row>
    <row r="317" spans="1:42" customHeight="1" ht="11.5">
      <c r="A317" s="5"/>
      <c r="B317" s="113"/>
      <c r="C317" s="90"/>
      <c r="D317" s="167"/>
      <c r="E317" s="86"/>
      <c r="F317" s="9"/>
      <c r="G317" s="10"/>
      <c r="H317" s="9"/>
      <c r="I317" s="10"/>
      <c r="J317" s="9"/>
      <c r="K317" s="10"/>
      <c r="L317" s="87"/>
      <c r="M317" s="10"/>
      <c r="N317" s="9"/>
      <c r="O317" s="10"/>
      <c r="P317" s="9"/>
      <c r="Q317" s="10"/>
      <c r="R317" s="9"/>
      <c r="S317" s="10"/>
      <c r="T317" s="9"/>
      <c r="U317" s="10"/>
      <c r="V317" s="9"/>
      <c r="W317" s="10"/>
      <c r="X317" s="9"/>
      <c r="Y317" s="10"/>
      <c r="Z317" s="9"/>
      <c r="AA317" s="10"/>
      <c r="AB317" s="11"/>
      <c r="AC317" s="10"/>
      <c r="AD317" s="7">
        <f>SUM(F317+H317+J317+L317+N317+P317+R317+T317+V317+X317+Z317+AB317)</f>
        <v>0</v>
      </c>
      <c r="AE317" s="7">
        <f>E317+AD317</f>
        <v>0</v>
      </c>
      <c r="AF317" s="8">
        <f>G317+I317+K317+M317+O317+Q317+S317+U317+W317+Y317+AA317+AC317</f>
        <v>0</v>
      </c>
      <c r="AG317" s="212">
        <f>SUM(AE317-AF317)</f>
        <v>0</v>
      </c>
      <c r="AH317" s="214"/>
      <c r="AI317" s="214"/>
    </row>
    <row r="318" spans="1:42" customHeight="1" ht="11.5">
      <c r="A318" s="5"/>
      <c r="B318" s="113"/>
      <c r="C318" s="90"/>
      <c r="D318" s="167"/>
      <c r="E318" s="86"/>
      <c r="F318" s="9"/>
      <c r="G318" s="10"/>
      <c r="H318" s="9"/>
      <c r="I318" s="10"/>
      <c r="J318" s="9"/>
      <c r="K318" s="10"/>
      <c r="L318" s="87"/>
      <c r="M318" s="10"/>
      <c r="N318" s="9"/>
      <c r="O318" s="10"/>
      <c r="P318" s="9"/>
      <c r="Q318" s="10"/>
      <c r="R318" s="9"/>
      <c r="S318" s="10"/>
      <c r="T318" s="9"/>
      <c r="U318" s="10"/>
      <c r="V318" s="9"/>
      <c r="W318" s="10"/>
      <c r="X318" s="9"/>
      <c r="Y318" s="10"/>
      <c r="Z318" s="9"/>
      <c r="AA318" s="10"/>
      <c r="AB318" s="11"/>
      <c r="AC318" s="10"/>
      <c r="AD318" s="7">
        <f>SUM(F318+H318+J318+L318+N318+P318+R318+T318+V318+X318+Z318+AB318)</f>
        <v>0</v>
      </c>
      <c r="AE318" s="7">
        <f>E318+AD318</f>
        <v>0</v>
      </c>
      <c r="AF318" s="8">
        <f>G318+I318+K318+M318+O318+Q318+S318+U318+W318+Y318+AA318+AC318</f>
        <v>0</v>
      </c>
      <c r="AG318" s="212">
        <f>SUM(AE318-AF318)</f>
        <v>0</v>
      </c>
      <c r="AH318" s="214"/>
      <c r="AI318" s="214"/>
    </row>
    <row r="319" spans="1:42" customHeight="1" ht="11.5">
      <c r="A319" s="5"/>
      <c r="B319" s="113"/>
      <c r="C319" s="90"/>
      <c r="D319" s="167"/>
      <c r="E319" s="86"/>
      <c r="F319" s="9"/>
      <c r="G319" s="10"/>
      <c r="H319" s="9"/>
      <c r="I319" s="10"/>
      <c r="J319" s="9"/>
      <c r="K319" s="10"/>
      <c r="L319" s="87"/>
      <c r="M319" s="10"/>
      <c r="N319" s="9"/>
      <c r="O319" s="10"/>
      <c r="P319" s="9"/>
      <c r="Q319" s="10"/>
      <c r="R319" s="9"/>
      <c r="S319" s="10"/>
      <c r="T319" s="9"/>
      <c r="U319" s="10"/>
      <c r="V319" s="9"/>
      <c r="W319" s="10"/>
      <c r="X319" s="9"/>
      <c r="Y319" s="10"/>
      <c r="Z319" s="9"/>
      <c r="AA319" s="10"/>
      <c r="AB319" s="11"/>
      <c r="AC319" s="10"/>
      <c r="AD319" s="7">
        <f>SUM(F319+H319+J319+L319+N319+P319+R319+T319+V319+X319+Z319+AB319)</f>
        <v>0</v>
      </c>
      <c r="AE319" s="7">
        <f>E319+AD319</f>
        <v>0</v>
      </c>
      <c r="AF319" s="8">
        <f>G319+I319+K319+M319+O319+Q319+S319+U319+W319+Y319+AA319+AC319</f>
        <v>0</v>
      </c>
      <c r="AG319" s="212">
        <f>SUM(AE319-AF319)</f>
        <v>0</v>
      </c>
      <c r="AH319" s="214"/>
      <c r="AI319" s="214"/>
    </row>
    <row r="320" spans="1:42" customHeight="1" ht="11.5">
      <c r="A320" s="5"/>
      <c r="B320" s="113"/>
      <c r="C320" s="90"/>
      <c r="D320" s="167"/>
      <c r="E320" s="86"/>
      <c r="F320" s="9"/>
      <c r="G320" s="10"/>
      <c r="H320" s="9"/>
      <c r="I320" s="10"/>
      <c r="J320" s="9"/>
      <c r="K320" s="10"/>
      <c r="L320" s="87"/>
      <c r="M320" s="10"/>
      <c r="N320" s="9"/>
      <c r="O320" s="10"/>
      <c r="P320" s="9"/>
      <c r="Q320" s="10"/>
      <c r="R320" s="9"/>
      <c r="S320" s="10"/>
      <c r="T320" s="9"/>
      <c r="U320" s="10"/>
      <c r="V320" s="9"/>
      <c r="W320" s="10"/>
      <c r="X320" s="9"/>
      <c r="Y320" s="10"/>
      <c r="Z320" s="9"/>
      <c r="AA320" s="10"/>
      <c r="AB320" s="11"/>
      <c r="AC320" s="10"/>
      <c r="AD320" s="7">
        <f>SUM(F320+H320+J320+L320+N320+P320+R320+T320+V320+X320+Z320+AB320)</f>
        <v>0</v>
      </c>
      <c r="AE320" s="7">
        <f>E320+AD320</f>
        <v>0</v>
      </c>
      <c r="AF320" s="8">
        <f>G320+I320+K320+M320+O320+Q320+S320+U320+W320+Y320+AA320+AC320</f>
        <v>0</v>
      </c>
      <c r="AG320" s="212">
        <f>SUM(AE320-AF320)</f>
        <v>0</v>
      </c>
      <c r="AH320" s="214"/>
      <c r="AI320" s="214"/>
    </row>
    <row r="321" spans="1:42" customHeight="1" ht="11.5">
      <c r="A321" s="5"/>
      <c r="B321" s="113"/>
      <c r="C321" s="90"/>
      <c r="D321" s="167"/>
      <c r="E321" s="86"/>
      <c r="F321" s="9"/>
      <c r="G321" s="10"/>
      <c r="H321" s="9"/>
      <c r="I321" s="10"/>
      <c r="J321" s="9"/>
      <c r="K321" s="10"/>
      <c r="L321" s="87"/>
      <c r="M321" s="10"/>
      <c r="N321" s="9"/>
      <c r="O321" s="10"/>
      <c r="P321" s="9"/>
      <c r="Q321" s="10"/>
      <c r="R321" s="9"/>
      <c r="S321" s="10"/>
      <c r="T321" s="9"/>
      <c r="U321" s="10"/>
      <c r="V321" s="9"/>
      <c r="W321" s="10"/>
      <c r="X321" s="9"/>
      <c r="Y321" s="10"/>
      <c r="Z321" s="9"/>
      <c r="AA321" s="10"/>
      <c r="AB321" s="11"/>
      <c r="AC321" s="10"/>
      <c r="AD321" s="7">
        <f>SUM(F321+H321+J321+L321+N321+P321+R321+T321+V321+X321+Z321+AB321)</f>
        <v>0</v>
      </c>
      <c r="AE321" s="7">
        <f>E321+AD321</f>
        <v>0</v>
      </c>
      <c r="AF321" s="8">
        <f>G321+I321+K321+M321+O321+Q321+S321+U321+W321+Y321+AA321+AC321</f>
        <v>0</v>
      </c>
      <c r="AG321" s="212">
        <f>SUM(AE321-AF321)</f>
        <v>0</v>
      </c>
      <c r="AH321" s="214"/>
      <c r="AI321" s="214"/>
    </row>
    <row r="322" spans="1:42" customHeight="1" ht="11.5">
      <c r="A322" s="5"/>
      <c r="B322" s="113"/>
      <c r="C322" s="90"/>
      <c r="D322" s="167"/>
      <c r="E322" s="86"/>
      <c r="F322" s="9"/>
      <c r="G322" s="10"/>
      <c r="H322" s="9"/>
      <c r="I322" s="10"/>
      <c r="J322" s="9"/>
      <c r="K322" s="10"/>
      <c r="L322" s="87"/>
      <c r="M322" s="10"/>
      <c r="N322" s="9"/>
      <c r="O322" s="10"/>
      <c r="P322" s="9"/>
      <c r="Q322" s="10"/>
      <c r="R322" s="9"/>
      <c r="S322" s="10"/>
      <c r="T322" s="9"/>
      <c r="U322" s="10"/>
      <c r="V322" s="9"/>
      <c r="W322" s="10"/>
      <c r="X322" s="9"/>
      <c r="Y322" s="10"/>
      <c r="Z322" s="9"/>
      <c r="AA322" s="10"/>
      <c r="AB322" s="11"/>
      <c r="AC322" s="10"/>
      <c r="AD322" s="7">
        <f>SUM(F322+H322+J322+L322+N322+P322+R322+T322+V322+X322+Z322+AB322)</f>
        <v>0</v>
      </c>
      <c r="AE322" s="7">
        <f>E322+AD322</f>
        <v>0</v>
      </c>
      <c r="AF322" s="8">
        <f>G322+I322+K322+M322+O322+Q322+S322+U322+W322+Y322+AA322+AC322</f>
        <v>0</v>
      </c>
      <c r="AG322" s="212">
        <f>SUM(AE322-AF322)</f>
        <v>0</v>
      </c>
      <c r="AH322" s="214"/>
      <c r="AI322" s="214"/>
    </row>
    <row r="323" spans="1:42" customHeight="1" ht="11.5">
      <c r="A323" s="5"/>
      <c r="B323" s="113"/>
      <c r="C323" s="90"/>
      <c r="D323" s="167"/>
      <c r="E323" s="86"/>
      <c r="F323" s="9"/>
      <c r="G323" s="10"/>
      <c r="H323" s="9"/>
      <c r="I323" s="10"/>
      <c r="J323" s="9"/>
      <c r="K323" s="10"/>
      <c r="L323" s="87"/>
      <c r="M323" s="10"/>
      <c r="N323" s="9"/>
      <c r="O323" s="10"/>
      <c r="P323" s="9"/>
      <c r="Q323" s="10"/>
      <c r="R323" s="9"/>
      <c r="S323" s="10"/>
      <c r="T323" s="9"/>
      <c r="U323" s="10"/>
      <c r="V323" s="9"/>
      <c r="W323" s="10"/>
      <c r="X323" s="9"/>
      <c r="Y323" s="10"/>
      <c r="Z323" s="9"/>
      <c r="AA323" s="10"/>
      <c r="AB323" s="11"/>
      <c r="AC323" s="10"/>
      <c r="AD323" s="7">
        <f>SUM(F323+H323+J323+L323+N323+P323+R323+T323+V323+X323+Z323+AB323)</f>
        <v>0</v>
      </c>
      <c r="AE323" s="7">
        <f>E323+AD323</f>
        <v>0</v>
      </c>
      <c r="AF323" s="8">
        <f>G323+I323+K323+M323+O323+Q323+S323+U323+W323+Y323+AA323+AC323</f>
        <v>0</v>
      </c>
      <c r="AG323" s="212">
        <f>SUM(AE323-AF323)</f>
        <v>0</v>
      </c>
      <c r="AH323" s="214"/>
      <c r="AI323" s="214"/>
    </row>
    <row r="324" spans="1:42" customHeight="1" ht="11.5">
      <c r="A324" s="5"/>
      <c r="B324" s="113"/>
      <c r="C324" s="90"/>
      <c r="D324" s="167"/>
      <c r="E324" s="86"/>
      <c r="F324" s="9"/>
      <c r="G324" s="10"/>
      <c r="H324" s="9"/>
      <c r="I324" s="10"/>
      <c r="J324" s="9"/>
      <c r="K324" s="10"/>
      <c r="L324" s="87"/>
      <c r="M324" s="10"/>
      <c r="N324" s="9"/>
      <c r="O324" s="10"/>
      <c r="P324" s="9"/>
      <c r="Q324" s="10"/>
      <c r="R324" s="9"/>
      <c r="S324" s="10"/>
      <c r="T324" s="9"/>
      <c r="U324" s="10"/>
      <c r="V324" s="9"/>
      <c r="W324" s="10"/>
      <c r="X324" s="9"/>
      <c r="Y324" s="10"/>
      <c r="Z324" s="9"/>
      <c r="AA324" s="10"/>
      <c r="AB324" s="11"/>
      <c r="AC324" s="10"/>
      <c r="AD324" s="7">
        <f>SUM(F324+H324+J324+L324+N324+P324+R324+T324+V324+X324+Z324+AB324)</f>
        <v>0</v>
      </c>
      <c r="AE324" s="7">
        <f>E324+AD324</f>
        <v>0</v>
      </c>
      <c r="AF324" s="8">
        <f>G324+I324+K324+M324+O324+Q324+S324+U324+W324+Y324+AA324+AC324</f>
        <v>0</v>
      </c>
      <c r="AG324" s="212">
        <f>SUM(AE324-AF324)</f>
        <v>0</v>
      </c>
      <c r="AH324" s="214"/>
      <c r="AI324" s="214"/>
    </row>
    <row r="325" spans="1:42" customHeight="1" ht="11.5">
      <c r="A325" s="5"/>
      <c r="B325" s="113"/>
      <c r="C325" s="90"/>
      <c r="D325" s="167"/>
      <c r="E325" s="86"/>
      <c r="F325" s="9"/>
      <c r="G325" s="10"/>
      <c r="H325" s="9"/>
      <c r="I325" s="10"/>
      <c r="J325" s="9"/>
      <c r="K325" s="10"/>
      <c r="L325" s="87"/>
      <c r="M325" s="10"/>
      <c r="N325" s="9"/>
      <c r="O325" s="10"/>
      <c r="P325" s="9"/>
      <c r="Q325" s="10"/>
      <c r="R325" s="9"/>
      <c r="S325" s="10"/>
      <c r="T325" s="9"/>
      <c r="U325" s="10"/>
      <c r="V325" s="9"/>
      <c r="W325" s="10"/>
      <c r="X325" s="9"/>
      <c r="Y325" s="10"/>
      <c r="Z325" s="9"/>
      <c r="AA325" s="10"/>
      <c r="AB325" s="11"/>
      <c r="AC325" s="10"/>
      <c r="AD325" s="7">
        <f>SUM(F325+H325+J325+L325+N325+P325+R325+T325+V325+X325+Z325+AB325)</f>
        <v>0</v>
      </c>
      <c r="AE325" s="7">
        <f>E325+AD325</f>
        <v>0</v>
      </c>
      <c r="AF325" s="8">
        <f>G325+I325+K325+M325+O325+Q325+S325+U325+W325+Y325+AA325+AC325</f>
        <v>0</v>
      </c>
      <c r="AG325" s="212">
        <f>SUM(AE325-AF325)</f>
        <v>0</v>
      </c>
      <c r="AH325" s="214"/>
      <c r="AI325" s="214"/>
    </row>
    <row r="326" spans="1:42" customHeight="1" ht="11.5">
      <c r="A326" s="5"/>
      <c r="B326" s="113"/>
      <c r="C326" s="90"/>
      <c r="D326" s="167"/>
      <c r="E326" s="86"/>
      <c r="F326" s="9"/>
      <c r="G326" s="10"/>
      <c r="H326" s="9"/>
      <c r="I326" s="10"/>
      <c r="J326" s="9"/>
      <c r="K326" s="10"/>
      <c r="L326" s="87"/>
      <c r="M326" s="10"/>
      <c r="N326" s="9"/>
      <c r="O326" s="10"/>
      <c r="P326" s="9"/>
      <c r="Q326" s="10"/>
      <c r="R326" s="9"/>
      <c r="S326" s="10"/>
      <c r="T326" s="9"/>
      <c r="U326" s="10"/>
      <c r="V326" s="9"/>
      <c r="W326" s="10"/>
      <c r="X326" s="9"/>
      <c r="Y326" s="10"/>
      <c r="Z326" s="9"/>
      <c r="AA326" s="10"/>
      <c r="AB326" s="11"/>
      <c r="AC326" s="10"/>
      <c r="AD326" s="7">
        <f>SUM(F326+H326+J326+L326+N326+P326+R326+T326+V326+X326+Z326+AB326)</f>
        <v>0</v>
      </c>
      <c r="AE326" s="7">
        <f>E326+AD326</f>
        <v>0</v>
      </c>
      <c r="AF326" s="8">
        <f>G326+I326+K326+M326+O326+Q326+S326+U326+W326+Y326+AA326+AC326</f>
        <v>0</v>
      </c>
      <c r="AG326" s="212">
        <f>SUM(AE326-AF326)</f>
        <v>0</v>
      </c>
      <c r="AH326" s="214"/>
      <c r="AI326" s="214"/>
    </row>
    <row r="327" spans="1:42" customHeight="1" ht="11.5">
      <c r="A327" s="5"/>
      <c r="B327" s="113"/>
      <c r="C327" s="90"/>
      <c r="D327" s="167"/>
      <c r="E327" s="86"/>
      <c r="F327" s="9"/>
      <c r="G327" s="10"/>
      <c r="H327" s="9"/>
      <c r="I327" s="10"/>
      <c r="J327" s="9"/>
      <c r="K327" s="10"/>
      <c r="L327" s="87"/>
      <c r="M327" s="10"/>
      <c r="N327" s="9"/>
      <c r="O327" s="10"/>
      <c r="P327" s="9"/>
      <c r="Q327" s="10"/>
      <c r="R327" s="9"/>
      <c r="S327" s="10"/>
      <c r="T327" s="9"/>
      <c r="U327" s="10"/>
      <c r="V327" s="9"/>
      <c r="W327" s="10"/>
      <c r="X327" s="9"/>
      <c r="Y327" s="10"/>
      <c r="Z327" s="9"/>
      <c r="AA327" s="10"/>
      <c r="AB327" s="11"/>
      <c r="AC327" s="10"/>
      <c r="AD327" s="7">
        <f>SUM(F327+H327+J327+L327+N327+P327+R327+T327+V327+X327+Z327+AB327)</f>
        <v>0</v>
      </c>
      <c r="AE327" s="7">
        <f>E327+AD327</f>
        <v>0</v>
      </c>
      <c r="AF327" s="8">
        <f>G327+I327+K327+M327+O327+Q327+S327+U327+W327+Y327+AA327+AC327</f>
        <v>0</v>
      </c>
      <c r="AG327" s="212">
        <f>SUM(AE327-AF327)</f>
        <v>0</v>
      </c>
      <c r="AH327" s="214"/>
      <c r="AI327" s="214"/>
    </row>
    <row r="328" spans="1:42" customHeight="1" ht="11.5">
      <c r="A328" s="5"/>
      <c r="B328" s="113"/>
      <c r="C328" s="90"/>
      <c r="D328" s="167"/>
      <c r="E328" s="86"/>
      <c r="F328" s="9"/>
      <c r="G328" s="10"/>
      <c r="H328" s="9"/>
      <c r="I328" s="10"/>
      <c r="J328" s="9"/>
      <c r="K328" s="10"/>
      <c r="L328" s="87"/>
      <c r="M328" s="10"/>
      <c r="N328" s="9"/>
      <c r="O328" s="10"/>
      <c r="P328" s="9"/>
      <c r="Q328" s="10"/>
      <c r="R328" s="9"/>
      <c r="S328" s="10"/>
      <c r="T328" s="9"/>
      <c r="U328" s="10"/>
      <c r="V328" s="9"/>
      <c r="W328" s="10"/>
      <c r="X328" s="9"/>
      <c r="Y328" s="10"/>
      <c r="Z328" s="9"/>
      <c r="AA328" s="10"/>
      <c r="AB328" s="11"/>
      <c r="AC328" s="10"/>
      <c r="AD328" s="7">
        <f>SUM(F328+H328+J328+L328+N328+P328+R328+T328+V328+X328+Z328+AB328)</f>
        <v>0</v>
      </c>
      <c r="AE328" s="7">
        <f>E328+AD328</f>
        <v>0</v>
      </c>
      <c r="AF328" s="8">
        <f>G328+I328+K328+M328+O328+Q328+S328+U328+W328+Y328+AA328+AC328</f>
        <v>0</v>
      </c>
      <c r="AG328" s="212">
        <f>SUM(AE328-AF328)</f>
        <v>0</v>
      </c>
      <c r="AH328" s="214"/>
      <c r="AI328" s="214"/>
    </row>
    <row r="329" spans="1:42" customHeight="1" ht="11.5">
      <c r="A329" s="5"/>
      <c r="B329" s="113"/>
      <c r="C329" s="90"/>
      <c r="D329" s="167"/>
      <c r="E329" s="86"/>
      <c r="F329" s="9"/>
      <c r="G329" s="10"/>
      <c r="H329" s="9"/>
      <c r="I329" s="10"/>
      <c r="J329" s="9"/>
      <c r="K329" s="10"/>
      <c r="L329" s="87"/>
      <c r="M329" s="10"/>
      <c r="N329" s="9"/>
      <c r="O329" s="10"/>
      <c r="P329" s="9"/>
      <c r="Q329" s="10"/>
      <c r="R329" s="9"/>
      <c r="S329" s="10"/>
      <c r="T329" s="9"/>
      <c r="U329" s="10"/>
      <c r="V329" s="9"/>
      <c r="W329" s="10"/>
      <c r="X329" s="9"/>
      <c r="Y329" s="10"/>
      <c r="Z329" s="9"/>
      <c r="AA329" s="10"/>
      <c r="AB329" s="11"/>
      <c r="AC329" s="10"/>
      <c r="AD329" s="7">
        <f>SUM(F329+H329+J329+L329+N329+P329+R329+T329+V329+X329+Z329+AB329)</f>
        <v>0</v>
      </c>
      <c r="AE329" s="7">
        <f>E329+AD329</f>
        <v>0</v>
      </c>
      <c r="AF329" s="8">
        <f>G329+I329+K329+M329+O329+Q329+S329+U329+W329+Y329+AA329+AC329</f>
        <v>0</v>
      </c>
      <c r="AG329" s="212">
        <f>SUM(AE329-AF329)</f>
        <v>0</v>
      </c>
      <c r="AH329" s="214"/>
      <c r="AI329" s="214"/>
    </row>
    <row r="330" spans="1:42" customHeight="1" ht="11.5">
      <c r="A330" s="5"/>
      <c r="B330" s="113"/>
      <c r="C330" s="90"/>
      <c r="D330" s="167"/>
      <c r="E330" s="86"/>
      <c r="F330" s="9"/>
      <c r="G330" s="10"/>
      <c r="H330" s="9"/>
      <c r="I330" s="10"/>
      <c r="J330" s="9"/>
      <c r="K330" s="10"/>
      <c r="L330" s="87"/>
      <c r="M330" s="10"/>
      <c r="N330" s="9"/>
      <c r="O330" s="10"/>
      <c r="P330" s="9"/>
      <c r="Q330" s="10"/>
      <c r="R330" s="9"/>
      <c r="S330" s="10"/>
      <c r="T330" s="9"/>
      <c r="U330" s="10"/>
      <c r="V330" s="9"/>
      <c r="W330" s="10"/>
      <c r="X330" s="9"/>
      <c r="Y330" s="10"/>
      <c r="Z330" s="9"/>
      <c r="AA330" s="10"/>
      <c r="AB330" s="11"/>
      <c r="AC330" s="10"/>
      <c r="AD330" s="7">
        <f>SUM(F330+H330+J330+L330+N330+P330+R330+T330+V330+X330+Z330+AB330)</f>
        <v>0</v>
      </c>
      <c r="AE330" s="7">
        <f>E330+AD330</f>
        <v>0</v>
      </c>
      <c r="AF330" s="8">
        <f>G330+I330+K330+M330+O330+Q330+S330+U330+W330+Y330+AA330+AC330</f>
        <v>0</v>
      </c>
      <c r="AG330" s="212">
        <f>SUM(AE330-AF330)</f>
        <v>0</v>
      </c>
      <c r="AH330" s="214"/>
      <c r="AI330" s="214"/>
    </row>
    <row r="331" spans="1:42" customHeight="1" ht="11.5">
      <c r="A331" s="5"/>
      <c r="B331" s="113"/>
      <c r="C331" s="90"/>
      <c r="D331" s="167"/>
      <c r="E331" s="86"/>
      <c r="F331" s="9"/>
      <c r="G331" s="10"/>
      <c r="H331" s="9"/>
      <c r="I331" s="10"/>
      <c r="J331" s="9"/>
      <c r="K331" s="10"/>
      <c r="L331" s="87"/>
      <c r="M331" s="10"/>
      <c r="N331" s="9"/>
      <c r="O331" s="10"/>
      <c r="P331" s="9"/>
      <c r="Q331" s="10"/>
      <c r="R331" s="9"/>
      <c r="S331" s="10"/>
      <c r="T331" s="9"/>
      <c r="U331" s="10"/>
      <c r="V331" s="9"/>
      <c r="W331" s="10"/>
      <c r="X331" s="9"/>
      <c r="Y331" s="10"/>
      <c r="Z331" s="9"/>
      <c r="AA331" s="10"/>
      <c r="AB331" s="11"/>
      <c r="AC331" s="10"/>
      <c r="AD331" s="7">
        <f>SUM(F331+H331+J331+L331+N331+P331+R331+T331+V331+X331+Z331+AB331)</f>
        <v>0</v>
      </c>
      <c r="AE331" s="7">
        <f>E331+AD331</f>
        <v>0</v>
      </c>
      <c r="AF331" s="8">
        <f>G331+I331+K331+M331+O331+Q331+S331+U331+W331+Y331+AA331+AC331</f>
        <v>0</v>
      </c>
      <c r="AG331" s="212">
        <f>SUM(AE331-AF331)</f>
        <v>0</v>
      </c>
      <c r="AH331" s="214"/>
      <c r="AI331" s="214"/>
    </row>
    <row r="332" spans="1:42" customHeight="1" ht="11.5">
      <c r="A332" s="5"/>
      <c r="B332" s="113"/>
      <c r="C332" s="90"/>
      <c r="D332" s="167"/>
      <c r="E332" s="86"/>
      <c r="F332" s="9"/>
      <c r="G332" s="10"/>
      <c r="H332" s="9"/>
      <c r="I332" s="10"/>
      <c r="J332" s="9"/>
      <c r="K332" s="10"/>
      <c r="L332" s="87"/>
      <c r="M332" s="10"/>
      <c r="N332" s="9"/>
      <c r="O332" s="10"/>
      <c r="P332" s="9"/>
      <c r="Q332" s="10"/>
      <c r="R332" s="9"/>
      <c r="S332" s="10"/>
      <c r="T332" s="9"/>
      <c r="U332" s="10"/>
      <c r="V332" s="9"/>
      <c r="W332" s="10"/>
      <c r="X332" s="9"/>
      <c r="Y332" s="10"/>
      <c r="Z332" s="9"/>
      <c r="AA332" s="10"/>
      <c r="AB332" s="11"/>
      <c r="AC332" s="10"/>
      <c r="AD332" s="7">
        <f>SUM(F332+H332+J332+L332+N332+P332+R332+T332+V332+X332+Z332+AB332)</f>
        <v>0</v>
      </c>
      <c r="AE332" s="7">
        <f>E332+AD332</f>
        <v>0</v>
      </c>
      <c r="AF332" s="8">
        <f>G332+I332+K332+M332+O332+Q332+S332+U332+W332+Y332+AA332+AC332</f>
        <v>0</v>
      </c>
      <c r="AG332" s="212">
        <f>SUM(AE332-AF332)</f>
        <v>0</v>
      </c>
      <c r="AH332" s="214"/>
      <c r="AI332" s="214"/>
    </row>
    <row r="333" spans="1:42" customHeight="1" ht="11.5">
      <c r="A333" s="5"/>
      <c r="B333" s="113"/>
      <c r="C333" s="90"/>
      <c r="D333" s="167"/>
      <c r="E333" s="86"/>
      <c r="F333" s="9"/>
      <c r="G333" s="10"/>
      <c r="H333" s="9"/>
      <c r="I333" s="10"/>
      <c r="J333" s="9"/>
      <c r="K333" s="10"/>
      <c r="L333" s="87"/>
      <c r="M333" s="10"/>
      <c r="N333" s="9"/>
      <c r="O333" s="10"/>
      <c r="P333" s="9"/>
      <c r="Q333" s="10"/>
      <c r="R333" s="9"/>
      <c r="S333" s="10"/>
      <c r="T333" s="9"/>
      <c r="U333" s="10"/>
      <c r="V333" s="9"/>
      <c r="W333" s="10"/>
      <c r="X333" s="9"/>
      <c r="Y333" s="10"/>
      <c r="Z333" s="9"/>
      <c r="AA333" s="10"/>
      <c r="AB333" s="11"/>
      <c r="AC333" s="10"/>
      <c r="AD333" s="7">
        <f>SUM(F333+H333+J333+L333+N333+P333+R333+T333+V333+X333+Z333+AB333)</f>
        <v>0</v>
      </c>
      <c r="AE333" s="7">
        <f>E333+AD333</f>
        <v>0</v>
      </c>
      <c r="AF333" s="8">
        <f>G333+I333+K333+M333+O333+Q333+S333+U333+W333+Y333+AA333+AC333</f>
        <v>0</v>
      </c>
      <c r="AG333" s="212">
        <f>SUM(AE333-AF333)</f>
        <v>0</v>
      </c>
      <c r="AH333" s="214"/>
      <c r="AI333" s="214"/>
    </row>
    <row r="334" spans="1:42" customHeight="1" ht="11.5">
      <c r="A334" s="5"/>
      <c r="B334" s="113"/>
      <c r="C334" s="90"/>
      <c r="D334" s="167"/>
      <c r="E334" s="86"/>
      <c r="F334" s="9"/>
      <c r="G334" s="10"/>
      <c r="H334" s="9"/>
      <c r="I334" s="10"/>
      <c r="J334" s="9"/>
      <c r="K334" s="10"/>
      <c r="L334" s="87"/>
      <c r="M334" s="10"/>
      <c r="N334" s="9"/>
      <c r="O334" s="10"/>
      <c r="P334" s="9"/>
      <c r="Q334" s="10"/>
      <c r="R334" s="9"/>
      <c r="S334" s="10"/>
      <c r="T334" s="9"/>
      <c r="U334" s="10"/>
      <c r="V334" s="9"/>
      <c r="W334" s="10"/>
      <c r="X334" s="9"/>
      <c r="Y334" s="10"/>
      <c r="Z334" s="9"/>
      <c r="AA334" s="10"/>
      <c r="AB334" s="11"/>
      <c r="AC334" s="10"/>
      <c r="AD334" s="7">
        <f>SUM(F334+H334+J334+L334+N334+P334+R334+T334+V334+X334+Z334+AB334)</f>
        <v>0</v>
      </c>
      <c r="AE334" s="7">
        <f>E334+AD334</f>
        <v>0</v>
      </c>
      <c r="AF334" s="8">
        <f>G334+I334+K334+M334+O334+Q334+S334+U334+W334+Y334+AA334+AC334</f>
        <v>0</v>
      </c>
      <c r="AG334" s="212">
        <f>SUM(AE334-AF334)</f>
        <v>0</v>
      </c>
      <c r="AH334" s="214"/>
      <c r="AI334" s="214"/>
    </row>
    <row r="335" spans="1:42" customHeight="1" ht="11.5">
      <c r="A335" s="5"/>
      <c r="B335" s="113"/>
      <c r="C335" s="90"/>
      <c r="D335" s="167"/>
      <c r="E335" s="86"/>
      <c r="F335" s="9"/>
      <c r="G335" s="10"/>
      <c r="H335" s="9"/>
      <c r="I335" s="10"/>
      <c r="J335" s="9"/>
      <c r="K335" s="10"/>
      <c r="L335" s="87"/>
      <c r="M335" s="10"/>
      <c r="N335" s="9"/>
      <c r="O335" s="10"/>
      <c r="P335" s="9"/>
      <c r="Q335" s="10"/>
      <c r="R335" s="9"/>
      <c r="S335" s="10"/>
      <c r="T335" s="9"/>
      <c r="U335" s="10"/>
      <c r="V335" s="9"/>
      <c r="W335" s="10"/>
      <c r="X335" s="9"/>
      <c r="Y335" s="10"/>
      <c r="Z335" s="9"/>
      <c r="AA335" s="10"/>
      <c r="AB335" s="11"/>
      <c r="AC335" s="10"/>
      <c r="AD335" s="7">
        <f>SUM(F335+H335+J335+L335+N335+P335+R335+T335+V335+X335+Z335+AB335)</f>
        <v>0</v>
      </c>
      <c r="AE335" s="7">
        <f>E335+AD335</f>
        <v>0</v>
      </c>
      <c r="AF335" s="8">
        <f>G335+I335+K335+M335+O335+Q335+S335+U335+W335+Y335+AA335+AC335</f>
        <v>0</v>
      </c>
      <c r="AG335" s="212">
        <f>SUM(AE335-AF335)</f>
        <v>0</v>
      </c>
      <c r="AH335" s="214"/>
      <c r="AI335" s="214"/>
    </row>
    <row r="336" spans="1:42" customHeight="1" ht="11.5">
      <c r="A336" s="5"/>
      <c r="B336" s="113"/>
      <c r="C336" s="90"/>
      <c r="D336" s="167"/>
      <c r="E336" s="86"/>
      <c r="F336" s="9"/>
      <c r="G336" s="10"/>
      <c r="H336" s="9"/>
      <c r="I336" s="10"/>
      <c r="J336" s="9"/>
      <c r="K336" s="10"/>
      <c r="L336" s="87"/>
      <c r="M336" s="10"/>
      <c r="N336" s="9"/>
      <c r="O336" s="10"/>
      <c r="P336" s="9"/>
      <c r="Q336" s="10"/>
      <c r="R336" s="9"/>
      <c r="S336" s="10"/>
      <c r="T336" s="9"/>
      <c r="U336" s="10"/>
      <c r="V336" s="9"/>
      <c r="W336" s="10"/>
      <c r="X336" s="9"/>
      <c r="Y336" s="10"/>
      <c r="Z336" s="9"/>
      <c r="AA336" s="10"/>
      <c r="AB336" s="11"/>
      <c r="AC336" s="10"/>
      <c r="AD336" s="7">
        <f>SUM(F336+H336+J336+L336+N336+P336+R336+T336+V336+X336+Z336+AB336)</f>
        <v>0</v>
      </c>
      <c r="AE336" s="7">
        <f>E336+AD336</f>
        <v>0</v>
      </c>
      <c r="AF336" s="8">
        <f>G336+I336+K336+M336+O336+Q336+S336+U336+W336+Y336+AA336+AC336</f>
        <v>0</v>
      </c>
      <c r="AG336" s="212">
        <f>SUM(AE336-AF336)</f>
        <v>0</v>
      </c>
      <c r="AH336" s="214"/>
      <c r="AI336" s="214"/>
    </row>
    <row r="337" spans="1:42" customHeight="1" ht="11.5">
      <c r="A337" s="5"/>
      <c r="B337" s="113"/>
      <c r="C337" s="90"/>
      <c r="D337" s="167"/>
      <c r="E337" s="86"/>
      <c r="F337" s="9"/>
      <c r="G337" s="10"/>
      <c r="H337" s="9"/>
      <c r="I337" s="10"/>
      <c r="J337" s="9"/>
      <c r="K337" s="10"/>
      <c r="L337" s="87"/>
      <c r="M337" s="10"/>
      <c r="N337" s="9"/>
      <c r="O337" s="10"/>
      <c r="P337" s="9"/>
      <c r="Q337" s="10"/>
      <c r="R337" s="9"/>
      <c r="S337" s="10"/>
      <c r="T337" s="9"/>
      <c r="U337" s="10"/>
      <c r="V337" s="9"/>
      <c r="W337" s="10"/>
      <c r="X337" s="9"/>
      <c r="Y337" s="10"/>
      <c r="Z337" s="9"/>
      <c r="AA337" s="10"/>
      <c r="AB337" s="11"/>
      <c r="AC337" s="10"/>
      <c r="AD337" s="7">
        <f>SUM(F337+H337+J337+L337+N337+P337+R337+T337+V337+X337+Z337+AB337)</f>
        <v>0</v>
      </c>
      <c r="AE337" s="7">
        <f>E337+AD337</f>
        <v>0</v>
      </c>
      <c r="AF337" s="8">
        <f>G337+I337+K337+M337+O337+Q337+S337+U337+W337+Y337+AA337+AC337</f>
        <v>0</v>
      </c>
      <c r="AG337" s="212">
        <f>SUM(AE337-AF337)</f>
        <v>0</v>
      </c>
      <c r="AH337" s="214"/>
      <c r="AI337" s="214"/>
    </row>
    <row r="338" spans="1:42" customHeight="1" ht="11.5">
      <c r="A338" s="5"/>
      <c r="B338" s="113"/>
      <c r="C338" s="90"/>
      <c r="D338" s="167"/>
      <c r="E338" s="86"/>
      <c r="F338" s="9"/>
      <c r="G338" s="10"/>
      <c r="H338" s="9"/>
      <c r="I338" s="10"/>
      <c r="J338" s="9"/>
      <c r="K338" s="10"/>
      <c r="L338" s="87"/>
      <c r="M338" s="10"/>
      <c r="N338" s="9"/>
      <c r="O338" s="10"/>
      <c r="P338" s="9"/>
      <c r="Q338" s="10"/>
      <c r="R338" s="9"/>
      <c r="S338" s="10"/>
      <c r="T338" s="9"/>
      <c r="U338" s="10"/>
      <c r="V338" s="9"/>
      <c r="W338" s="10"/>
      <c r="X338" s="9"/>
      <c r="Y338" s="10"/>
      <c r="Z338" s="9"/>
      <c r="AA338" s="10"/>
      <c r="AB338" s="11"/>
      <c r="AC338" s="10"/>
      <c r="AD338" s="7">
        <f>SUM(F338+H338+J338+L338+N338+P338+R338+T338+V338+X338+Z338+AB338)</f>
        <v>0</v>
      </c>
      <c r="AE338" s="7">
        <f>E338+AD338</f>
        <v>0</v>
      </c>
      <c r="AF338" s="8">
        <f>G338+I338+K338+M338+O338+Q338+S338+U338+W338+Y338+AA338+AC338</f>
        <v>0</v>
      </c>
      <c r="AG338" s="212">
        <f>SUM(AE338-AF338)</f>
        <v>0</v>
      </c>
      <c r="AH338" s="214"/>
      <c r="AI338" s="214"/>
    </row>
    <row r="339" spans="1:42" customHeight="1" ht="11.5">
      <c r="A339" s="5"/>
      <c r="B339" s="113"/>
      <c r="C339" s="90"/>
      <c r="D339" s="167"/>
      <c r="E339" s="86"/>
      <c r="F339" s="9"/>
      <c r="G339" s="10"/>
      <c r="H339" s="9"/>
      <c r="I339" s="10"/>
      <c r="J339" s="9"/>
      <c r="K339" s="10"/>
      <c r="L339" s="87"/>
      <c r="M339" s="10"/>
      <c r="N339" s="9"/>
      <c r="O339" s="10"/>
      <c r="P339" s="9"/>
      <c r="Q339" s="10"/>
      <c r="R339" s="9"/>
      <c r="S339" s="10"/>
      <c r="T339" s="9"/>
      <c r="U339" s="10"/>
      <c r="V339" s="9"/>
      <c r="W339" s="10"/>
      <c r="X339" s="9"/>
      <c r="Y339" s="10"/>
      <c r="Z339" s="9"/>
      <c r="AA339" s="10"/>
      <c r="AB339" s="11"/>
      <c r="AC339" s="10"/>
      <c r="AD339" s="7">
        <f>SUM(F339+H339+J339+L339+N339+P339+R339+T339+V339+X339+Z339+AB339)</f>
        <v>0</v>
      </c>
      <c r="AE339" s="7">
        <f>E339+AD339</f>
        <v>0</v>
      </c>
      <c r="AF339" s="8">
        <f>G339+I339+K339+M339+O339+Q339+S339+U339+W339+Y339+AA339+AC339</f>
        <v>0</v>
      </c>
      <c r="AG339" s="212">
        <f>SUM(AE339-AF339)</f>
        <v>0</v>
      </c>
      <c r="AH339" s="214"/>
      <c r="AI339" s="214"/>
    </row>
    <row r="340" spans="1:42" customHeight="1" ht="11.5">
      <c r="A340" s="5"/>
      <c r="B340" s="113"/>
      <c r="C340" s="90"/>
      <c r="D340" s="167"/>
      <c r="E340" s="86"/>
      <c r="F340" s="9"/>
      <c r="G340" s="10"/>
      <c r="H340" s="9"/>
      <c r="I340" s="10"/>
      <c r="J340" s="9"/>
      <c r="K340" s="10"/>
      <c r="L340" s="87"/>
      <c r="M340" s="10"/>
      <c r="N340" s="9"/>
      <c r="O340" s="10"/>
      <c r="P340" s="9"/>
      <c r="Q340" s="10"/>
      <c r="R340" s="9"/>
      <c r="S340" s="10"/>
      <c r="T340" s="9"/>
      <c r="U340" s="10"/>
      <c r="V340" s="9"/>
      <c r="W340" s="10"/>
      <c r="X340" s="9"/>
      <c r="Y340" s="10"/>
      <c r="Z340" s="9"/>
      <c r="AA340" s="10"/>
      <c r="AB340" s="11"/>
      <c r="AC340" s="10"/>
      <c r="AD340" s="7">
        <f>SUM(F340+H340+J340+L340+N340+P340+R340+T340+V340+X340+Z340+AB340)</f>
        <v>0</v>
      </c>
      <c r="AE340" s="7">
        <f>E340+AD340</f>
        <v>0</v>
      </c>
      <c r="AF340" s="8">
        <f>G340+I340+K340+M340+O340+Q340+S340+U340+W340+Y340+AA340+AC340</f>
        <v>0</v>
      </c>
      <c r="AG340" s="212">
        <f>SUM(AE340-AF340)</f>
        <v>0</v>
      </c>
      <c r="AH340" s="214"/>
      <c r="AI340" s="214"/>
    </row>
    <row r="341" spans="1:42" customHeight="1" ht="11.5">
      <c r="A341" s="5"/>
      <c r="B341" s="113"/>
      <c r="C341" s="90"/>
      <c r="D341" s="167"/>
      <c r="E341" s="86"/>
      <c r="F341" s="9"/>
      <c r="G341" s="10"/>
      <c r="H341" s="9"/>
      <c r="I341" s="10"/>
      <c r="J341" s="9"/>
      <c r="K341" s="10"/>
      <c r="L341" s="87"/>
      <c r="M341" s="10"/>
      <c r="N341" s="9"/>
      <c r="O341" s="10"/>
      <c r="P341" s="9"/>
      <c r="Q341" s="10"/>
      <c r="R341" s="9"/>
      <c r="S341" s="10"/>
      <c r="T341" s="9"/>
      <c r="U341" s="10"/>
      <c r="V341" s="9"/>
      <c r="W341" s="10"/>
      <c r="X341" s="9"/>
      <c r="Y341" s="10"/>
      <c r="Z341" s="9"/>
      <c r="AA341" s="10"/>
      <c r="AB341" s="11"/>
      <c r="AC341" s="10"/>
      <c r="AD341" s="7">
        <f>SUM(F341+H341+J341+L341+N341+P341+R341+T341+V341+X341+Z341+AB341)</f>
        <v>0</v>
      </c>
      <c r="AE341" s="7">
        <f>E341+AD341</f>
        <v>0</v>
      </c>
      <c r="AF341" s="8">
        <f>G341+I341+K341+M341+O341+Q341+S341+U341+W341+Y341+AA341+AC341</f>
        <v>0</v>
      </c>
      <c r="AG341" s="212">
        <f>SUM(AE341-AF341)</f>
        <v>0</v>
      </c>
      <c r="AH341" s="214"/>
      <c r="AI341" s="214"/>
    </row>
    <row r="342" spans="1:42" customHeight="1" ht="11.5">
      <c r="A342" s="5"/>
      <c r="B342" s="113"/>
      <c r="C342" s="90"/>
      <c r="D342" s="167"/>
      <c r="E342" s="86"/>
      <c r="F342" s="9"/>
      <c r="G342" s="10"/>
      <c r="H342" s="9"/>
      <c r="I342" s="10"/>
      <c r="J342" s="9"/>
      <c r="K342" s="10"/>
      <c r="L342" s="87"/>
      <c r="M342" s="10"/>
      <c r="N342" s="9"/>
      <c r="O342" s="10"/>
      <c r="P342" s="9"/>
      <c r="Q342" s="10"/>
      <c r="R342" s="9"/>
      <c r="S342" s="10"/>
      <c r="T342" s="9"/>
      <c r="U342" s="10"/>
      <c r="V342" s="9"/>
      <c r="W342" s="10"/>
      <c r="X342" s="9"/>
      <c r="Y342" s="10"/>
      <c r="Z342" s="9"/>
      <c r="AA342" s="10"/>
      <c r="AB342" s="11"/>
      <c r="AC342" s="10"/>
      <c r="AD342" s="7">
        <f>SUM(F342+H342+J342+L342+N342+P342+R342+T342+V342+X342+Z342+AB342)</f>
        <v>0</v>
      </c>
      <c r="AE342" s="7">
        <f>E342+AD342</f>
        <v>0</v>
      </c>
      <c r="AF342" s="8">
        <f>G342+I342+K342+M342+O342+Q342+S342+U342+W342+Y342+AA342+AC342</f>
        <v>0</v>
      </c>
      <c r="AG342" s="212">
        <f>SUM(AE342-AF342)</f>
        <v>0</v>
      </c>
      <c r="AH342" s="214"/>
      <c r="AI342" s="214"/>
    </row>
    <row r="343" spans="1:42" customHeight="1" ht="11.5">
      <c r="A343" s="5"/>
      <c r="B343" s="113"/>
      <c r="C343" s="90"/>
      <c r="D343" s="167"/>
      <c r="E343" s="86"/>
      <c r="F343" s="9"/>
      <c r="G343" s="10"/>
      <c r="H343" s="9"/>
      <c r="I343" s="10"/>
      <c r="J343" s="9"/>
      <c r="K343" s="10"/>
      <c r="L343" s="87"/>
      <c r="M343" s="10"/>
      <c r="N343" s="9"/>
      <c r="O343" s="10"/>
      <c r="P343" s="9"/>
      <c r="Q343" s="10"/>
      <c r="R343" s="9"/>
      <c r="S343" s="10"/>
      <c r="T343" s="9"/>
      <c r="U343" s="10"/>
      <c r="V343" s="9"/>
      <c r="W343" s="10"/>
      <c r="X343" s="9"/>
      <c r="Y343" s="10"/>
      <c r="Z343" s="9"/>
      <c r="AA343" s="10"/>
      <c r="AB343" s="11"/>
      <c r="AC343" s="10"/>
      <c r="AD343" s="7">
        <f>SUM(F343+H343+J343+L343+N343+P343+R343+T343+V343+X343+Z343+AB343)</f>
        <v>0</v>
      </c>
      <c r="AE343" s="7">
        <f>E343+AD343</f>
        <v>0</v>
      </c>
      <c r="AF343" s="8">
        <f>G343+I343+K343+M343+O343+Q343+S343+U343+W343+Y343+AA343+AC343</f>
        <v>0</v>
      </c>
      <c r="AG343" s="212">
        <f>SUM(AE343-AF343)</f>
        <v>0</v>
      </c>
      <c r="AH343" s="214"/>
      <c r="AI343" s="214"/>
    </row>
    <row r="344" spans="1:42" customHeight="1" ht="11.5">
      <c r="A344" s="5"/>
      <c r="B344" s="113"/>
      <c r="C344" s="90"/>
      <c r="D344" s="167"/>
      <c r="E344" s="86"/>
      <c r="F344" s="9"/>
      <c r="G344" s="10"/>
      <c r="H344" s="9"/>
      <c r="I344" s="10"/>
      <c r="J344" s="9"/>
      <c r="K344" s="10"/>
      <c r="L344" s="87"/>
      <c r="M344" s="10"/>
      <c r="N344" s="9"/>
      <c r="O344" s="10"/>
      <c r="P344" s="9"/>
      <c r="Q344" s="10"/>
      <c r="R344" s="9"/>
      <c r="S344" s="10"/>
      <c r="T344" s="9"/>
      <c r="U344" s="10"/>
      <c r="V344" s="9"/>
      <c r="W344" s="10"/>
      <c r="X344" s="9"/>
      <c r="Y344" s="10"/>
      <c r="Z344" s="9"/>
      <c r="AA344" s="10"/>
      <c r="AB344" s="11"/>
      <c r="AC344" s="10"/>
      <c r="AD344" s="7">
        <f>SUM(F344+H344+J344+L344+N344+P344+R344+T344+V344+X344+Z344+AB344)</f>
        <v>0</v>
      </c>
      <c r="AE344" s="7">
        <f>E344+AD344</f>
        <v>0</v>
      </c>
      <c r="AF344" s="8">
        <f>G344+I344+K344+M344+O344+Q344+S344+U344+W344+Y344+AA344+AC344</f>
        <v>0</v>
      </c>
      <c r="AG344" s="212">
        <f>SUM(AE344-AF344)</f>
        <v>0</v>
      </c>
      <c r="AH344" s="214"/>
      <c r="AI344" s="214"/>
    </row>
    <row r="345" spans="1:42" customHeight="1" ht="11.5">
      <c r="A345" s="5"/>
      <c r="B345" s="113"/>
      <c r="C345" s="90"/>
      <c r="D345" s="167"/>
      <c r="E345" s="86"/>
      <c r="F345" s="9"/>
      <c r="G345" s="10"/>
      <c r="H345" s="9"/>
      <c r="I345" s="10"/>
      <c r="J345" s="9"/>
      <c r="K345" s="10"/>
      <c r="L345" s="87"/>
      <c r="M345" s="10"/>
      <c r="N345" s="9"/>
      <c r="O345" s="10"/>
      <c r="P345" s="9"/>
      <c r="Q345" s="10"/>
      <c r="R345" s="9"/>
      <c r="S345" s="10"/>
      <c r="T345" s="9"/>
      <c r="U345" s="10"/>
      <c r="V345" s="9"/>
      <c r="W345" s="10"/>
      <c r="X345" s="9"/>
      <c r="Y345" s="10"/>
      <c r="Z345" s="9"/>
      <c r="AA345" s="10"/>
      <c r="AB345" s="11"/>
      <c r="AC345" s="10"/>
      <c r="AD345" s="7">
        <f>SUM(F345+H345+J345+L345+N345+P345+R345+T345+V345+X345+Z345+AB345)</f>
        <v>0</v>
      </c>
      <c r="AE345" s="7">
        <f>E345+AD345</f>
        <v>0</v>
      </c>
      <c r="AF345" s="8">
        <f>G345+I345+K345+M345+O345+Q345+S345+U345+W345+Y345+AA345+AC345</f>
        <v>0</v>
      </c>
      <c r="AG345" s="212">
        <f>SUM(AE345-AF345)</f>
        <v>0</v>
      </c>
      <c r="AH345" s="214"/>
      <c r="AI345" s="214"/>
    </row>
    <row r="346" spans="1:42" customHeight="1" ht="11.5">
      <c r="A346" s="5"/>
      <c r="B346" s="113"/>
      <c r="C346" s="90"/>
      <c r="D346" s="167"/>
      <c r="E346" s="86"/>
      <c r="F346" s="9"/>
      <c r="G346" s="10"/>
      <c r="H346" s="9"/>
      <c r="I346" s="10"/>
      <c r="J346" s="9"/>
      <c r="K346" s="10"/>
      <c r="L346" s="87"/>
      <c r="M346" s="10"/>
      <c r="N346" s="9"/>
      <c r="O346" s="10"/>
      <c r="P346" s="9"/>
      <c r="Q346" s="10"/>
      <c r="R346" s="9"/>
      <c r="S346" s="10"/>
      <c r="T346" s="9"/>
      <c r="U346" s="10"/>
      <c r="V346" s="9"/>
      <c r="W346" s="10"/>
      <c r="X346" s="9"/>
      <c r="Y346" s="10"/>
      <c r="Z346" s="9"/>
      <c r="AA346" s="10"/>
      <c r="AB346" s="11"/>
      <c r="AC346" s="10"/>
      <c r="AD346" s="7">
        <f>SUM(F346+H346+J346+L346+N346+P346+R346+T346+V346+X346+Z346+AB346)</f>
        <v>0</v>
      </c>
      <c r="AE346" s="7">
        <f>E346+AD346</f>
        <v>0</v>
      </c>
      <c r="AF346" s="8">
        <f>G346+I346+K346+M346+O346+Q346+S346+U346+W346+Y346+AA346+AC346</f>
        <v>0</v>
      </c>
      <c r="AG346" s="212">
        <f>SUM(AE346-AF346)</f>
        <v>0</v>
      </c>
      <c r="AH346" s="214"/>
      <c r="AI346" s="214"/>
    </row>
    <row r="347" spans="1:42" customHeight="1" ht="11.5">
      <c r="A347" s="5"/>
      <c r="B347" s="113"/>
      <c r="C347" s="90"/>
      <c r="D347" s="167"/>
      <c r="E347" s="86"/>
      <c r="F347" s="9"/>
      <c r="G347" s="10"/>
      <c r="H347" s="9"/>
      <c r="I347" s="10"/>
      <c r="J347" s="9"/>
      <c r="K347" s="10"/>
      <c r="L347" s="87"/>
      <c r="M347" s="10"/>
      <c r="N347" s="9"/>
      <c r="O347" s="10"/>
      <c r="P347" s="9"/>
      <c r="Q347" s="10"/>
      <c r="R347" s="9"/>
      <c r="S347" s="10"/>
      <c r="T347" s="9"/>
      <c r="U347" s="10"/>
      <c r="V347" s="9"/>
      <c r="W347" s="10"/>
      <c r="X347" s="9"/>
      <c r="Y347" s="10"/>
      <c r="Z347" s="9"/>
      <c r="AA347" s="10"/>
      <c r="AB347" s="11"/>
      <c r="AC347" s="10"/>
      <c r="AD347" s="7">
        <f>SUM(F347+H347+J347+L347+N347+P347+R347+T347+V347+X347+Z347+AB347)</f>
        <v>0</v>
      </c>
      <c r="AE347" s="7">
        <f>E347+AD347</f>
        <v>0</v>
      </c>
      <c r="AF347" s="8">
        <f>G347+I347+K347+M347+O347+Q347+S347+U347+W347+Y347+AA347+AC347</f>
        <v>0</v>
      </c>
      <c r="AG347" s="212">
        <f>SUM(AE347-AF347)</f>
        <v>0</v>
      </c>
      <c r="AH347" s="214"/>
      <c r="AI347" s="214"/>
    </row>
    <row r="348" spans="1:42" customHeight="1" ht="11.5">
      <c r="A348" s="5"/>
      <c r="B348" s="113"/>
      <c r="C348" s="90"/>
      <c r="D348" s="167"/>
      <c r="E348" s="86"/>
      <c r="F348" s="9"/>
      <c r="G348" s="10"/>
      <c r="H348" s="9"/>
      <c r="I348" s="10"/>
      <c r="J348" s="9"/>
      <c r="K348" s="10"/>
      <c r="L348" s="87"/>
      <c r="M348" s="10"/>
      <c r="N348" s="9"/>
      <c r="O348" s="10"/>
      <c r="P348" s="9"/>
      <c r="Q348" s="10"/>
      <c r="R348" s="9"/>
      <c r="S348" s="10"/>
      <c r="T348" s="9"/>
      <c r="U348" s="10"/>
      <c r="V348" s="9"/>
      <c r="W348" s="10"/>
      <c r="X348" s="9"/>
      <c r="Y348" s="10"/>
      <c r="Z348" s="9"/>
      <c r="AA348" s="10"/>
      <c r="AB348" s="11"/>
      <c r="AC348" s="10"/>
      <c r="AD348" s="7">
        <f>SUM(F348+H348+J348+L348+N348+P348+R348+T348+V348+X348+Z348+AB348)</f>
        <v>0</v>
      </c>
      <c r="AE348" s="7">
        <f>E348+AD348</f>
        <v>0</v>
      </c>
      <c r="AF348" s="8">
        <f>G348+I348+K348+M348+O348+Q348+S348+U348+W348+Y348+AA348+AC348</f>
        <v>0</v>
      </c>
      <c r="AG348" s="212">
        <f>SUM(AE348-AF348)</f>
        <v>0</v>
      </c>
      <c r="AH348" s="214"/>
      <c r="AI348" s="214"/>
    </row>
    <row r="349" spans="1:42" customHeight="1" ht="11.5">
      <c r="A349" s="5"/>
      <c r="B349" s="113"/>
      <c r="C349" s="90"/>
      <c r="D349" s="167"/>
      <c r="E349" s="86"/>
      <c r="F349" s="9"/>
      <c r="G349" s="10"/>
      <c r="H349" s="9"/>
      <c r="I349" s="10"/>
      <c r="J349" s="9"/>
      <c r="K349" s="10"/>
      <c r="L349" s="87"/>
      <c r="M349" s="10"/>
      <c r="N349" s="9"/>
      <c r="O349" s="10"/>
      <c r="P349" s="9"/>
      <c r="Q349" s="10"/>
      <c r="R349" s="9"/>
      <c r="S349" s="10"/>
      <c r="T349" s="9"/>
      <c r="U349" s="10"/>
      <c r="V349" s="9"/>
      <c r="W349" s="10"/>
      <c r="X349" s="9"/>
      <c r="Y349" s="10"/>
      <c r="Z349" s="9"/>
      <c r="AA349" s="10"/>
      <c r="AB349" s="11"/>
      <c r="AC349" s="10"/>
      <c r="AD349" s="7">
        <f>SUM(F349+H349+J349+L349+N349+P349+R349+T349+V349+X349+Z349+AB349)</f>
        <v>0</v>
      </c>
      <c r="AE349" s="7">
        <f>E349+AD349</f>
        <v>0</v>
      </c>
      <c r="AF349" s="8">
        <f>G349+I349+K349+M349+O349+Q349+S349+U349+W349+Y349+AA349+AC349</f>
        <v>0</v>
      </c>
      <c r="AG349" s="212">
        <f>SUM(AE349-AF349)</f>
        <v>0</v>
      </c>
      <c r="AH349" s="214"/>
      <c r="AI349" s="214"/>
    </row>
    <row r="350" spans="1:42" customHeight="1" ht="11.5">
      <c r="A350" s="5"/>
      <c r="B350" s="113"/>
      <c r="C350" s="90"/>
      <c r="D350" s="167"/>
      <c r="E350" s="86"/>
      <c r="F350" s="9"/>
      <c r="G350" s="10"/>
      <c r="H350" s="9"/>
      <c r="I350" s="10"/>
      <c r="J350" s="9"/>
      <c r="K350" s="10"/>
      <c r="L350" s="87"/>
      <c r="M350" s="10"/>
      <c r="N350" s="9"/>
      <c r="O350" s="10"/>
      <c r="P350" s="9"/>
      <c r="Q350" s="10"/>
      <c r="R350" s="9"/>
      <c r="S350" s="10"/>
      <c r="T350" s="9"/>
      <c r="U350" s="10"/>
      <c r="V350" s="9"/>
      <c r="W350" s="10"/>
      <c r="X350" s="9"/>
      <c r="Y350" s="10"/>
      <c r="Z350" s="9"/>
      <c r="AA350" s="10"/>
      <c r="AB350" s="11"/>
      <c r="AC350" s="10"/>
      <c r="AD350" s="7">
        <f>SUM(F350+H350+J350+L350+N350+P350+R350+T350+V350+X350+Z350+AB350)</f>
        <v>0</v>
      </c>
      <c r="AE350" s="7">
        <f>E350+AD350</f>
        <v>0</v>
      </c>
      <c r="AF350" s="8">
        <f>G350+I350+K350+M350+O350+Q350+S350+U350+W350+Y350+AA350+AC350</f>
        <v>0</v>
      </c>
      <c r="AG350" s="212">
        <f>SUM(AE350-AF350)</f>
        <v>0</v>
      </c>
      <c r="AH350" s="214"/>
      <c r="AI350" s="214"/>
    </row>
    <row r="351" spans="1:42" customHeight="1" ht="11.5">
      <c r="A351" s="5"/>
      <c r="B351" s="113"/>
      <c r="C351" s="90"/>
      <c r="D351" s="167"/>
      <c r="E351" s="86"/>
      <c r="F351" s="9"/>
      <c r="G351" s="10"/>
      <c r="H351" s="9"/>
      <c r="I351" s="10"/>
      <c r="J351" s="9"/>
      <c r="K351" s="10"/>
      <c r="L351" s="87"/>
      <c r="M351" s="10"/>
      <c r="N351" s="9"/>
      <c r="O351" s="10"/>
      <c r="P351" s="9"/>
      <c r="Q351" s="10"/>
      <c r="R351" s="9"/>
      <c r="S351" s="10"/>
      <c r="T351" s="9"/>
      <c r="U351" s="10"/>
      <c r="V351" s="9"/>
      <c r="W351" s="10"/>
      <c r="X351" s="9"/>
      <c r="Y351" s="10"/>
      <c r="Z351" s="9"/>
      <c r="AA351" s="10"/>
      <c r="AB351" s="11"/>
      <c r="AC351" s="10"/>
      <c r="AD351" s="7">
        <f>SUM(F351+H351+J351+L351+N351+P351+R351+T351+V351+X351+Z351+AB351)</f>
        <v>0</v>
      </c>
      <c r="AE351" s="7">
        <f>E351+AD351</f>
        <v>0</v>
      </c>
      <c r="AF351" s="8">
        <f>G351+I351+K351+M351+O351+Q351+S351+U351+W351+Y351+AA351+AC351</f>
        <v>0</v>
      </c>
      <c r="AG351" s="212">
        <f>SUM(AE351-AF351)</f>
        <v>0</v>
      </c>
      <c r="AH351" s="214"/>
      <c r="AI351" s="214"/>
    </row>
    <row r="352" spans="1:42" customHeight="1" ht="11.5">
      <c r="A352" s="5"/>
      <c r="B352" s="113"/>
      <c r="C352" s="90"/>
      <c r="D352" s="167"/>
      <c r="E352" s="86"/>
      <c r="F352" s="9"/>
      <c r="G352" s="10"/>
      <c r="H352" s="9"/>
      <c r="I352" s="10"/>
      <c r="J352" s="9"/>
      <c r="K352" s="10"/>
      <c r="L352" s="87"/>
      <c r="M352" s="10"/>
      <c r="N352" s="9"/>
      <c r="O352" s="10"/>
      <c r="P352" s="9"/>
      <c r="Q352" s="10"/>
      <c r="R352" s="9"/>
      <c r="S352" s="10"/>
      <c r="T352" s="9"/>
      <c r="U352" s="10"/>
      <c r="V352" s="9"/>
      <c r="W352" s="10"/>
      <c r="X352" s="9"/>
      <c r="Y352" s="10"/>
      <c r="Z352" s="9"/>
      <c r="AA352" s="10"/>
      <c r="AB352" s="11"/>
      <c r="AC352" s="10"/>
      <c r="AD352" s="7">
        <f>SUM(F352+H352+J352+L352+N352+P352+R352+T352+V352+X352+Z352+AB352)</f>
        <v>0</v>
      </c>
      <c r="AE352" s="7">
        <f>E352+AD352</f>
        <v>0</v>
      </c>
      <c r="AF352" s="8">
        <f>G352+I352+K352+M352+O352+Q352+S352+U352+W352+Y352+AA352+AC352</f>
        <v>0</v>
      </c>
      <c r="AG352" s="212">
        <f>SUM(AE352-AF352)</f>
        <v>0</v>
      </c>
      <c r="AH352" s="214"/>
      <c r="AI352" s="214"/>
    </row>
    <row r="353" spans="1:42" customHeight="1" ht="11.5">
      <c r="A353" s="5"/>
      <c r="B353" s="113"/>
      <c r="C353" s="90"/>
      <c r="D353" s="167"/>
      <c r="E353" s="86"/>
      <c r="F353" s="9"/>
      <c r="G353" s="10"/>
      <c r="H353" s="9"/>
      <c r="I353" s="10"/>
      <c r="J353" s="9"/>
      <c r="K353" s="10"/>
      <c r="L353" s="87"/>
      <c r="M353" s="10"/>
      <c r="N353" s="9"/>
      <c r="O353" s="10"/>
      <c r="P353" s="9"/>
      <c r="Q353" s="10"/>
      <c r="R353" s="9"/>
      <c r="S353" s="10"/>
      <c r="T353" s="9"/>
      <c r="U353" s="10"/>
      <c r="V353" s="9"/>
      <c r="W353" s="10"/>
      <c r="X353" s="9"/>
      <c r="Y353" s="10"/>
      <c r="Z353" s="9"/>
      <c r="AA353" s="10"/>
      <c r="AB353" s="11"/>
      <c r="AC353" s="10"/>
      <c r="AD353" s="7">
        <f>SUM(F353+H353+J353+L353+N353+P353+R353+T353+V353+X353+Z353+AB353)</f>
        <v>0</v>
      </c>
      <c r="AE353" s="7">
        <f>E353+AD353</f>
        <v>0</v>
      </c>
      <c r="AF353" s="8">
        <f>G353+I353+K353+M353+O353+Q353+S353+U353+W353+Y353+AA353+AC353</f>
        <v>0</v>
      </c>
      <c r="AG353" s="212">
        <f>SUM(AE353-AF353)</f>
        <v>0</v>
      </c>
      <c r="AH353" s="214"/>
      <c r="AI353" s="214"/>
    </row>
    <row r="354" spans="1:42" customHeight="1" ht="11.5">
      <c r="A354" s="5"/>
      <c r="B354" s="113"/>
      <c r="C354" s="90"/>
      <c r="D354" s="167"/>
      <c r="E354" s="86"/>
      <c r="F354" s="9"/>
      <c r="G354" s="10"/>
      <c r="H354" s="9"/>
      <c r="I354" s="10"/>
      <c r="J354" s="9"/>
      <c r="K354" s="10"/>
      <c r="L354" s="87"/>
      <c r="M354" s="10"/>
      <c r="N354" s="9"/>
      <c r="O354" s="10"/>
      <c r="P354" s="9"/>
      <c r="Q354" s="10"/>
      <c r="R354" s="9"/>
      <c r="S354" s="10"/>
      <c r="T354" s="9"/>
      <c r="U354" s="10"/>
      <c r="V354" s="9"/>
      <c r="W354" s="10"/>
      <c r="X354" s="9"/>
      <c r="Y354" s="10"/>
      <c r="Z354" s="9"/>
      <c r="AA354" s="10"/>
      <c r="AB354" s="11"/>
      <c r="AC354" s="10"/>
      <c r="AD354" s="7">
        <f>SUM(F354+H354+J354+L354+N354+P354+R354+T354+V354+X354+Z354+AB354)</f>
        <v>0</v>
      </c>
      <c r="AE354" s="7">
        <f>E354+AD354</f>
        <v>0</v>
      </c>
      <c r="AF354" s="8">
        <f>G354+I354+K354+M354+O354+Q354+S354+U354+W354+Y354+AA354+AC354</f>
        <v>0</v>
      </c>
      <c r="AG354" s="212">
        <f>SUM(AE354-AF354)</f>
        <v>0</v>
      </c>
      <c r="AH354" s="214"/>
      <c r="AI354" s="214"/>
    </row>
    <row r="355" spans="1:42" customHeight="1" ht="11.5">
      <c r="A355" s="5"/>
      <c r="B355" s="113"/>
      <c r="C355" s="90"/>
      <c r="D355" s="167"/>
      <c r="E355" s="86"/>
      <c r="F355" s="9"/>
      <c r="G355" s="10"/>
      <c r="H355" s="9"/>
      <c r="I355" s="10"/>
      <c r="J355" s="9"/>
      <c r="K355" s="10"/>
      <c r="L355" s="87"/>
      <c r="M355" s="10"/>
      <c r="N355" s="9"/>
      <c r="O355" s="10"/>
      <c r="P355" s="9"/>
      <c r="Q355" s="10"/>
      <c r="R355" s="9"/>
      <c r="S355" s="10"/>
      <c r="T355" s="9"/>
      <c r="U355" s="10"/>
      <c r="V355" s="9"/>
      <c r="W355" s="10"/>
      <c r="X355" s="9"/>
      <c r="Y355" s="10"/>
      <c r="Z355" s="9"/>
      <c r="AA355" s="10"/>
      <c r="AB355" s="11"/>
      <c r="AC355" s="10"/>
      <c r="AD355" s="7">
        <f>SUM(F355+H355+J355+L355+N355+P355+R355+T355+V355+X355+Z355+AB355)</f>
        <v>0</v>
      </c>
      <c r="AE355" s="7">
        <f>E355+AD355</f>
        <v>0</v>
      </c>
      <c r="AF355" s="8">
        <f>G355+I355+K355+M355+O355+Q355+S355+U355+W355+Y355+AA355+AC355</f>
        <v>0</v>
      </c>
      <c r="AG355" s="212">
        <f>SUM(AE355-AF355)</f>
        <v>0</v>
      </c>
      <c r="AH355" s="214"/>
      <c r="AI355" s="214"/>
    </row>
    <row r="356" spans="1:42" customHeight="1" ht="11.5">
      <c r="A356" s="5"/>
      <c r="B356" s="113"/>
      <c r="C356" s="90"/>
      <c r="D356" s="167"/>
      <c r="E356" s="86"/>
      <c r="F356" s="9"/>
      <c r="G356" s="10"/>
      <c r="H356" s="9"/>
      <c r="I356" s="10"/>
      <c r="J356" s="9"/>
      <c r="K356" s="10"/>
      <c r="L356" s="87"/>
      <c r="M356" s="10"/>
      <c r="N356" s="9"/>
      <c r="O356" s="10"/>
      <c r="P356" s="9"/>
      <c r="Q356" s="10"/>
      <c r="R356" s="9"/>
      <c r="S356" s="10"/>
      <c r="T356" s="9"/>
      <c r="U356" s="10"/>
      <c r="V356" s="9"/>
      <c r="W356" s="10"/>
      <c r="X356" s="9"/>
      <c r="Y356" s="10"/>
      <c r="Z356" s="9"/>
      <c r="AA356" s="10"/>
      <c r="AB356" s="11"/>
      <c r="AC356" s="10"/>
      <c r="AD356" s="7">
        <f>SUM(F356+H356+J356+L356+N356+P356+R356+T356+V356+X356+Z356+AB356)</f>
        <v>0</v>
      </c>
      <c r="AE356" s="7">
        <f>E356+AD356</f>
        <v>0</v>
      </c>
      <c r="AF356" s="8">
        <f>G356+I356+K356+M356+O356+Q356+S356+U356+W356+Y356+AA356+AC356</f>
        <v>0</v>
      </c>
      <c r="AG356" s="212">
        <f>SUM(AE356-AF356)</f>
        <v>0</v>
      </c>
      <c r="AH356" s="214"/>
      <c r="AI356" s="214"/>
    </row>
    <row r="357" spans="1:42" customHeight="1" ht="11.5">
      <c r="A357" s="5"/>
      <c r="B357" s="113"/>
      <c r="C357" s="90"/>
      <c r="D357" s="167"/>
      <c r="E357" s="86"/>
      <c r="F357" s="9"/>
      <c r="G357" s="10"/>
      <c r="H357" s="9"/>
      <c r="I357" s="10"/>
      <c r="J357" s="9"/>
      <c r="K357" s="10"/>
      <c r="L357" s="87"/>
      <c r="M357" s="10"/>
      <c r="N357" s="9"/>
      <c r="O357" s="10"/>
      <c r="P357" s="9"/>
      <c r="Q357" s="10"/>
      <c r="R357" s="9"/>
      <c r="S357" s="10"/>
      <c r="T357" s="9"/>
      <c r="U357" s="10"/>
      <c r="V357" s="9"/>
      <c r="W357" s="10"/>
      <c r="X357" s="9"/>
      <c r="Y357" s="10"/>
      <c r="Z357" s="9"/>
      <c r="AA357" s="10"/>
      <c r="AB357" s="11"/>
      <c r="AC357" s="10"/>
      <c r="AD357" s="7">
        <f>SUM(F357+H357+J357+L357+N357+P357+R357+T357+V357+X357+Z357+AB357)</f>
        <v>0</v>
      </c>
      <c r="AE357" s="7">
        <f>E357+AD357</f>
        <v>0</v>
      </c>
      <c r="AF357" s="8">
        <f>G357+I357+K357+M357+O357+Q357+S357+U357+W357+Y357+AA357+AC357</f>
        <v>0</v>
      </c>
      <c r="AG357" s="212">
        <f>SUM(AE357-AF357)</f>
        <v>0</v>
      </c>
      <c r="AH357" s="214"/>
      <c r="AI357" s="214"/>
    </row>
    <row r="358" spans="1:42" customHeight="1" ht="11.5">
      <c r="A358" s="5"/>
      <c r="B358" s="113"/>
      <c r="C358" s="90"/>
      <c r="D358" s="167"/>
      <c r="E358" s="86"/>
      <c r="F358" s="9"/>
      <c r="G358" s="10"/>
      <c r="H358" s="9"/>
      <c r="I358" s="10"/>
      <c r="J358" s="9"/>
      <c r="K358" s="10"/>
      <c r="L358" s="87"/>
      <c r="M358" s="10"/>
      <c r="N358" s="9"/>
      <c r="O358" s="10"/>
      <c r="P358" s="9"/>
      <c r="Q358" s="10"/>
      <c r="R358" s="9"/>
      <c r="S358" s="10"/>
      <c r="T358" s="9"/>
      <c r="U358" s="10"/>
      <c r="V358" s="9"/>
      <c r="W358" s="10"/>
      <c r="X358" s="9"/>
      <c r="Y358" s="10"/>
      <c r="Z358" s="9"/>
      <c r="AA358" s="10"/>
      <c r="AB358" s="11"/>
      <c r="AC358" s="10"/>
      <c r="AD358" s="7">
        <f>SUM(F358+H358+J358+L358+N358+P358+R358+T358+V358+X358+Z358+AB358)</f>
        <v>0</v>
      </c>
      <c r="AE358" s="7">
        <f>E358+AD358</f>
        <v>0</v>
      </c>
      <c r="AF358" s="8">
        <f>G358+I358+K358+M358+O358+Q358+S358+U358+W358+Y358+AA358+AC358</f>
        <v>0</v>
      </c>
      <c r="AG358" s="212">
        <f>SUM(AE358-AF358)</f>
        <v>0</v>
      </c>
      <c r="AH358" s="214"/>
      <c r="AI358" s="214"/>
    </row>
    <row r="359" spans="1:42" customHeight="1" ht="11.5">
      <c r="A359" s="5"/>
      <c r="B359" s="113"/>
      <c r="C359" s="90"/>
      <c r="D359" s="167"/>
      <c r="E359" s="86"/>
      <c r="F359" s="9"/>
      <c r="G359" s="10"/>
      <c r="H359" s="9"/>
      <c r="I359" s="10"/>
      <c r="J359" s="9"/>
      <c r="K359" s="10"/>
      <c r="L359" s="87"/>
      <c r="M359" s="10"/>
      <c r="N359" s="9"/>
      <c r="O359" s="10"/>
      <c r="P359" s="9"/>
      <c r="Q359" s="10"/>
      <c r="R359" s="9"/>
      <c r="S359" s="10"/>
      <c r="T359" s="9"/>
      <c r="U359" s="10"/>
      <c r="V359" s="9"/>
      <c r="W359" s="10"/>
      <c r="X359" s="9"/>
      <c r="Y359" s="10"/>
      <c r="Z359" s="9"/>
      <c r="AA359" s="10"/>
      <c r="AB359" s="11"/>
      <c r="AC359" s="10"/>
      <c r="AD359" s="7">
        <f>SUM(F359+H359+J359+L359+N359+P359+R359+T359+V359+X359+Z359+AB359)</f>
        <v>0</v>
      </c>
      <c r="AE359" s="7">
        <f>E359+AD359</f>
        <v>0</v>
      </c>
      <c r="AF359" s="8">
        <f>G359+I359+K359+M359+O359+Q359+S359+U359+W359+Y359+AA359+AC359</f>
        <v>0</v>
      </c>
      <c r="AG359" s="212">
        <f>SUM(AE359-AF359)</f>
        <v>0</v>
      </c>
      <c r="AH359" s="214"/>
      <c r="AI359" s="214"/>
    </row>
    <row r="360" spans="1:42" customHeight="1" ht="11.5">
      <c r="A360" s="5"/>
      <c r="B360" s="113"/>
      <c r="C360" s="90"/>
      <c r="D360" s="167"/>
      <c r="E360" s="86"/>
      <c r="F360" s="9"/>
      <c r="G360" s="10"/>
      <c r="H360" s="9"/>
      <c r="I360" s="10"/>
      <c r="J360" s="9"/>
      <c r="K360" s="10"/>
      <c r="L360" s="87"/>
      <c r="M360" s="10"/>
      <c r="N360" s="9"/>
      <c r="O360" s="10"/>
      <c r="P360" s="9"/>
      <c r="Q360" s="10"/>
      <c r="R360" s="9"/>
      <c r="S360" s="10"/>
      <c r="T360" s="9"/>
      <c r="U360" s="10"/>
      <c r="V360" s="9"/>
      <c r="W360" s="10"/>
      <c r="X360" s="9"/>
      <c r="Y360" s="10"/>
      <c r="Z360" s="9"/>
      <c r="AA360" s="10"/>
      <c r="AB360" s="11"/>
      <c r="AC360" s="10"/>
      <c r="AD360" s="7">
        <f>SUM(F360+H360+J360+L360+N360+P360+R360+T360+V360+X360+Z360+AB360)</f>
        <v>0</v>
      </c>
      <c r="AE360" s="7">
        <f>E360+AD360</f>
        <v>0</v>
      </c>
      <c r="AF360" s="8">
        <f>G360+I360+K360+M360+O360+Q360+S360+U360+W360+Y360+AA360+AC360</f>
        <v>0</v>
      </c>
      <c r="AG360" s="212">
        <f>SUM(AE360-AF360)</f>
        <v>0</v>
      </c>
      <c r="AH360" s="214"/>
      <c r="AI360" s="214"/>
    </row>
    <row r="361" spans="1:42" customHeight="1" ht="11.5">
      <c r="A361" s="5"/>
      <c r="B361" s="113"/>
      <c r="C361" s="90"/>
      <c r="D361" s="167"/>
      <c r="E361" s="86"/>
      <c r="F361" s="9"/>
      <c r="G361" s="10"/>
      <c r="H361" s="9"/>
      <c r="I361" s="10"/>
      <c r="J361" s="9"/>
      <c r="K361" s="10"/>
      <c r="L361" s="87"/>
      <c r="M361" s="10"/>
      <c r="N361" s="9"/>
      <c r="O361" s="10"/>
      <c r="P361" s="9"/>
      <c r="Q361" s="10"/>
      <c r="R361" s="9"/>
      <c r="S361" s="10"/>
      <c r="T361" s="9"/>
      <c r="U361" s="10"/>
      <c r="V361" s="9"/>
      <c r="W361" s="10"/>
      <c r="X361" s="9"/>
      <c r="Y361" s="10"/>
      <c r="Z361" s="9"/>
      <c r="AA361" s="10"/>
      <c r="AB361" s="11"/>
      <c r="AC361" s="10"/>
      <c r="AD361" s="7">
        <f>SUM(F361+H361+J361+L361+N361+P361+R361+T361+V361+X361+Z361+AB361)</f>
        <v>0</v>
      </c>
      <c r="AE361" s="7">
        <f>E361+AD361</f>
        <v>0</v>
      </c>
      <c r="AF361" s="8">
        <f>G361+I361+K361+M361+O361+Q361+S361+U361+W361+Y361+AA361+AC361</f>
        <v>0</v>
      </c>
      <c r="AG361" s="212">
        <f>SUM(AE361-AF361)</f>
        <v>0</v>
      </c>
      <c r="AH361" s="214"/>
      <c r="AI361" s="214"/>
    </row>
    <row r="362" spans="1:42" customHeight="1" ht="11.5">
      <c r="A362" s="5"/>
      <c r="B362" s="113"/>
      <c r="C362" s="90"/>
      <c r="D362" s="167"/>
      <c r="E362" s="86"/>
      <c r="F362" s="9"/>
      <c r="G362" s="10"/>
      <c r="H362" s="9"/>
      <c r="I362" s="10"/>
      <c r="J362" s="9"/>
      <c r="K362" s="10"/>
      <c r="L362" s="87"/>
      <c r="M362" s="10"/>
      <c r="N362" s="9"/>
      <c r="O362" s="10"/>
      <c r="P362" s="9"/>
      <c r="Q362" s="10"/>
      <c r="R362" s="9"/>
      <c r="S362" s="10"/>
      <c r="T362" s="9"/>
      <c r="U362" s="10"/>
      <c r="V362" s="9"/>
      <c r="W362" s="10"/>
      <c r="X362" s="9"/>
      <c r="Y362" s="10"/>
      <c r="Z362" s="9"/>
      <c r="AA362" s="10"/>
      <c r="AB362" s="11"/>
      <c r="AC362" s="10"/>
      <c r="AD362" s="7">
        <f>SUM(F362+H362+J362+L362+N362+P362+R362+T362+V362+X362+Z362+AB362)</f>
        <v>0</v>
      </c>
      <c r="AE362" s="7">
        <f>E362+AD362</f>
        <v>0</v>
      </c>
      <c r="AF362" s="8">
        <f>G362+I362+K362+M362+O362+Q362+S362+U362+W362+Y362+AA362+AC362</f>
        <v>0</v>
      </c>
      <c r="AG362" s="212">
        <f>SUM(AE362-AF362)</f>
        <v>0</v>
      </c>
      <c r="AH362" s="214"/>
      <c r="AI362" s="214"/>
    </row>
    <row r="363" spans="1:42" customHeight="1" ht="11.5">
      <c r="A363" s="5"/>
      <c r="B363" s="113"/>
      <c r="C363" s="90"/>
      <c r="D363" s="167"/>
      <c r="E363" s="86"/>
      <c r="F363" s="9"/>
      <c r="G363" s="10"/>
      <c r="H363" s="9"/>
      <c r="I363" s="10"/>
      <c r="J363" s="9"/>
      <c r="K363" s="10"/>
      <c r="L363" s="87"/>
      <c r="M363" s="10"/>
      <c r="N363" s="9"/>
      <c r="O363" s="10"/>
      <c r="P363" s="9"/>
      <c r="Q363" s="10"/>
      <c r="R363" s="9"/>
      <c r="S363" s="10"/>
      <c r="T363" s="9"/>
      <c r="U363" s="10"/>
      <c r="V363" s="9"/>
      <c r="W363" s="10"/>
      <c r="X363" s="9"/>
      <c r="Y363" s="10"/>
      <c r="Z363" s="9"/>
      <c r="AA363" s="10"/>
      <c r="AB363" s="11"/>
      <c r="AC363" s="10"/>
      <c r="AD363" s="7">
        <f>SUM(F363+H363+J363+L363+N363+P363+R363+T363+V363+X363+Z363+AB363)</f>
        <v>0</v>
      </c>
      <c r="AE363" s="7">
        <f>E363+AD363</f>
        <v>0</v>
      </c>
      <c r="AF363" s="8">
        <f>G363+I363+K363+M363+O363+Q363+S363+U363+W363+Y363+AA363+AC363</f>
        <v>0</v>
      </c>
      <c r="AG363" s="212">
        <f>SUM(AE363-AF363)</f>
        <v>0</v>
      </c>
      <c r="AH363" s="214"/>
      <c r="AI363" s="214"/>
    </row>
    <row r="364" spans="1:42" customHeight="1" ht="11.5">
      <c r="A364" s="5"/>
      <c r="B364" s="113"/>
      <c r="C364" s="90"/>
      <c r="D364" s="167"/>
      <c r="E364" s="86"/>
      <c r="F364" s="9"/>
      <c r="G364" s="10"/>
      <c r="H364" s="9"/>
      <c r="I364" s="10"/>
      <c r="J364" s="9"/>
      <c r="K364" s="10"/>
      <c r="L364" s="87"/>
      <c r="M364" s="10"/>
      <c r="N364" s="9"/>
      <c r="O364" s="10"/>
      <c r="P364" s="9"/>
      <c r="Q364" s="10"/>
      <c r="R364" s="9"/>
      <c r="S364" s="10"/>
      <c r="T364" s="9"/>
      <c r="U364" s="10"/>
      <c r="V364" s="9"/>
      <c r="W364" s="10"/>
      <c r="X364" s="9"/>
      <c r="Y364" s="10"/>
      <c r="Z364" s="9"/>
      <c r="AA364" s="10"/>
      <c r="AB364" s="11"/>
      <c r="AC364" s="10"/>
      <c r="AD364" s="7">
        <f>SUM(F364+H364+J364+L364+N364+P364+R364+T364+V364+X364+Z364+AB364)</f>
        <v>0</v>
      </c>
      <c r="AE364" s="7">
        <f>E364+AD364</f>
        <v>0</v>
      </c>
      <c r="AF364" s="8">
        <f>G364+I364+K364+M364+O364+Q364+S364+U364+W364+Y364+AA364+AC364</f>
        <v>0</v>
      </c>
      <c r="AG364" s="212">
        <f>SUM(AE364-AF364)</f>
        <v>0</v>
      </c>
      <c r="AH364" s="214"/>
      <c r="AI364" s="214"/>
    </row>
    <row r="365" spans="1:42" customHeight="1" ht="11.5">
      <c r="A365" s="5"/>
      <c r="B365" s="113"/>
      <c r="C365" s="90"/>
      <c r="D365" s="167"/>
      <c r="E365" s="86"/>
      <c r="F365" s="9"/>
      <c r="G365" s="10"/>
      <c r="H365" s="9"/>
      <c r="I365" s="10"/>
      <c r="J365" s="9"/>
      <c r="K365" s="10"/>
      <c r="L365" s="87"/>
      <c r="M365" s="10"/>
      <c r="N365" s="9"/>
      <c r="O365" s="10"/>
      <c r="P365" s="9"/>
      <c r="Q365" s="10"/>
      <c r="R365" s="9"/>
      <c r="S365" s="10"/>
      <c r="T365" s="9"/>
      <c r="U365" s="10"/>
      <c r="V365" s="9"/>
      <c r="W365" s="10"/>
      <c r="X365" s="9"/>
      <c r="Y365" s="10"/>
      <c r="Z365" s="9"/>
      <c r="AA365" s="10"/>
      <c r="AB365" s="11"/>
      <c r="AC365" s="10"/>
      <c r="AD365" s="7">
        <f>SUM(F365+H365+J365+L365+N365+P365+R365+T365+V365+X365+Z365+AB365)</f>
        <v>0</v>
      </c>
      <c r="AE365" s="7">
        <f>E365+AD365</f>
        <v>0</v>
      </c>
      <c r="AF365" s="8">
        <f>G365+I365+K365+M365+O365+Q365+S365+U365+W365+Y365+AA365+AC365</f>
        <v>0</v>
      </c>
      <c r="AG365" s="212">
        <f>SUM(AE365-AF365)</f>
        <v>0</v>
      </c>
      <c r="AH365" s="214"/>
      <c r="AI365" s="214"/>
    </row>
    <row r="366" spans="1:42" customHeight="1" ht="11.5">
      <c r="A366" s="5"/>
      <c r="B366" s="113"/>
      <c r="C366" s="90"/>
      <c r="D366" s="167"/>
      <c r="E366" s="86"/>
      <c r="F366" s="9"/>
      <c r="G366" s="10"/>
      <c r="H366" s="9"/>
      <c r="I366" s="10"/>
      <c r="J366" s="9"/>
      <c r="K366" s="10"/>
      <c r="L366" s="87"/>
      <c r="M366" s="10"/>
      <c r="N366" s="9"/>
      <c r="O366" s="10"/>
      <c r="P366" s="9"/>
      <c r="Q366" s="10"/>
      <c r="R366" s="9"/>
      <c r="S366" s="10"/>
      <c r="T366" s="9"/>
      <c r="U366" s="10"/>
      <c r="V366" s="9"/>
      <c r="W366" s="10"/>
      <c r="X366" s="9"/>
      <c r="Y366" s="10"/>
      <c r="Z366" s="9"/>
      <c r="AA366" s="10"/>
      <c r="AB366" s="11"/>
      <c r="AC366" s="10"/>
      <c r="AD366" s="7">
        <f>SUM(F366+H366+J366+L366+N366+P366+R366+T366+V366+X366+Z366+AB366)</f>
        <v>0</v>
      </c>
      <c r="AE366" s="7">
        <f>E366+AD366</f>
        <v>0</v>
      </c>
      <c r="AF366" s="8">
        <f>G366+I366+K366+M366+O366+Q366+S366+U366+W366+Y366+AA366+AC366</f>
        <v>0</v>
      </c>
      <c r="AG366" s="212">
        <f>SUM(AE366-AF366)</f>
        <v>0</v>
      </c>
      <c r="AH366" s="214"/>
      <c r="AI366" s="214"/>
    </row>
    <row r="367" spans="1:42" customHeight="1" ht="11.5">
      <c r="A367" s="5"/>
      <c r="B367" s="113"/>
      <c r="C367" s="90"/>
      <c r="D367" s="167"/>
      <c r="E367" s="86"/>
      <c r="F367" s="9"/>
      <c r="G367" s="10"/>
      <c r="H367" s="9"/>
      <c r="I367" s="10"/>
      <c r="J367" s="9"/>
      <c r="K367" s="10"/>
      <c r="L367" s="87"/>
      <c r="M367" s="10"/>
      <c r="N367" s="9"/>
      <c r="O367" s="10"/>
      <c r="P367" s="9"/>
      <c r="Q367" s="10"/>
      <c r="R367" s="9"/>
      <c r="S367" s="10"/>
      <c r="T367" s="9"/>
      <c r="U367" s="10"/>
      <c r="V367" s="9"/>
      <c r="W367" s="10"/>
      <c r="X367" s="9"/>
      <c r="Y367" s="10"/>
      <c r="Z367" s="9"/>
      <c r="AA367" s="10"/>
      <c r="AB367" s="11"/>
      <c r="AC367" s="10"/>
      <c r="AD367" s="7">
        <f>SUM(F367+H367+J367+L367+N367+P367+R367+T367+V367+X367+Z367+AB367)</f>
        <v>0</v>
      </c>
      <c r="AE367" s="7">
        <f>E367+AD367</f>
        <v>0</v>
      </c>
      <c r="AF367" s="8">
        <f>G367+I367+K367+M367+O367+Q367+S367+U367+W367+Y367+AA367+AC367</f>
        <v>0</v>
      </c>
      <c r="AG367" s="212">
        <f>SUM(AE367-AF367)</f>
        <v>0</v>
      </c>
      <c r="AH367" s="214"/>
      <c r="AI367" s="214"/>
    </row>
    <row r="368" spans="1:42" customHeight="1" ht="11.5">
      <c r="A368" s="5"/>
      <c r="B368" s="113"/>
      <c r="C368" s="90"/>
      <c r="D368" s="167"/>
      <c r="E368" s="86"/>
      <c r="F368" s="9"/>
      <c r="G368" s="10"/>
      <c r="H368" s="9"/>
      <c r="I368" s="10"/>
      <c r="J368" s="9"/>
      <c r="K368" s="10"/>
      <c r="L368" s="87"/>
      <c r="M368" s="10"/>
      <c r="N368" s="9"/>
      <c r="O368" s="10"/>
      <c r="P368" s="9"/>
      <c r="Q368" s="10"/>
      <c r="R368" s="9"/>
      <c r="S368" s="10"/>
      <c r="T368" s="9"/>
      <c r="U368" s="10"/>
      <c r="V368" s="9"/>
      <c r="W368" s="10"/>
      <c r="X368" s="9"/>
      <c r="Y368" s="10"/>
      <c r="Z368" s="9"/>
      <c r="AA368" s="10"/>
      <c r="AB368" s="11"/>
      <c r="AC368" s="10"/>
      <c r="AD368" s="7">
        <f>SUM(F368+H368+J368+L368+N368+P368+R368+T368+V368+X368+Z368+AB368)</f>
        <v>0</v>
      </c>
      <c r="AE368" s="7">
        <f>E368+AD368</f>
        <v>0</v>
      </c>
      <c r="AF368" s="8">
        <f>G368+I368+K368+M368+O368+Q368+S368+U368+W368+Y368+AA368+AC368</f>
        <v>0</v>
      </c>
      <c r="AG368" s="212">
        <f>SUM(AE368-AF368)</f>
        <v>0</v>
      </c>
      <c r="AH368" s="214"/>
      <c r="AI368" s="214"/>
    </row>
    <row r="369" spans="1:42" customHeight="1" ht="11.5">
      <c r="A369" s="5"/>
      <c r="B369" s="113"/>
      <c r="C369" s="90"/>
      <c r="D369" s="167"/>
      <c r="E369" s="86"/>
      <c r="F369" s="9"/>
      <c r="G369" s="10"/>
      <c r="H369" s="9"/>
      <c r="I369" s="10"/>
      <c r="J369" s="9"/>
      <c r="K369" s="10"/>
      <c r="L369" s="87"/>
      <c r="M369" s="10"/>
      <c r="N369" s="9"/>
      <c r="O369" s="10"/>
      <c r="P369" s="9"/>
      <c r="Q369" s="10"/>
      <c r="R369" s="9"/>
      <c r="S369" s="10"/>
      <c r="T369" s="9"/>
      <c r="U369" s="10"/>
      <c r="V369" s="9"/>
      <c r="W369" s="10"/>
      <c r="X369" s="9"/>
      <c r="Y369" s="10"/>
      <c r="Z369" s="9"/>
      <c r="AA369" s="10"/>
      <c r="AB369" s="11"/>
      <c r="AC369" s="10"/>
      <c r="AD369" s="7">
        <f>SUM(F369+H369+J369+L369+N369+P369+R369+T369+V369+X369+Z369+AB369)</f>
        <v>0</v>
      </c>
      <c r="AE369" s="7">
        <f>E369+AD369</f>
        <v>0</v>
      </c>
      <c r="AF369" s="8">
        <f>G369+I369+K369+M369+O369+Q369+S369+U369+W369+Y369+AA369+AC369</f>
        <v>0</v>
      </c>
      <c r="AG369" s="212">
        <f>SUM(AE369-AF369)</f>
        <v>0</v>
      </c>
      <c r="AH369" s="214"/>
      <c r="AI369" s="214"/>
    </row>
    <row r="370" spans="1:42" customHeight="1" ht="11.5">
      <c r="A370" s="5"/>
      <c r="B370" s="113"/>
      <c r="C370" s="90"/>
      <c r="D370" s="167"/>
      <c r="E370" s="86"/>
      <c r="F370" s="9"/>
      <c r="G370" s="10"/>
      <c r="H370" s="9"/>
      <c r="I370" s="10"/>
      <c r="J370" s="9"/>
      <c r="K370" s="10"/>
      <c r="L370" s="87"/>
      <c r="M370" s="10"/>
      <c r="N370" s="9"/>
      <c r="O370" s="10"/>
      <c r="P370" s="9"/>
      <c r="Q370" s="10"/>
      <c r="R370" s="9"/>
      <c r="S370" s="10"/>
      <c r="T370" s="9"/>
      <c r="U370" s="10"/>
      <c r="V370" s="9"/>
      <c r="W370" s="10"/>
      <c r="X370" s="9"/>
      <c r="Y370" s="10"/>
      <c r="Z370" s="9"/>
      <c r="AA370" s="10"/>
      <c r="AB370" s="11"/>
      <c r="AC370" s="10"/>
      <c r="AD370" s="7">
        <f>SUM(F370+H370+J370+L370+N370+P370+R370+T370+V370+X370+Z370+AB370)</f>
        <v>0</v>
      </c>
      <c r="AE370" s="7">
        <f>E370+AD370</f>
        <v>0</v>
      </c>
      <c r="AF370" s="8">
        <f>G370+I370+K370+M370+O370+Q370+S370+U370+W370+Y370+AA370+AC370</f>
        <v>0</v>
      </c>
      <c r="AG370" s="212">
        <f>SUM(AE370-AF370)</f>
        <v>0</v>
      </c>
      <c r="AH370" s="214"/>
      <c r="AI370" s="214"/>
    </row>
    <row r="371" spans="1:42" customHeight="1" ht="11.5">
      <c r="A371" s="5"/>
      <c r="B371" s="113"/>
      <c r="C371" s="90"/>
      <c r="D371" s="167"/>
      <c r="E371" s="86"/>
      <c r="F371" s="9"/>
      <c r="G371" s="10"/>
      <c r="H371" s="9"/>
      <c r="I371" s="10"/>
      <c r="J371" s="9"/>
      <c r="K371" s="10"/>
      <c r="L371" s="87"/>
      <c r="M371" s="10"/>
      <c r="N371" s="9"/>
      <c r="O371" s="10"/>
      <c r="P371" s="9"/>
      <c r="Q371" s="10"/>
      <c r="R371" s="9"/>
      <c r="S371" s="10"/>
      <c r="T371" s="9"/>
      <c r="U371" s="10"/>
      <c r="V371" s="9"/>
      <c r="W371" s="10"/>
      <c r="X371" s="9"/>
      <c r="Y371" s="10"/>
      <c r="Z371" s="9"/>
      <c r="AA371" s="10"/>
      <c r="AB371" s="11"/>
      <c r="AC371" s="10"/>
      <c r="AD371" s="7">
        <f>SUM(F371+H371+J371+L371+N371+P371+R371+T371+V371+X371+Z371+AB371)</f>
        <v>0</v>
      </c>
      <c r="AE371" s="7">
        <f>E371+AD371</f>
        <v>0</v>
      </c>
      <c r="AF371" s="8">
        <f>G371+I371+K371+M371+O371+Q371+S371+U371+W371+Y371+AA371+AC371</f>
        <v>0</v>
      </c>
      <c r="AG371" s="212">
        <f>SUM(AE371-AF371)</f>
        <v>0</v>
      </c>
      <c r="AH371" s="214"/>
      <c r="AI371" s="214"/>
    </row>
    <row r="372" spans="1:42" customHeight="1" ht="11.5">
      <c r="A372" s="5"/>
      <c r="B372" s="113"/>
      <c r="C372" s="90"/>
      <c r="D372" s="167"/>
      <c r="E372" s="86"/>
      <c r="F372" s="9"/>
      <c r="G372" s="10"/>
      <c r="H372" s="9"/>
      <c r="I372" s="10"/>
      <c r="J372" s="9"/>
      <c r="K372" s="10"/>
      <c r="L372" s="87"/>
      <c r="M372" s="10"/>
      <c r="N372" s="9"/>
      <c r="O372" s="10"/>
      <c r="P372" s="9"/>
      <c r="Q372" s="10"/>
      <c r="R372" s="9"/>
      <c r="S372" s="10"/>
      <c r="T372" s="9"/>
      <c r="U372" s="10"/>
      <c r="V372" s="9"/>
      <c r="W372" s="10"/>
      <c r="X372" s="9"/>
      <c r="Y372" s="10"/>
      <c r="Z372" s="9"/>
      <c r="AA372" s="10"/>
      <c r="AB372" s="11"/>
      <c r="AC372" s="10"/>
      <c r="AD372" s="7">
        <f>SUM(F372+H372+J372+L372+N372+P372+R372+T372+V372+X372+Z372+AB372)</f>
        <v>0</v>
      </c>
      <c r="AE372" s="7">
        <f>E372+AD372</f>
        <v>0</v>
      </c>
      <c r="AF372" s="8">
        <f>G372+I372+K372+M372+O372+Q372+S372+U372+W372+Y372+AA372+AC372</f>
        <v>0</v>
      </c>
      <c r="AG372" s="212">
        <f>SUM(AE372-AF372)</f>
        <v>0</v>
      </c>
      <c r="AH372" s="214"/>
      <c r="AI372" s="214"/>
    </row>
    <row r="373" spans="1:42" customHeight="1" ht="11.5">
      <c r="A373" s="5"/>
      <c r="B373" s="113"/>
      <c r="C373" s="90"/>
      <c r="D373" s="167"/>
      <c r="E373" s="86"/>
      <c r="F373" s="9"/>
      <c r="G373" s="10"/>
      <c r="H373" s="9"/>
      <c r="I373" s="10"/>
      <c r="J373" s="9"/>
      <c r="K373" s="10"/>
      <c r="L373" s="87"/>
      <c r="M373" s="10"/>
      <c r="N373" s="9"/>
      <c r="O373" s="10"/>
      <c r="P373" s="9"/>
      <c r="Q373" s="10"/>
      <c r="R373" s="9"/>
      <c r="S373" s="10"/>
      <c r="T373" s="9"/>
      <c r="U373" s="10"/>
      <c r="V373" s="9"/>
      <c r="W373" s="10"/>
      <c r="X373" s="9"/>
      <c r="Y373" s="10"/>
      <c r="Z373" s="9"/>
      <c r="AA373" s="10"/>
      <c r="AB373" s="11"/>
      <c r="AC373" s="10"/>
      <c r="AD373" s="7">
        <f>SUM(F373+H373+J373+L373+N373+P373+R373+T373+V373+X373+Z373+AB373)</f>
        <v>0</v>
      </c>
      <c r="AE373" s="7">
        <f>E373+AD373</f>
        <v>0</v>
      </c>
      <c r="AF373" s="8">
        <f>G373+I373+K373+M373+O373+Q373+S373+U373+W373+Y373+AA373+AC373</f>
        <v>0</v>
      </c>
      <c r="AG373" s="212">
        <f>SUM(AE373-AF373)</f>
        <v>0</v>
      </c>
      <c r="AH373" s="214"/>
      <c r="AI373" s="214"/>
    </row>
    <row r="374" spans="1:42" customHeight="1" ht="11.5">
      <c r="A374" s="5"/>
      <c r="B374" s="113"/>
      <c r="C374" s="90"/>
      <c r="D374" s="167"/>
      <c r="E374" s="86"/>
      <c r="F374" s="9"/>
      <c r="G374" s="10"/>
      <c r="H374" s="9"/>
      <c r="I374" s="10"/>
      <c r="J374" s="9"/>
      <c r="K374" s="10"/>
      <c r="L374" s="87"/>
      <c r="M374" s="10"/>
      <c r="N374" s="9"/>
      <c r="O374" s="10"/>
      <c r="P374" s="9"/>
      <c r="Q374" s="10"/>
      <c r="R374" s="9"/>
      <c r="S374" s="10"/>
      <c r="T374" s="9"/>
      <c r="U374" s="10"/>
      <c r="V374" s="9"/>
      <c r="W374" s="10"/>
      <c r="X374" s="9"/>
      <c r="Y374" s="10"/>
      <c r="Z374" s="9"/>
      <c r="AA374" s="10"/>
      <c r="AB374" s="11"/>
      <c r="AC374" s="10"/>
      <c r="AD374" s="7">
        <f>SUM(F374+H374+J374+L374+N374+P374+R374+T374+V374+X374+Z374+AB374)</f>
        <v>0</v>
      </c>
      <c r="AE374" s="7">
        <f>E374+AD374</f>
        <v>0</v>
      </c>
      <c r="AF374" s="8">
        <f>G374+I374+K374+M374+O374+Q374+S374+U374+W374+Y374+AA374+AC374</f>
        <v>0</v>
      </c>
      <c r="AG374" s="212">
        <f>SUM(AE374-AF374)</f>
        <v>0</v>
      </c>
      <c r="AH374" s="214"/>
      <c r="AI374" s="214"/>
    </row>
    <row r="375" spans="1:42" customHeight="1" ht="11.5">
      <c r="A375" s="5"/>
      <c r="B375" s="113"/>
      <c r="C375" s="90"/>
      <c r="D375" s="167"/>
      <c r="E375" s="86"/>
      <c r="F375" s="9"/>
      <c r="G375" s="10"/>
      <c r="H375" s="9"/>
      <c r="I375" s="10"/>
      <c r="J375" s="9"/>
      <c r="K375" s="10"/>
      <c r="L375" s="87"/>
      <c r="M375" s="10"/>
      <c r="N375" s="9"/>
      <c r="O375" s="10"/>
      <c r="P375" s="9"/>
      <c r="Q375" s="10"/>
      <c r="R375" s="9"/>
      <c r="S375" s="10"/>
      <c r="T375" s="9"/>
      <c r="U375" s="10"/>
      <c r="V375" s="9"/>
      <c r="W375" s="10"/>
      <c r="X375" s="9"/>
      <c r="Y375" s="10"/>
      <c r="Z375" s="9"/>
      <c r="AA375" s="10"/>
      <c r="AB375" s="11"/>
      <c r="AC375" s="10"/>
      <c r="AD375" s="7">
        <f>SUM(F375+H375+J375+L375+N375+P375+R375+T375+V375+X375+Z375+AB375)</f>
        <v>0</v>
      </c>
      <c r="AE375" s="7">
        <f>E375+AD375</f>
        <v>0</v>
      </c>
      <c r="AF375" s="8">
        <f>G375+I375+K375+M375+O375+Q375+S375+U375+W375+Y375+AA375+AC375</f>
        <v>0</v>
      </c>
      <c r="AG375" s="212">
        <f>SUM(AE375-AF375)</f>
        <v>0</v>
      </c>
      <c r="AH375" s="214"/>
      <c r="AI375" s="214"/>
    </row>
    <row r="376" spans="1:42" customHeight="1" ht="11.5">
      <c r="A376" s="5"/>
      <c r="B376" s="113"/>
      <c r="C376" s="90"/>
      <c r="D376" s="167"/>
      <c r="E376" s="86"/>
      <c r="F376" s="9"/>
      <c r="G376" s="10"/>
      <c r="H376" s="9"/>
      <c r="I376" s="10"/>
      <c r="J376" s="9"/>
      <c r="K376" s="10"/>
      <c r="L376" s="87"/>
      <c r="M376" s="10"/>
      <c r="N376" s="9"/>
      <c r="O376" s="10"/>
      <c r="P376" s="9"/>
      <c r="Q376" s="10"/>
      <c r="R376" s="9"/>
      <c r="S376" s="10"/>
      <c r="T376" s="9"/>
      <c r="U376" s="10"/>
      <c r="V376" s="9"/>
      <c r="W376" s="10"/>
      <c r="X376" s="9"/>
      <c r="Y376" s="10"/>
      <c r="Z376" s="9"/>
      <c r="AA376" s="10"/>
      <c r="AB376" s="11"/>
      <c r="AC376" s="10"/>
      <c r="AD376" s="7">
        <f>SUM(F376+H376+J376+L376+N376+P376+R376+T376+V376+X376+Z376+AB376)</f>
        <v>0</v>
      </c>
      <c r="AE376" s="7">
        <f>E376+AD376</f>
        <v>0</v>
      </c>
      <c r="AF376" s="8">
        <f>G376+I376+K376+M376+O376+Q376+S376+U376+W376+Y376+AA376+AC376</f>
        <v>0</v>
      </c>
      <c r="AG376" s="212">
        <f>SUM(AE376-AF376)</f>
        <v>0</v>
      </c>
      <c r="AH376" s="214"/>
      <c r="AI376" s="214"/>
    </row>
    <row r="377" spans="1:42" customHeight="1" ht="11.5">
      <c r="A377" s="5"/>
      <c r="B377" s="113"/>
      <c r="C377" s="90"/>
      <c r="D377" s="167"/>
      <c r="E377" s="86"/>
      <c r="F377" s="9"/>
      <c r="G377" s="10"/>
      <c r="H377" s="9"/>
      <c r="I377" s="10"/>
      <c r="J377" s="9"/>
      <c r="K377" s="10"/>
      <c r="L377" s="87"/>
      <c r="M377" s="10"/>
      <c r="N377" s="9"/>
      <c r="O377" s="10"/>
      <c r="P377" s="9"/>
      <c r="Q377" s="10"/>
      <c r="R377" s="9"/>
      <c r="S377" s="10"/>
      <c r="T377" s="9"/>
      <c r="U377" s="10"/>
      <c r="V377" s="9"/>
      <c r="W377" s="10"/>
      <c r="X377" s="9"/>
      <c r="Y377" s="10"/>
      <c r="Z377" s="9"/>
      <c r="AA377" s="10"/>
      <c r="AB377" s="11"/>
      <c r="AC377" s="10"/>
      <c r="AD377" s="7">
        <f>SUM(F377+H377+J377+L377+N377+P377+R377+T377+V377+X377+Z377+AB377)</f>
        <v>0</v>
      </c>
      <c r="AE377" s="7">
        <f>E377+AD377</f>
        <v>0</v>
      </c>
      <c r="AF377" s="8">
        <f>G377+I377+K377+M377+O377+Q377+S377+U377+W377+Y377+AA377+AC377</f>
        <v>0</v>
      </c>
      <c r="AG377" s="212">
        <f>SUM(AE377-AF377)</f>
        <v>0</v>
      </c>
      <c r="AH377" s="214"/>
      <c r="AI377" s="214"/>
    </row>
    <row r="378" spans="1:42" customHeight="1" ht="11.5">
      <c r="A378" s="5"/>
      <c r="B378" s="113"/>
      <c r="C378" s="90"/>
      <c r="D378" s="167"/>
      <c r="E378" s="86"/>
      <c r="F378" s="9"/>
      <c r="G378" s="10"/>
      <c r="H378" s="9"/>
      <c r="I378" s="10"/>
      <c r="J378" s="9"/>
      <c r="K378" s="10"/>
      <c r="L378" s="87"/>
      <c r="M378" s="10"/>
      <c r="N378" s="9"/>
      <c r="O378" s="10"/>
      <c r="P378" s="9"/>
      <c r="Q378" s="10"/>
      <c r="R378" s="9"/>
      <c r="S378" s="10"/>
      <c r="T378" s="9"/>
      <c r="U378" s="10"/>
      <c r="V378" s="9"/>
      <c r="W378" s="10"/>
      <c r="X378" s="9"/>
      <c r="Y378" s="10"/>
      <c r="Z378" s="9"/>
      <c r="AA378" s="10"/>
      <c r="AB378" s="11"/>
      <c r="AC378" s="10"/>
      <c r="AD378" s="7">
        <f>SUM(F378+H378+J378+L378+N378+P378+R378+T378+V378+X378+Z378+AB378)</f>
        <v>0</v>
      </c>
      <c r="AE378" s="7">
        <f>E378+AD378</f>
        <v>0</v>
      </c>
      <c r="AF378" s="8">
        <f>G378+I378+K378+M378+O378+Q378+S378+U378+W378+Y378+AA378+AC378</f>
        <v>0</v>
      </c>
      <c r="AG378" s="212">
        <f>SUM(AE378-AF378)</f>
        <v>0</v>
      </c>
      <c r="AH378" s="214"/>
      <c r="AI378" s="214"/>
    </row>
    <row r="379" spans="1:42" customHeight="1" ht="11.5">
      <c r="A379" s="5"/>
      <c r="B379" s="113"/>
      <c r="C379" s="90"/>
      <c r="D379" s="167"/>
      <c r="E379" s="86"/>
      <c r="F379" s="9"/>
      <c r="G379" s="10"/>
      <c r="H379" s="9"/>
      <c r="I379" s="10"/>
      <c r="J379" s="9"/>
      <c r="K379" s="10"/>
      <c r="L379" s="87"/>
      <c r="M379" s="10"/>
      <c r="N379" s="9"/>
      <c r="O379" s="10"/>
      <c r="P379" s="9"/>
      <c r="Q379" s="10"/>
      <c r="R379" s="9"/>
      <c r="S379" s="10"/>
      <c r="T379" s="9"/>
      <c r="U379" s="10"/>
      <c r="V379" s="9"/>
      <c r="W379" s="10"/>
      <c r="X379" s="9"/>
      <c r="Y379" s="10"/>
      <c r="Z379" s="9"/>
      <c r="AA379" s="10"/>
      <c r="AB379" s="11"/>
      <c r="AC379" s="10"/>
      <c r="AD379" s="7">
        <f>SUM(F379+H379+J379+L379+N379+P379+R379+T379+V379+X379+Z379+AB379)</f>
        <v>0</v>
      </c>
      <c r="AE379" s="7">
        <f>E379+AD379</f>
        <v>0</v>
      </c>
      <c r="AF379" s="8">
        <f>G379+I379+K379+M379+O379+Q379+S379+U379+W379+Y379+AA379+AC379</f>
        <v>0</v>
      </c>
      <c r="AG379" s="212">
        <f>SUM(AE379-AF379)</f>
        <v>0</v>
      </c>
      <c r="AH379" s="214"/>
      <c r="AI379" s="214"/>
    </row>
    <row r="380" spans="1:42" customHeight="1" ht="11.5">
      <c r="A380" s="5"/>
      <c r="B380" s="113"/>
      <c r="C380" s="90"/>
      <c r="D380" s="167"/>
      <c r="E380" s="86"/>
      <c r="F380" s="9"/>
      <c r="G380" s="10"/>
      <c r="H380" s="9"/>
      <c r="I380" s="10"/>
      <c r="J380" s="9"/>
      <c r="K380" s="10"/>
      <c r="L380" s="87"/>
      <c r="M380" s="10"/>
      <c r="N380" s="9"/>
      <c r="O380" s="10"/>
      <c r="P380" s="9"/>
      <c r="Q380" s="10"/>
      <c r="R380" s="9"/>
      <c r="S380" s="10"/>
      <c r="T380" s="9"/>
      <c r="U380" s="10"/>
      <c r="V380" s="9"/>
      <c r="W380" s="10"/>
      <c r="X380" s="9"/>
      <c r="Y380" s="10"/>
      <c r="Z380" s="9"/>
      <c r="AA380" s="10"/>
      <c r="AB380" s="11"/>
      <c r="AC380" s="10"/>
      <c r="AD380" s="7">
        <f>SUM(F380+H380+J380+L380+N380+P380+R380+T380+V380+X380+Z380+AB380)</f>
        <v>0</v>
      </c>
      <c r="AE380" s="7">
        <f>E380+AD380</f>
        <v>0</v>
      </c>
      <c r="AF380" s="8">
        <f>G380+I380+K380+M380+O380+Q380+S380+U380+W380+Y380+AA380+AC380</f>
        <v>0</v>
      </c>
      <c r="AG380" s="212">
        <f>SUM(AE380-AF380)</f>
        <v>0</v>
      </c>
      <c r="AH380" s="214"/>
      <c r="AI380" s="214"/>
    </row>
    <row r="381" spans="1:42" customHeight="1" ht="11.5">
      <c r="A381" s="5"/>
      <c r="B381" s="113"/>
      <c r="C381" s="90"/>
      <c r="D381" s="167"/>
      <c r="E381" s="86"/>
      <c r="F381" s="9"/>
      <c r="G381" s="10"/>
      <c r="H381" s="9"/>
      <c r="I381" s="10"/>
      <c r="J381" s="9"/>
      <c r="K381" s="10"/>
      <c r="L381" s="87"/>
      <c r="M381" s="10"/>
      <c r="N381" s="9"/>
      <c r="O381" s="10"/>
      <c r="P381" s="9"/>
      <c r="Q381" s="10"/>
      <c r="R381" s="9"/>
      <c r="S381" s="10"/>
      <c r="T381" s="9"/>
      <c r="U381" s="10"/>
      <c r="V381" s="9"/>
      <c r="W381" s="10"/>
      <c r="X381" s="9"/>
      <c r="Y381" s="10"/>
      <c r="Z381" s="9"/>
      <c r="AA381" s="10"/>
      <c r="AB381" s="11"/>
      <c r="AC381" s="10"/>
      <c r="AD381" s="7">
        <f>SUM(F381+H381+J381+L381+N381+P381+R381+T381+V381+X381+Z381+AB381)</f>
        <v>0</v>
      </c>
      <c r="AE381" s="7">
        <f>E381+AD381</f>
        <v>0</v>
      </c>
      <c r="AF381" s="8">
        <f>G381+I381+K381+M381+O381+Q381+S381+U381+W381+Y381+AA381+AC381</f>
        <v>0</v>
      </c>
      <c r="AG381" s="212">
        <f>SUM(AE381-AF381)</f>
        <v>0</v>
      </c>
      <c r="AH381" s="214"/>
      <c r="AI381" s="214"/>
    </row>
    <row r="382" spans="1:42" customHeight="1" ht="11.5">
      <c r="A382" s="5"/>
      <c r="B382" s="113"/>
      <c r="C382" s="90"/>
      <c r="D382" s="167"/>
      <c r="E382" s="86"/>
      <c r="F382" s="9"/>
      <c r="G382" s="10"/>
      <c r="H382" s="9"/>
      <c r="I382" s="10"/>
      <c r="J382" s="9"/>
      <c r="K382" s="10"/>
      <c r="L382" s="87"/>
      <c r="M382" s="10"/>
      <c r="N382" s="9"/>
      <c r="O382" s="10"/>
      <c r="P382" s="9"/>
      <c r="Q382" s="10"/>
      <c r="R382" s="9"/>
      <c r="S382" s="10"/>
      <c r="T382" s="9"/>
      <c r="U382" s="10"/>
      <c r="V382" s="9"/>
      <c r="W382" s="10"/>
      <c r="X382" s="9"/>
      <c r="Y382" s="10"/>
      <c r="Z382" s="9"/>
      <c r="AA382" s="10"/>
      <c r="AB382" s="11"/>
      <c r="AC382" s="10"/>
      <c r="AD382" s="7">
        <f>SUM(F382+H382+J382+L382+N382+P382+R382+T382+V382+X382+Z382+AB382)</f>
        <v>0</v>
      </c>
      <c r="AE382" s="7">
        <f>E382+AD382</f>
        <v>0</v>
      </c>
      <c r="AF382" s="8">
        <f>G382+I382+K382+M382+O382+Q382+S382+U382+W382+Y382+AA382+AC382</f>
        <v>0</v>
      </c>
      <c r="AG382" s="212">
        <f>SUM(AE382-AF382)</f>
        <v>0</v>
      </c>
      <c r="AH382" s="214"/>
      <c r="AI382" s="214"/>
    </row>
    <row r="383" spans="1:42" customHeight="1" ht="11.5">
      <c r="A383" s="5"/>
      <c r="B383" s="113"/>
      <c r="C383" s="90"/>
      <c r="D383" s="167"/>
      <c r="E383" s="86"/>
      <c r="F383" s="9"/>
      <c r="G383" s="10"/>
      <c r="H383" s="9"/>
      <c r="I383" s="10"/>
      <c r="J383" s="9"/>
      <c r="K383" s="10"/>
      <c r="L383" s="87"/>
      <c r="M383" s="10"/>
      <c r="N383" s="9"/>
      <c r="O383" s="10"/>
      <c r="P383" s="9"/>
      <c r="Q383" s="10"/>
      <c r="R383" s="9"/>
      <c r="S383" s="10"/>
      <c r="T383" s="9"/>
      <c r="U383" s="10"/>
      <c r="V383" s="9"/>
      <c r="W383" s="10"/>
      <c r="X383" s="9"/>
      <c r="Y383" s="10"/>
      <c r="Z383" s="9"/>
      <c r="AA383" s="10"/>
      <c r="AB383" s="11"/>
      <c r="AC383" s="10"/>
      <c r="AD383" s="7">
        <f>SUM(F383+H383+J383+L383+N383+P383+R383+T383+V383+X383+Z383+AB383)</f>
        <v>0</v>
      </c>
      <c r="AE383" s="7">
        <f>E383+AD383</f>
        <v>0</v>
      </c>
      <c r="AF383" s="8">
        <f>G383+I383+K383+M383+O383+Q383+S383+U383+W383+Y383+AA383+AC383</f>
        <v>0</v>
      </c>
      <c r="AG383" s="212">
        <f>SUM(AE383-AF383)</f>
        <v>0</v>
      </c>
      <c r="AH383" s="214"/>
      <c r="AI383" s="214"/>
    </row>
    <row r="384" spans="1:42" customHeight="1" ht="11.5">
      <c r="A384" s="5"/>
      <c r="B384" s="113"/>
      <c r="C384" s="90"/>
      <c r="D384" s="167"/>
      <c r="E384" s="86"/>
      <c r="F384" s="9"/>
      <c r="G384" s="10"/>
      <c r="H384" s="9"/>
      <c r="I384" s="10"/>
      <c r="J384" s="9"/>
      <c r="K384" s="10"/>
      <c r="L384" s="87"/>
      <c r="M384" s="10"/>
      <c r="N384" s="9"/>
      <c r="O384" s="10"/>
      <c r="P384" s="9"/>
      <c r="Q384" s="10"/>
      <c r="R384" s="9"/>
      <c r="S384" s="10"/>
      <c r="T384" s="9"/>
      <c r="U384" s="10"/>
      <c r="V384" s="9"/>
      <c r="W384" s="10"/>
      <c r="X384" s="9"/>
      <c r="Y384" s="10"/>
      <c r="Z384" s="9"/>
      <c r="AA384" s="10"/>
      <c r="AB384" s="11"/>
      <c r="AC384" s="10"/>
      <c r="AD384" s="7">
        <f>SUM(F384+H384+J384+L384+N384+P384+R384+T384+V384+X384+Z384+AB384)</f>
        <v>0</v>
      </c>
      <c r="AE384" s="7">
        <f>E384+AD384</f>
        <v>0</v>
      </c>
      <c r="AF384" s="8">
        <f>G384+I384+K384+M384+O384+Q384+S384+U384+W384+Y384+AA384+AC384</f>
        <v>0</v>
      </c>
      <c r="AG384" s="212">
        <f>SUM(AE384-AF384)</f>
        <v>0</v>
      </c>
      <c r="AH384" s="214"/>
      <c r="AI384" s="214"/>
    </row>
    <row r="385" spans="1:42" customHeight="1" ht="11.5">
      <c r="A385" s="5"/>
      <c r="B385" s="113"/>
      <c r="C385" s="90"/>
      <c r="D385" s="167"/>
      <c r="E385" s="86"/>
      <c r="F385" s="9"/>
      <c r="G385" s="10"/>
      <c r="H385" s="9"/>
      <c r="I385" s="10"/>
      <c r="J385" s="9"/>
      <c r="K385" s="10"/>
      <c r="L385" s="87"/>
      <c r="M385" s="10"/>
      <c r="N385" s="9"/>
      <c r="O385" s="10"/>
      <c r="P385" s="9"/>
      <c r="Q385" s="10"/>
      <c r="R385" s="9"/>
      <c r="S385" s="10"/>
      <c r="T385" s="9"/>
      <c r="U385" s="10"/>
      <c r="V385" s="9"/>
      <c r="W385" s="10"/>
      <c r="X385" s="9"/>
      <c r="Y385" s="10"/>
      <c r="Z385" s="9"/>
      <c r="AA385" s="10"/>
      <c r="AB385" s="11"/>
      <c r="AC385" s="10"/>
      <c r="AD385" s="7">
        <f>SUM(F385+H385+J385+L385+N385+P385+R385+T385+V385+X385+Z385+AB385)</f>
        <v>0</v>
      </c>
      <c r="AE385" s="7">
        <f>E385+AD385</f>
        <v>0</v>
      </c>
      <c r="AF385" s="8">
        <f>G385+I385+K385+M385+O385+Q385+S385+U385+W385+Y385+AA385+AC385</f>
        <v>0</v>
      </c>
      <c r="AG385" s="212">
        <f>SUM(AE385-AF385)</f>
        <v>0</v>
      </c>
      <c r="AH385" s="214"/>
      <c r="AI385" s="214"/>
    </row>
    <row r="386" spans="1:42" customHeight="1" ht="11.5">
      <c r="A386" s="5"/>
      <c r="B386" s="113"/>
      <c r="C386" s="90"/>
      <c r="D386" s="167"/>
      <c r="E386" s="86"/>
      <c r="F386" s="9"/>
      <c r="G386" s="10"/>
      <c r="H386" s="9"/>
      <c r="I386" s="10"/>
      <c r="J386" s="9"/>
      <c r="K386" s="10"/>
      <c r="L386" s="87"/>
      <c r="M386" s="10"/>
      <c r="N386" s="9"/>
      <c r="O386" s="10"/>
      <c r="P386" s="9"/>
      <c r="Q386" s="10"/>
      <c r="R386" s="9"/>
      <c r="S386" s="10"/>
      <c r="T386" s="9"/>
      <c r="U386" s="10"/>
      <c r="V386" s="9"/>
      <c r="W386" s="10"/>
      <c r="X386" s="9"/>
      <c r="Y386" s="10"/>
      <c r="Z386" s="9"/>
      <c r="AA386" s="10"/>
      <c r="AB386" s="11"/>
      <c r="AC386" s="10"/>
      <c r="AD386" s="7">
        <f>SUM(F386+H386+J386+L386+N386+P386+R386+T386+V386+X386+Z386+AB386)</f>
        <v>0</v>
      </c>
      <c r="AE386" s="7">
        <f>E386+AD386</f>
        <v>0</v>
      </c>
      <c r="AF386" s="8">
        <f>G386+I386+K386+M386+O386+Q386+S386+U386+W386+Y386+AA386+AC386</f>
        <v>0</v>
      </c>
      <c r="AG386" s="212">
        <f>SUM(AE386-AF386)</f>
        <v>0</v>
      </c>
      <c r="AH386" s="214"/>
      <c r="AI386" s="214"/>
    </row>
    <row r="387" spans="1:42" customHeight="1" ht="11.5">
      <c r="A387" s="5"/>
      <c r="B387" s="113"/>
      <c r="C387" s="90"/>
      <c r="D387" s="167"/>
      <c r="E387" s="86"/>
      <c r="F387" s="9"/>
      <c r="G387" s="10"/>
      <c r="H387" s="9"/>
      <c r="I387" s="10"/>
      <c r="J387" s="9"/>
      <c r="K387" s="10"/>
      <c r="L387" s="87"/>
      <c r="M387" s="10"/>
      <c r="N387" s="9"/>
      <c r="O387" s="10"/>
      <c r="P387" s="9"/>
      <c r="Q387" s="10"/>
      <c r="R387" s="9"/>
      <c r="S387" s="10"/>
      <c r="T387" s="9"/>
      <c r="U387" s="10"/>
      <c r="V387" s="9"/>
      <c r="W387" s="10"/>
      <c r="X387" s="9"/>
      <c r="Y387" s="10"/>
      <c r="Z387" s="9"/>
      <c r="AA387" s="10"/>
      <c r="AB387" s="11"/>
      <c r="AC387" s="10"/>
      <c r="AD387" s="7">
        <f>SUM(F387+H387+J387+L387+N387+P387+R387+T387+V387+X387+Z387+AB387)</f>
        <v>0</v>
      </c>
      <c r="AE387" s="7">
        <f>E387+AD387</f>
        <v>0</v>
      </c>
      <c r="AF387" s="8">
        <f>G387+I387+K387+M387+O387+Q387+S387+U387+W387+Y387+AA387+AC387</f>
        <v>0</v>
      </c>
      <c r="AG387" s="212">
        <f>SUM(AE387-AF387)</f>
        <v>0</v>
      </c>
      <c r="AH387" s="214"/>
      <c r="AI387" s="214"/>
    </row>
    <row r="388" spans="1:42" customHeight="1" ht="11.5">
      <c r="A388" s="5"/>
      <c r="B388" s="113"/>
      <c r="C388" s="90"/>
      <c r="D388" s="167"/>
      <c r="E388" s="86"/>
      <c r="F388" s="9"/>
      <c r="G388" s="10"/>
      <c r="H388" s="9"/>
      <c r="I388" s="10"/>
      <c r="J388" s="9"/>
      <c r="K388" s="10"/>
      <c r="L388" s="87"/>
      <c r="M388" s="10"/>
      <c r="N388" s="9"/>
      <c r="O388" s="10"/>
      <c r="P388" s="9"/>
      <c r="Q388" s="10"/>
      <c r="R388" s="9"/>
      <c r="S388" s="10"/>
      <c r="T388" s="9"/>
      <c r="U388" s="10"/>
      <c r="V388" s="9"/>
      <c r="W388" s="10"/>
      <c r="X388" s="9"/>
      <c r="Y388" s="10"/>
      <c r="Z388" s="9"/>
      <c r="AA388" s="10"/>
      <c r="AB388" s="11"/>
      <c r="AC388" s="10"/>
      <c r="AD388" s="7">
        <f>SUM(F388+H388+J388+L388+N388+P388+R388+T388+V388+X388+Z388+AB388)</f>
        <v>0</v>
      </c>
      <c r="AE388" s="7">
        <f>E388+AD388</f>
        <v>0</v>
      </c>
      <c r="AF388" s="8">
        <f>G388+I388+K388+M388+O388+Q388+S388+U388+W388+Y388+AA388+AC388</f>
        <v>0</v>
      </c>
      <c r="AG388" s="212">
        <f>SUM(AE388-AF388)</f>
        <v>0</v>
      </c>
      <c r="AH388" s="214"/>
      <c r="AI388" s="214"/>
    </row>
    <row r="389" spans="1:42" customHeight="1" ht="11.5">
      <c r="A389" s="5"/>
      <c r="B389" s="113"/>
      <c r="C389" s="90"/>
      <c r="D389" s="167"/>
      <c r="E389" s="86"/>
      <c r="F389" s="9"/>
      <c r="G389" s="10"/>
      <c r="H389" s="9"/>
      <c r="I389" s="10"/>
      <c r="J389" s="9"/>
      <c r="K389" s="10"/>
      <c r="L389" s="87"/>
      <c r="M389" s="10"/>
      <c r="N389" s="9"/>
      <c r="O389" s="10"/>
      <c r="P389" s="9"/>
      <c r="Q389" s="10"/>
      <c r="R389" s="9"/>
      <c r="S389" s="10"/>
      <c r="T389" s="9"/>
      <c r="U389" s="10"/>
      <c r="V389" s="9"/>
      <c r="W389" s="10"/>
      <c r="X389" s="9"/>
      <c r="Y389" s="10"/>
      <c r="Z389" s="9"/>
      <c r="AA389" s="10"/>
      <c r="AB389" s="11"/>
      <c r="AC389" s="10"/>
      <c r="AD389" s="7">
        <f>SUM(F389+H389+J389+L389+N389+P389+R389+T389+V389+X389+Z389+AB389)</f>
        <v>0</v>
      </c>
      <c r="AE389" s="7">
        <f>E389+AD389</f>
        <v>0</v>
      </c>
      <c r="AF389" s="8">
        <f>G389+I389+K389+M389+O389+Q389+S389+U389+W389+Y389+AA389+AC389</f>
        <v>0</v>
      </c>
      <c r="AG389" s="212">
        <f>SUM(AE389-AF389)</f>
        <v>0</v>
      </c>
      <c r="AH389" s="214"/>
      <c r="AI389" s="214"/>
    </row>
    <row r="390" spans="1:42" customHeight="1" ht="11.5">
      <c r="A390" s="5"/>
      <c r="B390" s="113"/>
      <c r="C390" s="90"/>
      <c r="D390" s="167"/>
      <c r="E390" s="86"/>
      <c r="F390" s="9"/>
      <c r="G390" s="10"/>
      <c r="H390" s="9"/>
      <c r="I390" s="10"/>
      <c r="J390" s="9"/>
      <c r="K390" s="10"/>
      <c r="L390" s="87"/>
      <c r="M390" s="10"/>
      <c r="N390" s="9"/>
      <c r="O390" s="10"/>
      <c r="P390" s="9"/>
      <c r="Q390" s="10"/>
      <c r="R390" s="9"/>
      <c r="S390" s="10"/>
      <c r="T390" s="9"/>
      <c r="U390" s="10"/>
      <c r="V390" s="9"/>
      <c r="W390" s="10"/>
      <c r="X390" s="9"/>
      <c r="Y390" s="10"/>
      <c r="Z390" s="9"/>
      <c r="AA390" s="10"/>
      <c r="AB390" s="11"/>
      <c r="AC390" s="10"/>
      <c r="AD390" s="7">
        <f>SUM(F390+H390+J390+L390+N390+P390+R390+T390+V390+X390+Z390+AB390)</f>
        <v>0</v>
      </c>
      <c r="AE390" s="7">
        <f>E390+AD390</f>
        <v>0</v>
      </c>
      <c r="AF390" s="8">
        <f>G390+I390+K390+M390+O390+Q390+S390+U390+W390+Y390+AA390+AC390</f>
        <v>0</v>
      </c>
      <c r="AG390" s="212">
        <f>SUM(AE390-AF390)</f>
        <v>0</v>
      </c>
      <c r="AH390" s="214"/>
      <c r="AI390" s="214"/>
    </row>
    <row r="391" spans="1:42" customHeight="1" ht="11.5">
      <c r="A391" s="5"/>
      <c r="B391" s="113"/>
      <c r="C391" s="90"/>
      <c r="D391" s="167"/>
      <c r="E391" s="86"/>
      <c r="F391" s="9"/>
      <c r="G391" s="10"/>
      <c r="H391" s="9"/>
      <c r="I391" s="10"/>
      <c r="J391" s="9"/>
      <c r="K391" s="10"/>
      <c r="L391" s="87"/>
      <c r="M391" s="10"/>
      <c r="N391" s="9"/>
      <c r="O391" s="10"/>
      <c r="P391" s="9"/>
      <c r="Q391" s="10"/>
      <c r="R391" s="9"/>
      <c r="S391" s="10"/>
      <c r="T391" s="9"/>
      <c r="U391" s="10"/>
      <c r="V391" s="9"/>
      <c r="W391" s="10"/>
      <c r="X391" s="9"/>
      <c r="Y391" s="10"/>
      <c r="Z391" s="9"/>
      <c r="AA391" s="10"/>
      <c r="AB391" s="11"/>
      <c r="AC391" s="10"/>
      <c r="AD391" s="7">
        <f>SUM(F391+H391+J391+L391+N391+P391+R391+T391+V391+X391+Z391+AB391)</f>
        <v>0</v>
      </c>
      <c r="AE391" s="7">
        <f>E391+AD391</f>
        <v>0</v>
      </c>
      <c r="AF391" s="8">
        <f>G391+I391+K391+M391+O391+Q391+S391+U391+W391+Y391+AA391+AC391</f>
        <v>0</v>
      </c>
      <c r="AG391" s="212">
        <f>SUM(AE391-AF391)</f>
        <v>0</v>
      </c>
      <c r="AH391" s="214"/>
      <c r="AI391" s="214"/>
    </row>
    <row r="392" spans="1:42" customHeight="1" ht="11.5">
      <c r="A392" s="5"/>
      <c r="B392" s="113"/>
      <c r="C392" s="90"/>
      <c r="D392" s="167"/>
      <c r="E392" s="86"/>
      <c r="F392" s="9"/>
      <c r="G392" s="10"/>
      <c r="H392" s="9"/>
      <c r="I392" s="10"/>
      <c r="J392" s="9"/>
      <c r="K392" s="10"/>
      <c r="L392" s="87"/>
      <c r="M392" s="10"/>
      <c r="N392" s="9"/>
      <c r="O392" s="10"/>
      <c r="P392" s="9"/>
      <c r="Q392" s="10"/>
      <c r="R392" s="9"/>
      <c r="S392" s="10"/>
      <c r="T392" s="9"/>
      <c r="U392" s="10"/>
      <c r="V392" s="9"/>
      <c r="W392" s="10"/>
      <c r="X392" s="9"/>
      <c r="Y392" s="10"/>
      <c r="Z392" s="9"/>
      <c r="AA392" s="10"/>
      <c r="AB392" s="11"/>
      <c r="AC392" s="10"/>
      <c r="AD392" s="7">
        <f>SUM(F392+H392+J392+L392+N392+P392+R392+T392+V392+X392+Z392+AB392)</f>
        <v>0</v>
      </c>
      <c r="AE392" s="7">
        <f>E392+AD392</f>
        <v>0</v>
      </c>
      <c r="AF392" s="8">
        <f>G392+I392+K392+M392+O392+Q392+S392+U392+W392+Y392+AA392+AC392</f>
        <v>0</v>
      </c>
      <c r="AG392" s="212">
        <f>SUM(AE392-AF392)</f>
        <v>0</v>
      </c>
      <c r="AH392" s="214"/>
      <c r="AI392" s="214"/>
    </row>
    <row r="393" spans="1:42" customHeight="1" ht="11.5">
      <c r="A393" s="5"/>
      <c r="B393" s="113"/>
      <c r="C393" s="90"/>
      <c r="D393" s="167"/>
      <c r="E393" s="86"/>
      <c r="F393" s="9"/>
      <c r="G393" s="10"/>
      <c r="H393" s="9"/>
      <c r="I393" s="10"/>
      <c r="J393" s="9"/>
      <c r="K393" s="10"/>
      <c r="L393" s="87"/>
      <c r="M393" s="10"/>
      <c r="N393" s="9"/>
      <c r="O393" s="10"/>
      <c r="P393" s="9"/>
      <c r="Q393" s="10"/>
      <c r="R393" s="9"/>
      <c r="S393" s="10"/>
      <c r="T393" s="9"/>
      <c r="U393" s="10"/>
      <c r="V393" s="9"/>
      <c r="W393" s="10"/>
      <c r="X393" s="9"/>
      <c r="Y393" s="10"/>
      <c r="Z393" s="9"/>
      <c r="AA393" s="10"/>
      <c r="AB393" s="11"/>
      <c r="AC393" s="10"/>
      <c r="AD393" s="7">
        <f>SUM(F393+H393+J393+L393+N393+P393+R393+T393+V393+X393+Z393+AB393)</f>
        <v>0</v>
      </c>
      <c r="AE393" s="7">
        <f>E393+AD393</f>
        <v>0</v>
      </c>
      <c r="AF393" s="8">
        <f>G393+I393+K393+M393+O393+Q393+S393+U393+W393+Y393+AA393+AC393</f>
        <v>0</v>
      </c>
      <c r="AG393" s="212">
        <f>SUM(AE393-AF393)</f>
        <v>0</v>
      </c>
      <c r="AH393" s="214"/>
      <c r="AI393" s="214"/>
    </row>
    <row r="394" spans="1:42" customHeight="1" ht="11.5">
      <c r="A394" s="5"/>
      <c r="B394" s="113"/>
      <c r="C394" s="90"/>
      <c r="D394" s="167"/>
      <c r="E394" s="86"/>
      <c r="F394" s="9"/>
      <c r="G394" s="10"/>
      <c r="H394" s="9"/>
      <c r="I394" s="10"/>
      <c r="J394" s="9"/>
      <c r="K394" s="10"/>
      <c r="L394" s="87"/>
      <c r="M394" s="10"/>
      <c r="N394" s="9"/>
      <c r="O394" s="10"/>
      <c r="P394" s="9"/>
      <c r="Q394" s="10"/>
      <c r="R394" s="9"/>
      <c r="S394" s="10"/>
      <c r="T394" s="9"/>
      <c r="U394" s="10"/>
      <c r="V394" s="9"/>
      <c r="W394" s="10"/>
      <c r="X394" s="9"/>
      <c r="Y394" s="10"/>
      <c r="Z394" s="9"/>
      <c r="AA394" s="10"/>
      <c r="AB394" s="11"/>
      <c r="AC394" s="10"/>
      <c r="AD394" s="7">
        <f>SUM(F394+H394+J394+L394+N394+P394+R394+T394+V394+X394+Z394+AB394)</f>
        <v>0</v>
      </c>
      <c r="AE394" s="7">
        <f>E394+AD394</f>
        <v>0</v>
      </c>
      <c r="AF394" s="8">
        <f>G394+I394+K394+M394+O394+Q394+S394+U394+W394+Y394+AA394+AC394</f>
        <v>0</v>
      </c>
      <c r="AG394" s="212">
        <f>SUM(AE394-AF394)</f>
        <v>0</v>
      </c>
      <c r="AH394" s="214"/>
      <c r="AI394" s="214"/>
    </row>
    <row r="395" spans="1:42" customHeight="1" ht="11.5">
      <c r="A395" s="5"/>
      <c r="B395" s="113"/>
      <c r="C395" s="90"/>
      <c r="D395" s="167"/>
      <c r="E395" s="86"/>
      <c r="F395" s="9"/>
      <c r="G395" s="10"/>
      <c r="H395" s="9"/>
      <c r="I395" s="10"/>
      <c r="J395" s="9"/>
      <c r="K395" s="10"/>
      <c r="L395" s="87"/>
      <c r="M395" s="10"/>
      <c r="N395" s="9"/>
      <c r="O395" s="10"/>
      <c r="P395" s="9"/>
      <c r="Q395" s="10"/>
      <c r="R395" s="9"/>
      <c r="S395" s="10"/>
      <c r="T395" s="9"/>
      <c r="U395" s="10"/>
      <c r="V395" s="9"/>
      <c r="W395" s="10"/>
      <c r="X395" s="9"/>
      <c r="Y395" s="10"/>
      <c r="Z395" s="9"/>
      <c r="AA395" s="10"/>
      <c r="AB395" s="11"/>
      <c r="AC395" s="10"/>
      <c r="AD395" s="7">
        <f>SUM(F395+H395+J395+L395+N395+P395+R395+T395+V395+X395+Z395+AB395)</f>
        <v>0</v>
      </c>
      <c r="AE395" s="7">
        <f>E395+AD395</f>
        <v>0</v>
      </c>
      <c r="AF395" s="8">
        <f>G395+I395+K395+M395+O395+Q395+S395+U395+W395+Y395+AA395+AC395</f>
        <v>0</v>
      </c>
      <c r="AG395" s="212">
        <f>SUM(AE395-AF395)</f>
        <v>0</v>
      </c>
      <c r="AH395" s="214"/>
      <c r="AI395" s="214"/>
    </row>
    <row r="396" spans="1:42" customHeight="1" ht="11.5">
      <c r="A396" s="5"/>
      <c r="B396" s="113"/>
      <c r="C396" s="90"/>
      <c r="D396" s="167"/>
      <c r="E396" s="86"/>
      <c r="F396" s="9"/>
      <c r="G396" s="10"/>
      <c r="H396" s="9"/>
      <c r="I396" s="10"/>
      <c r="J396" s="9"/>
      <c r="K396" s="10"/>
      <c r="L396" s="87"/>
      <c r="M396" s="10"/>
      <c r="N396" s="9"/>
      <c r="O396" s="10"/>
      <c r="P396" s="9"/>
      <c r="Q396" s="10"/>
      <c r="R396" s="9"/>
      <c r="S396" s="10"/>
      <c r="T396" s="9"/>
      <c r="U396" s="10"/>
      <c r="V396" s="9"/>
      <c r="W396" s="10"/>
      <c r="X396" s="9"/>
      <c r="Y396" s="10"/>
      <c r="Z396" s="9"/>
      <c r="AA396" s="10"/>
      <c r="AB396" s="11"/>
      <c r="AC396" s="10"/>
      <c r="AD396" s="7">
        <f>SUM(F396+H396+J396+L396+N396+P396+R396+T396+V396+X396+Z396+AB396)</f>
        <v>0</v>
      </c>
      <c r="AE396" s="7">
        <f>E396+AD396</f>
        <v>0</v>
      </c>
      <c r="AF396" s="8">
        <f>G396+I396+K396+M396+O396+Q396+S396+U396+W396+Y396+AA396+AC396</f>
        <v>0</v>
      </c>
      <c r="AG396" s="212">
        <f>SUM(AE396-AF396)</f>
        <v>0</v>
      </c>
      <c r="AH396" s="214"/>
      <c r="AI396" s="214"/>
    </row>
    <row r="397" spans="1:42" customHeight="1" ht="11.5">
      <c r="A397" s="5"/>
      <c r="B397" s="113"/>
      <c r="C397" s="90"/>
      <c r="D397" s="167"/>
      <c r="E397" s="86"/>
      <c r="F397" s="9"/>
      <c r="G397" s="10"/>
      <c r="H397" s="9"/>
      <c r="I397" s="10"/>
      <c r="J397" s="9"/>
      <c r="K397" s="10"/>
      <c r="L397" s="87"/>
      <c r="M397" s="10"/>
      <c r="N397" s="9"/>
      <c r="O397" s="10"/>
      <c r="P397" s="9"/>
      <c r="Q397" s="10"/>
      <c r="R397" s="9"/>
      <c r="S397" s="10"/>
      <c r="T397" s="9"/>
      <c r="U397" s="10"/>
      <c r="V397" s="9"/>
      <c r="W397" s="10"/>
      <c r="X397" s="9"/>
      <c r="Y397" s="10"/>
      <c r="Z397" s="9"/>
      <c r="AA397" s="10"/>
      <c r="AB397" s="11"/>
      <c r="AC397" s="10"/>
      <c r="AD397" s="7">
        <f>SUM(F397+H397+J397+L397+N397+P397+R397+T397+V397+X397+Z397+AB397)</f>
        <v>0</v>
      </c>
      <c r="AE397" s="7">
        <f>E397+AD397</f>
        <v>0</v>
      </c>
      <c r="AF397" s="8">
        <f>G397+I397+K397+M397+O397+Q397+S397+U397+W397+Y397+AA397+AC397</f>
        <v>0</v>
      </c>
      <c r="AG397" s="212">
        <f>SUM(AE397-AF397)</f>
        <v>0</v>
      </c>
      <c r="AH397" s="214"/>
      <c r="AI397" s="214"/>
    </row>
    <row r="398" spans="1:42" customHeight="1" ht="11.5">
      <c r="A398" s="5"/>
      <c r="B398" s="113"/>
      <c r="C398" s="90"/>
      <c r="D398" s="167"/>
      <c r="E398" s="86"/>
      <c r="F398" s="9"/>
      <c r="G398" s="10"/>
      <c r="H398" s="9"/>
      <c r="I398" s="10"/>
      <c r="J398" s="9"/>
      <c r="K398" s="10"/>
      <c r="L398" s="87"/>
      <c r="M398" s="10"/>
      <c r="N398" s="9"/>
      <c r="O398" s="10"/>
      <c r="P398" s="9"/>
      <c r="Q398" s="10"/>
      <c r="R398" s="9"/>
      <c r="S398" s="10"/>
      <c r="T398" s="9"/>
      <c r="U398" s="10"/>
      <c r="V398" s="9"/>
      <c r="W398" s="10"/>
      <c r="X398" s="9"/>
      <c r="Y398" s="10"/>
      <c r="Z398" s="9"/>
      <c r="AA398" s="10"/>
      <c r="AB398" s="11"/>
      <c r="AC398" s="10"/>
      <c r="AD398" s="7">
        <f>SUM(F398+H398+J398+L398+N398+P398+R398+T398+V398+X398+Z398+AB398)</f>
        <v>0</v>
      </c>
      <c r="AE398" s="7">
        <f>E398+AD398</f>
        <v>0</v>
      </c>
      <c r="AF398" s="8">
        <f>G398+I398+K398+M398+O398+Q398+S398+U398+W398+Y398+AA398+AC398</f>
        <v>0</v>
      </c>
      <c r="AG398" s="212">
        <f>SUM(AE398-AF398)</f>
        <v>0</v>
      </c>
      <c r="AH398" s="214"/>
      <c r="AI398" s="214"/>
    </row>
    <row r="399" spans="1:42" customHeight="1" ht="11.5">
      <c r="A399" s="5"/>
      <c r="B399" s="113"/>
      <c r="C399" s="90"/>
      <c r="D399" s="167"/>
      <c r="E399" s="86"/>
      <c r="F399" s="9"/>
      <c r="G399" s="10"/>
      <c r="H399" s="9"/>
      <c r="I399" s="10"/>
      <c r="J399" s="9"/>
      <c r="K399" s="10"/>
      <c r="L399" s="87"/>
      <c r="M399" s="10"/>
      <c r="N399" s="9"/>
      <c r="O399" s="10"/>
      <c r="P399" s="9"/>
      <c r="Q399" s="10"/>
      <c r="R399" s="9"/>
      <c r="S399" s="10"/>
      <c r="T399" s="9"/>
      <c r="U399" s="10"/>
      <c r="V399" s="9"/>
      <c r="W399" s="10"/>
      <c r="X399" s="9"/>
      <c r="Y399" s="10"/>
      <c r="Z399" s="9"/>
      <c r="AA399" s="10"/>
      <c r="AB399" s="11"/>
      <c r="AC399" s="10"/>
      <c r="AD399" s="7">
        <f>SUM(F399+H399+J399+L399+N399+P399+R399+T399+V399+X399+Z399+AB399)</f>
        <v>0</v>
      </c>
      <c r="AE399" s="7">
        <f>E399+AD399</f>
        <v>0</v>
      </c>
      <c r="AF399" s="8">
        <f>G399+I399+K399+M399+O399+Q399+S399+U399+W399+Y399+AA399+AC399</f>
        <v>0</v>
      </c>
      <c r="AG399" s="212">
        <f>SUM(AE399-AF399)</f>
        <v>0</v>
      </c>
      <c r="AH399" s="214"/>
      <c r="AI399" s="214"/>
    </row>
    <row r="400" spans="1:42" customHeight="1" ht="11.5">
      <c r="A400" s="5"/>
      <c r="B400" s="113"/>
      <c r="C400" s="90"/>
      <c r="D400" s="167"/>
      <c r="E400" s="86"/>
      <c r="F400" s="9"/>
      <c r="G400" s="10"/>
      <c r="H400" s="9"/>
      <c r="I400" s="10"/>
      <c r="J400" s="9"/>
      <c r="K400" s="10"/>
      <c r="L400" s="87"/>
      <c r="M400" s="10"/>
      <c r="N400" s="9"/>
      <c r="O400" s="10"/>
      <c r="P400" s="9"/>
      <c r="Q400" s="10"/>
      <c r="R400" s="9"/>
      <c r="S400" s="10"/>
      <c r="T400" s="9"/>
      <c r="U400" s="10"/>
      <c r="V400" s="9"/>
      <c r="W400" s="10"/>
      <c r="X400" s="9"/>
      <c r="Y400" s="10"/>
      <c r="Z400" s="9"/>
      <c r="AA400" s="10"/>
      <c r="AB400" s="11"/>
      <c r="AC400" s="10"/>
      <c r="AD400" s="7">
        <f>SUM(F400+H400+J400+L400+N400+P400+R400+T400+V400+X400+Z400+AB400)</f>
        <v>0</v>
      </c>
      <c r="AE400" s="7">
        <f>E400+AD400</f>
        <v>0</v>
      </c>
      <c r="AF400" s="8">
        <f>G400+I400+K400+M400+O400+Q400+S400+U400+W400+Y400+AA400+AC400</f>
        <v>0</v>
      </c>
      <c r="AG400" s="212">
        <f>SUM(AE400-AF400)</f>
        <v>0</v>
      </c>
      <c r="AH400" s="214"/>
      <c r="AI400" s="214"/>
    </row>
    <row r="401" spans="1:42" customHeight="1" ht="11.5">
      <c r="A401" s="5"/>
      <c r="B401" s="113"/>
      <c r="C401" s="90"/>
      <c r="D401" s="167"/>
      <c r="E401" s="86"/>
      <c r="F401" s="9"/>
      <c r="G401" s="10"/>
      <c r="H401" s="9"/>
      <c r="I401" s="10"/>
      <c r="J401" s="9"/>
      <c r="K401" s="10"/>
      <c r="L401" s="87"/>
      <c r="M401" s="10"/>
      <c r="N401" s="9"/>
      <c r="O401" s="10"/>
      <c r="P401" s="9"/>
      <c r="Q401" s="10"/>
      <c r="R401" s="9"/>
      <c r="S401" s="10"/>
      <c r="T401" s="9"/>
      <c r="U401" s="10"/>
      <c r="V401" s="9"/>
      <c r="W401" s="10"/>
      <c r="X401" s="9"/>
      <c r="Y401" s="10"/>
      <c r="Z401" s="9"/>
      <c r="AA401" s="10"/>
      <c r="AB401" s="11"/>
      <c r="AC401" s="10"/>
      <c r="AD401" s="7">
        <f>SUM(F401+H401+J401+L401+N401+P401+R401+T401+V401+X401+Z401+AB401)</f>
        <v>0</v>
      </c>
      <c r="AE401" s="7">
        <f>E401+AD401</f>
        <v>0</v>
      </c>
      <c r="AF401" s="8">
        <f>G401+I401+K401+M401+O401+Q401+S401+U401+W401+Y401+AA401+AC401</f>
        <v>0</v>
      </c>
      <c r="AG401" s="212">
        <f>SUM(AE401-AF401)</f>
        <v>0</v>
      </c>
      <c r="AH401" s="214"/>
      <c r="AI401" s="214"/>
    </row>
    <row r="402" spans="1:42" customHeight="1" ht="11.5">
      <c r="A402" s="5"/>
      <c r="B402" s="113"/>
      <c r="C402" s="90"/>
      <c r="D402" s="167"/>
      <c r="E402" s="86"/>
      <c r="F402" s="9"/>
      <c r="G402" s="10"/>
      <c r="H402" s="9"/>
      <c r="I402" s="10"/>
      <c r="J402" s="9"/>
      <c r="K402" s="10"/>
      <c r="L402" s="87"/>
      <c r="M402" s="10"/>
      <c r="N402" s="9"/>
      <c r="O402" s="10"/>
      <c r="P402" s="9"/>
      <c r="Q402" s="10"/>
      <c r="R402" s="9"/>
      <c r="S402" s="10"/>
      <c r="T402" s="9"/>
      <c r="U402" s="10"/>
      <c r="V402" s="9"/>
      <c r="W402" s="10"/>
      <c r="X402" s="9"/>
      <c r="Y402" s="10"/>
      <c r="Z402" s="9"/>
      <c r="AA402" s="10"/>
      <c r="AB402" s="11"/>
      <c r="AC402" s="10"/>
      <c r="AD402" s="7">
        <f>SUM(F402+H402+J402+L402+N402+P402+R402+T402+V402+X402+Z402+AB402)</f>
        <v>0</v>
      </c>
      <c r="AE402" s="7">
        <f>E402+AD402</f>
        <v>0</v>
      </c>
      <c r="AF402" s="8">
        <f>G402+I402+K402+M402+O402+Q402+S402+U402+W402+Y402+AA402+AC402</f>
        <v>0</v>
      </c>
      <c r="AG402" s="212">
        <f>SUM(AE402-AF402)</f>
        <v>0</v>
      </c>
      <c r="AH402" s="214"/>
      <c r="AI402" s="214"/>
    </row>
    <row r="403" spans="1:42" customHeight="1" ht="11.5">
      <c r="A403" s="5"/>
      <c r="B403" s="113"/>
      <c r="C403" s="90"/>
      <c r="D403" s="167"/>
      <c r="E403" s="86"/>
      <c r="F403" s="9"/>
      <c r="G403" s="10"/>
      <c r="H403" s="9"/>
      <c r="I403" s="10"/>
      <c r="J403" s="9"/>
      <c r="K403" s="10"/>
      <c r="L403" s="87"/>
      <c r="M403" s="10"/>
      <c r="N403" s="9"/>
      <c r="O403" s="10"/>
      <c r="P403" s="9"/>
      <c r="Q403" s="10"/>
      <c r="R403" s="9"/>
      <c r="S403" s="10"/>
      <c r="T403" s="9"/>
      <c r="U403" s="10"/>
      <c r="V403" s="9"/>
      <c r="W403" s="10"/>
      <c r="X403" s="9"/>
      <c r="Y403" s="10"/>
      <c r="Z403" s="9"/>
      <c r="AA403" s="10"/>
      <c r="AB403" s="11"/>
      <c r="AC403" s="10"/>
      <c r="AD403" s="7">
        <f>SUM(F403+H403+J403+L403+N403+P403+R403+T403+V403+X403+Z403+AB403)</f>
        <v>0</v>
      </c>
      <c r="AE403" s="7">
        <f>E403+AD403</f>
        <v>0</v>
      </c>
      <c r="AF403" s="8">
        <f>G403+I403+K403+M403+O403+Q403+S403+U403+W403+Y403+AA403+AC403</f>
        <v>0</v>
      </c>
      <c r="AG403" s="212">
        <f>SUM(AE403-AF403)</f>
        <v>0</v>
      </c>
      <c r="AH403" s="214"/>
      <c r="AI403" s="214"/>
    </row>
    <row r="404" spans="1:42" customHeight="1" ht="11.5">
      <c r="A404" s="5"/>
      <c r="B404" s="113"/>
      <c r="C404" s="90"/>
      <c r="D404" s="167"/>
      <c r="E404" s="86"/>
      <c r="F404" s="9"/>
      <c r="G404" s="10"/>
      <c r="H404" s="9"/>
      <c r="I404" s="10"/>
      <c r="J404" s="9"/>
      <c r="K404" s="10"/>
      <c r="L404" s="87"/>
      <c r="M404" s="10"/>
      <c r="N404" s="9"/>
      <c r="O404" s="10"/>
      <c r="P404" s="9"/>
      <c r="Q404" s="10"/>
      <c r="R404" s="9"/>
      <c r="S404" s="10"/>
      <c r="T404" s="9"/>
      <c r="U404" s="10"/>
      <c r="V404" s="9"/>
      <c r="W404" s="10"/>
      <c r="X404" s="9"/>
      <c r="Y404" s="10"/>
      <c r="Z404" s="9"/>
      <c r="AA404" s="10"/>
      <c r="AB404" s="11"/>
      <c r="AC404" s="10"/>
      <c r="AD404" s="7">
        <f>SUM(F404+H404+J404+L404+N404+P404+R404+T404+V404+X404+Z404+AB404)</f>
        <v>0</v>
      </c>
      <c r="AE404" s="7">
        <f>E404+AD404</f>
        <v>0</v>
      </c>
      <c r="AF404" s="8">
        <f>G404+I404+K404+M404+O404+Q404+S404+U404+W404+Y404+AA404+AC404</f>
        <v>0</v>
      </c>
      <c r="AG404" s="212">
        <f>SUM(AE404-AF404)</f>
        <v>0</v>
      </c>
      <c r="AH404" s="214"/>
      <c r="AI404" s="214"/>
    </row>
    <row r="405" spans="1:42" customHeight="1" ht="11.5">
      <c r="A405" s="5"/>
      <c r="B405" s="113"/>
      <c r="C405" s="90"/>
      <c r="D405" s="167"/>
      <c r="E405" s="86"/>
      <c r="F405" s="9"/>
      <c r="G405" s="10"/>
      <c r="H405" s="9"/>
      <c r="I405" s="10"/>
      <c r="J405" s="9"/>
      <c r="K405" s="10"/>
      <c r="L405" s="87"/>
      <c r="M405" s="10"/>
      <c r="N405" s="9"/>
      <c r="O405" s="10"/>
      <c r="P405" s="9"/>
      <c r="Q405" s="10"/>
      <c r="R405" s="9"/>
      <c r="S405" s="10"/>
      <c r="T405" s="9"/>
      <c r="U405" s="10"/>
      <c r="V405" s="9"/>
      <c r="W405" s="10"/>
      <c r="X405" s="9"/>
      <c r="Y405" s="10"/>
      <c r="Z405" s="9"/>
      <c r="AA405" s="10"/>
      <c r="AB405" s="11"/>
      <c r="AC405" s="10"/>
      <c r="AD405" s="7">
        <f>SUM(F405+H405+J405+L405+N405+P405+R405+T405+V405+X405+Z405+AB405)</f>
        <v>0</v>
      </c>
      <c r="AE405" s="7">
        <f>E405+AD405</f>
        <v>0</v>
      </c>
      <c r="AF405" s="8">
        <f>G405+I405+K405+M405+O405+Q405+S405+U405+W405+Y405+AA405+AC405</f>
        <v>0</v>
      </c>
      <c r="AG405" s="212">
        <f>SUM(AE405-AF405)</f>
        <v>0</v>
      </c>
      <c r="AH405" s="214"/>
      <c r="AI405" s="214"/>
    </row>
    <row r="406" spans="1:42" customHeight="1" ht="11.5">
      <c r="A406" s="5"/>
      <c r="B406" s="113"/>
      <c r="C406" s="90"/>
      <c r="D406" s="167"/>
      <c r="E406" s="86"/>
      <c r="F406" s="9"/>
      <c r="G406" s="10"/>
      <c r="H406" s="9"/>
      <c r="I406" s="10"/>
      <c r="J406" s="9"/>
      <c r="K406" s="10"/>
      <c r="L406" s="87"/>
      <c r="M406" s="10"/>
      <c r="N406" s="9"/>
      <c r="O406" s="10"/>
      <c r="P406" s="9"/>
      <c r="Q406" s="10"/>
      <c r="R406" s="9"/>
      <c r="S406" s="10"/>
      <c r="T406" s="9"/>
      <c r="U406" s="10"/>
      <c r="V406" s="9"/>
      <c r="W406" s="10"/>
      <c r="X406" s="9"/>
      <c r="Y406" s="10"/>
      <c r="Z406" s="9"/>
      <c r="AA406" s="10"/>
      <c r="AB406" s="11"/>
      <c r="AC406" s="10"/>
      <c r="AD406" s="7">
        <f>SUM(F406+H406+J406+L406+N406+P406+R406+T406+V406+X406+Z406+AB406)</f>
        <v>0</v>
      </c>
      <c r="AE406" s="7">
        <f>E406+AD406</f>
        <v>0</v>
      </c>
      <c r="AF406" s="8">
        <f>G406+I406+K406+M406+O406+Q406+S406+U406+W406+Y406+AA406+AC406</f>
        <v>0</v>
      </c>
      <c r="AG406" s="212">
        <f>SUM(AE406-AF406)</f>
        <v>0</v>
      </c>
      <c r="AH406" s="214"/>
      <c r="AI406" s="214"/>
    </row>
    <row r="407" spans="1:42" customHeight="1" ht="11.5">
      <c r="A407" s="5"/>
      <c r="B407" s="113"/>
      <c r="C407" s="90"/>
      <c r="D407" s="167"/>
      <c r="E407" s="86"/>
      <c r="F407" s="9"/>
      <c r="G407" s="10"/>
      <c r="H407" s="9"/>
      <c r="I407" s="10"/>
      <c r="J407" s="9"/>
      <c r="K407" s="10"/>
      <c r="L407" s="87"/>
      <c r="M407" s="10"/>
      <c r="N407" s="9"/>
      <c r="O407" s="10"/>
      <c r="P407" s="9"/>
      <c r="Q407" s="10"/>
      <c r="R407" s="9"/>
      <c r="S407" s="10"/>
      <c r="T407" s="9"/>
      <c r="U407" s="10"/>
      <c r="V407" s="9"/>
      <c r="W407" s="10"/>
      <c r="X407" s="9"/>
      <c r="Y407" s="10"/>
      <c r="Z407" s="9"/>
      <c r="AA407" s="10"/>
      <c r="AB407" s="11"/>
      <c r="AC407" s="10"/>
      <c r="AD407" s="7">
        <f>SUM(F407+H407+J407+L407+N407+P407+R407+T407+V407+X407+Z407+AB407)</f>
        <v>0</v>
      </c>
      <c r="AE407" s="7">
        <f>E407+AD407</f>
        <v>0</v>
      </c>
      <c r="AF407" s="8">
        <f>G407+I407+K407+M407+O407+Q407+S407+U407+W407+Y407+AA407+AC407</f>
        <v>0</v>
      </c>
      <c r="AG407" s="212">
        <f>SUM(AE407-AF407)</f>
        <v>0</v>
      </c>
      <c r="AH407" s="214"/>
      <c r="AI407" s="214"/>
    </row>
    <row r="408" spans="1:42" customHeight="1" ht="11.5">
      <c r="A408" s="5"/>
      <c r="B408" s="113"/>
      <c r="C408" s="90"/>
      <c r="D408" s="167"/>
      <c r="E408" s="86"/>
      <c r="F408" s="9"/>
      <c r="G408" s="10"/>
      <c r="H408" s="9"/>
      <c r="I408" s="10"/>
      <c r="J408" s="9"/>
      <c r="K408" s="10"/>
      <c r="L408" s="87"/>
      <c r="M408" s="10"/>
      <c r="N408" s="9"/>
      <c r="O408" s="10"/>
      <c r="P408" s="9"/>
      <c r="Q408" s="10"/>
      <c r="R408" s="9"/>
      <c r="S408" s="10"/>
      <c r="T408" s="9"/>
      <c r="U408" s="10"/>
      <c r="V408" s="9"/>
      <c r="W408" s="10"/>
      <c r="X408" s="9"/>
      <c r="Y408" s="10"/>
      <c r="Z408" s="9"/>
      <c r="AA408" s="10"/>
      <c r="AB408" s="11"/>
      <c r="AC408" s="10"/>
      <c r="AD408" s="7">
        <f>SUM(F408+H408+J408+L408+N408+P408+R408+T408+V408+X408+Z408+AB408)</f>
        <v>0</v>
      </c>
      <c r="AE408" s="7">
        <f>E408+AD408</f>
        <v>0</v>
      </c>
      <c r="AF408" s="8">
        <f>G408+I408+K408+M408+O408+Q408+S408+U408+W408+Y408+AA408+AC408</f>
        <v>0</v>
      </c>
      <c r="AG408" s="212">
        <f>SUM(AE408-AF408)</f>
        <v>0</v>
      </c>
      <c r="AH408" s="214"/>
      <c r="AI408" s="214"/>
    </row>
    <row r="409" spans="1:42" customHeight="1" ht="11.5">
      <c r="A409" s="5"/>
      <c r="B409" s="113"/>
      <c r="C409" s="90"/>
      <c r="D409" s="167"/>
      <c r="E409" s="86"/>
      <c r="F409" s="9"/>
      <c r="G409" s="10"/>
      <c r="H409" s="9"/>
      <c r="I409" s="10"/>
      <c r="J409" s="9"/>
      <c r="K409" s="10"/>
      <c r="L409" s="87"/>
      <c r="M409" s="10"/>
      <c r="N409" s="9"/>
      <c r="O409" s="10"/>
      <c r="P409" s="9"/>
      <c r="Q409" s="10"/>
      <c r="R409" s="9"/>
      <c r="S409" s="10"/>
      <c r="T409" s="9"/>
      <c r="U409" s="10"/>
      <c r="V409" s="9"/>
      <c r="W409" s="10"/>
      <c r="X409" s="9"/>
      <c r="Y409" s="10"/>
      <c r="Z409" s="9"/>
      <c r="AA409" s="10"/>
      <c r="AB409" s="11"/>
      <c r="AC409" s="10"/>
      <c r="AD409" s="7">
        <f>SUM(F409+H409+J409+L409+N409+P409+R409+T409+V409+X409+Z409+AB409)</f>
        <v>0</v>
      </c>
      <c r="AE409" s="7">
        <f>E409+AD409</f>
        <v>0</v>
      </c>
      <c r="AF409" s="8">
        <f>G409+I409+K409+M409+O409+Q409+S409+U409+W409+Y409+AA409+AC409</f>
        <v>0</v>
      </c>
      <c r="AG409" s="212">
        <f>SUM(AE409-AF409)</f>
        <v>0</v>
      </c>
      <c r="AH409" s="214"/>
      <c r="AI409" s="214"/>
    </row>
    <row r="410" spans="1:42" customHeight="1" ht="11.5">
      <c r="A410" s="5"/>
      <c r="B410" s="113"/>
      <c r="C410" s="90"/>
      <c r="D410" s="167"/>
      <c r="E410" s="86"/>
      <c r="F410" s="9"/>
      <c r="G410" s="10"/>
      <c r="H410" s="9"/>
      <c r="I410" s="10"/>
      <c r="J410" s="9"/>
      <c r="K410" s="10"/>
      <c r="L410" s="87"/>
      <c r="M410" s="10"/>
      <c r="N410" s="9"/>
      <c r="O410" s="10"/>
      <c r="P410" s="9"/>
      <c r="Q410" s="10"/>
      <c r="R410" s="9"/>
      <c r="S410" s="10"/>
      <c r="T410" s="9"/>
      <c r="U410" s="10"/>
      <c r="V410" s="9"/>
      <c r="W410" s="10"/>
      <c r="X410" s="9"/>
      <c r="Y410" s="10"/>
      <c r="Z410" s="9"/>
      <c r="AA410" s="10"/>
      <c r="AB410" s="11"/>
      <c r="AC410" s="10"/>
      <c r="AD410" s="7">
        <f>SUM(F410+H410+J410+L410+N410+P410+R410+T410+V410+X410+Z410+AB410)</f>
        <v>0</v>
      </c>
      <c r="AE410" s="7">
        <f>E410+AD410</f>
        <v>0</v>
      </c>
      <c r="AF410" s="8">
        <f>G410+I410+K410+M410+O410+Q410+S410+U410+W410+Y410+AA410+AC410</f>
        <v>0</v>
      </c>
      <c r="AG410" s="212">
        <f>SUM(AE410-AF410)</f>
        <v>0</v>
      </c>
      <c r="AH410" s="214"/>
      <c r="AI410" s="214"/>
    </row>
    <row r="411" spans="1:42" customHeight="1" ht="11.5">
      <c r="A411" s="5"/>
      <c r="B411" s="113"/>
      <c r="C411" s="90"/>
      <c r="D411" s="167"/>
      <c r="E411" s="86"/>
      <c r="F411" s="9"/>
      <c r="G411" s="10"/>
      <c r="H411" s="9"/>
      <c r="I411" s="10"/>
      <c r="J411" s="9"/>
      <c r="K411" s="10"/>
      <c r="L411" s="87"/>
      <c r="M411" s="10"/>
      <c r="N411" s="9"/>
      <c r="O411" s="10"/>
      <c r="P411" s="9"/>
      <c r="Q411" s="10"/>
      <c r="R411" s="9"/>
      <c r="S411" s="10"/>
      <c r="T411" s="9"/>
      <c r="U411" s="10"/>
      <c r="V411" s="9"/>
      <c r="W411" s="10"/>
      <c r="X411" s="9"/>
      <c r="Y411" s="10"/>
      <c r="Z411" s="9"/>
      <c r="AA411" s="10"/>
      <c r="AB411" s="11"/>
      <c r="AC411" s="10"/>
      <c r="AD411" s="7">
        <f>SUM(F411+H411+J411+L411+N411+P411+R411+T411+V411+X411+Z411+AB411)</f>
        <v>0</v>
      </c>
      <c r="AE411" s="7">
        <f>E411+AD411</f>
        <v>0</v>
      </c>
      <c r="AF411" s="8">
        <f>G411+I411+K411+M411+O411+Q411+S411+U411+W411+Y411+AA411+AC411</f>
        <v>0</v>
      </c>
      <c r="AG411" s="212">
        <f>SUM(AE411-AF411)</f>
        <v>0</v>
      </c>
      <c r="AH411" s="214"/>
      <c r="AI411" s="214"/>
    </row>
    <row r="412" spans="1:42" customHeight="1" ht="11.5">
      <c r="A412" s="5"/>
      <c r="B412" s="113"/>
      <c r="C412" s="90"/>
      <c r="D412" s="167"/>
      <c r="E412" s="86"/>
      <c r="F412" s="9"/>
      <c r="G412" s="10"/>
      <c r="H412" s="9"/>
      <c r="I412" s="10"/>
      <c r="J412" s="9"/>
      <c r="K412" s="10"/>
      <c r="L412" s="87"/>
      <c r="M412" s="10"/>
      <c r="N412" s="9"/>
      <c r="O412" s="10"/>
      <c r="P412" s="9"/>
      <c r="Q412" s="10"/>
      <c r="R412" s="9"/>
      <c r="S412" s="10"/>
      <c r="T412" s="9"/>
      <c r="U412" s="10"/>
      <c r="V412" s="9"/>
      <c r="W412" s="10"/>
      <c r="X412" s="9"/>
      <c r="Y412" s="10"/>
      <c r="Z412" s="9"/>
      <c r="AA412" s="10"/>
      <c r="AB412" s="11"/>
      <c r="AC412" s="10"/>
      <c r="AD412" s="7">
        <f>SUM(F412+H412+J412+L412+N412+P412+R412+T412+V412+X412+Z412+AB412)</f>
        <v>0</v>
      </c>
      <c r="AE412" s="7">
        <f>E412+AD412</f>
        <v>0</v>
      </c>
      <c r="AF412" s="8">
        <f>G412+I412+K412+M412+O412+Q412+S412+U412+W412+Y412+AA412+AC412</f>
        <v>0</v>
      </c>
      <c r="AG412" s="212">
        <f>SUM(AE412-AF412)</f>
        <v>0</v>
      </c>
      <c r="AH412" s="214"/>
      <c r="AI412" s="214"/>
    </row>
    <row r="413" spans="1:42" customHeight="1" ht="11.5">
      <c r="A413" s="5"/>
      <c r="B413" s="113"/>
      <c r="C413" s="90"/>
      <c r="D413" s="167"/>
      <c r="E413" s="86"/>
      <c r="F413" s="9"/>
      <c r="G413" s="10"/>
      <c r="H413" s="9"/>
      <c r="I413" s="10"/>
      <c r="J413" s="9"/>
      <c r="K413" s="10"/>
      <c r="L413" s="87"/>
      <c r="M413" s="10"/>
      <c r="N413" s="9"/>
      <c r="O413" s="10"/>
      <c r="P413" s="9"/>
      <c r="Q413" s="10"/>
      <c r="R413" s="9"/>
      <c r="S413" s="10"/>
      <c r="T413" s="9"/>
      <c r="U413" s="10"/>
      <c r="V413" s="9"/>
      <c r="W413" s="10"/>
      <c r="X413" s="9"/>
      <c r="Y413" s="10"/>
      <c r="Z413" s="9"/>
      <c r="AA413" s="10"/>
      <c r="AB413" s="11"/>
      <c r="AC413" s="10"/>
      <c r="AD413" s="7">
        <f>SUM(F413+H413+J413+L413+N413+P413+R413+T413+V413+X413+Z413+AB413)</f>
        <v>0</v>
      </c>
      <c r="AE413" s="7">
        <f>E413+AD413</f>
        <v>0</v>
      </c>
      <c r="AF413" s="8">
        <f>G413+I413+K413+M413+O413+Q413+S413+U413+W413+Y413+AA413+AC413</f>
        <v>0</v>
      </c>
      <c r="AG413" s="212">
        <f>SUM(AE413-AF413)</f>
        <v>0</v>
      </c>
      <c r="AH413" s="214"/>
      <c r="AI413" s="214"/>
    </row>
    <row r="414" spans="1:42" customHeight="1" ht="11.5">
      <c r="A414" s="5"/>
      <c r="B414" s="113"/>
      <c r="C414" s="90"/>
      <c r="D414" s="167"/>
      <c r="E414" s="86"/>
      <c r="F414" s="9"/>
      <c r="G414" s="10"/>
      <c r="H414" s="9"/>
      <c r="I414" s="10"/>
      <c r="J414" s="9"/>
      <c r="K414" s="10"/>
      <c r="L414" s="87"/>
      <c r="M414" s="10"/>
      <c r="N414" s="9"/>
      <c r="O414" s="10"/>
      <c r="P414" s="9"/>
      <c r="Q414" s="10"/>
      <c r="R414" s="9"/>
      <c r="S414" s="10"/>
      <c r="T414" s="9"/>
      <c r="U414" s="10"/>
      <c r="V414" s="9"/>
      <c r="W414" s="10"/>
      <c r="X414" s="9"/>
      <c r="Y414" s="10"/>
      <c r="Z414" s="9"/>
      <c r="AA414" s="10"/>
      <c r="AB414" s="11"/>
      <c r="AC414" s="10"/>
      <c r="AD414" s="7">
        <f>SUM(F414+H414+J414+L414+N414+P414+R414+T414+V414+X414+Z414+AB414)</f>
        <v>0</v>
      </c>
      <c r="AE414" s="7">
        <f>E414+AD414</f>
        <v>0</v>
      </c>
      <c r="AF414" s="8">
        <f>G414+I414+K414+M414+O414+Q414+S414+U414+W414+Y414+AA414+AC414</f>
        <v>0</v>
      </c>
      <c r="AG414" s="212">
        <f>SUM(AE414-AF414)</f>
        <v>0</v>
      </c>
      <c r="AH414" s="214"/>
      <c r="AI414" s="214"/>
    </row>
    <row r="415" spans="1:42" customHeight="1" ht="11.5">
      <c r="A415" s="5"/>
      <c r="B415" s="113"/>
      <c r="C415" s="90"/>
      <c r="D415" s="167"/>
      <c r="E415" s="86"/>
      <c r="F415" s="9"/>
      <c r="G415" s="10"/>
      <c r="H415" s="9"/>
      <c r="I415" s="10"/>
      <c r="J415" s="9"/>
      <c r="K415" s="10"/>
      <c r="L415" s="87"/>
      <c r="M415" s="10"/>
      <c r="N415" s="9"/>
      <c r="O415" s="10"/>
      <c r="P415" s="9"/>
      <c r="Q415" s="10"/>
      <c r="R415" s="9"/>
      <c r="S415" s="10"/>
      <c r="T415" s="9"/>
      <c r="U415" s="10"/>
      <c r="V415" s="9"/>
      <c r="W415" s="10"/>
      <c r="X415" s="9"/>
      <c r="Y415" s="10"/>
      <c r="Z415" s="9"/>
      <c r="AA415" s="10"/>
      <c r="AB415" s="11"/>
      <c r="AC415" s="10"/>
      <c r="AD415" s="7">
        <f>SUM(F415+H415+J415+L415+N415+P415+R415+T415+V415+X415+Z415+AB415)</f>
        <v>0</v>
      </c>
      <c r="AE415" s="7">
        <f>E415+AD415</f>
        <v>0</v>
      </c>
      <c r="AF415" s="8">
        <f>G415+I415+K415+M415+O415+Q415+S415+U415+W415+Y415+AA415+AC415</f>
        <v>0</v>
      </c>
      <c r="AG415" s="212">
        <f>SUM(AE415-AF415)</f>
        <v>0</v>
      </c>
      <c r="AH415" s="214"/>
      <c r="AI415" s="214"/>
    </row>
    <row r="416" spans="1:42" customHeight="1" ht="11.5">
      <c r="A416" s="5"/>
      <c r="B416" s="113"/>
      <c r="C416" s="90"/>
      <c r="D416" s="167"/>
      <c r="E416" s="86"/>
      <c r="F416" s="9"/>
      <c r="G416" s="10"/>
      <c r="H416" s="9"/>
      <c r="I416" s="10"/>
      <c r="J416" s="9"/>
      <c r="K416" s="10"/>
      <c r="L416" s="87"/>
      <c r="M416" s="10"/>
      <c r="N416" s="9"/>
      <c r="O416" s="10"/>
      <c r="P416" s="9"/>
      <c r="Q416" s="10"/>
      <c r="R416" s="9"/>
      <c r="S416" s="10"/>
      <c r="T416" s="9"/>
      <c r="U416" s="10"/>
      <c r="V416" s="9"/>
      <c r="W416" s="10"/>
      <c r="X416" s="9"/>
      <c r="Y416" s="10"/>
      <c r="Z416" s="9"/>
      <c r="AA416" s="10"/>
      <c r="AB416" s="11"/>
      <c r="AC416" s="10"/>
      <c r="AD416" s="7">
        <f>SUM(F416+H416+J416+L416+N416+P416+R416+T416+V416+X416+Z416+AB416)</f>
        <v>0</v>
      </c>
      <c r="AE416" s="7">
        <f>E416+AD416</f>
        <v>0</v>
      </c>
      <c r="AF416" s="8">
        <f>G416+I416+K416+M416+O416+Q416+S416+U416+W416+Y416+AA416+AC416</f>
        <v>0</v>
      </c>
      <c r="AG416" s="212">
        <f>SUM(AE416-AF416)</f>
        <v>0</v>
      </c>
      <c r="AH416" s="214"/>
      <c r="AI416" s="214"/>
    </row>
    <row r="417" spans="1:42" customHeight="1" ht="11.5">
      <c r="A417" s="5"/>
      <c r="B417" s="113"/>
      <c r="C417" s="90"/>
      <c r="D417" s="167"/>
      <c r="E417" s="86"/>
      <c r="F417" s="9"/>
      <c r="G417" s="10"/>
      <c r="H417" s="9"/>
      <c r="I417" s="10"/>
      <c r="J417" s="9"/>
      <c r="K417" s="10"/>
      <c r="L417" s="87"/>
      <c r="M417" s="10"/>
      <c r="N417" s="9"/>
      <c r="O417" s="10"/>
      <c r="P417" s="9"/>
      <c r="Q417" s="10"/>
      <c r="R417" s="9"/>
      <c r="S417" s="10"/>
      <c r="T417" s="9"/>
      <c r="U417" s="10"/>
      <c r="V417" s="9"/>
      <c r="W417" s="10"/>
      <c r="X417" s="9"/>
      <c r="Y417" s="10"/>
      <c r="Z417" s="9"/>
      <c r="AA417" s="10"/>
      <c r="AB417" s="11"/>
      <c r="AC417" s="10"/>
      <c r="AD417" s="7">
        <f>SUM(F417+H417+J417+L417+N417+P417+R417+T417+V417+X417+Z417+AB417)</f>
        <v>0</v>
      </c>
      <c r="AE417" s="7">
        <f>E417+AD417</f>
        <v>0</v>
      </c>
      <c r="AF417" s="8">
        <f>G417+I417+K417+M417+O417+Q417+S417+U417+W417+Y417+AA417+AC417</f>
        <v>0</v>
      </c>
      <c r="AG417" s="212">
        <f>SUM(AE417-AF417)</f>
        <v>0</v>
      </c>
      <c r="AH417" s="214"/>
      <c r="AI417" s="214"/>
    </row>
    <row r="418" spans="1:42" customHeight="1" ht="11.5">
      <c r="A418" s="5"/>
      <c r="B418" s="113"/>
      <c r="C418" s="90"/>
      <c r="D418" s="167"/>
      <c r="E418" s="86"/>
      <c r="F418" s="9"/>
      <c r="G418" s="10"/>
      <c r="H418" s="9"/>
      <c r="I418" s="10"/>
      <c r="J418" s="9"/>
      <c r="K418" s="10"/>
      <c r="L418" s="87"/>
      <c r="M418" s="10"/>
      <c r="N418" s="9"/>
      <c r="O418" s="10"/>
      <c r="P418" s="9"/>
      <c r="Q418" s="10"/>
      <c r="R418" s="9"/>
      <c r="S418" s="10"/>
      <c r="T418" s="9"/>
      <c r="U418" s="10"/>
      <c r="V418" s="9"/>
      <c r="W418" s="10"/>
      <c r="X418" s="9"/>
      <c r="Y418" s="10"/>
      <c r="Z418" s="9"/>
      <c r="AA418" s="10"/>
      <c r="AB418" s="11"/>
      <c r="AC418" s="10"/>
      <c r="AD418" s="7">
        <f>SUM(F418+H418+J418+L418+N418+P418+R418+T418+V418+X418+Z418+AB418)</f>
        <v>0</v>
      </c>
      <c r="AE418" s="7">
        <f>E418+AD418</f>
        <v>0</v>
      </c>
      <c r="AF418" s="8">
        <f>G418+I418+K418+M418+O418+Q418+S418+U418+W418+Y418+AA418+AC418</f>
        <v>0</v>
      </c>
      <c r="AG418" s="212">
        <f>SUM(AE418-AF418)</f>
        <v>0</v>
      </c>
      <c r="AH418" s="214"/>
      <c r="AI418" s="214"/>
    </row>
    <row r="419" spans="1:42" customHeight="1" ht="11.5">
      <c r="A419" s="5"/>
      <c r="B419" s="113"/>
      <c r="C419" s="90"/>
      <c r="D419" s="167"/>
      <c r="E419" s="86"/>
      <c r="F419" s="9"/>
      <c r="G419" s="10"/>
      <c r="H419" s="9"/>
      <c r="I419" s="10"/>
      <c r="J419" s="9"/>
      <c r="K419" s="10"/>
      <c r="L419" s="87"/>
      <c r="M419" s="10"/>
      <c r="N419" s="9"/>
      <c r="O419" s="10"/>
      <c r="P419" s="9"/>
      <c r="Q419" s="10"/>
      <c r="R419" s="9"/>
      <c r="S419" s="10"/>
      <c r="T419" s="9"/>
      <c r="U419" s="10"/>
      <c r="V419" s="9"/>
      <c r="W419" s="10"/>
      <c r="X419" s="9"/>
      <c r="Y419" s="10"/>
      <c r="Z419" s="9"/>
      <c r="AA419" s="10"/>
      <c r="AB419" s="11"/>
      <c r="AC419" s="10"/>
      <c r="AD419" s="7">
        <f>SUM(F419+H419+J419+L419+N419+P419+R419+T419+V419+X419+Z419+AB419)</f>
        <v>0</v>
      </c>
      <c r="AE419" s="7">
        <f>E419+AD419</f>
        <v>0</v>
      </c>
      <c r="AF419" s="8">
        <f>G419+I419+K419+M419+O419+Q419+S419+U419+W419+Y419+AA419+AC419</f>
        <v>0</v>
      </c>
      <c r="AG419" s="212">
        <f>SUM(AE419-AF419)</f>
        <v>0</v>
      </c>
      <c r="AH419" s="214"/>
      <c r="AI419" s="214"/>
    </row>
    <row r="420" spans="1:42" customHeight="1" ht="11.5">
      <c r="A420" s="5"/>
      <c r="B420" s="113"/>
      <c r="C420" s="90"/>
      <c r="D420" s="167"/>
      <c r="E420" s="86"/>
      <c r="F420" s="9"/>
      <c r="G420" s="10"/>
      <c r="H420" s="9"/>
      <c r="I420" s="10"/>
      <c r="J420" s="9"/>
      <c r="K420" s="10"/>
      <c r="L420" s="87"/>
      <c r="M420" s="10"/>
      <c r="N420" s="9"/>
      <c r="O420" s="10"/>
      <c r="P420" s="9"/>
      <c r="Q420" s="10"/>
      <c r="R420" s="9"/>
      <c r="S420" s="10"/>
      <c r="T420" s="9"/>
      <c r="U420" s="10"/>
      <c r="V420" s="9"/>
      <c r="W420" s="10"/>
      <c r="X420" s="9"/>
      <c r="Y420" s="10"/>
      <c r="Z420" s="9"/>
      <c r="AA420" s="10"/>
      <c r="AB420" s="11"/>
      <c r="AC420" s="10"/>
      <c r="AD420" s="7">
        <f>SUM(F420+H420+J420+L420+N420+P420+R420+T420+V420+X420+Z420+AB420)</f>
        <v>0</v>
      </c>
      <c r="AE420" s="7">
        <f>E420+AD420</f>
        <v>0</v>
      </c>
      <c r="AF420" s="8">
        <f>G420+I420+K420+M420+O420+Q420+S420+U420+W420+Y420+AA420+AC420</f>
        <v>0</v>
      </c>
      <c r="AG420" s="212">
        <f>SUM(AE420-AF420)</f>
        <v>0</v>
      </c>
      <c r="AH420" s="214"/>
      <c r="AI420" s="214"/>
    </row>
    <row r="421" spans="1:42" customHeight="1" ht="11.5">
      <c r="A421" s="5"/>
      <c r="B421" s="113"/>
      <c r="C421" s="90"/>
      <c r="D421" s="167"/>
      <c r="E421" s="86"/>
      <c r="F421" s="9"/>
      <c r="G421" s="10"/>
      <c r="H421" s="9"/>
      <c r="I421" s="10"/>
      <c r="J421" s="9"/>
      <c r="K421" s="10"/>
      <c r="L421" s="87"/>
      <c r="M421" s="10"/>
      <c r="N421" s="9"/>
      <c r="O421" s="10"/>
      <c r="P421" s="9"/>
      <c r="Q421" s="10"/>
      <c r="R421" s="9"/>
      <c r="S421" s="10"/>
      <c r="T421" s="9"/>
      <c r="U421" s="10"/>
      <c r="V421" s="9"/>
      <c r="W421" s="10"/>
      <c r="X421" s="9"/>
      <c r="Y421" s="10"/>
      <c r="Z421" s="9"/>
      <c r="AA421" s="10"/>
      <c r="AB421" s="11"/>
      <c r="AC421" s="10"/>
      <c r="AD421" s="7">
        <f>SUM(F421+H421+J421+L421+N421+P421+R421+T421+V421+X421+Z421+AB421)</f>
        <v>0</v>
      </c>
      <c r="AE421" s="7">
        <f>E421+AD421</f>
        <v>0</v>
      </c>
      <c r="AF421" s="8">
        <f>G421+I421+K421+M421+O421+Q421+S421+U421+W421+Y421+AA421+AC421</f>
        <v>0</v>
      </c>
      <c r="AG421" s="212">
        <f>SUM(AE421-AF421)</f>
        <v>0</v>
      </c>
      <c r="AH421" s="214"/>
      <c r="AI421" s="214"/>
    </row>
    <row r="422" spans="1:42" customHeight="1" ht="11.5">
      <c r="A422" s="5"/>
      <c r="B422" s="113"/>
      <c r="C422" s="90"/>
      <c r="D422" s="167"/>
      <c r="E422" s="86"/>
      <c r="F422" s="9"/>
      <c r="G422" s="10"/>
      <c r="H422" s="9"/>
      <c r="I422" s="10"/>
      <c r="J422" s="9"/>
      <c r="K422" s="10"/>
      <c r="L422" s="87"/>
      <c r="M422" s="10"/>
      <c r="N422" s="9"/>
      <c r="O422" s="10"/>
      <c r="P422" s="9"/>
      <c r="Q422" s="10"/>
      <c r="R422" s="9"/>
      <c r="S422" s="10"/>
      <c r="T422" s="9"/>
      <c r="U422" s="10"/>
      <c r="V422" s="9"/>
      <c r="W422" s="10"/>
      <c r="X422" s="9"/>
      <c r="Y422" s="10"/>
      <c r="Z422" s="9"/>
      <c r="AA422" s="10"/>
      <c r="AB422" s="11"/>
      <c r="AC422" s="10"/>
      <c r="AD422" s="7">
        <f>SUM(F422+H422+J422+L422+N422+P422+R422+T422+V422+X422+Z422+AB422)</f>
        <v>0</v>
      </c>
      <c r="AE422" s="7">
        <f>E422+AD422</f>
        <v>0</v>
      </c>
      <c r="AF422" s="8">
        <f>G422+I422+K422+M422+O422+Q422+S422+U422+W422+Y422+AA422+AC422</f>
        <v>0</v>
      </c>
      <c r="AG422" s="212">
        <f>SUM(AE422-AF422)</f>
        <v>0</v>
      </c>
      <c r="AH422" s="214"/>
      <c r="AI422" s="214"/>
    </row>
    <row r="423" spans="1:42" customHeight="1" ht="11.5">
      <c r="A423" s="5"/>
      <c r="B423" s="113"/>
      <c r="C423" s="90"/>
      <c r="D423" s="167"/>
      <c r="E423" s="86"/>
      <c r="F423" s="9"/>
      <c r="G423" s="10"/>
      <c r="H423" s="9"/>
      <c r="I423" s="10"/>
      <c r="J423" s="9"/>
      <c r="K423" s="10"/>
      <c r="L423" s="87"/>
      <c r="M423" s="10"/>
      <c r="N423" s="9"/>
      <c r="O423" s="10"/>
      <c r="P423" s="9"/>
      <c r="Q423" s="10"/>
      <c r="R423" s="9"/>
      <c r="S423" s="10"/>
      <c r="T423" s="9"/>
      <c r="U423" s="10"/>
      <c r="V423" s="9"/>
      <c r="W423" s="10"/>
      <c r="X423" s="9"/>
      <c r="Y423" s="10"/>
      <c r="Z423" s="9"/>
      <c r="AA423" s="10"/>
      <c r="AB423" s="11"/>
      <c r="AC423" s="10"/>
      <c r="AD423" s="7">
        <f>SUM(F423+H423+J423+L423+N423+P423+R423+T423+V423+X423+Z423+AB423)</f>
        <v>0</v>
      </c>
      <c r="AE423" s="7">
        <f>E423+AD423</f>
        <v>0</v>
      </c>
      <c r="AF423" s="8">
        <f>G423+I423+K423+M423+O423+Q423+S423+U423+W423+Y423+AA423+AC423</f>
        <v>0</v>
      </c>
      <c r="AG423" s="212">
        <f>SUM(AE423-AF423)</f>
        <v>0</v>
      </c>
      <c r="AH423" s="214"/>
      <c r="AI423" s="214"/>
    </row>
    <row r="424" spans="1:42" customHeight="1" ht="11.5">
      <c r="A424" s="5"/>
      <c r="B424" s="113"/>
      <c r="C424" s="90"/>
      <c r="D424" s="167"/>
      <c r="E424" s="86"/>
      <c r="F424" s="9"/>
      <c r="G424" s="10"/>
      <c r="H424" s="9"/>
      <c r="I424" s="10"/>
      <c r="J424" s="9"/>
      <c r="K424" s="10"/>
      <c r="L424" s="87"/>
      <c r="M424" s="10"/>
      <c r="N424" s="9"/>
      <c r="O424" s="10"/>
      <c r="P424" s="9"/>
      <c r="Q424" s="10"/>
      <c r="R424" s="9"/>
      <c r="S424" s="10"/>
      <c r="T424" s="9"/>
      <c r="U424" s="10"/>
      <c r="V424" s="9"/>
      <c r="W424" s="10"/>
      <c r="X424" s="9"/>
      <c r="Y424" s="10"/>
      <c r="Z424" s="9"/>
      <c r="AA424" s="10"/>
      <c r="AB424" s="11"/>
      <c r="AC424" s="10"/>
      <c r="AD424" s="7">
        <f>SUM(F424+H424+J424+L424+N424+P424+R424+T424+V424+X424+Z424+AB424)</f>
        <v>0</v>
      </c>
      <c r="AE424" s="7">
        <f>E424+AD424</f>
        <v>0</v>
      </c>
      <c r="AF424" s="8">
        <f>G424+I424+K424+M424+O424+Q424+S424+U424+W424+Y424+AA424+AC424</f>
        <v>0</v>
      </c>
      <c r="AG424" s="212">
        <f>SUM(AE424-AF424)</f>
        <v>0</v>
      </c>
      <c r="AH424" s="214"/>
      <c r="AI424" s="214"/>
    </row>
    <row r="425" spans="1:42" customHeight="1" ht="11.5">
      <c r="A425" s="5"/>
      <c r="B425" s="113"/>
      <c r="C425" s="90"/>
      <c r="D425" s="167"/>
      <c r="E425" s="86"/>
      <c r="F425" s="9"/>
      <c r="G425" s="10"/>
      <c r="H425" s="9"/>
      <c r="I425" s="10"/>
      <c r="J425" s="9"/>
      <c r="K425" s="10"/>
      <c r="L425" s="87"/>
      <c r="M425" s="10"/>
      <c r="N425" s="9"/>
      <c r="O425" s="10"/>
      <c r="P425" s="9"/>
      <c r="Q425" s="10"/>
      <c r="R425" s="9"/>
      <c r="S425" s="10"/>
      <c r="T425" s="9"/>
      <c r="U425" s="10"/>
      <c r="V425" s="9"/>
      <c r="W425" s="10"/>
      <c r="X425" s="9"/>
      <c r="Y425" s="10"/>
      <c r="Z425" s="9"/>
      <c r="AA425" s="10"/>
      <c r="AB425" s="11"/>
      <c r="AC425" s="10"/>
      <c r="AD425" s="7">
        <f>SUM(F425+H425+J425+L425+N425+P425+R425+T425+V425+X425+Z425+AB425)</f>
        <v>0</v>
      </c>
      <c r="AE425" s="7">
        <f>E425+AD425</f>
        <v>0</v>
      </c>
      <c r="AF425" s="8">
        <f>G425+I425+K425+M425+O425+Q425+S425+U425+W425+Y425+AA425+AC425</f>
        <v>0</v>
      </c>
      <c r="AG425" s="212">
        <f>SUM(AE425-AF425)</f>
        <v>0</v>
      </c>
      <c r="AH425" s="214"/>
      <c r="AI425" s="214"/>
    </row>
    <row r="426" spans="1:42" customHeight="1" ht="11.5">
      <c r="A426" s="5"/>
      <c r="B426" s="113"/>
      <c r="C426" s="90"/>
      <c r="D426" s="167"/>
      <c r="E426" s="86"/>
      <c r="F426" s="9"/>
      <c r="G426" s="10"/>
      <c r="H426" s="9"/>
      <c r="I426" s="10"/>
      <c r="J426" s="9"/>
      <c r="K426" s="10"/>
      <c r="L426" s="87"/>
      <c r="M426" s="10"/>
      <c r="N426" s="9"/>
      <c r="O426" s="10"/>
      <c r="P426" s="9"/>
      <c r="Q426" s="10"/>
      <c r="R426" s="9"/>
      <c r="S426" s="10"/>
      <c r="T426" s="9"/>
      <c r="U426" s="10"/>
      <c r="V426" s="9"/>
      <c r="W426" s="10"/>
      <c r="X426" s="9"/>
      <c r="Y426" s="10"/>
      <c r="Z426" s="9"/>
      <c r="AA426" s="10"/>
      <c r="AB426" s="11"/>
      <c r="AC426" s="10"/>
      <c r="AD426" s="7">
        <f>SUM(F426+H426+J426+L426+N426+P426+R426+T426+V426+X426+Z426+AB426)</f>
        <v>0</v>
      </c>
      <c r="AE426" s="7">
        <f>E426+AD426</f>
        <v>0</v>
      </c>
      <c r="AF426" s="8">
        <f>G426+I426+K426+M426+O426+Q426+S426+U426+W426+Y426+AA426+AC426</f>
        <v>0</v>
      </c>
      <c r="AG426" s="212">
        <f>SUM(AE426-AF426)</f>
        <v>0</v>
      </c>
      <c r="AH426" s="214"/>
      <c r="AI426" s="214"/>
    </row>
    <row r="427" spans="1:42" customHeight="1" ht="11.5">
      <c r="A427" s="5"/>
      <c r="B427" s="113"/>
      <c r="C427" s="90"/>
      <c r="D427" s="167"/>
      <c r="E427" s="86"/>
      <c r="F427" s="9"/>
      <c r="G427" s="10"/>
      <c r="H427" s="9"/>
      <c r="I427" s="10"/>
      <c r="J427" s="9"/>
      <c r="K427" s="10"/>
      <c r="L427" s="87"/>
      <c r="M427" s="10"/>
      <c r="N427" s="9"/>
      <c r="O427" s="10"/>
      <c r="P427" s="9"/>
      <c r="Q427" s="10"/>
      <c r="R427" s="9"/>
      <c r="S427" s="10"/>
      <c r="T427" s="9"/>
      <c r="U427" s="10"/>
      <c r="V427" s="9"/>
      <c r="W427" s="10"/>
      <c r="X427" s="9"/>
      <c r="Y427" s="10"/>
      <c r="Z427" s="9"/>
      <c r="AA427" s="10"/>
      <c r="AB427" s="11"/>
      <c r="AC427" s="10"/>
      <c r="AD427" s="7">
        <f>SUM(F427+H427+J427+L427+N427+P427+R427+T427+V427+X427+Z427+AB427)</f>
        <v>0</v>
      </c>
      <c r="AE427" s="7">
        <f>E427+AD427</f>
        <v>0</v>
      </c>
      <c r="AF427" s="8">
        <f>G427+I427+K427+M427+O427+Q427+S427+U427+W427+Y427+AA427+AC427</f>
        <v>0</v>
      </c>
      <c r="AG427" s="212">
        <f>SUM(AE427-AF427)</f>
        <v>0</v>
      </c>
      <c r="AH427" s="214"/>
      <c r="AI427" s="214"/>
    </row>
    <row r="428" spans="1:42" customHeight="1" ht="11.5">
      <c r="A428" s="5"/>
      <c r="B428" s="113"/>
      <c r="C428" s="90"/>
      <c r="D428" s="167"/>
      <c r="E428" s="86"/>
      <c r="F428" s="9"/>
      <c r="G428" s="10"/>
      <c r="H428" s="9"/>
      <c r="I428" s="10"/>
      <c r="J428" s="9"/>
      <c r="K428" s="10"/>
      <c r="L428" s="87"/>
      <c r="M428" s="10"/>
      <c r="N428" s="9"/>
      <c r="O428" s="10"/>
      <c r="P428" s="9"/>
      <c r="Q428" s="10"/>
      <c r="R428" s="9"/>
      <c r="S428" s="10"/>
      <c r="T428" s="9"/>
      <c r="U428" s="10"/>
      <c r="V428" s="9"/>
      <c r="W428" s="10"/>
      <c r="X428" s="9"/>
      <c r="Y428" s="10"/>
      <c r="Z428" s="9"/>
      <c r="AA428" s="10"/>
      <c r="AB428" s="11"/>
      <c r="AC428" s="10"/>
      <c r="AD428" s="7">
        <f>SUM(F428+H428+J428+L428+N428+P428+R428+T428+V428+X428+Z428+AB428)</f>
        <v>0</v>
      </c>
      <c r="AE428" s="7">
        <f>E428+AD428</f>
        <v>0</v>
      </c>
      <c r="AF428" s="8">
        <f>G428+I428+K428+M428+O428+Q428+S428+U428+W428+Y428+AA428+AC428</f>
        <v>0</v>
      </c>
      <c r="AG428" s="212">
        <f>SUM(AE428-AF428)</f>
        <v>0</v>
      </c>
      <c r="AH428" s="214"/>
      <c r="AI428" s="214"/>
    </row>
    <row r="429" spans="1:42" customHeight="1" ht="11.5">
      <c r="A429" s="5"/>
      <c r="B429" s="113"/>
      <c r="C429" s="90"/>
      <c r="D429" s="167"/>
      <c r="E429" s="86"/>
      <c r="F429" s="9"/>
      <c r="G429" s="10"/>
      <c r="H429" s="9"/>
      <c r="I429" s="10"/>
      <c r="J429" s="9"/>
      <c r="K429" s="10"/>
      <c r="L429" s="87"/>
      <c r="M429" s="10"/>
      <c r="N429" s="9"/>
      <c r="O429" s="10"/>
      <c r="P429" s="9"/>
      <c r="Q429" s="10"/>
      <c r="R429" s="9"/>
      <c r="S429" s="10"/>
      <c r="T429" s="9"/>
      <c r="U429" s="10"/>
      <c r="V429" s="9"/>
      <c r="W429" s="10"/>
      <c r="X429" s="9"/>
      <c r="Y429" s="10"/>
      <c r="Z429" s="9"/>
      <c r="AA429" s="10"/>
      <c r="AB429" s="11"/>
      <c r="AC429" s="10"/>
      <c r="AD429" s="7">
        <f>SUM(F429+H429+J429+L429+N429+P429+R429+T429+V429+X429+Z429+AB429)</f>
        <v>0</v>
      </c>
      <c r="AE429" s="7">
        <f>E429+AD429</f>
        <v>0</v>
      </c>
      <c r="AF429" s="8">
        <f>G429+I429+K429+M429+O429+Q429+S429+U429+W429+Y429+AA429+AC429</f>
        <v>0</v>
      </c>
      <c r="AG429" s="212">
        <f>SUM(AE429-AF429)</f>
        <v>0</v>
      </c>
      <c r="AH429" s="214"/>
      <c r="AI429" s="214"/>
    </row>
    <row r="430" spans="1:42" customHeight="1" ht="11.5">
      <c r="A430" s="5"/>
      <c r="B430" s="113"/>
      <c r="C430" s="90"/>
      <c r="D430" s="167"/>
      <c r="E430" s="86"/>
      <c r="F430" s="9"/>
      <c r="G430" s="10"/>
      <c r="H430" s="9"/>
      <c r="I430" s="10"/>
      <c r="J430" s="9"/>
      <c r="K430" s="10"/>
      <c r="L430" s="87"/>
      <c r="M430" s="10"/>
      <c r="N430" s="9"/>
      <c r="O430" s="10"/>
      <c r="P430" s="9"/>
      <c r="Q430" s="10"/>
      <c r="R430" s="9"/>
      <c r="S430" s="10"/>
      <c r="T430" s="9"/>
      <c r="U430" s="10"/>
      <c r="V430" s="9"/>
      <c r="W430" s="10"/>
      <c r="X430" s="9"/>
      <c r="Y430" s="10"/>
      <c r="Z430" s="9"/>
      <c r="AA430" s="10"/>
      <c r="AB430" s="11"/>
      <c r="AC430" s="10"/>
      <c r="AD430" s="7">
        <f>SUM(F430+H430+J430+L430+N430+P430+R430+T430+V430+X430+Z430+AB430)</f>
        <v>0</v>
      </c>
      <c r="AE430" s="7">
        <f>E430+AD430</f>
        <v>0</v>
      </c>
      <c r="AF430" s="8">
        <f>G430+I430+K430+M430+O430+Q430+S430+U430+W430+Y430+AA430+AC430</f>
        <v>0</v>
      </c>
      <c r="AG430" s="212">
        <f>SUM(AE430-AF430)</f>
        <v>0</v>
      </c>
      <c r="AH430" s="214"/>
      <c r="AI430" s="214"/>
    </row>
    <row r="431" spans="1:42" customHeight="1" ht="11.5">
      <c r="A431" s="5"/>
      <c r="B431" s="113"/>
      <c r="C431" s="90"/>
      <c r="D431" s="167"/>
      <c r="E431" s="86"/>
      <c r="F431" s="9"/>
      <c r="G431" s="10"/>
      <c r="H431" s="9"/>
      <c r="I431" s="10"/>
      <c r="J431" s="9"/>
      <c r="K431" s="10"/>
      <c r="L431" s="87"/>
      <c r="M431" s="10"/>
      <c r="N431" s="9"/>
      <c r="O431" s="10"/>
      <c r="P431" s="9"/>
      <c r="Q431" s="10"/>
      <c r="R431" s="9"/>
      <c r="S431" s="10"/>
      <c r="T431" s="9"/>
      <c r="U431" s="10"/>
      <c r="V431" s="9"/>
      <c r="W431" s="10"/>
      <c r="X431" s="9"/>
      <c r="Y431" s="10"/>
      <c r="Z431" s="9"/>
      <c r="AA431" s="10"/>
      <c r="AB431" s="11"/>
      <c r="AC431" s="10"/>
      <c r="AD431" s="7">
        <f>SUM(F431+H431+J431+L431+N431+P431+R431+T431+V431+X431+Z431+AB431)</f>
        <v>0</v>
      </c>
      <c r="AE431" s="7">
        <f>E431+AD431</f>
        <v>0</v>
      </c>
      <c r="AF431" s="8">
        <f>G431+I431+K431+M431+O431+Q431+S431+U431+W431+Y431+AA431+AC431</f>
        <v>0</v>
      </c>
      <c r="AG431" s="212">
        <f>SUM(AE431-AF431)</f>
        <v>0</v>
      </c>
      <c r="AH431" s="214"/>
      <c r="AI431" s="214"/>
    </row>
    <row r="432" spans="1:42" customHeight="1" ht="11.5">
      <c r="A432" s="5"/>
      <c r="B432" s="113"/>
      <c r="C432" s="90"/>
      <c r="D432" s="167"/>
      <c r="E432" s="86"/>
      <c r="F432" s="9"/>
      <c r="G432" s="10"/>
      <c r="H432" s="9"/>
      <c r="I432" s="10"/>
      <c r="J432" s="9"/>
      <c r="K432" s="10"/>
      <c r="L432" s="87"/>
      <c r="M432" s="10"/>
      <c r="N432" s="9"/>
      <c r="O432" s="10"/>
      <c r="P432" s="9"/>
      <c r="Q432" s="10"/>
      <c r="R432" s="9"/>
      <c r="S432" s="10"/>
      <c r="T432" s="9"/>
      <c r="U432" s="10"/>
      <c r="V432" s="9"/>
      <c r="W432" s="10"/>
      <c r="X432" s="9"/>
      <c r="Y432" s="10"/>
      <c r="Z432" s="9"/>
      <c r="AA432" s="10"/>
      <c r="AB432" s="11"/>
      <c r="AC432" s="10"/>
      <c r="AD432" s="7">
        <f>SUM(F432+H432+J432+L432+N432+P432+R432+T432+V432+X432+Z432+AB432)</f>
        <v>0</v>
      </c>
      <c r="AE432" s="7">
        <f>E432+AD432</f>
        <v>0</v>
      </c>
      <c r="AF432" s="8">
        <f>G432+I432+K432+M432+O432+Q432+S432+U432+W432+Y432+AA432+AC432</f>
        <v>0</v>
      </c>
      <c r="AG432" s="212">
        <f>SUM(AE432-AF432)</f>
        <v>0</v>
      </c>
      <c r="AH432" s="214"/>
      <c r="AI432" s="214"/>
    </row>
    <row r="433" spans="1:42" customHeight="1" ht="11.5">
      <c r="A433" s="5"/>
      <c r="B433" s="113"/>
      <c r="C433" s="90"/>
      <c r="D433" s="167"/>
      <c r="E433" s="86"/>
      <c r="F433" s="9"/>
      <c r="G433" s="10"/>
      <c r="H433" s="9"/>
      <c r="I433" s="10"/>
      <c r="J433" s="9"/>
      <c r="K433" s="10"/>
      <c r="L433" s="87"/>
      <c r="M433" s="10"/>
      <c r="N433" s="9"/>
      <c r="O433" s="10"/>
      <c r="P433" s="9"/>
      <c r="Q433" s="10"/>
      <c r="R433" s="9"/>
      <c r="S433" s="10"/>
      <c r="T433" s="9"/>
      <c r="U433" s="10"/>
      <c r="V433" s="9"/>
      <c r="W433" s="10"/>
      <c r="X433" s="9"/>
      <c r="Y433" s="10"/>
      <c r="Z433" s="9"/>
      <c r="AA433" s="10"/>
      <c r="AB433" s="11"/>
      <c r="AC433" s="10"/>
      <c r="AD433" s="7">
        <f>SUM(F433+H433+J433+L433+N433+P433+R433+T433+V433+X433+Z433+AB433)</f>
        <v>0</v>
      </c>
      <c r="AE433" s="7">
        <f>E433+AD433</f>
        <v>0</v>
      </c>
      <c r="AF433" s="8">
        <f>G433+I433+K433+M433+O433+Q433+S433+U433+W433+Y433+AA433+AC433</f>
        <v>0</v>
      </c>
      <c r="AG433" s="212">
        <f>SUM(AE433-AF433)</f>
        <v>0</v>
      </c>
      <c r="AH433" s="214"/>
      <c r="AI433" s="214"/>
    </row>
    <row r="434" spans="1:42" customHeight="1" ht="11.5">
      <c r="A434" s="5"/>
      <c r="B434" s="113"/>
      <c r="C434" s="90"/>
      <c r="D434" s="167"/>
      <c r="E434" s="86"/>
      <c r="F434" s="9"/>
      <c r="G434" s="10"/>
      <c r="H434" s="9"/>
      <c r="I434" s="10"/>
      <c r="J434" s="9"/>
      <c r="K434" s="10"/>
      <c r="L434" s="87"/>
      <c r="M434" s="10"/>
      <c r="N434" s="9"/>
      <c r="O434" s="10"/>
      <c r="P434" s="9"/>
      <c r="Q434" s="10"/>
      <c r="R434" s="9"/>
      <c r="S434" s="10"/>
      <c r="T434" s="9"/>
      <c r="U434" s="10"/>
      <c r="V434" s="9"/>
      <c r="W434" s="10"/>
      <c r="X434" s="9"/>
      <c r="Y434" s="10"/>
      <c r="Z434" s="9"/>
      <c r="AA434" s="10"/>
      <c r="AB434" s="11"/>
      <c r="AC434" s="10"/>
      <c r="AD434" s="7">
        <f>SUM(F434+H434+J434+L434+N434+P434+R434+T434+V434+X434+Z434+AB434)</f>
        <v>0</v>
      </c>
      <c r="AE434" s="7">
        <f>E434+AD434</f>
        <v>0</v>
      </c>
      <c r="AF434" s="8">
        <f>G434+I434+K434+M434+O434+Q434+S434+U434+W434+Y434+AA434+AC434</f>
        <v>0</v>
      </c>
      <c r="AG434" s="212">
        <f>SUM(AE434-AF434)</f>
        <v>0</v>
      </c>
      <c r="AH434" s="214"/>
      <c r="AI434" s="214"/>
    </row>
    <row r="435" spans="1:42" customHeight="1" ht="11.5">
      <c r="A435" s="5"/>
      <c r="B435" s="113"/>
      <c r="C435" s="90"/>
      <c r="D435" s="167"/>
      <c r="E435" s="86"/>
      <c r="F435" s="9"/>
      <c r="G435" s="10"/>
      <c r="H435" s="9"/>
      <c r="I435" s="10"/>
      <c r="J435" s="9"/>
      <c r="K435" s="10"/>
      <c r="L435" s="87"/>
      <c r="M435" s="10"/>
      <c r="N435" s="9"/>
      <c r="O435" s="10"/>
      <c r="P435" s="9"/>
      <c r="Q435" s="10"/>
      <c r="R435" s="9"/>
      <c r="S435" s="10"/>
      <c r="T435" s="9"/>
      <c r="U435" s="10"/>
      <c r="V435" s="9"/>
      <c r="W435" s="10"/>
      <c r="X435" s="9"/>
      <c r="Y435" s="10"/>
      <c r="Z435" s="9"/>
      <c r="AA435" s="10"/>
      <c r="AB435" s="11"/>
      <c r="AC435" s="10"/>
      <c r="AD435" s="7">
        <f>SUM(F435+H435+J435+L435+N435+P435+R435+T435+V435+X435+Z435+AB435)</f>
        <v>0</v>
      </c>
      <c r="AE435" s="7">
        <f>E435+AD435</f>
        <v>0</v>
      </c>
      <c r="AF435" s="8">
        <f>G435+I435+K435+M435+O435+Q435+S435+U435+W435+Y435+AA435+AC435</f>
        <v>0</v>
      </c>
      <c r="AG435" s="212">
        <f>SUM(AE435-AF435)</f>
        <v>0</v>
      </c>
      <c r="AH435" s="214"/>
      <c r="AI435" s="214"/>
    </row>
    <row r="436" spans="1:42" customHeight="1" ht="11.5">
      <c r="A436" s="5"/>
      <c r="B436" s="113"/>
      <c r="C436" s="90"/>
      <c r="D436" s="167"/>
      <c r="E436" s="86"/>
      <c r="F436" s="9"/>
      <c r="G436" s="10"/>
      <c r="H436" s="9"/>
      <c r="I436" s="10"/>
      <c r="J436" s="9"/>
      <c r="K436" s="10"/>
      <c r="L436" s="87"/>
      <c r="M436" s="10"/>
      <c r="N436" s="9"/>
      <c r="O436" s="10"/>
      <c r="P436" s="9"/>
      <c r="Q436" s="10"/>
      <c r="R436" s="9"/>
      <c r="S436" s="10"/>
      <c r="T436" s="9"/>
      <c r="U436" s="10"/>
      <c r="V436" s="9"/>
      <c r="W436" s="10"/>
      <c r="X436" s="9"/>
      <c r="Y436" s="10"/>
      <c r="Z436" s="9"/>
      <c r="AA436" s="10"/>
      <c r="AB436" s="11"/>
      <c r="AC436" s="10"/>
      <c r="AD436" s="7">
        <f>SUM(F436+H436+J436+L436+N436+P436+R436+T436+V436+X436+Z436+AB436)</f>
        <v>0</v>
      </c>
      <c r="AE436" s="7">
        <f>E436+AD436</f>
        <v>0</v>
      </c>
      <c r="AF436" s="8">
        <f>G436+I436+K436+M436+O436+Q436+S436+U436+W436+Y436+AA436+AC436</f>
        <v>0</v>
      </c>
      <c r="AG436" s="212">
        <f>SUM(AE436-AF436)</f>
        <v>0</v>
      </c>
      <c r="AH436" s="214"/>
      <c r="AI436" s="214"/>
    </row>
    <row r="437" spans="1:42" customHeight="1" ht="11.5">
      <c r="A437" s="5"/>
      <c r="B437" s="113"/>
      <c r="C437" s="90"/>
      <c r="D437" s="167"/>
      <c r="E437" s="86"/>
      <c r="F437" s="9"/>
      <c r="G437" s="10"/>
      <c r="H437" s="9"/>
      <c r="I437" s="10"/>
      <c r="J437" s="9"/>
      <c r="K437" s="10"/>
      <c r="L437" s="87"/>
      <c r="M437" s="10"/>
      <c r="N437" s="9"/>
      <c r="O437" s="10"/>
      <c r="P437" s="9"/>
      <c r="Q437" s="10"/>
      <c r="R437" s="9"/>
      <c r="S437" s="10"/>
      <c r="T437" s="9"/>
      <c r="U437" s="10"/>
      <c r="V437" s="9"/>
      <c r="W437" s="10"/>
      <c r="X437" s="9"/>
      <c r="Y437" s="10"/>
      <c r="Z437" s="9"/>
      <c r="AA437" s="10"/>
      <c r="AB437" s="11"/>
      <c r="AC437" s="10"/>
      <c r="AD437" s="7">
        <f>SUM(F437+H437+J437+L437+N437+P437+R437+T437+V437+X437+Z437+AB437)</f>
        <v>0</v>
      </c>
      <c r="AE437" s="7">
        <f>E437+AD437</f>
        <v>0</v>
      </c>
      <c r="AF437" s="8">
        <f>G437+I437+K437+M437+O437+Q437+S437+U437+W437+Y437+AA437+AC437</f>
        <v>0</v>
      </c>
      <c r="AG437" s="212">
        <f>SUM(AE437-AF437)</f>
        <v>0</v>
      </c>
      <c r="AH437" s="214"/>
      <c r="AI437" s="214"/>
    </row>
    <row r="438" spans="1:42" customHeight="1" ht="11.5">
      <c r="A438" s="5"/>
      <c r="B438" s="113"/>
      <c r="C438" s="90"/>
      <c r="D438" s="167"/>
      <c r="E438" s="86"/>
      <c r="F438" s="9"/>
      <c r="G438" s="10"/>
      <c r="H438" s="9"/>
      <c r="I438" s="10"/>
      <c r="J438" s="9"/>
      <c r="K438" s="10"/>
      <c r="L438" s="87"/>
      <c r="M438" s="10"/>
      <c r="N438" s="9"/>
      <c r="O438" s="10"/>
      <c r="P438" s="9"/>
      <c r="Q438" s="10"/>
      <c r="R438" s="9"/>
      <c r="S438" s="10"/>
      <c r="T438" s="9"/>
      <c r="U438" s="10"/>
      <c r="V438" s="9"/>
      <c r="W438" s="10"/>
      <c r="X438" s="9"/>
      <c r="Y438" s="10"/>
      <c r="Z438" s="9"/>
      <c r="AA438" s="10"/>
      <c r="AB438" s="11"/>
      <c r="AC438" s="10"/>
      <c r="AD438" s="7">
        <f>SUM(F438+H438+J438+L438+N438+P438+R438+T438+V438+X438+Z438+AB438)</f>
        <v>0</v>
      </c>
      <c r="AE438" s="7">
        <f>E438+AD438</f>
        <v>0</v>
      </c>
      <c r="AF438" s="8">
        <f>G438+I438+K438+M438+O438+Q438+S438+U438+W438+Y438+AA438+AC438</f>
        <v>0</v>
      </c>
      <c r="AG438" s="212">
        <f>SUM(AE438-AF438)</f>
        <v>0</v>
      </c>
      <c r="AH438" s="214"/>
      <c r="AI438" s="214"/>
    </row>
    <row r="439" spans="1:42" customHeight="1" ht="11.5">
      <c r="A439" s="5"/>
      <c r="B439" s="113"/>
      <c r="C439" s="90"/>
      <c r="D439" s="167"/>
      <c r="E439" s="86"/>
      <c r="F439" s="9"/>
      <c r="G439" s="10"/>
      <c r="H439" s="9"/>
      <c r="I439" s="10"/>
      <c r="J439" s="9"/>
      <c r="K439" s="10"/>
      <c r="L439" s="87"/>
      <c r="M439" s="10"/>
      <c r="N439" s="9"/>
      <c r="O439" s="10"/>
      <c r="P439" s="9"/>
      <c r="Q439" s="10"/>
      <c r="R439" s="9"/>
      <c r="S439" s="10"/>
      <c r="T439" s="9"/>
      <c r="U439" s="10"/>
      <c r="V439" s="9"/>
      <c r="W439" s="10"/>
      <c r="X439" s="9"/>
      <c r="Y439" s="10"/>
      <c r="Z439" s="9"/>
      <c r="AA439" s="10"/>
      <c r="AB439" s="11"/>
      <c r="AC439" s="10"/>
      <c r="AD439" s="7">
        <f>SUM(F439+H439+J439+L439+N439+P439+R439+T439+V439+X439+Z439+AB439)</f>
        <v>0</v>
      </c>
      <c r="AE439" s="7">
        <f>E439+AD439</f>
        <v>0</v>
      </c>
      <c r="AF439" s="8">
        <f>G439+I439+K439+M439+O439+Q439+S439+U439+W439+Y439+AA439+AC439</f>
        <v>0</v>
      </c>
      <c r="AG439" s="212">
        <f>SUM(AE439-AF439)</f>
        <v>0</v>
      </c>
      <c r="AH439" s="214"/>
      <c r="AI439" s="214"/>
    </row>
    <row r="440" spans="1:42" customHeight="1" ht="11.5">
      <c r="A440" s="5"/>
      <c r="B440" s="113"/>
      <c r="C440" s="90"/>
      <c r="D440" s="167"/>
      <c r="E440" s="86"/>
      <c r="F440" s="9"/>
      <c r="G440" s="10"/>
      <c r="H440" s="9"/>
      <c r="I440" s="10"/>
      <c r="J440" s="9"/>
      <c r="K440" s="10"/>
      <c r="L440" s="87"/>
      <c r="M440" s="10"/>
      <c r="N440" s="9"/>
      <c r="O440" s="10"/>
      <c r="P440" s="9"/>
      <c r="Q440" s="10"/>
      <c r="R440" s="9"/>
      <c r="S440" s="10"/>
      <c r="T440" s="9"/>
      <c r="U440" s="10"/>
      <c r="V440" s="9"/>
      <c r="W440" s="10"/>
      <c r="X440" s="9"/>
      <c r="Y440" s="10"/>
      <c r="Z440" s="9"/>
      <c r="AA440" s="10"/>
      <c r="AB440" s="11"/>
      <c r="AC440" s="10"/>
      <c r="AD440" s="7">
        <f>SUM(F440+H440+J440+L440+N440+P440+R440+T440+V440+X440+Z440+AB440)</f>
        <v>0</v>
      </c>
      <c r="AE440" s="7">
        <f>E440+AD440</f>
        <v>0</v>
      </c>
      <c r="AF440" s="8">
        <f>G440+I440+K440+M440+O440+Q440+S440+U440+W440+Y440+AA440+AC440</f>
        <v>0</v>
      </c>
      <c r="AG440" s="212">
        <f>SUM(AE440-AF440)</f>
        <v>0</v>
      </c>
      <c r="AH440" s="214"/>
      <c r="AI440" s="214"/>
    </row>
    <row r="441" spans="1:42" customHeight="1" ht="11.5">
      <c r="A441" s="5"/>
      <c r="B441" s="113"/>
      <c r="C441" s="90"/>
      <c r="D441" s="167"/>
      <c r="E441" s="86"/>
      <c r="F441" s="9"/>
      <c r="G441" s="10"/>
      <c r="H441" s="9"/>
      <c r="I441" s="10"/>
      <c r="J441" s="9"/>
      <c r="K441" s="10"/>
      <c r="L441" s="87"/>
      <c r="M441" s="10"/>
      <c r="N441" s="9"/>
      <c r="O441" s="10"/>
      <c r="P441" s="9"/>
      <c r="Q441" s="10"/>
      <c r="R441" s="9"/>
      <c r="S441" s="10"/>
      <c r="T441" s="9"/>
      <c r="U441" s="10"/>
      <c r="V441" s="9"/>
      <c r="W441" s="10"/>
      <c r="X441" s="9"/>
      <c r="Y441" s="10"/>
      <c r="Z441" s="9"/>
      <c r="AA441" s="10"/>
      <c r="AB441" s="11"/>
      <c r="AC441" s="10"/>
      <c r="AD441" s="7">
        <f>SUM(F441+H441+J441+L441+N441+P441+R441+T441+V441+X441+Z441+AB441)</f>
        <v>0</v>
      </c>
      <c r="AE441" s="7">
        <f>E441+AD441</f>
        <v>0</v>
      </c>
      <c r="AF441" s="8">
        <f>G441+I441+K441+M441+O441+Q441+S441+U441+W441+Y441+AA441+AC441</f>
        <v>0</v>
      </c>
      <c r="AG441" s="212">
        <f>SUM(AE441-AF441)</f>
        <v>0</v>
      </c>
      <c r="AH441" s="214"/>
      <c r="AI441" s="214"/>
    </row>
    <row r="442" spans="1:42" customHeight="1" ht="11.5">
      <c r="A442" s="5"/>
      <c r="B442" s="113"/>
      <c r="C442" s="90"/>
      <c r="D442" s="167"/>
      <c r="E442" s="86"/>
      <c r="F442" s="9"/>
      <c r="G442" s="10"/>
      <c r="H442" s="9"/>
      <c r="I442" s="10"/>
      <c r="J442" s="9"/>
      <c r="K442" s="10"/>
      <c r="L442" s="87"/>
      <c r="M442" s="10"/>
      <c r="N442" s="9"/>
      <c r="O442" s="10"/>
      <c r="P442" s="9"/>
      <c r="Q442" s="10"/>
      <c r="R442" s="9"/>
      <c r="S442" s="10"/>
      <c r="T442" s="9"/>
      <c r="U442" s="10"/>
      <c r="V442" s="9"/>
      <c r="W442" s="10"/>
      <c r="X442" s="9"/>
      <c r="Y442" s="10"/>
      <c r="Z442" s="9"/>
      <c r="AA442" s="10"/>
      <c r="AB442" s="11"/>
      <c r="AC442" s="10"/>
      <c r="AD442" s="7">
        <f>SUM(F442+H442+J442+L442+N442+P442+R442+T442+V442+X442+Z442+AB442)</f>
        <v>0</v>
      </c>
      <c r="AE442" s="7">
        <f>E442+AD442</f>
        <v>0</v>
      </c>
      <c r="AF442" s="8">
        <f>G442+I442+K442+M442+O442+Q442+S442+U442+W442+Y442+AA442+AC442</f>
        <v>0</v>
      </c>
      <c r="AG442" s="212">
        <f>SUM(AE442-AF442)</f>
        <v>0</v>
      </c>
      <c r="AH442" s="214"/>
      <c r="AI442" s="214"/>
    </row>
    <row r="443" spans="1:42" customHeight="1" ht="11.5">
      <c r="A443" s="5"/>
      <c r="B443" s="113"/>
      <c r="C443" s="90"/>
      <c r="D443" s="167"/>
      <c r="E443" s="86"/>
      <c r="F443" s="9"/>
      <c r="G443" s="10"/>
      <c r="H443" s="9"/>
      <c r="I443" s="10"/>
      <c r="J443" s="9"/>
      <c r="K443" s="10"/>
      <c r="L443" s="87"/>
      <c r="M443" s="10"/>
      <c r="N443" s="9"/>
      <c r="O443" s="10"/>
      <c r="P443" s="9"/>
      <c r="Q443" s="10"/>
      <c r="R443" s="9"/>
      <c r="S443" s="10"/>
      <c r="T443" s="9"/>
      <c r="U443" s="10"/>
      <c r="V443" s="9"/>
      <c r="W443" s="10"/>
      <c r="X443" s="9"/>
      <c r="Y443" s="10"/>
      <c r="Z443" s="9"/>
      <c r="AA443" s="10"/>
      <c r="AB443" s="11"/>
      <c r="AC443" s="10"/>
      <c r="AD443" s="7">
        <f>SUM(F443+H443+J443+L443+N443+P443+R443+T443+V443+X443+Z443+AB443)</f>
        <v>0</v>
      </c>
      <c r="AE443" s="7">
        <f>E443+AD443</f>
        <v>0</v>
      </c>
      <c r="AF443" s="8">
        <f>G443+I443+K443+M443+O443+Q443+S443+U443+W443+Y443+AA443+AC443</f>
        <v>0</v>
      </c>
      <c r="AG443" s="212">
        <f>SUM(AE443-AF443)</f>
        <v>0</v>
      </c>
      <c r="AH443" s="214"/>
      <c r="AI443" s="214"/>
    </row>
    <row r="444" spans="1:42" customHeight="1" ht="11.5">
      <c r="A444" s="5"/>
      <c r="B444" s="113"/>
      <c r="C444" s="90"/>
      <c r="D444" s="167"/>
      <c r="E444" s="86"/>
      <c r="F444" s="9"/>
      <c r="G444" s="10"/>
      <c r="H444" s="9"/>
      <c r="I444" s="10"/>
      <c r="J444" s="9"/>
      <c r="K444" s="10"/>
      <c r="L444" s="87"/>
      <c r="M444" s="10"/>
      <c r="N444" s="9"/>
      <c r="O444" s="10"/>
      <c r="P444" s="9"/>
      <c r="Q444" s="10"/>
      <c r="R444" s="9"/>
      <c r="S444" s="10"/>
      <c r="T444" s="9"/>
      <c r="U444" s="10"/>
      <c r="V444" s="9"/>
      <c r="W444" s="10"/>
      <c r="X444" s="9"/>
      <c r="Y444" s="10"/>
      <c r="Z444" s="9"/>
      <c r="AA444" s="10"/>
      <c r="AB444" s="11"/>
      <c r="AC444" s="10"/>
      <c r="AD444" s="7">
        <f>SUM(F444+H444+J444+L444+N444+P444+R444+T444+V444+X444+Z444+AB444)</f>
        <v>0</v>
      </c>
      <c r="AE444" s="7">
        <f>E444+AD444</f>
        <v>0</v>
      </c>
      <c r="AF444" s="8">
        <f>G444+I444+K444+M444+O444+Q444+S444+U444+W444+Y444+AA444+AC444</f>
        <v>0</v>
      </c>
      <c r="AG444" s="212">
        <f>SUM(AE444-AF444)</f>
        <v>0</v>
      </c>
      <c r="AH444" s="214"/>
      <c r="AI444" s="214"/>
    </row>
    <row r="445" spans="1:42" customHeight="1" ht="11.5">
      <c r="A445" s="5"/>
      <c r="B445" s="113"/>
      <c r="C445" s="90"/>
      <c r="D445" s="167"/>
      <c r="E445" s="86"/>
      <c r="F445" s="9"/>
      <c r="G445" s="10"/>
      <c r="H445" s="9"/>
      <c r="I445" s="10"/>
      <c r="J445" s="9"/>
      <c r="K445" s="10"/>
      <c r="L445" s="87"/>
      <c r="M445" s="10"/>
      <c r="N445" s="9"/>
      <c r="O445" s="10"/>
      <c r="P445" s="9"/>
      <c r="Q445" s="10"/>
      <c r="R445" s="9"/>
      <c r="S445" s="10"/>
      <c r="T445" s="9"/>
      <c r="U445" s="10"/>
      <c r="V445" s="9"/>
      <c r="W445" s="10"/>
      <c r="X445" s="9"/>
      <c r="Y445" s="10"/>
      <c r="Z445" s="9"/>
      <c r="AA445" s="10"/>
      <c r="AB445" s="11"/>
      <c r="AC445" s="10"/>
      <c r="AD445" s="7">
        <f>SUM(F445+H445+J445+L445+N445+P445+R445+T445+V445+X445+Z445+AB445)</f>
        <v>0</v>
      </c>
      <c r="AE445" s="7">
        <f>E445+AD445</f>
        <v>0</v>
      </c>
      <c r="AF445" s="8">
        <f>G445+I445+K445+M445+O445+Q445+S445+U445+W445+Y445+AA445+AC445</f>
        <v>0</v>
      </c>
      <c r="AG445" s="212">
        <f>SUM(AE445-AF445)</f>
        <v>0</v>
      </c>
      <c r="AH445" s="214"/>
      <c r="AI445" s="214"/>
    </row>
    <row r="446" spans="1:42" customHeight="1" ht="11.5">
      <c r="A446" s="5"/>
      <c r="B446" s="113"/>
      <c r="C446" s="90"/>
      <c r="D446" s="167"/>
      <c r="E446" s="86"/>
      <c r="F446" s="9"/>
      <c r="G446" s="10"/>
      <c r="H446" s="9"/>
      <c r="I446" s="10"/>
      <c r="J446" s="9"/>
      <c r="K446" s="10"/>
      <c r="L446" s="87"/>
      <c r="M446" s="10"/>
      <c r="N446" s="9"/>
      <c r="O446" s="10"/>
      <c r="P446" s="9"/>
      <c r="Q446" s="10"/>
      <c r="R446" s="9"/>
      <c r="S446" s="10"/>
      <c r="T446" s="9"/>
      <c r="U446" s="10"/>
      <c r="V446" s="9"/>
      <c r="W446" s="10"/>
      <c r="X446" s="9"/>
      <c r="Y446" s="10"/>
      <c r="Z446" s="9"/>
      <c r="AA446" s="10"/>
      <c r="AB446" s="11"/>
      <c r="AC446" s="10"/>
      <c r="AD446" s="7">
        <f>SUM(F446+H446+J446+L446+N446+P446+R446+T446+V446+X446+Z446+AB446)</f>
        <v>0</v>
      </c>
      <c r="AE446" s="7">
        <f>E446+AD446</f>
        <v>0</v>
      </c>
      <c r="AF446" s="8">
        <f>G446+I446+K446+M446+O446+Q446+S446+U446+W446+Y446+AA446+AC446</f>
        <v>0</v>
      </c>
      <c r="AG446" s="212">
        <f>SUM(AE446-AF446)</f>
        <v>0</v>
      </c>
      <c r="AH446" s="214"/>
      <c r="AI446" s="214"/>
    </row>
    <row r="447" spans="1:42" customHeight="1" ht="11.5">
      <c r="A447" s="5"/>
      <c r="B447" s="113"/>
      <c r="C447" s="90"/>
      <c r="D447" s="167"/>
      <c r="E447" s="86"/>
      <c r="F447" s="9"/>
      <c r="G447" s="10"/>
      <c r="H447" s="9"/>
      <c r="I447" s="10"/>
      <c r="J447" s="9"/>
      <c r="K447" s="10"/>
      <c r="L447" s="87"/>
      <c r="M447" s="10"/>
      <c r="N447" s="9"/>
      <c r="O447" s="10"/>
      <c r="P447" s="9"/>
      <c r="Q447" s="10"/>
      <c r="R447" s="9"/>
      <c r="S447" s="10"/>
      <c r="T447" s="9"/>
      <c r="U447" s="10"/>
      <c r="V447" s="9"/>
      <c r="W447" s="10"/>
      <c r="X447" s="9"/>
      <c r="Y447" s="10"/>
      <c r="Z447" s="9"/>
      <c r="AA447" s="10"/>
      <c r="AB447" s="11"/>
      <c r="AC447" s="10"/>
      <c r="AD447" s="7">
        <f>SUM(F447+H447+J447+L447+N447+P447+R447+T447+V447+X447+Z447+AB447)</f>
        <v>0</v>
      </c>
      <c r="AE447" s="7">
        <f>E447+AD447</f>
        <v>0</v>
      </c>
      <c r="AF447" s="8">
        <f>G447+I447+K447+M447+O447+Q447+S447+U447+W447+Y447+AA447+AC447</f>
        <v>0</v>
      </c>
      <c r="AG447" s="212">
        <f>SUM(AE447-AF447)</f>
        <v>0</v>
      </c>
      <c r="AH447" s="214"/>
      <c r="AI447" s="214"/>
    </row>
    <row r="448" spans="1:42" customHeight="1" ht="11.5">
      <c r="A448" s="5"/>
      <c r="B448" s="113"/>
      <c r="C448" s="90"/>
      <c r="D448" s="167"/>
      <c r="E448" s="86"/>
      <c r="F448" s="9"/>
      <c r="G448" s="10"/>
      <c r="H448" s="9"/>
      <c r="I448" s="10"/>
      <c r="J448" s="9"/>
      <c r="K448" s="10"/>
      <c r="L448" s="87"/>
      <c r="M448" s="10"/>
      <c r="N448" s="9"/>
      <c r="O448" s="10"/>
      <c r="P448" s="9"/>
      <c r="Q448" s="10"/>
      <c r="R448" s="9"/>
      <c r="S448" s="10"/>
      <c r="T448" s="9"/>
      <c r="U448" s="10"/>
      <c r="V448" s="9"/>
      <c r="W448" s="10"/>
      <c r="X448" s="9"/>
      <c r="Y448" s="10"/>
      <c r="Z448" s="9"/>
      <c r="AA448" s="10"/>
      <c r="AB448" s="11"/>
      <c r="AC448" s="10"/>
      <c r="AD448" s="7">
        <f>SUM(F448+H448+J448+L448+N448+P448+R448+T448+V448+X448+Z448+AB448)</f>
        <v>0</v>
      </c>
      <c r="AE448" s="7">
        <f>E448+AD448</f>
        <v>0</v>
      </c>
      <c r="AF448" s="8">
        <f>G448+I448+K448+M448+O448+Q448+S448+U448+W448+Y448+AA448+AC448</f>
        <v>0</v>
      </c>
      <c r="AG448" s="212">
        <f>SUM(AE448-AF448)</f>
        <v>0</v>
      </c>
      <c r="AH448" s="214"/>
      <c r="AI448" s="214"/>
    </row>
    <row r="449" spans="1:42" customHeight="1" ht="11.5">
      <c r="A449" s="5"/>
      <c r="B449" s="113"/>
      <c r="C449" s="90"/>
      <c r="D449" s="167"/>
      <c r="E449" s="86"/>
      <c r="F449" s="9"/>
      <c r="G449" s="10"/>
      <c r="H449" s="9"/>
      <c r="I449" s="10"/>
      <c r="J449" s="9"/>
      <c r="K449" s="10"/>
      <c r="L449" s="87"/>
      <c r="M449" s="10"/>
      <c r="N449" s="9"/>
      <c r="O449" s="10"/>
      <c r="P449" s="9"/>
      <c r="Q449" s="10"/>
      <c r="R449" s="9"/>
      <c r="S449" s="10"/>
      <c r="T449" s="9"/>
      <c r="U449" s="10"/>
      <c r="V449" s="9"/>
      <c r="W449" s="10"/>
      <c r="X449" s="9"/>
      <c r="Y449" s="10"/>
      <c r="Z449" s="9"/>
      <c r="AA449" s="10"/>
      <c r="AB449" s="11"/>
      <c r="AC449" s="10"/>
      <c r="AD449" s="7">
        <f>SUM(F449+H449+J449+L449+N449+P449+R449+T449+V449+X449+Z449+AB449)</f>
        <v>0</v>
      </c>
      <c r="AE449" s="7">
        <f>E449+AD449</f>
        <v>0</v>
      </c>
      <c r="AF449" s="8">
        <f>G449+I449+K449+M449+O449+Q449+S449+U449+W449+Y449+AA449+AC449</f>
        <v>0</v>
      </c>
      <c r="AG449" s="212">
        <f>SUM(AE449-AF449)</f>
        <v>0</v>
      </c>
      <c r="AH449" s="214"/>
      <c r="AI449" s="214"/>
    </row>
    <row r="450" spans="1:42" customHeight="1" ht="11.5">
      <c r="A450" s="5"/>
      <c r="B450" s="113"/>
      <c r="C450" s="90"/>
      <c r="D450" s="167"/>
      <c r="E450" s="86"/>
      <c r="F450" s="9"/>
      <c r="G450" s="10"/>
      <c r="H450" s="9"/>
      <c r="I450" s="10"/>
      <c r="J450" s="9"/>
      <c r="K450" s="10"/>
      <c r="L450" s="87"/>
      <c r="M450" s="10"/>
      <c r="N450" s="9"/>
      <c r="O450" s="10"/>
      <c r="P450" s="9"/>
      <c r="Q450" s="10"/>
      <c r="R450" s="9"/>
      <c r="S450" s="10"/>
      <c r="T450" s="9"/>
      <c r="U450" s="10"/>
      <c r="V450" s="9"/>
      <c r="W450" s="10"/>
      <c r="X450" s="9"/>
      <c r="Y450" s="10"/>
      <c r="Z450" s="9"/>
      <c r="AA450" s="10"/>
      <c r="AB450" s="11"/>
      <c r="AC450" s="10"/>
      <c r="AD450" s="7">
        <f>SUM(F450+H450+J450+L450+N450+P450+R450+T450+V450+X450+Z450+AB450)</f>
        <v>0</v>
      </c>
      <c r="AE450" s="7">
        <f>E450+AD450</f>
        <v>0</v>
      </c>
      <c r="AF450" s="8">
        <f>G450+I450+K450+M450+O450+Q450+S450+U450+W450+Y450+AA450+AC450</f>
        <v>0</v>
      </c>
      <c r="AG450" s="212">
        <f>SUM(AE450-AF450)</f>
        <v>0</v>
      </c>
      <c r="AH450" s="214"/>
      <c r="AI450" s="214"/>
    </row>
    <row r="451" spans="1:42" customHeight="1" ht="11.5">
      <c r="A451" s="5"/>
      <c r="B451" s="113"/>
      <c r="C451" s="90"/>
      <c r="D451" s="167"/>
      <c r="E451" s="86"/>
      <c r="F451" s="9"/>
      <c r="G451" s="10"/>
      <c r="H451" s="9"/>
      <c r="I451" s="10"/>
      <c r="J451" s="9"/>
      <c r="K451" s="10"/>
      <c r="L451" s="87"/>
      <c r="M451" s="10"/>
      <c r="N451" s="9"/>
      <c r="O451" s="10"/>
      <c r="P451" s="9"/>
      <c r="Q451" s="10"/>
      <c r="R451" s="9"/>
      <c r="S451" s="10"/>
      <c r="T451" s="9"/>
      <c r="U451" s="10"/>
      <c r="V451" s="9"/>
      <c r="W451" s="10"/>
      <c r="X451" s="9"/>
      <c r="Y451" s="10"/>
      <c r="Z451" s="9"/>
      <c r="AA451" s="10"/>
      <c r="AB451" s="11"/>
      <c r="AC451" s="10"/>
      <c r="AD451" s="7">
        <f>SUM(F451+H451+J451+L451+N451+P451+R451+T451+V451+X451+Z451+AB451)</f>
        <v>0</v>
      </c>
      <c r="AE451" s="7">
        <f>E451+AD451</f>
        <v>0</v>
      </c>
      <c r="AF451" s="8">
        <f>G451+I451+K451+M451+O451+Q451+S451+U451+W451+Y451+AA451+AC451</f>
        <v>0</v>
      </c>
      <c r="AG451" s="212">
        <f>SUM(AE451-AF451)</f>
        <v>0</v>
      </c>
      <c r="AH451" s="214"/>
      <c r="AI451" s="214"/>
    </row>
    <row r="452" spans="1:42" customHeight="1" ht="11.5">
      <c r="A452" s="5"/>
      <c r="B452" s="113"/>
      <c r="C452" s="90"/>
      <c r="D452" s="167"/>
      <c r="E452" s="86"/>
      <c r="F452" s="9"/>
      <c r="G452" s="10"/>
      <c r="H452" s="9"/>
      <c r="I452" s="10"/>
      <c r="J452" s="9"/>
      <c r="K452" s="10"/>
      <c r="L452" s="87"/>
      <c r="M452" s="10"/>
      <c r="N452" s="9"/>
      <c r="O452" s="10"/>
      <c r="P452" s="9"/>
      <c r="Q452" s="10"/>
      <c r="R452" s="9"/>
      <c r="S452" s="10"/>
      <c r="T452" s="9"/>
      <c r="U452" s="10"/>
      <c r="V452" s="9"/>
      <c r="W452" s="10"/>
      <c r="X452" s="9"/>
      <c r="Y452" s="10"/>
      <c r="Z452" s="9"/>
      <c r="AA452" s="10"/>
      <c r="AB452" s="11"/>
      <c r="AC452" s="10"/>
      <c r="AD452" s="7">
        <f>SUM(F452+H452+J452+L452+N452+P452+R452+T452+V452+X452+Z452+AB452)</f>
        <v>0</v>
      </c>
      <c r="AE452" s="7">
        <f>E452+AD452</f>
        <v>0</v>
      </c>
      <c r="AF452" s="8">
        <f>G452+I452+K452+M452+O452+Q452+S452+U452+W452+Y452+AA452+AC452</f>
        <v>0</v>
      </c>
      <c r="AG452" s="212">
        <f>SUM(AE452-AF452)</f>
        <v>0</v>
      </c>
      <c r="AH452" s="214"/>
      <c r="AI452" s="214"/>
    </row>
    <row r="453" spans="1:42" customHeight="1" ht="11.5">
      <c r="A453" s="5"/>
      <c r="B453" s="113"/>
      <c r="C453" s="90"/>
      <c r="D453" s="167"/>
      <c r="E453" s="86"/>
      <c r="F453" s="9"/>
      <c r="G453" s="10"/>
      <c r="H453" s="9"/>
      <c r="I453" s="10"/>
      <c r="J453" s="9"/>
      <c r="K453" s="10"/>
      <c r="L453" s="87"/>
      <c r="M453" s="10"/>
      <c r="N453" s="9"/>
      <c r="O453" s="10"/>
      <c r="P453" s="9"/>
      <c r="Q453" s="10"/>
      <c r="R453" s="9"/>
      <c r="S453" s="10"/>
      <c r="T453" s="9"/>
      <c r="U453" s="10"/>
      <c r="V453" s="9"/>
      <c r="W453" s="10"/>
      <c r="X453" s="9"/>
      <c r="Y453" s="10"/>
      <c r="Z453" s="9"/>
      <c r="AA453" s="10"/>
      <c r="AB453" s="11"/>
      <c r="AC453" s="10"/>
      <c r="AD453" s="7">
        <f>SUM(F453+H453+J453+L453+N453+P453+R453+T453+V453+X453+Z453+AB453)</f>
        <v>0</v>
      </c>
      <c r="AE453" s="7">
        <f>E453+AD453</f>
        <v>0</v>
      </c>
      <c r="AF453" s="8">
        <f>G453+I453+K453+M453+O453+Q453+S453+U453+W453+Y453+AA453+AC453</f>
        <v>0</v>
      </c>
      <c r="AG453" s="212">
        <f>SUM(AE453-AF453)</f>
        <v>0</v>
      </c>
      <c r="AH453" s="214"/>
      <c r="AI453" s="214"/>
    </row>
    <row r="454" spans="1:42" customHeight="1" ht="11.5">
      <c r="A454" s="5"/>
      <c r="B454" s="113"/>
      <c r="C454" s="90"/>
      <c r="D454" s="167"/>
      <c r="E454" s="86"/>
      <c r="F454" s="9"/>
      <c r="G454" s="10"/>
      <c r="H454" s="9"/>
      <c r="I454" s="10"/>
      <c r="J454" s="9"/>
      <c r="K454" s="10"/>
      <c r="L454" s="87"/>
      <c r="M454" s="10"/>
      <c r="N454" s="9"/>
      <c r="O454" s="10"/>
      <c r="P454" s="9"/>
      <c r="Q454" s="10"/>
      <c r="R454" s="9"/>
      <c r="S454" s="10"/>
      <c r="T454" s="9"/>
      <c r="U454" s="10"/>
      <c r="V454" s="9"/>
      <c r="W454" s="10"/>
      <c r="X454" s="9"/>
      <c r="Y454" s="10"/>
      <c r="Z454" s="9"/>
      <c r="AA454" s="10"/>
      <c r="AB454" s="11"/>
      <c r="AC454" s="10"/>
      <c r="AD454" s="7">
        <f>SUM(F454+H454+J454+L454+N454+P454+R454+T454+V454+X454+Z454+AB454)</f>
        <v>0</v>
      </c>
      <c r="AE454" s="7">
        <f>E454+AD454</f>
        <v>0</v>
      </c>
      <c r="AF454" s="8">
        <f>G454+I454+K454+M454+O454+Q454+S454+U454+W454+Y454+AA454+AC454</f>
        <v>0</v>
      </c>
      <c r="AG454" s="212">
        <f>SUM(AE454-AF454)</f>
        <v>0</v>
      </c>
      <c r="AH454" s="214"/>
      <c r="AI454" s="214"/>
    </row>
    <row r="455" spans="1:42" customHeight="1" ht="11.5">
      <c r="A455" s="5"/>
      <c r="B455" s="113"/>
      <c r="C455" s="90"/>
      <c r="D455" s="167"/>
      <c r="E455" s="86"/>
      <c r="F455" s="9"/>
      <c r="G455" s="10"/>
      <c r="H455" s="9"/>
      <c r="I455" s="10"/>
      <c r="J455" s="9"/>
      <c r="K455" s="10"/>
      <c r="L455" s="87"/>
      <c r="M455" s="10"/>
      <c r="N455" s="9"/>
      <c r="O455" s="10"/>
      <c r="P455" s="9"/>
      <c r="Q455" s="10"/>
      <c r="R455" s="9"/>
      <c r="S455" s="10"/>
      <c r="T455" s="9"/>
      <c r="U455" s="10"/>
      <c r="V455" s="9"/>
      <c r="W455" s="10"/>
      <c r="X455" s="9"/>
      <c r="Y455" s="10"/>
      <c r="Z455" s="9"/>
      <c r="AA455" s="10"/>
      <c r="AB455" s="11"/>
      <c r="AC455" s="10"/>
      <c r="AD455" s="7">
        <f>SUM(F455+H455+J455+L455+N455+P455+R455+T455+V455+X455+Z455+AB455)</f>
        <v>0</v>
      </c>
      <c r="AE455" s="7">
        <f>E455+AD455</f>
        <v>0</v>
      </c>
      <c r="AF455" s="8">
        <f>G455+I455+K455+M455+O455+Q455+S455+U455+W455+Y455+AA455+AC455</f>
        <v>0</v>
      </c>
      <c r="AG455" s="212">
        <f>SUM(AE455-AF455)</f>
        <v>0</v>
      </c>
      <c r="AH455" s="214"/>
      <c r="AI455" s="214"/>
    </row>
    <row r="456" spans="1:42" customHeight="1" ht="11.5">
      <c r="A456" s="5"/>
      <c r="B456" s="113"/>
      <c r="C456" s="90"/>
      <c r="D456" s="167"/>
      <c r="E456" s="86"/>
      <c r="F456" s="9"/>
      <c r="G456" s="10"/>
      <c r="H456" s="9"/>
      <c r="I456" s="10"/>
      <c r="J456" s="9"/>
      <c r="K456" s="10"/>
      <c r="L456" s="87"/>
      <c r="M456" s="10"/>
      <c r="N456" s="9"/>
      <c r="O456" s="10"/>
      <c r="P456" s="9"/>
      <c r="Q456" s="10"/>
      <c r="R456" s="9"/>
      <c r="S456" s="10"/>
      <c r="T456" s="9"/>
      <c r="U456" s="10"/>
      <c r="V456" s="9"/>
      <c r="W456" s="10"/>
      <c r="X456" s="9"/>
      <c r="Y456" s="10"/>
      <c r="Z456" s="9"/>
      <c r="AA456" s="10"/>
      <c r="AB456" s="11"/>
      <c r="AC456" s="10"/>
      <c r="AD456" s="7">
        <f>SUM(F456+H456+J456+L456+N456+P456+R456+T456+V456+X456+Z456+AB456)</f>
        <v>0</v>
      </c>
      <c r="AE456" s="7">
        <f>E456+AD456</f>
        <v>0</v>
      </c>
      <c r="AF456" s="8">
        <f>G456+I456+K456+M456+O456+Q456+S456+U456+W456+Y456+AA456+AC456</f>
        <v>0</v>
      </c>
      <c r="AG456" s="212">
        <f>SUM(AE456-AF456)</f>
        <v>0</v>
      </c>
      <c r="AH456" s="214"/>
      <c r="AI456" s="214"/>
    </row>
    <row r="457" spans="1:42" customHeight="1" ht="11.5">
      <c r="A457" s="5"/>
      <c r="B457" s="113"/>
      <c r="C457" s="90"/>
      <c r="D457" s="167"/>
      <c r="E457" s="86"/>
      <c r="F457" s="9"/>
      <c r="G457" s="10"/>
      <c r="H457" s="9"/>
      <c r="I457" s="10"/>
      <c r="J457" s="9"/>
      <c r="K457" s="10"/>
      <c r="L457" s="87"/>
      <c r="M457" s="10"/>
      <c r="N457" s="9"/>
      <c r="O457" s="10"/>
      <c r="P457" s="9"/>
      <c r="Q457" s="10"/>
      <c r="R457" s="9"/>
      <c r="S457" s="10"/>
      <c r="T457" s="9"/>
      <c r="U457" s="10"/>
      <c r="V457" s="9"/>
      <c r="W457" s="10"/>
      <c r="X457" s="9"/>
      <c r="Y457" s="10"/>
      <c r="Z457" s="9"/>
      <c r="AA457" s="10"/>
      <c r="AB457" s="11"/>
      <c r="AC457" s="10"/>
      <c r="AD457" s="7">
        <f>SUM(F457+H457+J457+L457+N457+P457+R457+T457+V457+X457+Z457+AB457)</f>
        <v>0</v>
      </c>
      <c r="AE457" s="7">
        <f>E457+AD457</f>
        <v>0</v>
      </c>
      <c r="AF457" s="8">
        <f>G457+I457+K457+M457+O457+Q457+S457+U457+W457+Y457+AA457+AC457</f>
        <v>0</v>
      </c>
      <c r="AG457" s="212">
        <f>SUM(AE457-AF457)</f>
        <v>0</v>
      </c>
      <c r="AH457" s="214"/>
      <c r="AI457" s="214"/>
    </row>
    <row r="458" spans="1:42" customHeight="1" ht="11.5">
      <c r="A458" s="5"/>
      <c r="B458" s="113"/>
      <c r="C458" s="90"/>
      <c r="D458" s="167"/>
      <c r="E458" s="86"/>
      <c r="F458" s="9"/>
      <c r="G458" s="10"/>
      <c r="H458" s="9"/>
      <c r="I458" s="10"/>
      <c r="J458" s="9"/>
      <c r="K458" s="10"/>
      <c r="L458" s="87"/>
      <c r="M458" s="10"/>
      <c r="N458" s="9"/>
      <c r="O458" s="10"/>
      <c r="P458" s="9"/>
      <c r="Q458" s="10"/>
      <c r="R458" s="9"/>
      <c r="S458" s="10"/>
      <c r="T458" s="9"/>
      <c r="U458" s="10"/>
      <c r="V458" s="9"/>
      <c r="W458" s="10"/>
      <c r="X458" s="9"/>
      <c r="Y458" s="10"/>
      <c r="Z458" s="9"/>
      <c r="AA458" s="10"/>
      <c r="AB458" s="11"/>
      <c r="AC458" s="10"/>
      <c r="AD458" s="7">
        <f>SUM(F458+H458+J458+L458+N458+P458+R458+T458+V458+X458+Z458+AB458)</f>
        <v>0</v>
      </c>
      <c r="AE458" s="7">
        <f>E458+AD458</f>
        <v>0</v>
      </c>
      <c r="AF458" s="8">
        <f>G458+I458+K458+M458+O458+Q458+S458+U458+W458+Y458+AA458+AC458</f>
        <v>0</v>
      </c>
      <c r="AG458" s="212">
        <f>SUM(AE458-AF458)</f>
        <v>0</v>
      </c>
      <c r="AH458" s="214"/>
      <c r="AI458" s="214"/>
    </row>
    <row r="459" spans="1:42" customHeight="1" ht="11.5">
      <c r="A459" s="5"/>
      <c r="B459" s="113"/>
      <c r="C459" s="90"/>
      <c r="D459" s="167"/>
      <c r="E459" s="86"/>
      <c r="F459" s="9"/>
      <c r="G459" s="10"/>
      <c r="H459" s="9"/>
      <c r="I459" s="10"/>
      <c r="J459" s="9"/>
      <c r="K459" s="10"/>
      <c r="L459" s="87"/>
      <c r="M459" s="10"/>
      <c r="N459" s="9"/>
      <c r="O459" s="10"/>
      <c r="P459" s="9"/>
      <c r="Q459" s="10"/>
      <c r="R459" s="9"/>
      <c r="S459" s="10"/>
      <c r="T459" s="9"/>
      <c r="U459" s="10"/>
      <c r="V459" s="9"/>
      <c r="W459" s="10"/>
      <c r="X459" s="9"/>
      <c r="Y459" s="10"/>
      <c r="Z459" s="9"/>
      <c r="AA459" s="10"/>
      <c r="AB459" s="11"/>
      <c r="AC459" s="10"/>
      <c r="AD459" s="7">
        <f>SUM(F459+H459+J459+L459+N459+P459+R459+T459+V459+X459+Z459+AB459)</f>
        <v>0</v>
      </c>
      <c r="AE459" s="7">
        <f>E459+AD459</f>
        <v>0</v>
      </c>
      <c r="AF459" s="8">
        <f>G459+I459+K459+M459+O459+Q459+S459+U459+W459+Y459+AA459+AC459</f>
        <v>0</v>
      </c>
      <c r="AG459" s="212">
        <f>SUM(AE459-AF459)</f>
        <v>0</v>
      </c>
      <c r="AH459" s="214"/>
      <c r="AI459" s="214"/>
    </row>
    <row r="460" spans="1:42" customHeight="1" ht="11.5">
      <c r="A460" s="5"/>
      <c r="B460" s="113"/>
      <c r="C460" s="90"/>
      <c r="D460" s="167"/>
      <c r="E460" s="86"/>
      <c r="F460" s="9"/>
      <c r="G460" s="10"/>
      <c r="H460" s="9"/>
      <c r="I460" s="10"/>
      <c r="J460" s="9"/>
      <c r="K460" s="10"/>
      <c r="L460" s="87"/>
      <c r="M460" s="10"/>
      <c r="N460" s="9"/>
      <c r="O460" s="10"/>
      <c r="P460" s="9"/>
      <c r="Q460" s="10"/>
      <c r="R460" s="9"/>
      <c r="S460" s="10"/>
      <c r="T460" s="9"/>
      <c r="U460" s="10"/>
      <c r="V460" s="9"/>
      <c r="W460" s="10"/>
      <c r="X460" s="9"/>
      <c r="Y460" s="10"/>
      <c r="Z460" s="9"/>
      <c r="AA460" s="10"/>
      <c r="AB460" s="11"/>
      <c r="AC460" s="10"/>
      <c r="AD460" s="7">
        <f>SUM(F460+H460+J460+L460+N460+P460+R460+T460+V460+X460+Z460+AB460)</f>
        <v>0</v>
      </c>
      <c r="AE460" s="7">
        <f>E460+AD460</f>
        <v>0</v>
      </c>
      <c r="AF460" s="8">
        <f>G460+I460+K460+M460+O460+Q460+S460+U460+W460+Y460+AA460+AC460</f>
        <v>0</v>
      </c>
      <c r="AG460" s="212">
        <f>SUM(AE460-AF460)</f>
        <v>0</v>
      </c>
      <c r="AH460" s="214"/>
      <c r="AI460" s="214"/>
    </row>
    <row r="461" spans="1:42" customHeight="1" ht="11.5">
      <c r="A461" s="5"/>
      <c r="B461" s="113"/>
      <c r="C461" s="90"/>
      <c r="D461" s="167"/>
      <c r="E461" s="86"/>
      <c r="F461" s="9"/>
      <c r="G461" s="10"/>
      <c r="H461" s="9"/>
      <c r="I461" s="10"/>
      <c r="J461" s="9"/>
      <c r="K461" s="10"/>
      <c r="L461" s="87"/>
      <c r="M461" s="10"/>
      <c r="N461" s="9"/>
      <c r="O461" s="10"/>
      <c r="P461" s="9"/>
      <c r="Q461" s="10"/>
      <c r="R461" s="9"/>
      <c r="S461" s="10"/>
      <c r="T461" s="9"/>
      <c r="U461" s="10"/>
      <c r="V461" s="9"/>
      <c r="W461" s="10"/>
      <c r="X461" s="9"/>
      <c r="Y461" s="10"/>
      <c r="Z461" s="9"/>
      <c r="AA461" s="10"/>
      <c r="AB461" s="11"/>
      <c r="AC461" s="10"/>
      <c r="AD461" s="7">
        <f>SUM(F461+H461+J461+L461+N461+P461+R461+T461+V461+X461+Z461+AB461)</f>
        <v>0</v>
      </c>
      <c r="AE461" s="7">
        <f>E461+AD461</f>
        <v>0</v>
      </c>
      <c r="AF461" s="8">
        <f>G461+I461+K461+M461+O461+Q461+S461+U461+W461+Y461+AA461+AC461</f>
        <v>0</v>
      </c>
      <c r="AG461" s="212">
        <f>SUM(AE461-AF461)</f>
        <v>0</v>
      </c>
      <c r="AH461" s="214"/>
      <c r="AI461" s="214"/>
    </row>
    <row r="462" spans="1:42" customHeight="1" ht="11.5">
      <c r="A462" s="5"/>
      <c r="B462" s="113"/>
      <c r="C462" s="90"/>
      <c r="D462" s="167"/>
      <c r="E462" s="86"/>
      <c r="F462" s="9"/>
      <c r="G462" s="10"/>
      <c r="H462" s="9"/>
      <c r="I462" s="10"/>
      <c r="J462" s="9"/>
      <c r="K462" s="10"/>
      <c r="L462" s="87"/>
      <c r="M462" s="10"/>
      <c r="N462" s="9"/>
      <c r="O462" s="10"/>
      <c r="P462" s="9"/>
      <c r="Q462" s="10"/>
      <c r="R462" s="9"/>
      <c r="S462" s="10"/>
      <c r="T462" s="9"/>
      <c r="U462" s="10"/>
      <c r="V462" s="9"/>
      <c r="W462" s="10"/>
      <c r="X462" s="9"/>
      <c r="Y462" s="10"/>
      <c r="Z462" s="9"/>
      <c r="AA462" s="10"/>
      <c r="AB462" s="11"/>
      <c r="AC462" s="10"/>
      <c r="AD462" s="7">
        <f>SUM(F462+H462+J462+L462+N462+P462+R462+T462+V462+X462+Z462+AB462)</f>
        <v>0</v>
      </c>
      <c r="AE462" s="7">
        <f>E462+AD462</f>
        <v>0</v>
      </c>
      <c r="AF462" s="8">
        <f>G462+I462+K462+M462+O462+Q462+S462+U462+W462+Y462+AA462+AC462</f>
        <v>0</v>
      </c>
      <c r="AG462" s="212">
        <f>SUM(AE462-AF462)</f>
        <v>0</v>
      </c>
      <c r="AH462" s="214"/>
      <c r="AI462" s="214"/>
    </row>
    <row r="463" spans="1:42" customHeight="1" ht="11.5">
      <c r="A463" s="5"/>
      <c r="B463" s="113"/>
      <c r="C463" s="90"/>
      <c r="D463" s="167"/>
      <c r="E463" s="86"/>
      <c r="F463" s="9"/>
      <c r="G463" s="10"/>
      <c r="H463" s="9"/>
      <c r="I463" s="10"/>
      <c r="J463" s="9"/>
      <c r="K463" s="10"/>
      <c r="L463" s="87"/>
      <c r="M463" s="10"/>
      <c r="N463" s="9"/>
      <c r="O463" s="10"/>
      <c r="P463" s="9"/>
      <c r="Q463" s="10"/>
      <c r="R463" s="9"/>
      <c r="S463" s="10"/>
      <c r="T463" s="9"/>
      <c r="U463" s="10"/>
      <c r="V463" s="9"/>
      <c r="W463" s="10"/>
      <c r="X463" s="9"/>
      <c r="Y463" s="10"/>
      <c r="Z463" s="9"/>
      <c r="AA463" s="10"/>
      <c r="AB463" s="11"/>
      <c r="AC463" s="10"/>
      <c r="AD463" s="7">
        <f>SUM(F463+H463+J463+L463+N463+P463+R463+T463+V463+X463+Z463+AB463)</f>
        <v>0</v>
      </c>
      <c r="AE463" s="7">
        <f>E463+AD463</f>
        <v>0</v>
      </c>
      <c r="AF463" s="8">
        <f>G463+I463+K463+M463+O463+Q463+S463+U463+W463+Y463+AA463+AC463</f>
        <v>0</v>
      </c>
      <c r="AG463" s="212">
        <f>SUM(AE463-AF463)</f>
        <v>0</v>
      </c>
      <c r="AH463" s="214"/>
      <c r="AI463" s="214"/>
    </row>
    <row r="464" spans="1:42" customHeight="1" ht="11.5">
      <c r="A464" s="5"/>
      <c r="B464" s="113"/>
      <c r="C464" s="90"/>
      <c r="D464" s="167"/>
      <c r="E464" s="86"/>
      <c r="F464" s="9"/>
      <c r="G464" s="10"/>
      <c r="H464" s="9"/>
      <c r="I464" s="10"/>
      <c r="J464" s="9"/>
      <c r="K464" s="10"/>
      <c r="L464" s="87"/>
      <c r="M464" s="10"/>
      <c r="N464" s="9"/>
      <c r="O464" s="10"/>
      <c r="P464" s="9"/>
      <c r="Q464" s="10"/>
      <c r="R464" s="9"/>
      <c r="S464" s="10"/>
      <c r="T464" s="9"/>
      <c r="U464" s="10"/>
      <c r="V464" s="9"/>
      <c r="W464" s="10"/>
      <c r="X464" s="9"/>
      <c r="Y464" s="10"/>
      <c r="Z464" s="9"/>
      <c r="AA464" s="10"/>
      <c r="AB464" s="11"/>
      <c r="AC464" s="10"/>
      <c r="AD464" s="7">
        <f>SUM(F464+H464+J464+L464+N464+P464+R464+T464+V464+X464+Z464+AB464)</f>
        <v>0</v>
      </c>
      <c r="AE464" s="7">
        <f>E464+AD464</f>
        <v>0</v>
      </c>
      <c r="AF464" s="8">
        <f>G464+I464+K464+M464+O464+Q464+S464+U464+W464+Y464+AA464+AC464</f>
        <v>0</v>
      </c>
      <c r="AG464" s="212">
        <f>SUM(AE464-AF464)</f>
        <v>0</v>
      </c>
      <c r="AH464" s="214"/>
      <c r="AI464" s="214"/>
    </row>
    <row r="465" spans="1:42" customHeight="1" ht="11.5">
      <c r="A465" s="5"/>
      <c r="B465" s="113"/>
      <c r="C465" s="90"/>
      <c r="D465" s="167"/>
      <c r="E465" s="86"/>
      <c r="F465" s="9"/>
      <c r="G465" s="10"/>
      <c r="H465" s="9"/>
      <c r="I465" s="10"/>
      <c r="J465" s="9"/>
      <c r="K465" s="10"/>
      <c r="L465" s="87"/>
      <c r="M465" s="10"/>
      <c r="N465" s="9"/>
      <c r="O465" s="10"/>
      <c r="P465" s="9"/>
      <c r="Q465" s="10"/>
      <c r="R465" s="9"/>
      <c r="S465" s="10"/>
      <c r="T465" s="9"/>
      <c r="U465" s="10"/>
      <c r="V465" s="9"/>
      <c r="W465" s="10"/>
      <c r="X465" s="9"/>
      <c r="Y465" s="10"/>
      <c r="Z465" s="9"/>
      <c r="AA465" s="10"/>
      <c r="AB465" s="11"/>
      <c r="AC465" s="10"/>
      <c r="AD465" s="7">
        <f>SUM(F465+H465+J465+L465+N465+P465+R465+T465+V465+X465+Z465+AB465)</f>
        <v>0</v>
      </c>
      <c r="AE465" s="7">
        <f>E465+AD465</f>
        <v>0</v>
      </c>
      <c r="AF465" s="8">
        <f>G465+I465+K465+M465+O465+Q465+S465+U465+W465+Y465+AA465+AC465</f>
        <v>0</v>
      </c>
      <c r="AG465" s="212">
        <f>SUM(AE465-AF465)</f>
        <v>0</v>
      </c>
      <c r="AH465" s="214"/>
      <c r="AI465" s="214"/>
    </row>
    <row r="466" spans="1:42" customHeight="1" ht="11.5">
      <c r="A466" s="5"/>
      <c r="B466" s="113"/>
      <c r="C466" s="90"/>
      <c r="D466" s="167"/>
      <c r="E466" s="86"/>
      <c r="F466" s="9"/>
      <c r="G466" s="10"/>
      <c r="H466" s="9"/>
      <c r="I466" s="10"/>
      <c r="J466" s="9"/>
      <c r="K466" s="10"/>
      <c r="L466" s="87"/>
      <c r="M466" s="10"/>
      <c r="N466" s="9"/>
      <c r="O466" s="10"/>
      <c r="P466" s="9"/>
      <c r="Q466" s="10"/>
      <c r="R466" s="9"/>
      <c r="S466" s="10"/>
      <c r="T466" s="9"/>
      <c r="U466" s="10"/>
      <c r="V466" s="9"/>
      <c r="W466" s="10"/>
      <c r="X466" s="9"/>
      <c r="Y466" s="10"/>
      <c r="Z466" s="9"/>
      <c r="AA466" s="10"/>
      <c r="AB466" s="11"/>
      <c r="AC466" s="10"/>
      <c r="AD466" s="7">
        <f>SUM(F466+H466+J466+L466+N466+P466+R466+T466+V466+X466+Z466+AB466)</f>
        <v>0</v>
      </c>
      <c r="AE466" s="7">
        <f>E466+AD466</f>
        <v>0</v>
      </c>
      <c r="AF466" s="8">
        <f>G466+I466+K466+M466+O466+Q466+S466+U466+W466+Y466+AA466+AC466</f>
        <v>0</v>
      </c>
      <c r="AG466" s="212">
        <f>SUM(AE466-AF466)</f>
        <v>0</v>
      </c>
      <c r="AH466" s="214"/>
      <c r="AI466" s="214"/>
    </row>
    <row r="467" spans="1:42" customHeight="1" ht="11.5">
      <c r="A467" s="5"/>
      <c r="B467" s="113"/>
      <c r="C467" s="90"/>
      <c r="D467" s="167"/>
      <c r="E467" s="86"/>
      <c r="F467" s="9"/>
      <c r="G467" s="10"/>
      <c r="H467" s="9"/>
      <c r="I467" s="10"/>
      <c r="J467" s="9"/>
      <c r="K467" s="10"/>
      <c r="L467" s="87"/>
      <c r="M467" s="10"/>
      <c r="N467" s="9"/>
      <c r="O467" s="10"/>
      <c r="P467" s="9"/>
      <c r="Q467" s="10"/>
      <c r="R467" s="9"/>
      <c r="S467" s="10"/>
      <c r="T467" s="9"/>
      <c r="U467" s="10"/>
      <c r="V467" s="9"/>
      <c r="W467" s="10"/>
      <c r="X467" s="9"/>
      <c r="Y467" s="10"/>
      <c r="Z467" s="9"/>
      <c r="AA467" s="10"/>
      <c r="AB467" s="11"/>
      <c r="AC467" s="10"/>
      <c r="AD467" s="7">
        <f>SUM(F467+H467+J467+L467+N467+P467+R467+T467+V467+X467+Z467+AB467)</f>
        <v>0</v>
      </c>
      <c r="AE467" s="7">
        <f>E467+AD467</f>
        <v>0</v>
      </c>
      <c r="AF467" s="8">
        <f>G467+I467+K467+M467+O467+Q467+S467+U467+W467+Y467+AA467+AC467</f>
        <v>0</v>
      </c>
      <c r="AG467" s="212">
        <f>SUM(AE467-AF467)</f>
        <v>0</v>
      </c>
      <c r="AH467" s="214"/>
      <c r="AI467" s="214"/>
    </row>
    <row r="468" spans="1:42" customHeight="1" ht="11.5">
      <c r="A468" s="5"/>
      <c r="B468" s="113"/>
      <c r="C468" s="90"/>
      <c r="D468" s="167"/>
      <c r="E468" s="86"/>
      <c r="F468" s="9"/>
      <c r="G468" s="10"/>
      <c r="H468" s="9"/>
      <c r="I468" s="10"/>
      <c r="J468" s="9"/>
      <c r="K468" s="10"/>
      <c r="L468" s="87"/>
      <c r="M468" s="10"/>
      <c r="N468" s="9"/>
      <c r="O468" s="10"/>
      <c r="P468" s="9"/>
      <c r="Q468" s="10"/>
      <c r="R468" s="9"/>
      <c r="S468" s="10"/>
      <c r="T468" s="9"/>
      <c r="U468" s="10"/>
      <c r="V468" s="9"/>
      <c r="W468" s="10"/>
      <c r="X468" s="9"/>
      <c r="Y468" s="10"/>
      <c r="Z468" s="9"/>
      <c r="AA468" s="10"/>
      <c r="AB468" s="11"/>
      <c r="AC468" s="10"/>
      <c r="AD468" s="7">
        <f>SUM(F468+H468+J468+L468+N468+P468+R468+T468+V468+X468+Z468+AB468)</f>
        <v>0</v>
      </c>
      <c r="AE468" s="7">
        <f>E468+AD468</f>
        <v>0</v>
      </c>
      <c r="AF468" s="8">
        <f>G468+I468+K468+M468+O468+Q468+S468+U468+W468+Y468+AA468+AC468</f>
        <v>0</v>
      </c>
      <c r="AG468" s="212">
        <f>SUM(AE468-AF468)</f>
        <v>0</v>
      </c>
      <c r="AH468" s="214"/>
      <c r="AI468" s="214"/>
    </row>
    <row r="469" spans="1:42" customHeight="1" ht="11.5">
      <c r="A469" s="5"/>
      <c r="B469" s="113"/>
      <c r="C469" s="90"/>
      <c r="D469" s="167"/>
      <c r="E469" s="86"/>
      <c r="F469" s="9"/>
      <c r="G469" s="10"/>
      <c r="H469" s="9"/>
      <c r="I469" s="10"/>
      <c r="J469" s="9"/>
      <c r="K469" s="10"/>
      <c r="L469" s="87"/>
      <c r="M469" s="10"/>
      <c r="N469" s="9"/>
      <c r="O469" s="10"/>
      <c r="P469" s="9"/>
      <c r="Q469" s="10"/>
      <c r="R469" s="9"/>
      <c r="S469" s="10"/>
      <c r="T469" s="9"/>
      <c r="U469" s="10"/>
      <c r="V469" s="9"/>
      <c r="W469" s="10"/>
      <c r="X469" s="9"/>
      <c r="Y469" s="10"/>
      <c r="Z469" s="9"/>
      <c r="AA469" s="10"/>
      <c r="AB469" s="11"/>
      <c r="AC469" s="10"/>
      <c r="AD469" s="7">
        <f>SUM(F469+H469+J469+L469+N469+P469+R469+T469+V469+X469+Z469+AB469)</f>
        <v>0</v>
      </c>
      <c r="AE469" s="7">
        <f>E469+AD469</f>
        <v>0</v>
      </c>
      <c r="AF469" s="8">
        <f>G469+I469+K469+M469+O469+Q469+S469+U469+W469+Y469+AA469+AC469</f>
        <v>0</v>
      </c>
      <c r="AG469" s="212">
        <f>SUM(AE469-AF469)</f>
        <v>0</v>
      </c>
      <c r="AH469" s="214"/>
      <c r="AI469" s="214"/>
    </row>
    <row r="470" spans="1:42" customHeight="1" ht="11.5">
      <c r="A470" s="5"/>
      <c r="B470" s="113"/>
      <c r="C470" s="90"/>
      <c r="D470" s="167"/>
      <c r="E470" s="86"/>
      <c r="F470" s="9"/>
      <c r="G470" s="10"/>
      <c r="H470" s="9"/>
      <c r="I470" s="10"/>
      <c r="J470" s="9"/>
      <c r="K470" s="10"/>
      <c r="L470" s="87"/>
      <c r="M470" s="10"/>
      <c r="N470" s="9"/>
      <c r="O470" s="10"/>
      <c r="P470" s="9"/>
      <c r="Q470" s="10"/>
      <c r="R470" s="9"/>
      <c r="S470" s="10"/>
      <c r="T470" s="9"/>
      <c r="U470" s="10"/>
      <c r="V470" s="9"/>
      <c r="W470" s="10"/>
      <c r="X470" s="9"/>
      <c r="Y470" s="10"/>
      <c r="Z470" s="9"/>
      <c r="AA470" s="10"/>
      <c r="AB470" s="11"/>
      <c r="AC470" s="10"/>
      <c r="AD470" s="7">
        <f>SUM(F470+H470+J470+L470+N470+P470+R470+T470+V470+X470+Z470+AB470)</f>
        <v>0</v>
      </c>
      <c r="AE470" s="7">
        <f>E470+AD470</f>
        <v>0</v>
      </c>
      <c r="AF470" s="8">
        <f>G470+I470+K470+M470+O470+Q470+S470+U470+W470+Y470+AA470+AC470</f>
        <v>0</v>
      </c>
      <c r="AG470" s="212">
        <f>SUM(AE470-AF470)</f>
        <v>0</v>
      </c>
      <c r="AH470" s="214"/>
      <c r="AI470" s="214"/>
    </row>
    <row r="471" spans="1:42" customHeight="1" ht="11.5">
      <c r="A471" s="5"/>
      <c r="B471" s="113"/>
      <c r="C471" s="90"/>
      <c r="D471" s="167"/>
      <c r="E471" s="86"/>
      <c r="F471" s="9"/>
      <c r="G471" s="10"/>
      <c r="H471" s="9"/>
      <c r="I471" s="10"/>
      <c r="J471" s="9"/>
      <c r="K471" s="10"/>
      <c r="L471" s="87"/>
      <c r="M471" s="10"/>
      <c r="N471" s="9"/>
      <c r="O471" s="10"/>
      <c r="P471" s="9"/>
      <c r="Q471" s="10"/>
      <c r="R471" s="9"/>
      <c r="S471" s="10"/>
      <c r="T471" s="9"/>
      <c r="U471" s="10"/>
      <c r="V471" s="9"/>
      <c r="W471" s="10"/>
      <c r="X471" s="9"/>
      <c r="Y471" s="10"/>
      <c r="Z471" s="9"/>
      <c r="AA471" s="10"/>
      <c r="AB471" s="11"/>
      <c r="AC471" s="10"/>
      <c r="AD471" s="7">
        <f>SUM(F471+H471+J471+L471+N471+P471+R471+T471+V471+X471+Z471+AB471)</f>
        <v>0</v>
      </c>
      <c r="AE471" s="7">
        <f>E471+AD471</f>
        <v>0</v>
      </c>
      <c r="AF471" s="8">
        <f>G471+I471+K471+M471+O471+Q471+S471+U471+W471+Y471+AA471+AC471</f>
        <v>0</v>
      </c>
      <c r="AG471" s="212">
        <f>SUM(AE471-AF471)</f>
        <v>0</v>
      </c>
      <c r="AH471" s="214"/>
      <c r="AI471" s="214"/>
    </row>
    <row r="472" spans="1:42" customHeight="1" ht="11.5">
      <c r="A472" s="5"/>
      <c r="B472" s="113"/>
      <c r="C472" s="90"/>
      <c r="D472" s="167"/>
      <c r="E472" s="86"/>
      <c r="F472" s="9"/>
      <c r="G472" s="10"/>
      <c r="H472" s="9"/>
      <c r="I472" s="10"/>
      <c r="J472" s="9"/>
      <c r="K472" s="10"/>
      <c r="L472" s="87"/>
      <c r="M472" s="10"/>
      <c r="N472" s="9"/>
      <c r="O472" s="10"/>
      <c r="P472" s="9"/>
      <c r="Q472" s="10"/>
      <c r="R472" s="9"/>
      <c r="S472" s="10"/>
      <c r="T472" s="9"/>
      <c r="U472" s="10"/>
      <c r="V472" s="9"/>
      <c r="W472" s="10"/>
      <c r="X472" s="9"/>
      <c r="Y472" s="10"/>
      <c r="Z472" s="9"/>
      <c r="AA472" s="10"/>
      <c r="AB472" s="11"/>
      <c r="AC472" s="10"/>
      <c r="AD472" s="7">
        <f>SUM(F472+H472+J472+L472+N472+P472+R472+T472+V472+X472+Z472+AB472)</f>
        <v>0</v>
      </c>
      <c r="AE472" s="7">
        <f>E472+AD472</f>
        <v>0</v>
      </c>
      <c r="AF472" s="8">
        <f>G472+I472+K472+M472+O472+Q472+S472+U472+W472+Y472+AA472+AC472</f>
        <v>0</v>
      </c>
      <c r="AG472" s="212">
        <f>SUM(AE472-AF472)</f>
        <v>0</v>
      </c>
      <c r="AH472" s="214"/>
      <c r="AI472" s="214"/>
    </row>
    <row r="473" spans="1:42" customHeight="1" ht="11.5">
      <c r="A473" s="5"/>
      <c r="B473" s="113"/>
      <c r="C473" s="90"/>
      <c r="D473" s="167"/>
      <c r="E473" s="86"/>
      <c r="F473" s="9"/>
      <c r="G473" s="10"/>
      <c r="H473" s="9"/>
      <c r="I473" s="10"/>
      <c r="J473" s="9"/>
      <c r="K473" s="10"/>
      <c r="L473" s="87"/>
      <c r="M473" s="10"/>
      <c r="N473" s="9"/>
      <c r="O473" s="10"/>
      <c r="P473" s="9"/>
      <c r="Q473" s="10"/>
      <c r="R473" s="9"/>
      <c r="S473" s="10"/>
      <c r="T473" s="9"/>
      <c r="U473" s="10"/>
      <c r="V473" s="9"/>
      <c r="W473" s="10"/>
      <c r="X473" s="9"/>
      <c r="Y473" s="10"/>
      <c r="Z473" s="9"/>
      <c r="AA473" s="10"/>
      <c r="AB473" s="11"/>
      <c r="AC473" s="10"/>
      <c r="AD473" s="7">
        <f>SUM(F473+H473+J473+L473+N473+P473+R473+T473+V473+X473+Z473+AB473)</f>
        <v>0</v>
      </c>
      <c r="AE473" s="7">
        <f>E473+AD473</f>
        <v>0</v>
      </c>
      <c r="AF473" s="8">
        <f>G473+I473+K473+M473+O473+Q473+S473+U473+W473+Y473+AA473+AC473</f>
        <v>0</v>
      </c>
      <c r="AG473" s="212">
        <f>SUM(AE473-AF473)</f>
        <v>0</v>
      </c>
      <c r="AH473" s="214"/>
      <c r="AI473" s="214"/>
    </row>
    <row r="474" spans="1:42" customHeight="1" ht="11.5">
      <c r="A474" s="5"/>
      <c r="B474" s="113"/>
      <c r="C474" s="90"/>
      <c r="D474" s="167"/>
      <c r="E474" s="86"/>
      <c r="F474" s="9"/>
      <c r="G474" s="10"/>
      <c r="H474" s="9"/>
      <c r="I474" s="10"/>
      <c r="J474" s="9"/>
      <c r="K474" s="10"/>
      <c r="L474" s="87"/>
      <c r="M474" s="10"/>
      <c r="N474" s="9"/>
      <c r="O474" s="10"/>
      <c r="P474" s="9"/>
      <c r="Q474" s="10"/>
      <c r="R474" s="9"/>
      <c r="S474" s="10"/>
      <c r="T474" s="9"/>
      <c r="U474" s="10"/>
      <c r="V474" s="9"/>
      <c r="W474" s="10"/>
      <c r="X474" s="9"/>
      <c r="Y474" s="10"/>
      <c r="Z474" s="9"/>
      <c r="AA474" s="10"/>
      <c r="AB474" s="11"/>
      <c r="AC474" s="10"/>
      <c r="AD474" s="7">
        <f>SUM(F474+H474+J474+L474+N474+P474+R474+T474+V474+X474+Z474+AB474)</f>
        <v>0</v>
      </c>
      <c r="AE474" s="7">
        <f>E474+AD474</f>
        <v>0</v>
      </c>
      <c r="AF474" s="8">
        <f>G474+I474+K474+M474+O474+Q474+S474+U474+W474+Y474+AA474+AC474</f>
        <v>0</v>
      </c>
      <c r="AG474" s="212">
        <f>SUM(AE474-AF474)</f>
        <v>0</v>
      </c>
      <c r="AH474" s="214"/>
      <c r="AI474" s="214"/>
    </row>
    <row r="475" spans="1:42" customHeight="1" ht="11.5">
      <c r="A475" s="5"/>
      <c r="B475" s="113"/>
      <c r="C475" s="90"/>
      <c r="D475" s="167"/>
      <c r="E475" s="86"/>
      <c r="F475" s="9"/>
      <c r="G475" s="10"/>
      <c r="H475" s="9"/>
      <c r="I475" s="10"/>
      <c r="J475" s="9"/>
      <c r="K475" s="10"/>
      <c r="L475" s="87"/>
      <c r="M475" s="10"/>
      <c r="N475" s="9"/>
      <c r="O475" s="10"/>
      <c r="P475" s="9"/>
      <c r="Q475" s="10"/>
      <c r="R475" s="9"/>
      <c r="S475" s="10"/>
      <c r="T475" s="9"/>
      <c r="U475" s="10"/>
      <c r="V475" s="9"/>
      <c r="W475" s="10"/>
      <c r="X475" s="9"/>
      <c r="Y475" s="10"/>
      <c r="Z475" s="9"/>
      <c r="AA475" s="10"/>
      <c r="AB475" s="11"/>
      <c r="AC475" s="10"/>
      <c r="AD475" s="7">
        <f>SUM(F475+H475+J475+L475+N475+P475+R475+T475+V475+X475+Z475+AB475)</f>
        <v>0</v>
      </c>
      <c r="AE475" s="7">
        <f>E475+AD475</f>
        <v>0</v>
      </c>
      <c r="AF475" s="8">
        <f>G475+I475+K475+M475+O475+Q475+S475+U475+W475+Y475+AA475+AC475</f>
        <v>0</v>
      </c>
      <c r="AG475" s="212">
        <f>SUM(AE475-AF475)</f>
        <v>0</v>
      </c>
      <c r="AH475" s="214"/>
      <c r="AI475" s="214"/>
    </row>
    <row r="476" spans="1:42" customHeight="1" ht="11.5">
      <c r="A476" s="5"/>
      <c r="B476" s="113"/>
      <c r="C476" s="90"/>
      <c r="D476" s="167"/>
      <c r="E476" s="86"/>
      <c r="F476" s="9"/>
      <c r="G476" s="10"/>
      <c r="H476" s="9"/>
      <c r="I476" s="10"/>
      <c r="J476" s="9"/>
      <c r="K476" s="10"/>
      <c r="L476" s="87"/>
      <c r="M476" s="10"/>
      <c r="N476" s="9"/>
      <c r="O476" s="10"/>
      <c r="P476" s="9"/>
      <c r="Q476" s="10"/>
      <c r="R476" s="9"/>
      <c r="S476" s="10"/>
      <c r="T476" s="9"/>
      <c r="U476" s="10"/>
      <c r="V476" s="9"/>
      <c r="W476" s="10"/>
      <c r="X476" s="9"/>
      <c r="Y476" s="10"/>
      <c r="Z476" s="9"/>
      <c r="AA476" s="10"/>
      <c r="AB476" s="11"/>
      <c r="AC476" s="10"/>
      <c r="AD476" s="7">
        <f>SUM(F476+H476+J476+L476+N476+P476+R476+T476+V476+X476+Z476+AB476)</f>
        <v>0</v>
      </c>
      <c r="AE476" s="7">
        <f>E476+AD476</f>
        <v>0</v>
      </c>
      <c r="AF476" s="8">
        <f>G476+I476+K476+M476+O476+Q476+S476+U476+W476+Y476+AA476+AC476</f>
        <v>0</v>
      </c>
      <c r="AG476" s="212">
        <f>SUM(AE476-AF476)</f>
        <v>0</v>
      </c>
      <c r="AH476" s="214"/>
      <c r="AI476" s="214"/>
    </row>
    <row r="477" spans="1:42" customHeight="1" ht="11.5">
      <c r="A477" s="5"/>
      <c r="B477" s="113"/>
      <c r="C477" s="90"/>
      <c r="D477" s="167"/>
      <c r="E477" s="86"/>
      <c r="F477" s="9"/>
      <c r="G477" s="10"/>
      <c r="H477" s="9"/>
      <c r="I477" s="10"/>
      <c r="J477" s="9"/>
      <c r="K477" s="10"/>
      <c r="L477" s="87"/>
      <c r="M477" s="10"/>
      <c r="N477" s="9"/>
      <c r="O477" s="10"/>
      <c r="P477" s="9"/>
      <c r="Q477" s="10"/>
      <c r="R477" s="9"/>
      <c r="S477" s="10"/>
      <c r="T477" s="9"/>
      <c r="U477" s="10"/>
      <c r="V477" s="9"/>
      <c r="W477" s="10"/>
      <c r="X477" s="9"/>
      <c r="Y477" s="10"/>
      <c r="Z477" s="9"/>
      <c r="AA477" s="10"/>
      <c r="AB477" s="11"/>
      <c r="AC477" s="10"/>
      <c r="AD477" s="7">
        <f>SUM(F477+H477+J477+L477+N477+P477+R477+T477+V477+X477+Z477+AB477)</f>
        <v>0</v>
      </c>
      <c r="AE477" s="7">
        <f>E477+AD477</f>
        <v>0</v>
      </c>
      <c r="AF477" s="8">
        <f>G477+I477+K477+M477+O477+Q477+S477+U477+W477+Y477+AA477+AC477</f>
        <v>0</v>
      </c>
      <c r="AG477" s="212">
        <f>SUM(AE477-AF477)</f>
        <v>0</v>
      </c>
      <c r="AH477" s="214"/>
      <c r="AI477" s="214"/>
    </row>
    <row r="478" spans="1:42" customHeight="1" ht="11.5">
      <c r="A478" s="5"/>
      <c r="B478" s="113"/>
      <c r="C478" s="90"/>
      <c r="D478" s="167"/>
      <c r="E478" s="86"/>
      <c r="F478" s="9"/>
      <c r="G478" s="10"/>
      <c r="H478" s="9"/>
      <c r="I478" s="10"/>
      <c r="J478" s="9"/>
      <c r="K478" s="10"/>
      <c r="L478" s="87"/>
      <c r="M478" s="10"/>
      <c r="N478" s="9"/>
      <c r="O478" s="10"/>
      <c r="P478" s="9"/>
      <c r="Q478" s="10"/>
      <c r="R478" s="9"/>
      <c r="S478" s="10"/>
      <c r="T478" s="9"/>
      <c r="U478" s="10"/>
      <c r="V478" s="9"/>
      <c r="W478" s="10"/>
      <c r="X478" s="9"/>
      <c r="Y478" s="10"/>
      <c r="Z478" s="9"/>
      <c r="AA478" s="10"/>
      <c r="AB478" s="11"/>
      <c r="AC478" s="10"/>
      <c r="AD478" s="7">
        <f>SUM(F478+H478+J478+L478+N478+P478+R478+T478+V478+X478+Z478+AB478)</f>
        <v>0</v>
      </c>
      <c r="AE478" s="7">
        <f>E478+AD478</f>
        <v>0</v>
      </c>
      <c r="AF478" s="8">
        <f>G478+I478+K478+M478+O478+Q478+S478+U478+W478+Y478+AA478+AC478</f>
        <v>0</v>
      </c>
      <c r="AG478" s="212">
        <f>SUM(AE478-AF478)</f>
        <v>0</v>
      </c>
      <c r="AH478" s="214"/>
      <c r="AI478" s="214"/>
    </row>
    <row r="479" spans="1:42" customHeight="1" ht="11.5">
      <c r="A479" s="5"/>
      <c r="B479" s="113"/>
      <c r="C479" s="90"/>
      <c r="D479" s="167"/>
      <c r="E479" s="86"/>
      <c r="F479" s="9"/>
      <c r="G479" s="10"/>
      <c r="H479" s="9"/>
      <c r="I479" s="10"/>
      <c r="J479" s="9"/>
      <c r="K479" s="10"/>
      <c r="L479" s="87"/>
      <c r="M479" s="10"/>
      <c r="N479" s="9"/>
      <c r="O479" s="10"/>
      <c r="P479" s="9"/>
      <c r="Q479" s="10"/>
      <c r="R479" s="9"/>
      <c r="S479" s="10"/>
      <c r="T479" s="9"/>
      <c r="U479" s="10"/>
      <c r="V479" s="9"/>
      <c r="W479" s="10"/>
      <c r="X479" s="9"/>
      <c r="Y479" s="10"/>
      <c r="Z479" s="9"/>
      <c r="AA479" s="10"/>
      <c r="AB479" s="11"/>
      <c r="AC479" s="10"/>
      <c r="AD479" s="7">
        <f>SUM(F479+H479+J479+L479+N479+P479+R479+T479+V479+X479+Z479+AB479)</f>
        <v>0</v>
      </c>
      <c r="AE479" s="7">
        <f>E479+AD479</f>
        <v>0</v>
      </c>
      <c r="AF479" s="8">
        <f>G479+I479+K479+M479+O479+Q479+S479+U479+W479+Y479+AA479+AC479</f>
        <v>0</v>
      </c>
      <c r="AG479" s="212">
        <f>SUM(AE479-AF479)</f>
        <v>0</v>
      </c>
      <c r="AH479" s="214"/>
      <c r="AI479" s="214"/>
    </row>
    <row r="480" spans="1:42" customHeight="1" ht="11.5">
      <c r="A480" s="5"/>
      <c r="B480" s="113"/>
      <c r="C480" s="90"/>
      <c r="D480" s="167"/>
      <c r="E480" s="86"/>
      <c r="F480" s="9"/>
      <c r="G480" s="10"/>
      <c r="H480" s="9"/>
      <c r="I480" s="10"/>
      <c r="J480" s="9"/>
      <c r="K480" s="10"/>
      <c r="L480" s="87"/>
      <c r="M480" s="10"/>
      <c r="N480" s="9"/>
      <c r="O480" s="10"/>
      <c r="P480" s="9"/>
      <c r="Q480" s="10"/>
      <c r="R480" s="9"/>
      <c r="S480" s="10"/>
      <c r="T480" s="9"/>
      <c r="U480" s="10"/>
      <c r="V480" s="9"/>
      <c r="W480" s="10"/>
      <c r="X480" s="9"/>
      <c r="Y480" s="10"/>
      <c r="Z480" s="9"/>
      <c r="AA480" s="10"/>
      <c r="AB480" s="11"/>
      <c r="AC480" s="10"/>
      <c r="AD480" s="7">
        <f>SUM(F480+H480+J480+L480+N480+P480+R480+T480+V480+X480+Z480+AB480)</f>
        <v>0</v>
      </c>
      <c r="AE480" s="7">
        <f>E480+AD480</f>
        <v>0</v>
      </c>
      <c r="AF480" s="8">
        <f>G480+I480+K480+M480+O480+Q480+S480+U480+W480+Y480+AA480+AC480</f>
        <v>0</v>
      </c>
      <c r="AG480" s="212">
        <f>SUM(AE480-AF480)</f>
        <v>0</v>
      </c>
      <c r="AH480" s="214"/>
      <c r="AI480" s="214"/>
    </row>
    <row r="481" spans="1:42" customHeight="1" ht="11.5">
      <c r="A481" s="5"/>
      <c r="B481" s="113"/>
      <c r="C481" s="90"/>
      <c r="D481" s="167"/>
      <c r="E481" s="86"/>
      <c r="F481" s="9"/>
      <c r="G481" s="10"/>
      <c r="H481" s="9"/>
      <c r="I481" s="10"/>
      <c r="J481" s="9"/>
      <c r="K481" s="10"/>
      <c r="L481" s="87"/>
      <c r="M481" s="10"/>
      <c r="N481" s="9"/>
      <c r="O481" s="10"/>
      <c r="P481" s="9"/>
      <c r="Q481" s="10"/>
      <c r="R481" s="9"/>
      <c r="S481" s="10"/>
      <c r="T481" s="9"/>
      <c r="U481" s="10"/>
      <c r="V481" s="9"/>
      <c r="W481" s="10"/>
      <c r="X481" s="9"/>
      <c r="Y481" s="10"/>
      <c r="Z481" s="9"/>
      <c r="AA481" s="10"/>
      <c r="AB481" s="11"/>
      <c r="AC481" s="10"/>
      <c r="AD481" s="7">
        <f>SUM(F481+H481+J481+L481+N481+P481+R481+T481+V481+X481+Z481+AB481)</f>
        <v>0</v>
      </c>
      <c r="AE481" s="7">
        <f>E481+AD481</f>
        <v>0</v>
      </c>
      <c r="AF481" s="8">
        <f>G481+I481+K481+M481+O481+Q481+S481+U481+W481+Y481+AA481+AC481</f>
        <v>0</v>
      </c>
      <c r="AG481" s="212">
        <f>SUM(AE481-AF481)</f>
        <v>0</v>
      </c>
      <c r="AH481" s="214"/>
      <c r="AI481" s="214"/>
    </row>
    <row r="482" spans="1:42" customHeight="1" ht="11.5">
      <c r="A482" s="5"/>
      <c r="B482" s="113"/>
      <c r="C482" s="90"/>
      <c r="D482" s="167"/>
      <c r="E482" s="86"/>
      <c r="F482" s="9"/>
      <c r="G482" s="10"/>
      <c r="H482" s="9"/>
      <c r="I482" s="10"/>
      <c r="J482" s="9"/>
      <c r="K482" s="10"/>
      <c r="L482" s="87"/>
      <c r="M482" s="10"/>
      <c r="N482" s="9"/>
      <c r="O482" s="10"/>
      <c r="P482" s="9"/>
      <c r="Q482" s="10"/>
      <c r="R482" s="9"/>
      <c r="S482" s="10"/>
      <c r="T482" s="9"/>
      <c r="U482" s="10"/>
      <c r="V482" s="9"/>
      <c r="W482" s="10"/>
      <c r="X482" s="9"/>
      <c r="Y482" s="10"/>
      <c r="Z482" s="9"/>
      <c r="AA482" s="10"/>
      <c r="AB482" s="11"/>
      <c r="AC482" s="10"/>
      <c r="AD482" s="7">
        <f>SUM(F482+H482+J482+L482+N482+P482+R482+T482+V482+X482+Z482+AB482)</f>
        <v>0</v>
      </c>
      <c r="AE482" s="7">
        <f>E482+AD482</f>
        <v>0</v>
      </c>
      <c r="AF482" s="8">
        <f>G482+I482+K482+M482+O482+Q482+S482+U482+W482+Y482+AA482+AC482</f>
        <v>0</v>
      </c>
      <c r="AG482" s="212">
        <f>SUM(AE482-AF482)</f>
        <v>0</v>
      </c>
      <c r="AH482" s="214"/>
      <c r="AI482" s="214"/>
    </row>
    <row r="483" spans="1:42" customHeight="1" ht="11.5">
      <c r="A483" s="5"/>
      <c r="B483" s="113"/>
      <c r="C483" s="90"/>
      <c r="D483" s="167"/>
      <c r="E483" s="86"/>
      <c r="F483" s="9"/>
      <c r="G483" s="10"/>
      <c r="H483" s="9"/>
      <c r="I483" s="10"/>
      <c r="J483" s="9"/>
      <c r="K483" s="10"/>
      <c r="L483" s="87"/>
      <c r="M483" s="10"/>
      <c r="N483" s="9"/>
      <c r="O483" s="10"/>
      <c r="P483" s="9"/>
      <c r="Q483" s="10"/>
      <c r="R483" s="9"/>
      <c r="S483" s="10"/>
      <c r="T483" s="9"/>
      <c r="U483" s="10"/>
      <c r="V483" s="9"/>
      <c r="W483" s="10"/>
      <c r="X483" s="9"/>
      <c r="Y483" s="10"/>
      <c r="Z483" s="9"/>
      <c r="AA483" s="10"/>
      <c r="AB483" s="11"/>
      <c r="AC483" s="10"/>
      <c r="AD483" s="7">
        <f>SUM(F483+H483+J483+L483+N483+P483+R483+T483+V483+X483+Z483+AB483)</f>
        <v>0</v>
      </c>
      <c r="AE483" s="7">
        <f>E483+AD483</f>
        <v>0</v>
      </c>
      <c r="AF483" s="8">
        <f>G483+I483+K483+M483+O483+Q483+S483+U483+W483+Y483+AA483+AC483</f>
        <v>0</v>
      </c>
      <c r="AG483" s="212">
        <f>SUM(AE483-AF483)</f>
        <v>0</v>
      </c>
      <c r="AH483" s="214"/>
      <c r="AI483" s="214"/>
    </row>
    <row r="484" spans="1:42" customHeight="1" ht="11.5">
      <c r="A484" s="5"/>
      <c r="B484" s="113"/>
      <c r="C484" s="90"/>
      <c r="D484" s="167"/>
      <c r="E484" s="86"/>
      <c r="F484" s="9"/>
      <c r="G484" s="10"/>
      <c r="H484" s="9"/>
      <c r="I484" s="10"/>
      <c r="J484" s="9"/>
      <c r="K484" s="10"/>
      <c r="L484" s="87"/>
      <c r="M484" s="10"/>
      <c r="N484" s="9"/>
      <c r="O484" s="10"/>
      <c r="P484" s="9"/>
      <c r="Q484" s="10"/>
      <c r="R484" s="9"/>
      <c r="S484" s="10"/>
      <c r="T484" s="9"/>
      <c r="U484" s="10"/>
      <c r="V484" s="9"/>
      <c r="W484" s="10"/>
      <c r="X484" s="9"/>
      <c r="Y484" s="10"/>
      <c r="Z484" s="9"/>
      <c r="AA484" s="10"/>
      <c r="AB484" s="11"/>
      <c r="AC484" s="10"/>
      <c r="AD484" s="7">
        <f>SUM(F484+H484+J484+L484+N484+P484+R484+T484+V484+X484+Z484+AB484)</f>
        <v>0</v>
      </c>
      <c r="AE484" s="7">
        <f>E484+AD484</f>
        <v>0</v>
      </c>
      <c r="AF484" s="8">
        <f>G484+I484+K484+M484+O484+Q484+S484+U484+W484+Y484+AA484+AC484</f>
        <v>0</v>
      </c>
      <c r="AG484" s="212">
        <f>SUM(AE484-AF484)</f>
        <v>0</v>
      </c>
      <c r="AH484" s="214"/>
      <c r="AI484" s="214"/>
    </row>
    <row r="485" spans="1:42" customHeight="1" ht="11.5">
      <c r="A485" s="5"/>
      <c r="B485" s="113"/>
      <c r="C485" s="90"/>
      <c r="D485" s="167"/>
      <c r="E485" s="86"/>
      <c r="F485" s="9"/>
      <c r="G485" s="10"/>
      <c r="H485" s="9"/>
      <c r="I485" s="10"/>
      <c r="J485" s="9"/>
      <c r="K485" s="10"/>
      <c r="L485" s="87"/>
      <c r="M485" s="10"/>
      <c r="N485" s="9"/>
      <c r="O485" s="10"/>
      <c r="P485" s="9"/>
      <c r="Q485" s="10"/>
      <c r="R485" s="9"/>
      <c r="S485" s="10"/>
      <c r="T485" s="9"/>
      <c r="U485" s="10"/>
      <c r="V485" s="9"/>
      <c r="W485" s="10"/>
      <c r="X485" s="9"/>
      <c r="Y485" s="10"/>
      <c r="Z485" s="9"/>
      <c r="AA485" s="10"/>
      <c r="AB485" s="11"/>
      <c r="AC485" s="10"/>
      <c r="AD485" s="7">
        <f>SUM(F485+H485+J485+L485+N485+P485+R485+T485+V485+X485+Z485+AB485)</f>
        <v>0</v>
      </c>
      <c r="AE485" s="7">
        <f>E485+AD485</f>
        <v>0</v>
      </c>
      <c r="AF485" s="8">
        <f>G485+I485+K485+M485+O485+Q485+S485+U485+W485+Y485+AA485+AC485</f>
        <v>0</v>
      </c>
      <c r="AG485" s="212">
        <f>SUM(AE485-AF485)</f>
        <v>0</v>
      </c>
      <c r="AH485" s="214"/>
      <c r="AI485" s="214"/>
    </row>
    <row r="486" spans="1:42" customHeight="1" ht="11.5">
      <c r="A486" s="5"/>
      <c r="B486" s="113"/>
      <c r="C486" s="90"/>
      <c r="D486" s="167"/>
      <c r="E486" s="86"/>
      <c r="F486" s="9"/>
      <c r="G486" s="10"/>
      <c r="H486" s="9"/>
      <c r="I486" s="10"/>
      <c r="J486" s="9"/>
      <c r="K486" s="10"/>
      <c r="L486" s="87"/>
      <c r="M486" s="10"/>
      <c r="N486" s="9"/>
      <c r="O486" s="10"/>
      <c r="P486" s="9"/>
      <c r="Q486" s="10"/>
      <c r="R486" s="9"/>
      <c r="S486" s="10"/>
      <c r="T486" s="9"/>
      <c r="U486" s="10"/>
      <c r="V486" s="9"/>
      <c r="W486" s="10"/>
      <c r="X486" s="9"/>
      <c r="Y486" s="10"/>
      <c r="Z486" s="9"/>
      <c r="AA486" s="10"/>
      <c r="AB486" s="11"/>
      <c r="AC486" s="10"/>
      <c r="AD486" s="7">
        <f>SUM(F486+H486+J486+L486+N486+P486+R486+T486+V486+X486+Z486+AB486)</f>
        <v>0</v>
      </c>
      <c r="AE486" s="7">
        <f>E486+AD486</f>
        <v>0</v>
      </c>
      <c r="AF486" s="8">
        <f>G486+I486+K486+M486+O486+Q486+S486+U486+W486+Y486+AA486+AC486</f>
        <v>0</v>
      </c>
      <c r="AG486" s="212">
        <f>SUM(AE486-AF486)</f>
        <v>0</v>
      </c>
      <c r="AH486" s="214"/>
      <c r="AI486" s="214"/>
    </row>
    <row r="487" spans="1:42" customHeight="1" ht="11.5">
      <c r="A487" s="5"/>
      <c r="B487" s="113"/>
      <c r="C487" s="90"/>
      <c r="D487" s="167"/>
      <c r="E487" s="86"/>
      <c r="F487" s="9"/>
      <c r="G487" s="10"/>
      <c r="H487" s="9"/>
      <c r="I487" s="10"/>
      <c r="J487" s="9"/>
      <c r="K487" s="10"/>
      <c r="L487" s="87"/>
      <c r="M487" s="10"/>
      <c r="N487" s="9"/>
      <c r="O487" s="10"/>
      <c r="P487" s="9"/>
      <c r="Q487" s="10"/>
      <c r="R487" s="9"/>
      <c r="S487" s="10"/>
      <c r="T487" s="9"/>
      <c r="U487" s="10"/>
      <c r="V487" s="9"/>
      <c r="W487" s="10"/>
      <c r="X487" s="9"/>
      <c r="Y487" s="10"/>
      <c r="Z487" s="9"/>
      <c r="AA487" s="10"/>
      <c r="AB487" s="11"/>
      <c r="AC487" s="10"/>
      <c r="AD487" s="7">
        <f>SUM(F487+H487+J487+L487+N487+P487+R487+T487+V487+X487+Z487+AB487)</f>
        <v>0</v>
      </c>
      <c r="AE487" s="7">
        <f>E487+AD487</f>
        <v>0</v>
      </c>
      <c r="AF487" s="8">
        <f>G487+I487+K487+M487+O487+Q487+S487+U487+W487+Y487+AA487+AC487</f>
        <v>0</v>
      </c>
      <c r="AG487" s="212">
        <f>SUM(AE487-AF487)</f>
        <v>0</v>
      </c>
      <c r="AH487" s="214"/>
      <c r="AI487" s="214"/>
    </row>
    <row r="488" spans="1:42" customHeight="1" ht="11.5">
      <c r="A488" s="5"/>
      <c r="B488" s="113"/>
      <c r="C488" s="90"/>
      <c r="D488" s="167"/>
      <c r="E488" s="86"/>
      <c r="F488" s="9"/>
      <c r="G488" s="10"/>
      <c r="H488" s="9"/>
      <c r="I488" s="10"/>
      <c r="J488" s="9"/>
      <c r="K488" s="10"/>
      <c r="L488" s="87"/>
      <c r="M488" s="10"/>
      <c r="N488" s="9"/>
      <c r="O488" s="10"/>
      <c r="P488" s="9"/>
      <c r="Q488" s="10"/>
      <c r="R488" s="9"/>
      <c r="S488" s="10"/>
      <c r="T488" s="9"/>
      <c r="U488" s="10"/>
      <c r="V488" s="9"/>
      <c r="W488" s="10"/>
      <c r="X488" s="9"/>
      <c r="Y488" s="10"/>
      <c r="Z488" s="9"/>
      <c r="AA488" s="10"/>
      <c r="AB488" s="11"/>
      <c r="AC488" s="10"/>
      <c r="AD488" s="7">
        <f>SUM(F488+H488+J488+L488+N488+P488+R488+T488+V488+X488+Z488+AB488)</f>
        <v>0</v>
      </c>
      <c r="AE488" s="7">
        <f>E488+AD488</f>
        <v>0</v>
      </c>
      <c r="AF488" s="8">
        <f>G488+I488+K488+M488+O488+Q488+S488+U488+W488+Y488+AA488+AC488</f>
        <v>0</v>
      </c>
      <c r="AG488" s="212">
        <f>SUM(AE488-AF488)</f>
        <v>0</v>
      </c>
      <c r="AH488" s="214"/>
      <c r="AI488" s="214"/>
    </row>
    <row r="489" spans="1:42" customHeight="1" ht="11.5">
      <c r="A489" s="5"/>
      <c r="B489" s="113"/>
      <c r="C489" s="90"/>
      <c r="D489" s="167"/>
      <c r="E489" s="86"/>
      <c r="F489" s="9"/>
      <c r="G489" s="10"/>
      <c r="H489" s="9"/>
      <c r="I489" s="10"/>
      <c r="J489" s="9"/>
      <c r="K489" s="10"/>
      <c r="L489" s="87"/>
      <c r="M489" s="10"/>
      <c r="N489" s="9"/>
      <c r="O489" s="10"/>
      <c r="P489" s="9"/>
      <c r="Q489" s="10"/>
      <c r="R489" s="9"/>
      <c r="S489" s="10"/>
      <c r="T489" s="9"/>
      <c r="U489" s="10"/>
      <c r="V489" s="9"/>
      <c r="W489" s="10"/>
      <c r="X489" s="9"/>
      <c r="Y489" s="10"/>
      <c r="Z489" s="9"/>
      <c r="AA489" s="10"/>
      <c r="AB489" s="11"/>
      <c r="AC489" s="10"/>
      <c r="AD489" s="7">
        <f>SUM(F489+H489+J489+L489+N489+P489+R489+T489+V489+X489+Z489+AB489)</f>
        <v>0</v>
      </c>
      <c r="AE489" s="7">
        <f>E489+AD489</f>
        <v>0</v>
      </c>
      <c r="AF489" s="8">
        <f>G489+I489+K489+M489+O489+Q489+S489+U489+W489+Y489+AA489+AC489</f>
        <v>0</v>
      </c>
      <c r="AG489" s="212">
        <f>SUM(AE489-AF489)</f>
        <v>0</v>
      </c>
      <c r="AH489" s="214"/>
      <c r="AI489" s="214"/>
    </row>
    <row r="490" spans="1:42" customHeight="1" ht="11.5">
      <c r="A490" s="5"/>
      <c r="B490" s="113"/>
      <c r="C490" s="90"/>
      <c r="D490" s="167"/>
      <c r="E490" s="86"/>
      <c r="F490" s="9"/>
      <c r="G490" s="10"/>
      <c r="H490" s="9"/>
      <c r="I490" s="10"/>
      <c r="J490" s="9"/>
      <c r="K490" s="10"/>
      <c r="L490" s="87"/>
      <c r="M490" s="10"/>
      <c r="N490" s="9"/>
      <c r="O490" s="10"/>
      <c r="P490" s="9"/>
      <c r="Q490" s="10"/>
      <c r="R490" s="9"/>
      <c r="S490" s="10"/>
      <c r="T490" s="9"/>
      <c r="U490" s="10"/>
      <c r="V490" s="9"/>
      <c r="W490" s="10"/>
      <c r="X490" s="9"/>
      <c r="Y490" s="10"/>
      <c r="Z490" s="9"/>
      <c r="AA490" s="10"/>
      <c r="AB490" s="11"/>
      <c r="AC490" s="10"/>
      <c r="AD490" s="7">
        <f>SUM(F490+H490+J490+L490+N490+P490+R490+T490+V490+X490+Z490+AB490)</f>
        <v>0</v>
      </c>
      <c r="AE490" s="7">
        <f>E490+AD490</f>
        <v>0</v>
      </c>
      <c r="AF490" s="8">
        <f>G490+I490+K490+M490+O490+Q490+S490+U490+W490+Y490+AA490+AC490</f>
        <v>0</v>
      </c>
      <c r="AG490" s="212">
        <f>SUM(AE490-AF490)</f>
        <v>0</v>
      </c>
      <c r="AH490" s="214"/>
      <c r="AI490" s="214"/>
    </row>
    <row r="491" spans="1:42" customHeight="1" ht="11.5">
      <c r="A491" s="5"/>
      <c r="B491" s="113"/>
      <c r="C491" s="90"/>
      <c r="D491" s="167"/>
      <c r="E491" s="86"/>
      <c r="F491" s="9"/>
      <c r="G491" s="10"/>
      <c r="H491" s="9"/>
      <c r="I491" s="10"/>
      <c r="J491" s="9"/>
      <c r="K491" s="10"/>
      <c r="L491" s="87"/>
      <c r="M491" s="10"/>
      <c r="N491" s="9"/>
      <c r="O491" s="10"/>
      <c r="P491" s="9"/>
      <c r="Q491" s="10"/>
      <c r="R491" s="9"/>
      <c r="S491" s="10"/>
      <c r="T491" s="9"/>
      <c r="U491" s="10"/>
      <c r="V491" s="9"/>
      <c r="W491" s="10"/>
      <c r="X491" s="9"/>
      <c r="Y491" s="10"/>
      <c r="Z491" s="9"/>
      <c r="AA491" s="10"/>
      <c r="AB491" s="11"/>
      <c r="AC491" s="10"/>
      <c r="AD491" s="7">
        <f>SUM(F491+H491+J491+L491+N491+P491+R491+T491+V491+X491+Z491+AB491)</f>
        <v>0</v>
      </c>
      <c r="AE491" s="7">
        <f>E491+AD491</f>
        <v>0</v>
      </c>
      <c r="AF491" s="8">
        <f>G491+I491+K491+M491+O491+Q491+S491+U491+W491+Y491+AA491+AC491</f>
        <v>0</v>
      </c>
      <c r="AG491" s="212">
        <f>SUM(AE491-AF491)</f>
        <v>0</v>
      </c>
      <c r="AH491" s="214"/>
      <c r="AI491" s="214"/>
    </row>
    <row r="492" spans="1:42" customHeight="1" ht="11.5">
      <c r="A492" s="5"/>
      <c r="B492" s="113"/>
      <c r="C492" s="90"/>
      <c r="D492" s="167"/>
      <c r="E492" s="86"/>
      <c r="F492" s="9"/>
      <c r="G492" s="10"/>
      <c r="H492" s="9"/>
      <c r="I492" s="10"/>
      <c r="J492" s="9"/>
      <c r="K492" s="10"/>
      <c r="L492" s="87"/>
      <c r="M492" s="10"/>
      <c r="N492" s="9"/>
      <c r="O492" s="10"/>
      <c r="P492" s="9"/>
      <c r="Q492" s="10"/>
      <c r="R492" s="9"/>
      <c r="S492" s="10"/>
      <c r="T492" s="9"/>
      <c r="U492" s="10"/>
      <c r="V492" s="9"/>
      <c r="W492" s="10"/>
      <c r="X492" s="9"/>
      <c r="Y492" s="10"/>
      <c r="Z492" s="9"/>
      <c r="AA492" s="10"/>
      <c r="AB492" s="11"/>
      <c r="AC492" s="10"/>
      <c r="AD492" s="7">
        <f>SUM(F492+H492+J492+L492+N492+P492+R492+T492+V492+X492+Z492+AB492)</f>
        <v>0</v>
      </c>
      <c r="AE492" s="7">
        <f>E492+AD492</f>
        <v>0</v>
      </c>
      <c r="AF492" s="8">
        <f>G492+I492+K492+M492+O492+Q492+S492+U492+W492+Y492+AA492+AC492</f>
        <v>0</v>
      </c>
      <c r="AG492" s="212">
        <f>SUM(AE492-AF492)</f>
        <v>0</v>
      </c>
      <c r="AH492" s="214"/>
      <c r="AI492" s="214"/>
    </row>
    <row r="493" spans="1:42" customHeight="1" ht="11.5">
      <c r="A493" s="5"/>
      <c r="B493" s="113"/>
      <c r="C493" s="90"/>
      <c r="D493" s="167"/>
      <c r="E493" s="86"/>
      <c r="F493" s="9"/>
      <c r="G493" s="10"/>
      <c r="H493" s="9"/>
      <c r="I493" s="10"/>
      <c r="J493" s="9"/>
      <c r="K493" s="10"/>
      <c r="L493" s="87"/>
      <c r="M493" s="10"/>
      <c r="N493" s="9"/>
      <c r="O493" s="10"/>
      <c r="P493" s="9"/>
      <c r="Q493" s="10"/>
      <c r="R493" s="9"/>
      <c r="S493" s="10"/>
      <c r="T493" s="9"/>
      <c r="U493" s="10"/>
      <c r="V493" s="9"/>
      <c r="W493" s="10"/>
      <c r="X493" s="9"/>
      <c r="Y493" s="10"/>
      <c r="Z493" s="9"/>
      <c r="AA493" s="10"/>
      <c r="AB493" s="11"/>
      <c r="AC493" s="10"/>
      <c r="AD493" s="7">
        <f>SUM(F493+H493+J493+L493+N493+P493+R493+T493+V493+X493+Z493+AB493)</f>
        <v>0</v>
      </c>
      <c r="AE493" s="7">
        <f>E493+AD493</f>
        <v>0</v>
      </c>
      <c r="AF493" s="8">
        <f>G493+I493+K493+M493+O493+Q493+S493+U493+W493+Y493+AA493+AC493</f>
        <v>0</v>
      </c>
      <c r="AG493" s="212">
        <f>SUM(AE493-AF493)</f>
        <v>0</v>
      </c>
      <c r="AH493" s="214"/>
      <c r="AI493" s="214"/>
    </row>
    <row r="494" spans="1:42" customHeight="1" ht="11.5">
      <c r="A494" s="5"/>
      <c r="B494" s="113"/>
      <c r="C494" s="90"/>
      <c r="D494" s="167"/>
      <c r="E494" s="86"/>
      <c r="F494" s="9"/>
      <c r="G494" s="10"/>
      <c r="H494" s="9"/>
      <c r="I494" s="10"/>
      <c r="J494" s="9"/>
      <c r="K494" s="10"/>
      <c r="L494" s="87"/>
      <c r="M494" s="10"/>
      <c r="N494" s="9"/>
      <c r="O494" s="10"/>
      <c r="P494" s="9"/>
      <c r="Q494" s="10"/>
      <c r="R494" s="9"/>
      <c r="S494" s="10"/>
      <c r="T494" s="9"/>
      <c r="U494" s="10"/>
      <c r="V494" s="9"/>
      <c r="W494" s="10"/>
      <c r="X494" s="9"/>
      <c r="Y494" s="10"/>
      <c r="Z494" s="9"/>
      <c r="AA494" s="10"/>
      <c r="AB494" s="11"/>
      <c r="AC494" s="10"/>
      <c r="AD494" s="7">
        <f>SUM(F494+H494+J494+L494+N494+P494+R494+T494+V494+X494+Z494+AB494)</f>
        <v>0</v>
      </c>
      <c r="AE494" s="7">
        <f>E494+AD494</f>
        <v>0</v>
      </c>
      <c r="AF494" s="8">
        <f>G494+I494+K494+M494+O494+Q494+S494+U494+W494+Y494+AA494+AC494</f>
        <v>0</v>
      </c>
      <c r="AG494" s="212">
        <f>SUM(AE494-AF494)</f>
        <v>0</v>
      </c>
      <c r="AH494" s="214"/>
      <c r="AI494" s="214"/>
    </row>
    <row r="495" spans="1:42" customHeight="1" ht="11.5">
      <c r="A495" s="5"/>
      <c r="B495" s="113"/>
      <c r="C495" s="90"/>
      <c r="D495" s="167"/>
      <c r="E495" s="86"/>
      <c r="F495" s="9"/>
      <c r="G495" s="10"/>
      <c r="H495" s="9"/>
      <c r="I495" s="10"/>
      <c r="J495" s="9"/>
      <c r="K495" s="10"/>
      <c r="L495" s="87"/>
      <c r="M495" s="10"/>
      <c r="N495" s="9"/>
      <c r="O495" s="10"/>
      <c r="P495" s="9"/>
      <c r="Q495" s="10"/>
      <c r="R495" s="9"/>
      <c r="S495" s="10"/>
      <c r="T495" s="9"/>
      <c r="U495" s="10"/>
      <c r="V495" s="9"/>
      <c r="W495" s="10"/>
      <c r="X495" s="9"/>
      <c r="Y495" s="10"/>
      <c r="Z495" s="9"/>
      <c r="AA495" s="10"/>
      <c r="AB495" s="11"/>
      <c r="AC495" s="10"/>
      <c r="AD495" s="7">
        <f>SUM(F495+H495+J495+L495+N495+P495+R495+T495+V495+X495+Z495+AB495)</f>
        <v>0</v>
      </c>
      <c r="AE495" s="7">
        <f>E495+AD495</f>
        <v>0</v>
      </c>
      <c r="AF495" s="8">
        <f>G495+I495+K495+M495+O495+Q495+S495+U495+W495+Y495+AA495+AC495</f>
        <v>0</v>
      </c>
      <c r="AG495" s="212">
        <f>SUM(AE495-AF495)</f>
        <v>0</v>
      </c>
      <c r="AH495" s="214"/>
      <c r="AI495" s="214"/>
    </row>
    <row r="496" spans="1:42" customHeight="1" ht="11.5">
      <c r="A496" s="5"/>
      <c r="B496" s="113"/>
      <c r="C496" s="90"/>
      <c r="D496" s="167"/>
      <c r="E496" s="86"/>
      <c r="F496" s="9"/>
      <c r="G496" s="10"/>
      <c r="H496" s="9"/>
      <c r="I496" s="10"/>
      <c r="J496" s="9"/>
      <c r="K496" s="10"/>
      <c r="L496" s="87"/>
      <c r="M496" s="10"/>
      <c r="N496" s="9"/>
      <c r="O496" s="10"/>
      <c r="P496" s="9"/>
      <c r="Q496" s="10"/>
      <c r="R496" s="9"/>
      <c r="S496" s="10"/>
      <c r="T496" s="9"/>
      <c r="U496" s="10"/>
      <c r="V496" s="9"/>
      <c r="W496" s="10"/>
      <c r="X496" s="9"/>
      <c r="Y496" s="10"/>
      <c r="Z496" s="9"/>
      <c r="AA496" s="10"/>
      <c r="AB496" s="11"/>
      <c r="AC496" s="10"/>
      <c r="AD496" s="7">
        <f>SUM(F496+H496+J496+L496+N496+P496+R496+T496+V496+X496+Z496+AB496)</f>
        <v>0</v>
      </c>
      <c r="AE496" s="7">
        <f>E496+AD496</f>
        <v>0</v>
      </c>
      <c r="AF496" s="8">
        <f>G496+I496+K496+M496+O496+Q496+S496+U496+W496+Y496+AA496+AC496</f>
        <v>0</v>
      </c>
      <c r="AG496" s="212">
        <f>SUM(AE496-AF496)</f>
        <v>0</v>
      </c>
      <c r="AH496" s="214"/>
      <c r="AI496" s="214"/>
    </row>
    <row r="497" spans="1:42" customHeight="1" ht="11.5">
      <c r="A497" s="5"/>
      <c r="B497" s="113"/>
      <c r="C497" s="90"/>
      <c r="D497" s="167"/>
      <c r="E497" s="86"/>
      <c r="F497" s="9"/>
      <c r="G497" s="10"/>
      <c r="H497" s="9"/>
      <c r="I497" s="10"/>
      <c r="J497" s="9"/>
      <c r="K497" s="10"/>
      <c r="L497" s="87"/>
      <c r="M497" s="10"/>
      <c r="N497" s="9"/>
      <c r="O497" s="10"/>
      <c r="P497" s="9"/>
      <c r="Q497" s="10"/>
      <c r="R497" s="9"/>
      <c r="S497" s="10"/>
      <c r="T497" s="9"/>
      <c r="U497" s="10"/>
      <c r="V497" s="9"/>
      <c r="W497" s="10"/>
      <c r="X497" s="9"/>
      <c r="Y497" s="10"/>
      <c r="Z497" s="9"/>
      <c r="AA497" s="10"/>
      <c r="AB497" s="11"/>
      <c r="AC497" s="10"/>
      <c r="AD497" s="7">
        <f>SUM(F497+H497+J497+L497+N497+P497+R497+T497+V497+X497+Z497+AB497)</f>
        <v>0</v>
      </c>
      <c r="AE497" s="7">
        <f>E497+AD497</f>
        <v>0</v>
      </c>
      <c r="AF497" s="8">
        <f>G497+I497+K497+M497+O497+Q497+S497+U497+W497+Y497+AA497+AC497</f>
        <v>0</v>
      </c>
      <c r="AG497" s="212">
        <f>SUM(AE497-AF497)</f>
        <v>0</v>
      </c>
      <c r="AH497" s="214"/>
      <c r="AI497" s="214"/>
    </row>
    <row r="498" spans="1:42" customHeight="1" ht="11.5">
      <c r="A498" s="5"/>
      <c r="B498" s="113"/>
      <c r="C498" s="90"/>
      <c r="D498" s="167"/>
      <c r="E498" s="86"/>
      <c r="F498" s="9"/>
      <c r="G498" s="10"/>
      <c r="H498" s="9"/>
      <c r="I498" s="10"/>
      <c r="J498" s="9"/>
      <c r="K498" s="10"/>
      <c r="L498" s="87"/>
      <c r="M498" s="10"/>
      <c r="N498" s="9"/>
      <c r="O498" s="10"/>
      <c r="P498" s="9"/>
      <c r="Q498" s="10"/>
      <c r="R498" s="9"/>
      <c r="S498" s="10"/>
      <c r="T498" s="9"/>
      <c r="U498" s="10"/>
      <c r="V498" s="9"/>
      <c r="W498" s="10"/>
      <c r="X498" s="9"/>
      <c r="Y498" s="10"/>
      <c r="Z498" s="9"/>
      <c r="AA498" s="10"/>
      <c r="AB498" s="11"/>
      <c r="AC498" s="10"/>
      <c r="AD498" s="7">
        <f>SUM(F498+H498+J498+L498+N498+P498+R498+T498+V498+X498+Z498+AB498)</f>
        <v>0</v>
      </c>
      <c r="AE498" s="7">
        <f>E498+AD498</f>
        <v>0</v>
      </c>
      <c r="AF498" s="8">
        <f>G498+I498+K498+M498+O498+Q498+S498+U498+W498+Y498+AA498+AC498</f>
        <v>0</v>
      </c>
      <c r="AG498" s="212">
        <f>SUM(AE498-AF498)</f>
        <v>0</v>
      </c>
      <c r="AH498" s="214"/>
      <c r="AI498" s="214"/>
    </row>
    <row r="499" spans="1:42" customHeight="1" ht="11.5">
      <c r="A499" s="5"/>
      <c r="B499" s="113"/>
      <c r="C499" s="90"/>
      <c r="D499" s="167"/>
      <c r="E499" s="86"/>
      <c r="F499" s="9"/>
      <c r="G499" s="10"/>
      <c r="H499" s="9"/>
      <c r="I499" s="10"/>
      <c r="J499" s="9"/>
      <c r="K499" s="10"/>
      <c r="L499" s="87"/>
      <c r="M499" s="10"/>
      <c r="N499" s="9"/>
      <c r="O499" s="10"/>
      <c r="P499" s="9"/>
      <c r="Q499" s="10"/>
      <c r="R499" s="9"/>
      <c r="S499" s="10"/>
      <c r="T499" s="9"/>
      <c r="U499" s="10"/>
      <c r="V499" s="9"/>
      <c r="W499" s="10"/>
      <c r="X499" s="9"/>
      <c r="Y499" s="10"/>
      <c r="Z499" s="9"/>
      <c r="AA499" s="10"/>
      <c r="AB499" s="11"/>
      <c r="AC499" s="10"/>
      <c r="AD499" s="7">
        <f>SUM(F499+H499+J499+L499+N499+P499+R499+T499+V499+X499+Z499+AB499)</f>
        <v>0</v>
      </c>
      <c r="AE499" s="7">
        <f>E499+AD499</f>
        <v>0</v>
      </c>
      <c r="AF499" s="8">
        <f>G499+I499+K499+M499+O499+Q499+S499+U499+W499+Y499+AA499+AC499</f>
        <v>0</v>
      </c>
      <c r="AG499" s="212">
        <f>SUM(AE499-AF499)</f>
        <v>0</v>
      </c>
      <c r="AH499" s="214"/>
      <c r="AI499" s="214"/>
    </row>
    <row r="500" spans="1:42" customHeight="1" ht="11.5">
      <c r="A500" s="5"/>
      <c r="B500" s="113"/>
      <c r="C500" s="90"/>
      <c r="D500" s="167"/>
      <c r="E500" s="86"/>
      <c r="F500" s="9"/>
      <c r="G500" s="10"/>
      <c r="H500" s="9"/>
      <c r="I500" s="10"/>
      <c r="J500" s="9"/>
      <c r="K500" s="10"/>
      <c r="L500" s="87"/>
      <c r="M500" s="10"/>
      <c r="N500" s="9"/>
      <c r="O500" s="10"/>
      <c r="P500" s="9"/>
      <c r="Q500" s="10"/>
      <c r="R500" s="9"/>
      <c r="S500" s="10"/>
      <c r="T500" s="9"/>
      <c r="U500" s="10"/>
      <c r="V500" s="9"/>
      <c r="W500" s="10"/>
      <c r="X500" s="9"/>
      <c r="Y500" s="10"/>
      <c r="Z500" s="9"/>
      <c r="AA500" s="10"/>
      <c r="AB500" s="11"/>
      <c r="AC500" s="10"/>
      <c r="AD500" s="7">
        <f>SUM(F500+H500+J500+L500+N500+P500+R500+T500+V500+X500+Z500+AB500)</f>
        <v>0</v>
      </c>
      <c r="AE500" s="7">
        <f>E500+AD500</f>
        <v>0</v>
      </c>
      <c r="AF500" s="8">
        <f>G500+I500+K500+M500+O500+Q500+S500+U500+W500+Y500+AA500+AC500</f>
        <v>0</v>
      </c>
      <c r="AG500" s="212">
        <f>SUM(AE500-AF500)</f>
        <v>0</v>
      </c>
      <c r="AH500" s="214"/>
      <c r="AI500" s="214"/>
    </row>
    <row r="501" spans="1:42" customHeight="1" ht="11.5">
      <c r="A501" s="5"/>
      <c r="B501" s="113"/>
      <c r="C501" s="90"/>
      <c r="D501" s="167"/>
      <c r="E501" s="86"/>
      <c r="F501" s="9"/>
      <c r="G501" s="10"/>
      <c r="H501" s="9"/>
      <c r="I501" s="10"/>
      <c r="J501" s="9"/>
      <c r="K501" s="10"/>
      <c r="L501" s="87"/>
      <c r="M501" s="10"/>
      <c r="N501" s="9"/>
      <c r="O501" s="10"/>
      <c r="P501" s="9"/>
      <c r="Q501" s="10"/>
      <c r="R501" s="9"/>
      <c r="S501" s="10"/>
      <c r="T501" s="9"/>
      <c r="U501" s="10"/>
      <c r="V501" s="9"/>
      <c r="W501" s="10"/>
      <c r="X501" s="9"/>
      <c r="Y501" s="10"/>
      <c r="Z501" s="9"/>
      <c r="AA501" s="10"/>
      <c r="AB501" s="11"/>
      <c r="AC501" s="10"/>
      <c r="AD501" s="7">
        <f>SUM(F501+H501+J501+L501+N501+P501+R501+T501+V501+X501+Z501+AB501)</f>
        <v>0</v>
      </c>
      <c r="AE501" s="7">
        <f>E501+AD501</f>
        <v>0</v>
      </c>
      <c r="AF501" s="8">
        <f>G501+I501+K501+M501+O501+Q501+S501+U501+W501+Y501+AA501+AC501</f>
        <v>0</v>
      </c>
      <c r="AG501" s="212">
        <f>SUM(AE501-AF501)</f>
        <v>0</v>
      </c>
      <c r="AH501" s="214"/>
      <c r="AI501" s="214"/>
    </row>
    <row r="502" spans="1:42" customHeight="1" ht="11.5">
      <c r="A502" s="5"/>
      <c r="B502" s="113"/>
      <c r="C502" s="90"/>
      <c r="D502" s="167"/>
      <c r="E502" s="86"/>
      <c r="F502" s="9"/>
      <c r="G502" s="10"/>
      <c r="H502" s="9"/>
      <c r="I502" s="10"/>
      <c r="J502" s="9"/>
      <c r="K502" s="10"/>
      <c r="L502" s="87"/>
      <c r="M502" s="10"/>
      <c r="N502" s="9"/>
      <c r="O502" s="10"/>
      <c r="P502" s="9"/>
      <c r="Q502" s="10"/>
      <c r="R502" s="9"/>
      <c r="S502" s="10"/>
      <c r="T502" s="9"/>
      <c r="U502" s="10"/>
      <c r="V502" s="9"/>
      <c r="W502" s="10"/>
      <c r="X502" s="9"/>
      <c r="Y502" s="10"/>
      <c r="Z502" s="9"/>
      <c r="AA502" s="10"/>
      <c r="AB502" s="11"/>
      <c r="AC502" s="10"/>
      <c r="AD502" s="7">
        <f>SUM(F502+H502+J502+L502+N502+P502+R502+T502+V502+X502+Z502+AB502)</f>
        <v>0</v>
      </c>
      <c r="AE502" s="7">
        <f>E502+AD502</f>
        <v>0</v>
      </c>
      <c r="AF502" s="8">
        <f>G502+I502+K502+M502+O502+Q502+S502+U502+W502+Y502+AA502+AC502</f>
        <v>0</v>
      </c>
      <c r="AG502" s="212">
        <f>SUM(AE502-AF502)</f>
        <v>0</v>
      </c>
      <c r="AH502" s="214"/>
      <c r="AI502" s="214"/>
    </row>
    <row r="503" spans="1:42" customHeight="1" ht="11.5">
      <c r="A503" s="5"/>
      <c r="B503" s="113"/>
      <c r="C503" s="90"/>
      <c r="D503" s="167"/>
      <c r="E503" s="86"/>
      <c r="F503" s="9"/>
      <c r="G503" s="10"/>
      <c r="H503" s="9"/>
      <c r="I503" s="10"/>
      <c r="J503" s="9"/>
      <c r="K503" s="10"/>
      <c r="L503" s="87"/>
      <c r="M503" s="10"/>
      <c r="N503" s="9"/>
      <c r="O503" s="10"/>
      <c r="P503" s="9"/>
      <c r="Q503" s="10"/>
      <c r="R503" s="9"/>
      <c r="S503" s="10"/>
      <c r="T503" s="9"/>
      <c r="U503" s="10"/>
      <c r="V503" s="9"/>
      <c r="W503" s="10"/>
      <c r="X503" s="9"/>
      <c r="Y503" s="10"/>
      <c r="Z503" s="9"/>
      <c r="AA503" s="10"/>
      <c r="AB503" s="11"/>
      <c r="AC503" s="10"/>
      <c r="AD503" s="7">
        <f>SUM(F503+H503+J503+L503+N503+P503+R503+T503+V503+X503+Z503+AB503)</f>
        <v>0</v>
      </c>
      <c r="AE503" s="7">
        <f>E503+AD503</f>
        <v>0</v>
      </c>
      <c r="AF503" s="8">
        <f>G503+I503+K503+M503+O503+Q503+S503+U503+W503+Y503+AA503+AC503</f>
        <v>0</v>
      </c>
      <c r="AG503" s="212">
        <f>SUM(AE503-AF503)</f>
        <v>0</v>
      </c>
      <c r="AH503" s="214"/>
      <c r="AI503" s="214"/>
    </row>
    <row r="504" spans="1:42" customHeight="1" ht="11.5">
      <c r="A504" s="5"/>
      <c r="B504" s="113"/>
      <c r="C504" s="90"/>
      <c r="D504" s="167"/>
      <c r="E504" s="86"/>
      <c r="F504" s="9"/>
      <c r="G504" s="10"/>
      <c r="H504" s="9"/>
      <c r="I504" s="10"/>
      <c r="J504" s="9"/>
      <c r="K504" s="10"/>
      <c r="L504" s="87"/>
      <c r="M504" s="10"/>
      <c r="N504" s="9"/>
      <c r="O504" s="10"/>
      <c r="P504" s="9"/>
      <c r="Q504" s="10"/>
      <c r="R504" s="9"/>
      <c r="S504" s="10"/>
      <c r="T504" s="9"/>
      <c r="U504" s="10"/>
      <c r="V504" s="9"/>
      <c r="W504" s="10"/>
      <c r="X504" s="9"/>
      <c r="Y504" s="10"/>
      <c r="Z504" s="9"/>
      <c r="AA504" s="10"/>
      <c r="AB504" s="11"/>
      <c r="AC504" s="10"/>
      <c r="AD504" s="7">
        <f>SUM(F504+H504+J504+L504+N504+P504+R504+T504+V504+X504+Z504+AB504)</f>
        <v>0</v>
      </c>
      <c r="AE504" s="7">
        <f>E504+AD504</f>
        <v>0</v>
      </c>
      <c r="AF504" s="8">
        <f>G504+I504+K504+M504+O504+Q504+S504+U504+W504+Y504+AA504+AC504</f>
        <v>0</v>
      </c>
      <c r="AG504" s="212">
        <f>SUM(AE504-AF504)</f>
        <v>0</v>
      </c>
      <c r="AH504" s="214"/>
      <c r="AI504" s="214"/>
    </row>
    <row r="505" spans="1:42" customHeight="1" ht="11.5">
      <c r="A505" s="5"/>
      <c r="B505" s="113"/>
      <c r="C505" s="90"/>
      <c r="D505" s="167"/>
      <c r="E505" s="86"/>
      <c r="F505" s="9"/>
      <c r="G505" s="10"/>
      <c r="H505" s="9"/>
      <c r="I505" s="10"/>
      <c r="J505" s="9"/>
      <c r="K505" s="10"/>
      <c r="L505" s="87"/>
      <c r="M505" s="10"/>
      <c r="N505" s="9"/>
      <c r="O505" s="10"/>
      <c r="P505" s="9"/>
      <c r="Q505" s="10"/>
      <c r="R505" s="9"/>
      <c r="S505" s="10"/>
      <c r="T505" s="9"/>
      <c r="U505" s="10"/>
      <c r="V505" s="9"/>
      <c r="W505" s="10"/>
      <c r="X505" s="9"/>
      <c r="Y505" s="10"/>
      <c r="Z505" s="9"/>
      <c r="AA505" s="10"/>
      <c r="AB505" s="11"/>
      <c r="AC505" s="10"/>
      <c r="AD505" s="7">
        <f>SUM(F505+H505+J505+L505+N505+P505+R505+T505+V505+X505+Z505+AB505)</f>
        <v>0</v>
      </c>
      <c r="AE505" s="7">
        <f>E505+AD505</f>
        <v>0</v>
      </c>
      <c r="AF505" s="8">
        <f>G505+I505+K505+M505+O505+Q505+S505+U505+W505+Y505+AA505+AC505</f>
        <v>0</v>
      </c>
      <c r="AG505" s="212">
        <f>SUM(AE505-AF505)</f>
        <v>0</v>
      </c>
      <c r="AH505" s="214"/>
      <c r="AI505" s="214"/>
    </row>
    <row r="506" spans="1:42" customHeight="1" ht="11.5">
      <c r="A506" s="5"/>
      <c r="B506" s="113"/>
      <c r="C506" s="90"/>
      <c r="D506" s="167"/>
      <c r="E506" s="86"/>
      <c r="F506" s="9"/>
      <c r="G506" s="10"/>
      <c r="H506" s="9"/>
      <c r="I506" s="10"/>
      <c r="J506" s="9"/>
      <c r="K506" s="10"/>
      <c r="L506" s="87"/>
      <c r="M506" s="10"/>
      <c r="N506" s="9"/>
      <c r="O506" s="10"/>
      <c r="P506" s="9"/>
      <c r="Q506" s="10"/>
      <c r="R506" s="9"/>
      <c r="S506" s="10"/>
      <c r="T506" s="9"/>
      <c r="U506" s="10"/>
      <c r="V506" s="9"/>
      <c r="W506" s="10"/>
      <c r="X506" s="9"/>
      <c r="Y506" s="10"/>
      <c r="Z506" s="9"/>
      <c r="AA506" s="10"/>
      <c r="AB506" s="11"/>
      <c r="AC506" s="10"/>
      <c r="AD506" s="7">
        <f>SUM(F506+H506+J506+L506+N506+P506+R506+T506+V506+X506+Z506+AB506)</f>
        <v>0</v>
      </c>
      <c r="AE506" s="7">
        <f>E506+AD506</f>
        <v>0</v>
      </c>
      <c r="AF506" s="8">
        <f>G506+I506+K506+M506+O506+Q506+S506+U506+W506+Y506+AA506+AC506</f>
        <v>0</v>
      </c>
      <c r="AG506" s="212">
        <f>SUM(AE506-AF506)</f>
        <v>0</v>
      </c>
      <c r="AH506" s="214"/>
      <c r="AI506" s="214"/>
    </row>
    <row r="507" spans="1:42" customHeight="1" ht="11.5">
      <c r="A507" s="5"/>
      <c r="B507" s="113"/>
      <c r="C507" s="90"/>
      <c r="D507" s="167"/>
      <c r="E507" s="86"/>
      <c r="F507" s="9"/>
      <c r="G507" s="10"/>
      <c r="H507" s="9"/>
      <c r="I507" s="10"/>
      <c r="J507" s="9"/>
      <c r="K507" s="10"/>
      <c r="L507" s="87"/>
      <c r="M507" s="10"/>
      <c r="N507" s="9"/>
      <c r="O507" s="10"/>
      <c r="P507" s="9"/>
      <c r="Q507" s="10"/>
      <c r="R507" s="9"/>
      <c r="S507" s="10"/>
      <c r="T507" s="9"/>
      <c r="U507" s="10"/>
      <c r="V507" s="9"/>
      <c r="W507" s="10"/>
      <c r="X507" s="9"/>
      <c r="Y507" s="10"/>
      <c r="Z507" s="9"/>
      <c r="AA507" s="10"/>
      <c r="AB507" s="11"/>
      <c r="AC507" s="10"/>
      <c r="AD507" s="7">
        <f>SUM(F507+H507+J507+L507+N507+P507+R507+T507+V507+X507+Z507+AB507)</f>
        <v>0</v>
      </c>
      <c r="AE507" s="7">
        <f>E507+AD507</f>
        <v>0</v>
      </c>
      <c r="AF507" s="8">
        <f>G507+I507+K507+M507+O507+Q507+S507+U507+W507+Y507+AA507+AC507</f>
        <v>0</v>
      </c>
      <c r="AG507" s="212">
        <f>SUM(AE507-AF507)</f>
        <v>0</v>
      </c>
      <c r="AH507" s="214"/>
      <c r="AI507" s="214"/>
    </row>
    <row r="508" spans="1:42" customHeight="1" ht="11.5">
      <c r="A508" s="5"/>
      <c r="B508" s="113"/>
      <c r="C508" s="90"/>
      <c r="D508" s="167"/>
      <c r="E508" s="86"/>
      <c r="F508" s="9"/>
      <c r="G508" s="10"/>
      <c r="H508" s="9"/>
      <c r="I508" s="10"/>
      <c r="J508" s="9"/>
      <c r="K508" s="10"/>
      <c r="L508" s="87"/>
      <c r="M508" s="10"/>
      <c r="N508" s="9"/>
      <c r="O508" s="10"/>
      <c r="P508" s="9"/>
      <c r="Q508" s="10"/>
      <c r="R508" s="9"/>
      <c r="S508" s="10"/>
      <c r="T508" s="9"/>
      <c r="U508" s="10"/>
      <c r="V508" s="9"/>
      <c r="W508" s="10"/>
      <c r="X508" s="9"/>
      <c r="Y508" s="10"/>
      <c r="Z508" s="9"/>
      <c r="AA508" s="10"/>
      <c r="AB508" s="11"/>
      <c r="AC508" s="10"/>
      <c r="AD508" s="7">
        <f>SUM(F508+H508+J508+L508+N508+P508+R508+T508+V508+X508+Z508+AB508)</f>
        <v>0</v>
      </c>
      <c r="AE508" s="7">
        <f>E508+AD508</f>
        <v>0</v>
      </c>
      <c r="AF508" s="8">
        <f>G508+I508+K508+M508+O508+Q508+S508+U508+W508+Y508+AA508+AC508</f>
        <v>0</v>
      </c>
      <c r="AG508" s="212">
        <f>SUM(AE508-AF508)</f>
        <v>0</v>
      </c>
      <c r="AH508" s="214"/>
      <c r="AI508" s="214"/>
    </row>
    <row r="509" spans="1:42" customHeight="1" ht="11.5">
      <c r="A509" s="5"/>
      <c r="B509" s="113"/>
      <c r="C509" s="90"/>
      <c r="D509" s="167"/>
      <c r="E509" s="86"/>
      <c r="F509" s="9"/>
      <c r="G509" s="10"/>
      <c r="H509" s="9"/>
      <c r="I509" s="10"/>
      <c r="J509" s="9"/>
      <c r="K509" s="10"/>
      <c r="L509" s="87"/>
      <c r="M509" s="10"/>
      <c r="N509" s="9"/>
      <c r="O509" s="10"/>
      <c r="P509" s="9"/>
      <c r="Q509" s="10"/>
      <c r="R509" s="9"/>
      <c r="S509" s="10"/>
      <c r="T509" s="9"/>
      <c r="U509" s="10"/>
      <c r="V509" s="9"/>
      <c r="W509" s="10"/>
      <c r="X509" s="9"/>
      <c r="Y509" s="10"/>
      <c r="Z509" s="9"/>
      <c r="AA509" s="10"/>
      <c r="AB509" s="11"/>
      <c r="AC509" s="10"/>
      <c r="AD509" s="7">
        <f>SUM(F509+H509+J509+L509+N509+P509+R509+T509+V509+X509+Z509+AB509)</f>
        <v>0</v>
      </c>
      <c r="AE509" s="7">
        <f>E509+AD509</f>
        <v>0</v>
      </c>
      <c r="AF509" s="8">
        <f>G509+I509+K509+M509+O509+Q509+S509+U509+W509+Y509+AA509+AC509</f>
        <v>0</v>
      </c>
      <c r="AG509" s="212">
        <f>SUM(AE509-AF509)</f>
        <v>0</v>
      </c>
      <c r="AH509" s="214"/>
      <c r="AI509" s="214"/>
    </row>
    <row r="510" spans="1:42" customHeight="1" ht="11.5">
      <c r="A510" s="5"/>
      <c r="B510" s="113"/>
      <c r="C510" s="90"/>
      <c r="D510" s="167"/>
      <c r="E510" s="86"/>
      <c r="F510" s="9"/>
      <c r="G510" s="10"/>
      <c r="H510" s="9"/>
      <c r="I510" s="10"/>
      <c r="J510" s="9"/>
      <c r="K510" s="10"/>
      <c r="L510" s="87"/>
      <c r="M510" s="10"/>
      <c r="N510" s="9"/>
      <c r="O510" s="10"/>
      <c r="P510" s="9"/>
      <c r="Q510" s="10"/>
      <c r="R510" s="9"/>
      <c r="S510" s="10"/>
      <c r="T510" s="9"/>
      <c r="U510" s="10"/>
      <c r="V510" s="9"/>
      <c r="W510" s="10"/>
      <c r="X510" s="9"/>
      <c r="Y510" s="10"/>
      <c r="Z510" s="9"/>
      <c r="AA510" s="10"/>
      <c r="AB510" s="11"/>
      <c r="AC510" s="10"/>
      <c r="AD510" s="7">
        <f>SUM(F510+H510+J510+L510+N510+P510+R510+T510+V510+X510+Z510+AB510)</f>
        <v>0</v>
      </c>
      <c r="AE510" s="7">
        <f>E510+AD510</f>
        <v>0</v>
      </c>
      <c r="AF510" s="8">
        <f>G510+I510+K510+M510+O510+Q510+S510+U510+W510+Y510+AA510+AC510</f>
        <v>0</v>
      </c>
      <c r="AG510" s="212">
        <f>SUM(AE510-AF510)</f>
        <v>0</v>
      </c>
      <c r="AH510" s="214"/>
      <c r="AI510" s="214"/>
    </row>
    <row r="511" spans="1:42" customHeight="1" ht="11.5">
      <c r="A511" s="5"/>
      <c r="B511" s="113"/>
      <c r="C511" s="90"/>
      <c r="D511" s="167"/>
      <c r="E511" s="86"/>
      <c r="F511" s="9"/>
      <c r="G511" s="10"/>
      <c r="H511" s="9"/>
      <c r="I511" s="10"/>
      <c r="J511" s="9"/>
      <c r="K511" s="10"/>
      <c r="L511" s="87"/>
      <c r="M511" s="10"/>
      <c r="N511" s="9"/>
      <c r="O511" s="10"/>
      <c r="P511" s="9"/>
      <c r="Q511" s="10"/>
      <c r="R511" s="9"/>
      <c r="S511" s="10"/>
      <c r="T511" s="9"/>
      <c r="U511" s="10"/>
      <c r="V511" s="9"/>
      <c r="W511" s="10"/>
      <c r="X511" s="9"/>
      <c r="Y511" s="10"/>
      <c r="Z511" s="9"/>
      <c r="AA511" s="10"/>
      <c r="AB511" s="11"/>
      <c r="AC511" s="10"/>
      <c r="AD511" s="7">
        <f>SUM(F511+H511+J511+L511+N511+P511+R511+T511+V511+X511+Z511+AB511)</f>
        <v>0</v>
      </c>
      <c r="AE511" s="7">
        <f>E511+AD511</f>
        <v>0</v>
      </c>
      <c r="AF511" s="8">
        <f>G511+I511+K511+M511+O511+Q511+S511+U511+W511+Y511+AA511+AC511</f>
        <v>0</v>
      </c>
      <c r="AG511" s="212">
        <f>SUM(AE511-AF511)</f>
        <v>0</v>
      </c>
      <c r="AH511" s="214"/>
      <c r="AI511" s="214"/>
    </row>
    <row r="512" spans="1:42" customHeight="1" ht="11.5">
      <c r="A512" s="5"/>
      <c r="B512" s="113"/>
      <c r="C512" s="90"/>
      <c r="D512" s="167"/>
      <c r="E512" s="86"/>
      <c r="F512" s="9"/>
      <c r="G512" s="10"/>
      <c r="H512" s="9"/>
      <c r="I512" s="10"/>
      <c r="J512" s="9"/>
      <c r="K512" s="10"/>
      <c r="L512" s="87"/>
      <c r="M512" s="10"/>
      <c r="N512" s="9"/>
      <c r="O512" s="10"/>
      <c r="P512" s="9"/>
      <c r="Q512" s="10"/>
      <c r="R512" s="9"/>
      <c r="S512" s="10"/>
      <c r="T512" s="9"/>
      <c r="U512" s="10"/>
      <c r="V512" s="9"/>
      <c r="W512" s="10"/>
      <c r="X512" s="9"/>
      <c r="Y512" s="10"/>
      <c r="Z512" s="9"/>
      <c r="AA512" s="10"/>
      <c r="AB512" s="11"/>
      <c r="AC512" s="10"/>
      <c r="AD512" s="7">
        <f>SUM(F512+H512+J512+L512+N512+P512+R512+T512+V512+X512+Z512+AB512)</f>
        <v>0</v>
      </c>
      <c r="AE512" s="7">
        <f>E512+AD512</f>
        <v>0</v>
      </c>
      <c r="AF512" s="8">
        <f>G512+I512+K512+M512+O512+Q512+S512+U512+W512+Y512+AA512+AC512</f>
        <v>0</v>
      </c>
      <c r="AG512" s="212">
        <f>SUM(AE512-AF512)</f>
        <v>0</v>
      </c>
      <c r="AH512" s="214"/>
      <c r="AI512" s="214"/>
    </row>
    <row r="513" spans="1:42" customHeight="1" ht="11.5">
      <c r="A513" s="5"/>
      <c r="B513" s="113"/>
      <c r="C513" s="90"/>
      <c r="D513" s="167"/>
      <c r="E513" s="86"/>
      <c r="F513" s="9"/>
      <c r="G513" s="10"/>
      <c r="H513" s="9"/>
      <c r="I513" s="10"/>
      <c r="J513" s="9"/>
      <c r="K513" s="10"/>
      <c r="L513" s="87"/>
      <c r="M513" s="10"/>
      <c r="N513" s="9"/>
      <c r="O513" s="10"/>
      <c r="P513" s="9"/>
      <c r="Q513" s="10"/>
      <c r="R513" s="9"/>
      <c r="S513" s="10"/>
      <c r="T513" s="9"/>
      <c r="U513" s="10"/>
      <c r="V513" s="9"/>
      <c r="W513" s="10"/>
      <c r="X513" s="9"/>
      <c r="Y513" s="10"/>
      <c r="Z513" s="9"/>
      <c r="AA513" s="10"/>
      <c r="AB513" s="11"/>
      <c r="AC513" s="10"/>
      <c r="AD513" s="7">
        <f>SUM(F513+H513+J513+L513+N513+P513+R513+T513+V513+X513+Z513+AB513)</f>
        <v>0</v>
      </c>
      <c r="AE513" s="7">
        <f>E513+AD513</f>
        <v>0</v>
      </c>
      <c r="AF513" s="8">
        <f>G513+I513+K513+M513+O513+Q513+S513+U513+W513+Y513+AA513+AC513</f>
        <v>0</v>
      </c>
      <c r="AG513" s="212">
        <f>SUM(AE513-AF513)</f>
        <v>0</v>
      </c>
      <c r="AH513" s="214"/>
      <c r="AI513" s="214"/>
    </row>
    <row r="514" spans="1:42" customHeight="1" ht="11.5">
      <c r="A514" s="5"/>
      <c r="B514" s="113"/>
      <c r="C514" s="90"/>
      <c r="D514" s="167"/>
      <c r="E514" s="86"/>
      <c r="F514" s="9"/>
      <c r="G514" s="10"/>
      <c r="H514" s="9"/>
      <c r="I514" s="10"/>
      <c r="J514" s="9"/>
      <c r="K514" s="10"/>
      <c r="L514" s="87"/>
      <c r="M514" s="10"/>
      <c r="N514" s="9"/>
      <c r="O514" s="10"/>
      <c r="P514" s="9"/>
      <c r="Q514" s="10"/>
      <c r="R514" s="9"/>
      <c r="S514" s="10"/>
      <c r="T514" s="9"/>
      <c r="U514" s="10"/>
      <c r="V514" s="9"/>
      <c r="W514" s="10"/>
      <c r="X514" s="9"/>
      <c r="Y514" s="10"/>
      <c r="Z514" s="9"/>
      <c r="AA514" s="10"/>
      <c r="AB514" s="11"/>
      <c r="AC514" s="10"/>
      <c r="AD514" s="7">
        <f>SUM(F514+H514+J514+L514+N514+P514+R514+T514+V514+X514+Z514+AB514)</f>
        <v>0</v>
      </c>
      <c r="AE514" s="7">
        <f>E514+AD514</f>
        <v>0</v>
      </c>
      <c r="AF514" s="8">
        <f>G514+I514+K514+M514+O514+Q514+S514+U514+W514+Y514+AA514+AC514</f>
        <v>0</v>
      </c>
      <c r="AG514" s="212">
        <f>SUM(AE514-AF514)</f>
        <v>0</v>
      </c>
      <c r="AH514" s="214"/>
      <c r="AI514" s="214"/>
    </row>
    <row r="515" spans="1:42" customHeight="1" ht="11.5">
      <c r="A515" s="5"/>
      <c r="B515" s="113"/>
      <c r="C515" s="90"/>
      <c r="D515" s="167"/>
      <c r="E515" s="86"/>
      <c r="F515" s="9"/>
      <c r="G515" s="10"/>
      <c r="H515" s="9"/>
      <c r="I515" s="10"/>
      <c r="J515" s="9"/>
      <c r="K515" s="10"/>
      <c r="L515" s="87"/>
      <c r="M515" s="10"/>
      <c r="N515" s="9"/>
      <c r="O515" s="10"/>
      <c r="P515" s="9"/>
      <c r="Q515" s="10"/>
      <c r="R515" s="9"/>
      <c r="S515" s="10"/>
      <c r="T515" s="9"/>
      <c r="U515" s="10"/>
      <c r="V515" s="9"/>
      <c r="W515" s="10"/>
      <c r="X515" s="9"/>
      <c r="Y515" s="10"/>
      <c r="Z515" s="9"/>
      <c r="AA515" s="10"/>
      <c r="AB515" s="11"/>
      <c r="AC515" s="10"/>
      <c r="AD515" s="7">
        <f>SUM(F515+H515+J515+L515+N515+P515+R515+T515+V515+X515+Z515+AB515)</f>
        <v>0</v>
      </c>
      <c r="AE515" s="7">
        <f>E515+AD515</f>
        <v>0</v>
      </c>
      <c r="AF515" s="8">
        <f>G515+I515+K515+M515+O515+Q515+S515+U515+W515+Y515+AA515+AC515</f>
        <v>0</v>
      </c>
      <c r="AG515" s="212">
        <f>SUM(AE515-AF515)</f>
        <v>0</v>
      </c>
      <c r="AH515" s="214"/>
      <c r="AI515" s="214"/>
    </row>
    <row r="516" spans="1:42" customHeight="1" ht="11.5">
      <c r="A516" s="5"/>
      <c r="B516" s="113"/>
      <c r="C516" s="90"/>
      <c r="D516" s="167"/>
      <c r="E516" s="86"/>
      <c r="F516" s="9"/>
      <c r="G516" s="10"/>
      <c r="H516" s="9"/>
      <c r="I516" s="10"/>
      <c r="J516" s="9"/>
      <c r="K516" s="10"/>
      <c r="L516" s="87"/>
      <c r="M516" s="10"/>
      <c r="N516" s="9"/>
      <c r="O516" s="10"/>
      <c r="P516" s="9"/>
      <c r="Q516" s="10"/>
      <c r="R516" s="9"/>
      <c r="S516" s="10"/>
      <c r="T516" s="9"/>
      <c r="U516" s="10"/>
      <c r="V516" s="9"/>
      <c r="W516" s="10"/>
      <c r="X516" s="9"/>
      <c r="Y516" s="10"/>
      <c r="Z516" s="9"/>
      <c r="AA516" s="10"/>
      <c r="AB516" s="11"/>
      <c r="AC516" s="10"/>
      <c r="AD516" s="7">
        <f>SUM(F516+H516+J516+L516+N516+P516+R516+T516+V516+X516+Z516+AB516)</f>
        <v>0</v>
      </c>
      <c r="AE516" s="7">
        <f>E516+AD516</f>
        <v>0</v>
      </c>
      <c r="AF516" s="8">
        <f>G516+I516+K516+M516+O516+Q516+S516+U516+W516+Y516+AA516+AC516</f>
        <v>0</v>
      </c>
      <c r="AG516" s="212">
        <f>SUM(AE516-AF516)</f>
        <v>0</v>
      </c>
      <c r="AH516" s="214"/>
      <c r="AI516" s="214"/>
    </row>
    <row r="517" spans="1:42" customHeight="1" ht="11.5">
      <c r="A517" s="5"/>
      <c r="B517" s="113"/>
      <c r="C517" s="90"/>
      <c r="D517" s="167"/>
      <c r="E517" s="86"/>
      <c r="F517" s="9"/>
      <c r="G517" s="10"/>
      <c r="H517" s="9"/>
      <c r="I517" s="10"/>
      <c r="J517" s="9"/>
      <c r="K517" s="10"/>
      <c r="L517" s="87"/>
      <c r="M517" s="10"/>
      <c r="N517" s="9"/>
      <c r="O517" s="10"/>
      <c r="P517" s="9"/>
      <c r="Q517" s="10"/>
      <c r="R517" s="9"/>
      <c r="S517" s="10"/>
      <c r="T517" s="9"/>
      <c r="U517" s="10"/>
      <c r="V517" s="9"/>
      <c r="W517" s="10"/>
      <c r="X517" s="9"/>
      <c r="Y517" s="10"/>
      <c r="Z517" s="9"/>
      <c r="AA517" s="10"/>
      <c r="AB517" s="11"/>
      <c r="AC517" s="10"/>
      <c r="AD517" s="7">
        <f>SUM(F517+H517+J517+L517+N517+P517+R517+T517+V517+X517+Z517+AB517)</f>
        <v>0</v>
      </c>
      <c r="AE517" s="7">
        <f>E517+AD517</f>
        <v>0</v>
      </c>
      <c r="AF517" s="8">
        <f>G517+I517+K517+M517+O517+Q517+S517+U517+W517+Y517+AA517+AC517</f>
        <v>0</v>
      </c>
      <c r="AG517" s="212">
        <f>SUM(AE517-AF517)</f>
        <v>0</v>
      </c>
      <c r="AH517" s="214"/>
      <c r="AI517" s="214"/>
    </row>
    <row r="518" spans="1:42" customHeight="1" ht="11.5">
      <c r="A518" s="5"/>
      <c r="B518" s="113"/>
      <c r="C518" s="90"/>
      <c r="D518" s="167"/>
      <c r="E518" s="86"/>
      <c r="F518" s="9"/>
      <c r="G518" s="10"/>
      <c r="H518" s="9"/>
      <c r="I518" s="10"/>
      <c r="J518" s="9"/>
      <c r="K518" s="10"/>
      <c r="L518" s="87"/>
      <c r="M518" s="10"/>
      <c r="N518" s="9"/>
      <c r="O518" s="10"/>
      <c r="P518" s="9"/>
      <c r="Q518" s="10"/>
      <c r="R518" s="9"/>
      <c r="S518" s="10"/>
      <c r="T518" s="9"/>
      <c r="U518" s="10"/>
      <c r="V518" s="9"/>
      <c r="W518" s="10"/>
      <c r="X518" s="9"/>
      <c r="Y518" s="10"/>
      <c r="Z518" s="9"/>
      <c r="AA518" s="10"/>
      <c r="AB518" s="11"/>
      <c r="AC518" s="10"/>
      <c r="AD518" s="7">
        <f>SUM(F518+H518+J518+L518+N518+P518+R518+T518+V518+X518+Z518+AB518)</f>
        <v>0</v>
      </c>
      <c r="AE518" s="7">
        <f>E518+AD518</f>
        <v>0</v>
      </c>
      <c r="AF518" s="8">
        <f>G518+I518+K518+M518+O518+Q518+S518+U518+W518+Y518+AA518+AC518</f>
        <v>0</v>
      </c>
      <c r="AG518" s="212">
        <f>SUM(AE518-AF518)</f>
        <v>0</v>
      </c>
      <c r="AH518" s="214"/>
      <c r="AI518" s="214"/>
    </row>
    <row r="519" spans="1:42" customHeight="1" ht="11.5">
      <c r="A519" s="5"/>
      <c r="B519" s="113"/>
      <c r="C519" s="90"/>
      <c r="D519" s="167"/>
      <c r="E519" s="86"/>
      <c r="F519" s="9"/>
      <c r="G519" s="10"/>
      <c r="H519" s="9"/>
      <c r="I519" s="10"/>
      <c r="J519" s="9"/>
      <c r="K519" s="10"/>
      <c r="L519" s="87"/>
      <c r="M519" s="10"/>
      <c r="N519" s="9"/>
      <c r="O519" s="10"/>
      <c r="P519" s="9"/>
      <c r="Q519" s="10"/>
      <c r="R519" s="9"/>
      <c r="S519" s="10"/>
      <c r="T519" s="9"/>
      <c r="U519" s="10"/>
      <c r="V519" s="9"/>
      <c r="W519" s="10"/>
      <c r="X519" s="9"/>
      <c r="Y519" s="10"/>
      <c r="Z519" s="9"/>
      <c r="AA519" s="10"/>
      <c r="AB519" s="11"/>
      <c r="AC519" s="10"/>
      <c r="AD519" s="7">
        <f>SUM(F519+H519+J519+L519+N519+P519+R519+T519+V519+X519+Z519+AB519)</f>
        <v>0</v>
      </c>
      <c r="AE519" s="7">
        <f>E519+AD519</f>
        <v>0</v>
      </c>
      <c r="AF519" s="8">
        <f>G519+I519+K519+M519+O519+Q519+S519+U519+W519+Y519+AA519+AC519</f>
        <v>0</v>
      </c>
      <c r="AG519" s="212">
        <f>SUM(AE519-AF519)</f>
        <v>0</v>
      </c>
      <c r="AH519" s="214"/>
      <c r="AI519" s="214"/>
    </row>
    <row r="520" spans="1:42" customHeight="1" ht="11.5">
      <c r="A520" s="5"/>
      <c r="B520" s="113"/>
      <c r="C520" s="90"/>
      <c r="D520" s="167"/>
      <c r="E520" s="86"/>
      <c r="F520" s="9"/>
      <c r="G520" s="10"/>
      <c r="H520" s="9"/>
      <c r="I520" s="10"/>
      <c r="J520" s="9"/>
      <c r="K520" s="10"/>
      <c r="L520" s="87"/>
      <c r="M520" s="10"/>
      <c r="N520" s="9"/>
      <c r="O520" s="10"/>
      <c r="P520" s="9"/>
      <c r="Q520" s="10"/>
      <c r="R520" s="9"/>
      <c r="S520" s="10"/>
      <c r="T520" s="9"/>
      <c r="U520" s="10"/>
      <c r="V520" s="9"/>
      <c r="W520" s="10"/>
      <c r="X520" s="9"/>
      <c r="Y520" s="10"/>
      <c r="Z520" s="9"/>
      <c r="AA520" s="10"/>
      <c r="AB520" s="11"/>
      <c r="AC520" s="10"/>
      <c r="AD520" s="7">
        <f>SUM(F520+H520+J520+L520+N520+P520+R520+T520+V520+X520+Z520+AB520)</f>
        <v>0</v>
      </c>
      <c r="AE520" s="7">
        <f>E520+AD520</f>
        <v>0</v>
      </c>
      <c r="AF520" s="8">
        <f>G520+I520+K520+M520+O520+Q520+S520+U520+W520+Y520+AA520+AC520</f>
        <v>0</v>
      </c>
      <c r="AG520" s="212">
        <f>SUM(AE520-AF520)</f>
        <v>0</v>
      </c>
      <c r="AH520" s="214"/>
      <c r="AI520" s="214"/>
    </row>
    <row r="521" spans="1:42" customHeight="1" ht="11.5">
      <c r="A521" s="5"/>
      <c r="B521" s="113"/>
      <c r="C521" s="90"/>
      <c r="D521" s="167"/>
      <c r="E521" s="86"/>
      <c r="F521" s="9"/>
      <c r="G521" s="10"/>
      <c r="H521" s="9"/>
      <c r="I521" s="10"/>
      <c r="J521" s="9"/>
      <c r="K521" s="10"/>
      <c r="L521" s="87"/>
      <c r="M521" s="10"/>
      <c r="N521" s="9"/>
      <c r="O521" s="10"/>
      <c r="P521" s="9"/>
      <c r="Q521" s="10"/>
      <c r="R521" s="9"/>
      <c r="S521" s="10"/>
      <c r="T521" s="9"/>
      <c r="U521" s="10"/>
      <c r="V521" s="9"/>
      <c r="W521" s="10"/>
      <c r="X521" s="9"/>
      <c r="Y521" s="10"/>
      <c r="Z521" s="9"/>
      <c r="AA521" s="10"/>
      <c r="AB521" s="11"/>
      <c r="AC521" s="10"/>
      <c r="AD521" s="7">
        <f>SUM(F521+H521+J521+L521+N521+P521+R521+T521+V521+X521+Z521+AB521)</f>
        <v>0</v>
      </c>
      <c r="AE521" s="7">
        <f>E521+AD521</f>
        <v>0</v>
      </c>
      <c r="AF521" s="8">
        <f>G521+I521+K521+M521+O521+Q521+S521+U521+W521+Y521+AA521+AC521</f>
        <v>0</v>
      </c>
      <c r="AG521" s="212">
        <f>SUM(AE521-AF521)</f>
        <v>0</v>
      </c>
      <c r="AH521" s="214"/>
      <c r="AI521" s="214"/>
    </row>
    <row r="522" spans="1:42" customHeight="1" ht="11.5">
      <c r="A522" s="5"/>
      <c r="B522" s="113"/>
      <c r="C522" s="90"/>
      <c r="D522" s="167"/>
      <c r="E522" s="86"/>
      <c r="F522" s="9"/>
      <c r="G522" s="10"/>
      <c r="H522" s="9"/>
      <c r="I522" s="10"/>
      <c r="J522" s="9"/>
      <c r="K522" s="10"/>
      <c r="L522" s="87"/>
      <c r="M522" s="10"/>
      <c r="N522" s="9"/>
      <c r="O522" s="10"/>
      <c r="P522" s="9"/>
      <c r="Q522" s="10"/>
      <c r="R522" s="9"/>
      <c r="S522" s="10"/>
      <c r="T522" s="9"/>
      <c r="U522" s="10"/>
      <c r="V522" s="9"/>
      <c r="W522" s="10"/>
      <c r="X522" s="9"/>
      <c r="Y522" s="10"/>
      <c r="Z522" s="9"/>
      <c r="AA522" s="10"/>
      <c r="AB522" s="11"/>
      <c r="AC522" s="10"/>
      <c r="AD522" s="7">
        <f>SUM(F522+H522+J522+L522+N522+P522+R522+T522+V522+X522+Z522+AB522)</f>
        <v>0</v>
      </c>
      <c r="AE522" s="7">
        <f>E522+AD522</f>
        <v>0</v>
      </c>
      <c r="AF522" s="8">
        <f>G522+I522+K522+M522+O522+Q522+S522+U522+W522+Y522+AA522+AC522</f>
        <v>0</v>
      </c>
      <c r="AG522" s="212">
        <f>SUM(AE522-AF522)</f>
        <v>0</v>
      </c>
      <c r="AH522" s="214"/>
      <c r="AI522" s="214"/>
    </row>
    <row r="523" spans="1:42" customHeight="1" ht="11.5">
      <c r="A523" s="5"/>
      <c r="B523" s="113"/>
      <c r="C523" s="90"/>
      <c r="D523" s="167"/>
      <c r="E523" s="86"/>
      <c r="F523" s="9"/>
      <c r="G523" s="10"/>
      <c r="H523" s="9"/>
      <c r="I523" s="10"/>
      <c r="J523" s="9"/>
      <c r="K523" s="10"/>
      <c r="L523" s="87"/>
      <c r="M523" s="10"/>
      <c r="N523" s="9"/>
      <c r="O523" s="10"/>
      <c r="P523" s="9"/>
      <c r="Q523" s="10"/>
      <c r="R523" s="9"/>
      <c r="S523" s="10"/>
      <c r="T523" s="9"/>
      <c r="U523" s="10"/>
      <c r="V523" s="9"/>
      <c r="W523" s="10"/>
      <c r="X523" s="9"/>
      <c r="Y523" s="10"/>
      <c r="Z523" s="9"/>
      <c r="AA523" s="10"/>
      <c r="AB523" s="11"/>
      <c r="AC523" s="10"/>
      <c r="AD523" s="7">
        <f>SUM(F523+H523+J523+L523+N523+P523+R523+T523+V523+X523+Z523+AB523)</f>
        <v>0</v>
      </c>
      <c r="AE523" s="7">
        <f>E523+AD523</f>
        <v>0</v>
      </c>
      <c r="AF523" s="8">
        <f>G523+I523+K523+M523+O523+Q523+S523+U523+W523+Y523+AA523+AC523</f>
        <v>0</v>
      </c>
      <c r="AG523" s="212">
        <f>SUM(AE523-AF523)</f>
        <v>0</v>
      </c>
      <c r="AH523" s="214"/>
      <c r="AI523" s="214"/>
    </row>
    <row r="524" spans="1:42" customHeight="1" ht="11.5">
      <c r="A524" s="5"/>
      <c r="B524" s="113"/>
      <c r="C524" s="90"/>
      <c r="D524" s="167"/>
      <c r="E524" s="86"/>
      <c r="F524" s="9"/>
      <c r="G524" s="10"/>
      <c r="H524" s="9"/>
      <c r="I524" s="10"/>
      <c r="J524" s="9"/>
      <c r="K524" s="10"/>
      <c r="L524" s="87"/>
      <c r="M524" s="10"/>
      <c r="N524" s="9"/>
      <c r="O524" s="10"/>
      <c r="P524" s="9"/>
      <c r="Q524" s="10"/>
      <c r="R524" s="9"/>
      <c r="S524" s="10"/>
      <c r="T524" s="9"/>
      <c r="U524" s="10"/>
      <c r="V524" s="9"/>
      <c r="W524" s="10"/>
      <c r="X524" s="9"/>
      <c r="Y524" s="10"/>
      <c r="Z524" s="9"/>
      <c r="AA524" s="10"/>
      <c r="AB524" s="11"/>
      <c r="AC524" s="10"/>
      <c r="AD524" s="7">
        <f>SUM(F524+H524+J524+L524+N524+P524+R524+T524+V524+X524+Z524+AB524)</f>
        <v>0</v>
      </c>
      <c r="AE524" s="7">
        <f>E524+AD524</f>
        <v>0</v>
      </c>
      <c r="AF524" s="8">
        <f>G524+I524+K524+M524+O524+Q524+S524+U524+W524+Y524+AA524+AC524</f>
        <v>0</v>
      </c>
      <c r="AG524" s="212">
        <f>SUM(AE524-AF524)</f>
        <v>0</v>
      </c>
      <c r="AH524" s="214"/>
      <c r="AI524" s="214"/>
    </row>
    <row r="525" spans="1:42" customHeight="1" ht="11.5">
      <c r="A525" s="5"/>
      <c r="B525" s="113"/>
      <c r="C525" s="90"/>
      <c r="D525" s="167"/>
      <c r="E525" s="86"/>
      <c r="F525" s="9"/>
      <c r="G525" s="10"/>
      <c r="H525" s="9"/>
      <c r="I525" s="10"/>
      <c r="J525" s="9"/>
      <c r="K525" s="10"/>
      <c r="L525" s="87"/>
      <c r="M525" s="10"/>
      <c r="N525" s="9"/>
      <c r="O525" s="10"/>
      <c r="P525" s="9"/>
      <c r="Q525" s="10"/>
      <c r="R525" s="9"/>
      <c r="S525" s="10"/>
      <c r="T525" s="9"/>
      <c r="U525" s="10"/>
      <c r="V525" s="9"/>
      <c r="W525" s="10"/>
      <c r="X525" s="9"/>
      <c r="Y525" s="10"/>
      <c r="Z525" s="9"/>
      <c r="AA525" s="10"/>
      <c r="AB525" s="11"/>
      <c r="AC525" s="10"/>
      <c r="AD525" s="7">
        <f>SUM(F525+H525+J525+L525+N525+P525+R525+T525+V525+X525+Z525+AB525)</f>
        <v>0</v>
      </c>
      <c r="AE525" s="7">
        <f>E525+AD525</f>
        <v>0</v>
      </c>
      <c r="AF525" s="8">
        <f>G525+I525+K525+M525+O525+Q525+S525+U525+W525+Y525+AA525+AC525</f>
        <v>0</v>
      </c>
      <c r="AG525" s="212">
        <f>SUM(AE525-AF525)</f>
        <v>0</v>
      </c>
      <c r="AH525" s="214"/>
      <c r="AI525" s="214"/>
    </row>
    <row r="526" spans="1:42" customHeight="1" ht="11.5">
      <c r="A526" s="5"/>
      <c r="B526" s="113"/>
      <c r="C526" s="90"/>
      <c r="D526" s="167"/>
      <c r="E526" s="86"/>
      <c r="F526" s="9"/>
      <c r="G526" s="10"/>
      <c r="H526" s="9"/>
      <c r="I526" s="10"/>
      <c r="J526" s="9"/>
      <c r="K526" s="10"/>
      <c r="L526" s="87"/>
      <c r="M526" s="10"/>
      <c r="N526" s="9"/>
      <c r="O526" s="10"/>
      <c r="P526" s="9"/>
      <c r="Q526" s="10"/>
      <c r="R526" s="9"/>
      <c r="S526" s="10"/>
      <c r="T526" s="9"/>
      <c r="U526" s="10"/>
      <c r="V526" s="9"/>
      <c r="W526" s="10"/>
      <c r="X526" s="9"/>
      <c r="Y526" s="10"/>
      <c r="Z526" s="9"/>
      <c r="AA526" s="10"/>
      <c r="AB526" s="11"/>
      <c r="AC526" s="10"/>
      <c r="AD526" s="7">
        <f>SUM(F526+H526+J526+L526+N526+P526+R526+T526+V526+X526+Z526+AB526)</f>
        <v>0</v>
      </c>
      <c r="AE526" s="7">
        <f>E526+AD526</f>
        <v>0</v>
      </c>
      <c r="AF526" s="8">
        <f>G526+I526+K526+M526+O526+Q526+S526+U526+W526+Y526+AA526+AC526</f>
        <v>0</v>
      </c>
      <c r="AG526" s="212">
        <f>SUM(AE526-AF526)</f>
        <v>0</v>
      </c>
      <c r="AH526" s="214"/>
      <c r="AI526" s="214"/>
    </row>
    <row r="527" spans="1:42" customHeight="1" ht="11.5">
      <c r="A527" s="5"/>
      <c r="B527" s="113"/>
      <c r="C527" s="90"/>
      <c r="D527" s="167"/>
      <c r="E527" s="86"/>
      <c r="F527" s="9"/>
      <c r="G527" s="10"/>
      <c r="H527" s="9"/>
      <c r="I527" s="10"/>
      <c r="J527" s="9"/>
      <c r="K527" s="10"/>
      <c r="L527" s="87"/>
      <c r="M527" s="10"/>
      <c r="N527" s="9"/>
      <c r="O527" s="10"/>
      <c r="P527" s="9"/>
      <c r="Q527" s="10"/>
      <c r="R527" s="9"/>
      <c r="S527" s="10"/>
      <c r="T527" s="9"/>
      <c r="U527" s="10"/>
      <c r="V527" s="9"/>
      <c r="W527" s="10"/>
      <c r="X527" s="9"/>
      <c r="Y527" s="10"/>
      <c r="Z527" s="9"/>
      <c r="AA527" s="10"/>
      <c r="AB527" s="11"/>
      <c r="AC527" s="10"/>
      <c r="AD527" s="7">
        <f>SUM(F527+H527+J527+L527+N527+P527+R527+T527+V527+X527+Z527+AB527)</f>
        <v>0</v>
      </c>
      <c r="AE527" s="7">
        <f>E527+AD527</f>
        <v>0</v>
      </c>
      <c r="AF527" s="8">
        <f>G527+I527+K527+M527+O527+Q527+S527+U527+W527+Y527+AA527+AC527</f>
        <v>0</v>
      </c>
      <c r="AG527" s="212">
        <f>SUM(AE527-AF527)</f>
        <v>0</v>
      </c>
      <c r="AH527" s="214"/>
      <c r="AI527" s="214"/>
    </row>
    <row r="528" spans="1:42" customHeight="1" ht="11.5">
      <c r="A528" s="5"/>
      <c r="B528" s="113"/>
      <c r="C528" s="90"/>
      <c r="D528" s="167"/>
      <c r="E528" s="86"/>
      <c r="F528" s="9"/>
      <c r="G528" s="10"/>
      <c r="H528" s="9"/>
      <c r="I528" s="10"/>
      <c r="J528" s="9"/>
      <c r="K528" s="10"/>
      <c r="L528" s="87"/>
      <c r="M528" s="10"/>
      <c r="N528" s="9"/>
      <c r="O528" s="10"/>
      <c r="P528" s="9"/>
      <c r="Q528" s="10"/>
      <c r="R528" s="9"/>
      <c r="S528" s="10"/>
      <c r="T528" s="9"/>
      <c r="U528" s="10"/>
      <c r="V528" s="9"/>
      <c r="W528" s="10"/>
      <c r="X528" s="9"/>
      <c r="Y528" s="10"/>
      <c r="Z528" s="9"/>
      <c r="AA528" s="10"/>
      <c r="AB528" s="11"/>
      <c r="AC528" s="10"/>
      <c r="AD528" s="7">
        <f>SUM(F528+H528+J528+L528+N528+P528+R528+T528+V528+X528+Z528+AB528)</f>
        <v>0</v>
      </c>
      <c r="AE528" s="7">
        <f>E528+AD528</f>
        <v>0</v>
      </c>
      <c r="AF528" s="8">
        <f>G528+I528+K528+M528+O528+Q528+S528+U528+W528+Y528+AA528+AC528</f>
        <v>0</v>
      </c>
      <c r="AG528" s="212">
        <f>SUM(AE528-AF528)</f>
        <v>0</v>
      </c>
      <c r="AH528" s="214"/>
      <c r="AI528" s="214"/>
    </row>
    <row r="529" spans="1:42" customHeight="1" ht="11.5">
      <c r="A529" s="5"/>
      <c r="B529" s="113"/>
      <c r="C529" s="90"/>
      <c r="D529" s="167"/>
      <c r="E529" s="86"/>
      <c r="F529" s="9"/>
      <c r="G529" s="10"/>
      <c r="H529" s="9"/>
      <c r="I529" s="10"/>
      <c r="J529" s="9"/>
      <c r="K529" s="10"/>
      <c r="L529" s="87"/>
      <c r="M529" s="10"/>
      <c r="N529" s="9"/>
      <c r="O529" s="10"/>
      <c r="P529" s="9"/>
      <c r="Q529" s="10"/>
      <c r="R529" s="9"/>
      <c r="S529" s="10"/>
      <c r="T529" s="9"/>
      <c r="U529" s="10"/>
      <c r="V529" s="9"/>
      <c r="W529" s="10"/>
      <c r="X529" s="9"/>
      <c r="Y529" s="10"/>
      <c r="Z529" s="9"/>
      <c r="AA529" s="10"/>
      <c r="AB529" s="11"/>
      <c r="AC529" s="10"/>
      <c r="AD529" s="7">
        <f>SUM(F529+H529+J529+L529+N529+P529+R529+T529+V529+X529+Z529+AB529)</f>
        <v>0</v>
      </c>
      <c r="AE529" s="7">
        <f>E529+AD529</f>
        <v>0</v>
      </c>
      <c r="AF529" s="8">
        <f>G529+I529+K529+M529+O529+Q529+S529+U529+W529+Y529+AA529+AC529</f>
        <v>0</v>
      </c>
      <c r="AG529" s="212">
        <f>SUM(AE529-AF529)</f>
        <v>0</v>
      </c>
      <c r="AH529" s="214"/>
      <c r="AI529" s="214"/>
    </row>
    <row r="530" spans="1:42" customHeight="1" ht="11.5">
      <c r="A530" s="5"/>
      <c r="B530" s="113"/>
      <c r="C530" s="90"/>
      <c r="D530" s="167"/>
      <c r="E530" s="86"/>
      <c r="F530" s="9"/>
      <c r="G530" s="10"/>
      <c r="H530" s="9"/>
      <c r="I530" s="10"/>
      <c r="J530" s="9"/>
      <c r="K530" s="10"/>
      <c r="L530" s="87"/>
      <c r="M530" s="10"/>
      <c r="N530" s="9"/>
      <c r="O530" s="10"/>
      <c r="P530" s="9"/>
      <c r="Q530" s="10"/>
      <c r="R530" s="9"/>
      <c r="S530" s="10"/>
      <c r="T530" s="9"/>
      <c r="U530" s="10"/>
      <c r="V530" s="9"/>
      <c r="W530" s="10"/>
      <c r="X530" s="9"/>
      <c r="Y530" s="10"/>
      <c r="Z530" s="9"/>
      <c r="AA530" s="10"/>
      <c r="AB530" s="11"/>
      <c r="AC530" s="10"/>
      <c r="AD530" s="7">
        <f>SUM(F530+H530+J530+L530+N530+P530+R530+T530+V530+X530+Z530+AB530)</f>
        <v>0</v>
      </c>
      <c r="AE530" s="7">
        <f>E530+AD530</f>
        <v>0</v>
      </c>
      <c r="AF530" s="8">
        <f>G530+I530+K530+M530+O530+Q530+S530+U530+W530+Y530+AA530+AC530</f>
        <v>0</v>
      </c>
      <c r="AG530" s="212">
        <f>SUM(AE530-AF530)</f>
        <v>0</v>
      </c>
      <c r="AH530" s="214"/>
      <c r="AI530" s="214"/>
    </row>
    <row r="531" spans="1:42" customHeight="1" ht="11.5">
      <c r="A531" s="5"/>
      <c r="B531" s="113"/>
      <c r="C531" s="90"/>
      <c r="D531" s="167"/>
      <c r="E531" s="86"/>
      <c r="F531" s="9"/>
      <c r="G531" s="10"/>
      <c r="H531" s="9"/>
      <c r="I531" s="10"/>
      <c r="J531" s="9"/>
      <c r="K531" s="10"/>
      <c r="L531" s="87"/>
      <c r="M531" s="10"/>
      <c r="N531" s="9"/>
      <c r="O531" s="10"/>
      <c r="P531" s="9"/>
      <c r="Q531" s="10"/>
      <c r="R531" s="9"/>
      <c r="S531" s="10"/>
      <c r="T531" s="9"/>
      <c r="U531" s="10"/>
      <c r="V531" s="9"/>
      <c r="W531" s="10"/>
      <c r="X531" s="9"/>
      <c r="Y531" s="10"/>
      <c r="Z531" s="9"/>
      <c r="AA531" s="10"/>
      <c r="AB531" s="11"/>
      <c r="AC531" s="10"/>
      <c r="AD531" s="7">
        <f>SUM(F531+H531+J531+L531+N531+P531+R531+T531+V531+X531+Z531+AB531)</f>
        <v>0</v>
      </c>
      <c r="AE531" s="7">
        <f>E531+AD531</f>
        <v>0</v>
      </c>
      <c r="AF531" s="8">
        <f>G531+I531+K531+M531+O531+Q531+S531+U531+W531+Y531+AA531+AC531</f>
        <v>0</v>
      </c>
      <c r="AG531" s="212">
        <f>SUM(AE531-AF531)</f>
        <v>0</v>
      </c>
      <c r="AH531" s="214"/>
      <c r="AI531" s="214"/>
    </row>
    <row r="532" spans="1:42" customHeight="1" ht="11.5">
      <c r="A532" s="5"/>
      <c r="B532" s="113"/>
      <c r="C532" s="90"/>
      <c r="D532" s="167"/>
      <c r="E532" s="86"/>
      <c r="F532" s="9"/>
      <c r="G532" s="10"/>
      <c r="H532" s="9"/>
      <c r="I532" s="10"/>
      <c r="J532" s="9"/>
      <c r="K532" s="10"/>
      <c r="L532" s="87"/>
      <c r="M532" s="10"/>
      <c r="N532" s="9"/>
      <c r="O532" s="10"/>
      <c r="P532" s="9"/>
      <c r="Q532" s="10"/>
      <c r="R532" s="9"/>
      <c r="S532" s="10"/>
      <c r="T532" s="9"/>
      <c r="U532" s="10"/>
      <c r="V532" s="9"/>
      <c r="W532" s="10"/>
      <c r="X532" s="9"/>
      <c r="Y532" s="10"/>
      <c r="Z532" s="9"/>
      <c r="AA532" s="10"/>
      <c r="AB532" s="11"/>
      <c r="AC532" s="10"/>
      <c r="AD532" s="7">
        <f>SUM(F532+H532+J532+L532+N532+P532+R532+T532+V532+X532+Z532+AB532)</f>
        <v>0</v>
      </c>
      <c r="AE532" s="7">
        <f>E532+AD532</f>
        <v>0</v>
      </c>
      <c r="AF532" s="8">
        <f>G532+I532+K532+M532+O532+Q532+S532+U532+W532+Y532+AA532+AC532</f>
        <v>0</v>
      </c>
      <c r="AG532" s="212">
        <f>SUM(AE532-AF532)</f>
        <v>0</v>
      </c>
      <c r="AH532" s="214"/>
      <c r="AI532" s="214"/>
    </row>
    <row r="533" spans="1:42" customHeight="1" ht="11.5">
      <c r="A533" s="5"/>
      <c r="B533" s="113"/>
      <c r="C533" s="90"/>
      <c r="D533" s="167"/>
      <c r="E533" s="86"/>
      <c r="F533" s="9"/>
      <c r="G533" s="10"/>
      <c r="H533" s="9"/>
      <c r="I533" s="10"/>
      <c r="J533" s="9"/>
      <c r="K533" s="10"/>
      <c r="L533" s="87"/>
      <c r="M533" s="10"/>
      <c r="N533" s="9"/>
      <c r="O533" s="10"/>
      <c r="P533" s="9"/>
      <c r="Q533" s="10"/>
      <c r="R533" s="9"/>
      <c r="S533" s="10"/>
      <c r="T533" s="9"/>
      <c r="U533" s="10"/>
      <c r="V533" s="9"/>
      <c r="W533" s="10"/>
      <c r="X533" s="9"/>
      <c r="Y533" s="10"/>
      <c r="Z533" s="9"/>
      <c r="AA533" s="10"/>
      <c r="AB533" s="11"/>
      <c r="AC533" s="10"/>
      <c r="AD533" s="7">
        <f>SUM(F533+H533+J533+L533+N533+P533+R533+T533+V533+X533+Z533+AB533)</f>
        <v>0</v>
      </c>
      <c r="AE533" s="7">
        <f>E533+AD533</f>
        <v>0</v>
      </c>
      <c r="AF533" s="8">
        <f>G533+I533+K533+M533+O533+Q533+S533+U533+W533+Y533+AA533+AC533</f>
        <v>0</v>
      </c>
      <c r="AG533" s="212">
        <f>SUM(AE533-AF533)</f>
        <v>0</v>
      </c>
      <c r="AH533" s="214"/>
      <c r="AI533" s="214"/>
    </row>
    <row r="534" spans="1:42" customHeight="1" ht="11.5">
      <c r="A534" s="5"/>
      <c r="B534" s="113"/>
      <c r="C534" s="90"/>
      <c r="D534" s="167"/>
      <c r="E534" s="86"/>
      <c r="F534" s="9"/>
      <c r="G534" s="10"/>
      <c r="H534" s="9"/>
      <c r="I534" s="10"/>
      <c r="J534" s="9"/>
      <c r="K534" s="10"/>
      <c r="L534" s="87"/>
      <c r="M534" s="10"/>
      <c r="N534" s="9"/>
      <c r="O534" s="10"/>
      <c r="P534" s="9"/>
      <c r="Q534" s="10"/>
      <c r="R534" s="9"/>
      <c r="S534" s="10"/>
      <c r="T534" s="9"/>
      <c r="U534" s="10"/>
      <c r="V534" s="9"/>
      <c r="W534" s="10"/>
      <c r="X534" s="9"/>
      <c r="Y534" s="10"/>
      <c r="Z534" s="9"/>
      <c r="AA534" s="10"/>
      <c r="AB534" s="11"/>
      <c r="AC534" s="10"/>
      <c r="AD534" s="7">
        <f>SUM(F534+H534+J534+L534+N534+P534+R534+T534+V534+X534+Z534+AB534)</f>
        <v>0</v>
      </c>
      <c r="AE534" s="7">
        <f>E534+AD534</f>
        <v>0</v>
      </c>
      <c r="AF534" s="8">
        <f>G534+I534+K534+M534+O534+Q534+S534+U534+W534+Y534+AA534+AC534</f>
        <v>0</v>
      </c>
      <c r="AG534" s="212">
        <f>SUM(AE534-AF534)</f>
        <v>0</v>
      </c>
      <c r="AH534" s="214"/>
      <c r="AI534" s="214"/>
    </row>
    <row r="535" spans="1:42" customHeight="1" ht="11.5">
      <c r="A535" s="5"/>
      <c r="B535" s="113"/>
      <c r="C535" s="90"/>
      <c r="D535" s="167"/>
      <c r="E535" s="86"/>
      <c r="F535" s="9"/>
      <c r="G535" s="10"/>
      <c r="H535" s="9"/>
      <c r="I535" s="10"/>
      <c r="J535" s="9"/>
      <c r="K535" s="10"/>
      <c r="L535" s="87"/>
      <c r="M535" s="10"/>
      <c r="N535" s="9"/>
      <c r="O535" s="10"/>
      <c r="P535" s="9"/>
      <c r="Q535" s="10"/>
      <c r="R535" s="9"/>
      <c r="S535" s="10"/>
      <c r="T535" s="9"/>
      <c r="U535" s="10"/>
      <c r="V535" s="9"/>
      <c r="W535" s="10"/>
      <c r="X535" s="9"/>
      <c r="Y535" s="10"/>
      <c r="Z535" s="9"/>
      <c r="AA535" s="10"/>
      <c r="AB535" s="11"/>
      <c r="AC535" s="10"/>
      <c r="AD535" s="7">
        <f>SUM(F535+H535+J535+L535+N535+P535+R535+T535+V535+X535+Z535+AB535)</f>
        <v>0</v>
      </c>
      <c r="AE535" s="7">
        <f>E535+AD535</f>
        <v>0</v>
      </c>
      <c r="AF535" s="8">
        <f>G535+I535+K535+M535+O535+Q535+S535+U535+W535+Y535+AA535+AC535</f>
        <v>0</v>
      </c>
      <c r="AG535" s="212">
        <f>SUM(AE535-AF535)</f>
        <v>0</v>
      </c>
      <c r="AH535" s="214"/>
      <c r="AI535" s="214"/>
    </row>
    <row r="536" spans="1:42" customHeight="1" ht="11.5">
      <c r="A536" s="5"/>
      <c r="B536" s="113"/>
      <c r="C536" s="90"/>
      <c r="D536" s="167"/>
      <c r="E536" s="86"/>
      <c r="F536" s="9"/>
      <c r="G536" s="10"/>
      <c r="H536" s="9"/>
      <c r="I536" s="10"/>
      <c r="J536" s="9"/>
      <c r="K536" s="10"/>
      <c r="L536" s="87"/>
      <c r="M536" s="10"/>
      <c r="N536" s="9"/>
      <c r="O536" s="10"/>
      <c r="P536" s="9"/>
      <c r="Q536" s="10"/>
      <c r="R536" s="9"/>
      <c r="S536" s="10"/>
      <c r="T536" s="9"/>
      <c r="U536" s="10"/>
      <c r="V536" s="9"/>
      <c r="W536" s="10"/>
      <c r="X536" s="9"/>
      <c r="Y536" s="10"/>
      <c r="Z536" s="9"/>
      <c r="AA536" s="10"/>
      <c r="AB536" s="11"/>
      <c r="AC536" s="10"/>
      <c r="AD536" s="7">
        <f>SUM(F536+H536+J536+L536+N536+P536+R536+T536+V536+X536+Z536+AB536)</f>
        <v>0</v>
      </c>
      <c r="AE536" s="7">
        <f>E536+AD536</f>
        <v>0</v>
      </c>
      <c r="AF536" s="8">
        <f>G536+I536+K536+M536+O536+Q536+S536+U536+W536+Y536+AA536+AC536</f>
        <v>0</v>
      </c>
      <c r="AG536" s="212">
        <f>SUM(AE536-AF536)</f>
        <v>0</v>
      </c>
      <c r="AH536" s="214"/>
      <c r="AI536" s="214"/>
    </row>
    <row r="537" spans="1:42" customHeight="1" ht="11.5">
      <c r="A537" s="5"/>
      <c r="B537" s="113"/>
      <c r="C537" s="90"/>
      <c r="D537" s="167"/>
      <c r="E537" s="86"/>
      <c r="F537" s="9"/>
      <c r="G537" s="10"/>
      <c r="H537" s="9"/>
      <c r="I537" s="10"/>
      <c r="J537" s="9"/>
      <c r="K537" s="10"/>
      <c r="L537" s="87"/>
      <c r="M537" s="10"/>
      <c r="N537" s="9"/>
      <c r="O537" s="10"/>
      <c r="P537" s="9"/>
      <c r="Q537" s="10"/>
      <c r="R537" s="9"/>
      <c r="S537" s="10"/>
      <c r="T537" s="9"/>
      <c r="U537" s="10"/>
      <c r="V537" s="9"/>
      <c r="W537" s="10"/>
      <c r="X537" s="9"/>
      <c r="Y537" s="10"/>
      <c r="Z537" s="9"/>
      <c r="AA537" s="10"/>
      <c r="AB537" s="11"/>
      <c r="AC537" s="10"/>
      <c r="AD537" s="7">
        <f>SUM(F537+H537+J537+L537+N537+P537+R537+T537+V537+X537+Z537+AB537)</f>
        <v>0</v>
      </c>
      <c r="AE537" s="7">
        <f>E537+AD537</f>
        <v>0</v>
      </c>
      <c r="AF537" s="8">
        <f>G537+I537+K537+M537+O537+Q537+S537+U537+W537+Y537+AA537+AC537</f>
        <v>0</v>
      </c>
      <c r="AG537" s="212">
        <f>SUM(AE537-AF537)</f>
        <v>0</v>
      </c>
      <c r="AH537" s="214"/>
      <c r="AI537" s="214"/>
    </row>
    <row r="538" spans="1:42" customHeight="1" ht="11.5">
      <c r="A538" s="5"/>
      <c r="B538" s="113"/>
      <c r="C538" s="90"/>
      <c r="D538" s="167"/>
      <c r="E538" s="86"/>
      <c r="F538" s="9"/>
      <c r="G538" s="10"/>
      <c r="H538" s="9"/>
      <c r="I538" s="10"/>
      <c r="J538" s="9"/>
      <c r="K538" s="10"/>
      <c r="L538" s="87"/>
      <c r="M538" s="10"/>
      <c r="N538" s="9"/>
      <c r="O538" s="10"/>
      <c r="P538" s="9"/>
      <c r="Q538" s="10"/>
      <c r="R538" s="9"/>
      <c r="S538" s="10"/>
      <c r="T538" s="9"/>
      <c r="U538" s="10"/>
      <c r="V538" s="9"/>
      <c r="W538" s="10"/>
      <c r="X538" s="9"/>
      <c r="Y538" s="10"/>
      <c r="Z538" s="9"/>
      <c r="AA538" s="10"/>
      <c r="AB538" s="11"/>
      <c r="AC538" s="10"/>
      <c r="AD538" s="7">
        <f>SUM(F538+H538+J538+L538+N538+P538+R538+T538+V538+X538+Z538+AB538)</f>
        <v>0</v>
      </c>
      <c r="AE538" s="7">
        <f>E538+AD538</f>
        <v>0</v>
      </c>
      <c r="AF538" s="8">
        <f>G538+I538+K538+M538+O538+Q538+S538+U538+W538+Y538+AA538+AC538</f>
        <v>0</v>
      </c>
      <c r="AG538" s="212">
        <f>SUM(AE538-AF538)</f>
        <v>0</v>
      </c>
      <c r="AH538" s="214"/>
      <c r="AI538" s="214"/>
    </row>
    <row r="539" spans="1:42" customHeight="1" ht="11.5">
      <c r="A539" s="5"/>
      <c r="B539" s="113"/>
      <c r="C539" s="90"/>
      <c r="D539" s="167"/>
      <c r="E539" s="86"/>
      <c r="F539" s="9"/>
      <c r="G539" s="10"/>
      <c r="H539" s="9"/>
      <c r="I539" s="10"/>
      <c r="J539" s="9"/>
      <c r="K539" s="10"/>
      <c r="L539" s="87"/>
      <c r="M539" s="10"/>
      <c r="N539" s="9"/>
      <c r="O539" s="10"/>
      <c r="P539" s="9"/>
      <c r="Q539" s="10"/>
      <c r="R539" s="9"/>
      <c r="S539" s="10"/>
      <c r="T539" s="9"/>
      <c r="U539" s="10"/>
      <c r="V539" s="9"/>
      <c r="W539" s="10"/>
      <c r="X539" s="9"/>
      <c r="Y539" s="10"/>
      <c r="Z539" s="9"/>
      <c r="AA539" s="10"/>
      <c r="AB539" s="11"/>
      <c r="AC539" s="10"/>
      <c r="AD539" s="7">
        <f>SUM(F539+H539+J539+L539+N539+P539+R539+T539+V539+X539+Z539+AB539)</f>
        <v>0</v>
      </c>
      <c r="AE539" s="7">
        <f>E539+AD539</f>
        <v>0</v>
      </c>
      <c r="AF539" s="8">
        <f>G539+I539+K539+M539+O539+Q539+S539+U539+W539+Y539+AA539+AC539</f>
        <v>0</v>
      </c>
      <c r="AG539" s="212">
        <f>SUM(AE539-AF539)</f>
        <v>0</v>
      </c>
      <c r="AH539" s="214"/>
      <c r="AI539" s="214"/>
    </row>
    <row r="540" spans="1:42" customHeight="1" ht="11.5">
      <c r="A540" s="5"/>
      <c r="B540" s="113"/>
      <c r="C540" s="90"/>
      <c r="D540" s="167"/>
      <c r="E540" s="86"/>
      <c r="F540" s="9"/>
      <c r="G540" s="10"/>
      <c r="H540" s="9"/>
      <c r="I540" s="10"/>
      <c r="J540" s="9"/>
      <c r="K540" s="10"/>
      <c r="L540" s="87"/>
      <c r="M540" s="10"/>
      <c r="N540" s="9"/>
      <c r="O540" s="10"/>
      <c r="P540" s="9"/>
      <c r="Q540" s="10"/>
      <c r="R540" s="9"/>
      <c r="S540" s="10"/>
      <c r="T540" s="9"/>
      <c r="U540" s="10"/>
      <c r="V540" s="9"/>
      <c r="W540" s="10"/>
      <c r="X540" s="9"/>
      <c r="Y540" s="10"/>
      <c r="Z540" s="9"/>
      <c r="AA540" s="10"/>
      <c r="AB540" s="11"/>
      <c r="AC540" s="10"/>
      <c r="AD540" s="7">
        <f>SUM(F540+H540+J540+L540+N540+P540+R540+T540+V540+X540+Z540+AB540)</f>
        <v>0</v>
      </c>
      <c r="AE540" s="7">
        <f>E540+AD540</f>
        <v>0</v>
      </c>
      <c r="AF540" s="8">
        <f>G540+I540+K540+M540+O540+Q540+S540+U540+W540+Y540+AA540+AC540</f>
        <v>0</v>
      </c>
      <c r="AG540" s="212">
        <f>SUM(AE540-AF540)</f>
        <v>0</v>
      </c>
      <c r="AH540" s="214"/>
      <c r="AI540" s="214"/>
    </row>
    <row r="541" spans="1:42" customHeight="1" ht="11.5">
      <c r="A541" s="5"/>
      <c r="B541" s="113"/>
      <c r="C541" s="90"/>
      <c r="D541" s="167"/>
      <c r="E541" s="86"/>
      <c r="F541" s="9"/>
      <c r="G541" s="10"/>
      <c r="H541" s="9"/>
      <c r="I541" s="10"/>
      <c r="J541" s="9"/>
      <c r="K541" s="10"/>
      <c r="L541" s="87"/>
      <c r="M541" s="10"/>
      <c r="N541" s="9"/>
      <c r="O541" s="10"/>
      <c r="P541" s="9"/>
      <c r="Q541" s="10"/>
      <c r="R541" s="9"/>
      <c r="S541" s="10"/>
      <c r="T541" s="9"/>
      <c r="U541" s="10"/>
      <c r="V541" s="9"/>
      <c r="W541" s="10"/>
      <c r="X541" s="9"/>
      <c r="Y541" s="10"/>
      <c r="Z541" s="9"/>
      <c r="AA541" s="10"/>
      <c r="AB541" s="11"/>
      <c r="AC541" s="10"/>
      <c r="AD541" s="7">
        <f>SUM(F541+H541+J541+L541+N541+P541+R541+T541+V541+X541+Z541+AB541)</f>
        <v>0</v>
      </c>
      <c r="AE541" s="7">
        <f>E541+AD541</f>
        <v>0</v>
      </c>
      <c r="AF541" s="8">
        <f>G541+I541+K541+M541+O541+Q541+S541+U541+W541+Y541+AA541+AC541</f>
        <v>0</v>
      </c>
      <c r="AG541" s="212">
        <f>SUM(AE541-AF541)</f>
        <v>0</v>
      </c>
      <c r="AH541" s="214"/>
      <c r="AI541" s="214"/>
    </row>
    <row r="542" spans="1:42" customHeight="1" ht="11.5">
      <c r="A542" s="5"/>
      <c r="B542" s="113"/>
      <c r="C542" s="90"/>
      <c r="D542" s="167"/>
      <c r="E542" s="86"/>
      <c r="F542" s="9"/>
      <c r="G542" s="10"/>
      <c r="H542" s="9"/>
      <c r="I542" s="10"/>
      <c r="J542" s="9"/>
      <c r="K542" s="10"/>
      <c r="L542" s="87"/>
      <c r="M542" s="10"/>
      <c r="N542" s="9"/>
      <c r="O542" s="10"/>
      <c r="P542" s="9"/>
      <c r="Q542" s="10"/>
      <c r="R542" s="9"/>
      <c r="S542" s="10"/>
      <c r="T542" s="9"/>
      <c r="U542" s="10"/>
      <c r="V542" s="9"/>
      <c r="W542" s="10"/>
      <c r="X542" s="9"/>
      <c r="Y542" s="10"/>
      <c r="Z542" s="9"/>
      <c r="AA542" s="10"/>
      <c r="AB542" s="11"/>
      <c r="AC542" s="10"/>
      <c r="AD542" s="7">
        <f>SUM(F542+H542+J542+L542+N542+P542+R542+T542+V542+X542+Z542+AB542)</f>
        <v>0</v>
      </c>
      <c r="AE542" s="7">
        <f>E542+AD542</f>
        <v>0</v>
      </c>
      <c r="AF542" s="8">
        <f>G542+I542+K542+M542+O542+Q542+S542+U542+W542+Y542+AA542+AC542</f>
        <v>0</v>
      </c>
      <c r="AG542" s="212">
        <f>SUM(AE542-AF542)</f>
        <v>0</v>
      </c>
      <c r="AH542" s="214"/>
      <c r="AI542" s="214"/>
    </row>
    <row r="543" spans="1:42" customHeight="1" ht="11.5">
      <c r="A543" s="5"/>
      <c r="B543" s="113"/>
      <c r="C543" s="90"/>
      <c r="D543" s="167"/>
      <c r="E543" s="86"/>
      <c r="F543" s="9"/>
      <c r="G543" s="10"/>
      <c r="H543" s="9"/>
      <c r="I543" s="10"/>
      <c r="J543" s="9"/>
      <c r="K543" s="10"/>
      <c r="L543" s="87"/>
      <c r="M543" s="10"/>
      <c r="N543" s="9"/>
      <c r="O543" s="10"/>
      <c r="P543" s="9"/>
      <c r="Q543" s="10"/>
      <c r="R543" s="9"/>
      <c r="S543" s="10"/>
      <c r="T543" s="9"/>
      <c r="U543" s="10"/>
      <c r="V543" s="9"/>
      <c r="W543" s="10"/>
      <c r="X543" s="9"/>
      <c r="Y543" s="10"/>
      <c r="Z543" s="9"/>
      <c r="AA543" s="10"/>
      <c r="AB543" s="11"/>
      <c r="AC543" s="10"/>
      <c r="AD543" s="7">
        <f>SUM(F543+H543+J543+L543+N543+P543+R543+T543+V543+X543+Z543+AB543)</f>
        <v>0</v>
      </c>
      <c r="AE543" s="7">
        <f>E543+AD543</f>
        <v>0</v>
      </c>
      <c r="AF543" s="8">
        <f>G543+I543+K543+M543+O543+Q543+S543+U543+W543+Y543+AA543+AC543</f>
        <v>0</v>
      </c>
      <c r="AG543" s="212">
        <f>SUM(AE543-AF543)</f>
        <v>0</v>
      </c>
      <c r="AH543" s="214"/>
      <c r="AI543" s="214"/>
    </row>
    <row r="544" spans="1:42" customHeight="1" ht="11.5">
      <c r="A544" s="5"/>
      <c r="B544" s="113"/>
      <c r="C544" s="90"/>
      <c r="D544" s="89"/>
      <c r="E544" s="86"/>
      <c r="F544" s="9"/>
      <c r="G544" s="10"/>
      <c r="H544" s="9"/>
      <c r="I544" s="10"/>
      <c r="J544" s="9"/>
      <c r="K544" s="10"/>
      <c r="L544" s="87"/>
      <c r="M544" s="10"/>
      <c r="N544" s="9"/>
      <c r="O544" s="10"/>
      <c r="P544" s="9"/>
      <c r="Q544" s="10"/>
      <c r="R544" s="9"/>
      <c r="S544" s="10"/>
      <c r="T544" s="9"/>
      <c r="U544" s="10"/>
      <c r="V544" s="9"/>
      <c r="W544" s="10"/>
      <c r="X544" s="9"/>
      <c r="Y544" s="10"/>
      <c r="Z544" s="9"/>
      <c r="AA544" s="10"/>
      <c r="AB544" s="11"/>
      <c r="AC544" s="10"/>
      <c r="AD544" s="7">
        <f>SUM(F544+H544+J544+L544+N544+P544+R544+T544+V544+X544+Z544+AB544)</f>
        <v>0</v>
      </c>
      <c r="AE544" s="7">
        <f>E544+AD544</f>
        <v>0</v>
      </c>
      <c r="AF544" s="8">
        <f>G544+I544+K544+M544+O544+Q544+S544+U544+W544+Y544+AA544+AC544</f>
        <v>0</v>
      </c>
      <c r="AG544" s="212">
        <f>SUM(AE544-AF544)</f>
        <v>0</v>
      </c>
      <c r="AH544" s="214"/>
      <c r="AI544" s="214"/>
    </row>
    <row r="545" spans="1:42" customHeight="1" ht="11.5">
      <c r="A545" s="5"/>
      <c r="B545" s="113"/>
      <c r="C545" s="90"/>
      <c r="D545" s="89"/>
      <c r="E545" s="86"/>
      <c r="F545" s="9"/>
      <c r="G545" s="10"/>
      <c r="H545" s="9"/>
      <c r="I545" s="10"/>
      <c r="J545" s="9"/>
      <c r="K545" s="10"/>
      <c r="L545" s="87"/>
      <c r="M545" s="10"/>
      <c r="N545" s="9"/>
      <c r="O545" s="10"/>
      <c r="P545" s="9"/>
      <c r="Q545" s="10"/>
      <c r="R545" s="9"/>
      <c r="S545" s="10"/>
      <c r="T545" s="9"/>
      <c r="U545" s="10"/>
      <c r="V545" s="9"/>
      <c r="W545" s="10"/>
      <c r="X545" s="9"/>
      <c r="Y545" s="10"/>
      <c r="Z545" s="9"/>
      <c r="AA545" s="10"/>
      <c r="AB545" s="11"/>
      <c r="AC545" s="10"/>
      <c r="AD545" s="7">
        <f>SUM(F545+H545+J545+L545+N545+P545+R545+T545+V545+X545+Z545+AB545)</f>
        <v>0</v>
      </c>
      <c r="AE545" s="7">
        <f>E545+AD545</f>
        <v>0</v>
      </c>
      <c r="AF545" s="8">
        <f>G545+I545+K545+M545+O545+Q545+S545+U545+W545+Y545+AA545+AC545</f>
        <v>0</v>
      </c>
      <c r="AG545" s="212">
        <f>SUM(AE545-AF545)</f>
        <v>0</v>
      </c>
      <c r="AH545" s="214"/>
      <c r="AI545" s="214"/>
    </row>
    <row r="546" spans="1:42" customHeight="1" ht="11.5">
      <c r="A546" s="5"/>
      <c r="B546" s="113"/>
      <c r="C546" s="90"/>
      <c r="D546" s="89"/>
      <c r="E546" s="86"/>
      <c r="F546" s="9"/>
      <c r="G546" s="10"/>
      <c r="H546" s="9"/>
      <c r="I546" s="10"/>
      <c r="J546" s="9"/>
      <c r="K546" s="10"/>
      <c r="L546" s="87"/>
      <c r="M546" s="10"/>
      <c r="N546" s="9"/>
      <c r="O546" s="10"/>
      <c r="P546" s="9"/>
      <c r="Q546" s="10"/>
      <c r="R546" s="9"/>
      <c r="S546" s="10"/>
      <c r="T546" s="9"/>
      <c r="U546" s="10"/>
      <c r="V546" s="9"/>
      <c r="W546" s="10"/>
      <c r="X546" s="9"/>
      <c r="Y546" s="10"/>
      <c r="Z546" s="9"/>
      <c r="AA546" s="10"/>
      <c r="AB546" s="11"/>
      <c r="AC546" s="10"/>
      <c r="AD546" s="7">
        <f>SUM(F546+H546+J546+L546+N546+P546+R546+T546+V546+X546+Z546+AB546)</f>
        <v>0</v>
      </c>
      <c r="AE546" s="7">
        <f>E546+AD546</f>
        <v>0</v>
      </c>
      <c r="AF546" s="8">
        <f>G546+I546+K546+M546+O546+Q546+S546+U546+W546+Y546+AA546+AC546</f>
        <v>0</v>
      </c>
      <c r="AG546" s="212">
        <f>SUM(AE546-AF546)</f>
        <v>0</v>
      </c>
      <c r="AH546" s="214"/>
      <c r="AI546" s="214"/>
    </row>
    <row r="547" spans="1:42" customHeight="1" ht="11.5">
      <c r="A547" s="5"/>
      <c r="B547" s="113"/>
      <c r="C547" s="90"/>
      <c r="D547" s="89"/>
      <c r="E547" s="86"/>
      <c r="F547" s="9"/>
      <c r="G547" s="10"/>
      <c r="H547" s="9"/>
      <c r="I547" s="10"/>
      <c r="J547" s="9"/>
      <c r="K547" s="10"/>
      <c r="L547" s="87"/>
      <c r="M547" s="10"/>
      <c r="N547" s="9"/>
      <c r="O547" s="10"/>
      <c r="P547" s="9"/>
      <c r="Q547" s="10"/>
      <c r="R547" s="9"/>
      <c r="S547" s="10"/>
      <c r="T547" s="9"/>
      <c r="U547" s="10"/>
      <c r="V547" s="9"/>
      <c r="W547" s="10"/>
      <c r="X547" s="9"/>
      <c r="Y547" s="10"/>
      <c r="Z547" s="9"/>
      <c r="AA547" s="10"/>
      <c r="AB547" s="11"/>
      <c r="AC547" s="10"/>
      <c r="AD547" s="7">
        <f>SUM(F547+H547+J547+L547+N547+P547+R547+T547+V547+X547+Z547+AB547)</f>
        <v>0</v>
      </c>
      <c r="AE547" s="7">
        <f>E547+AD547</f>
        <v>0</v>
      </c>
      <c r="AF547" s="8">
        <f>G547+I547+K547+M547+O547+Q547+S547+U547+W547+Y547+AA547+AC547</f>
        <v>0</v>
      </c>
      <c r="AG547" s="212">
        <f>SUM(AE547-AF547)</f>
        <v>0</v>
      </c>
      <c r="AH547" s="214"/>
      <c r="AI547" s="214"/>
    </row>
    <row r="548" spans="1:42" customHeight="1" ht="11.5">
      <c r="A548" s="5"/>
      <c r="B548" s="113"/>
      <c r="C548" s="90"/>
      <c r="D548" s="89"/>
      <c r="E548" s="86"/>
      <c r="F548" s="9"/>
      <c r="G548" s="10"/>
      <c r="H548" s="9"/>
      <c r="I548" s="10"/>
      <c r="J548" s="9"/>
      <c r="K548" s="10"/>
      <c r="L548" s="87"/>
      <c r="M548" s="10"/>
      <c r="N548" s="9"/>
      <c r="O548" s="10"/>
      <c r="P548" s="9"/>
      <c r="Q548" s="10"/>
      <c r="R548" s="9"/>
      <c r="S548" s="10"/>
      <c r="T548" s="9"/>
      <c r="U548" s="10"/>
      <c r="V548" s="9"/>
      <c r="W548" s="10"/>
      <c r="X548" s="9"/>
      <c r="Y548" s="10"/>
      <c r="Z548" s="9"/>
      <c r="AA548" s="10"/>
      <c r="AB548" s="11"/>
      <c r="AC548" s="10"/>
      <c r="AD548" s="7">
        <f>SUM(F548+H548+J548+L548+N548+P548+R548+T548+V548+X548+Z548+AB548)</f>
        <v>0</v>
      </c>
      <c r="AE548" s="7">
        <f>E548+AD548</f>
        <v>0</v>
      </c>
      <c r="AF548" s="8">
        <f>G548+I548+K548+M548+O548+Q548+S548+U548+W548+Y548+AA548+AC548</f>
        <v>0</v>
      </c>
      <c r="AG548" s="212">
        <f>SUM(AE548-AF548)</f>
        <v>0</v>
      </c>
      <c r="AH548" s="214"/>
      <c r="AI548" s="214"/>
    </row>
    <row r="549" spans="1:42" customHeight="1" ht="11.5">
      <c r="A549" s="5"/>
      <c r="B549" s="113"/>
      <c r="C549" s="90"/>
      <c r="D549" s="89"/>
      <c r="E549" s="86"/>
      <c r="F549" s="9"/>
      <c r="G549" s="10"/>
      <c r="H549" s="9"/>
      <c r="I549" s="10"/>
      <c r="J549" s="9"/>
      <c r="K549" s="10"/>
      <c r="L549" s="87"/>
      <c r="M549" s="10"/>
      <c r="N549" s="9"/>
      <c r="O549" s="10"/>
      <c r="P549" s="9"/>
      <c r="Q549" s="10"/>
      <c r="R549" s="9"/>
      <c r="S549" s="10"/>
      <c r="T549" s="9"/>
      <c r="U549" s="10"/>
      <c r="V549" s="9"/>
      <c r="W549" s="10"/>
      <c r="X549" s="9"/>
      <c r="Y549" s="10"/>
      <c r="Z549" s="9"/>
      <c r="AA549" s="10"/>
      <c r="AB549" s="11"/>
      <c r="AC549" s="10"/>
      <c r="AD549" s="7">
        <f>SUM(F549+H549+J549+L549+N549+P549+R549+T549+V549+X549+Z549+AB549)</f>
        <v>0</v>
      </c>
      <c r="AE549" s="7">
        <f>E549+AD549</f>
        <v>0</v>
      </c>
      <c r="AF549" s="8">
        <f>G549+I549+K549+M549+O549+Q549+S549+U549+W549+Y549+AA549+AC549</f>
        <v>0</v>
      </c>
      <c r="AG549" s="212">
        <f>SUM(AE549-AF549)</f>
        <v>0</v>
      </c>
      <c r="AH549" s="214"/>
      <c r="AI549" s="214"/>
    </row>
    <row r="550" spans="1:42" customHeight="1" ht="11.5">
      <c r="A550" s="5"/>
      <c r="B550" s="113"/>
      <c r="C550" s="90"/>
      <c r="D550" s="89"/>
      <c r="E550" s="86"/>
      <c r="F550" s="9"/>
      <c r="G550" s="10"/>
      <c r="H550" s="9"/>
      <c r="I550" s="10"/>
      <c r="J550" s="9"/>
      <c r="K550" s="10"/>
      <c r="L550" s="87"/>
      <c r="M550" s="10"/>
      <c r="N550" s="9"/>
      <c r="O550" s="10"/>
      <c r="P550" s="9"/>
      <c r="Q550" s="10"/>
      <c r="R550" s="9"/>
      <c r="S550" s="10"/>
      <c r="T550" s="9"/>
      <c r="U550" s="10"/>
      <c r="V550" s="9"/>
      <c r="W550" s="10"/>
      <c r="X550" s="9"/>
      <c r="Y550" s="10"/>
      <c r="Z550" s="9"/>
      <c r="AA550" s="10"/>
      <c r="AB550" s="11"/>
      <c r="AC550" s="10"/>
      <c r="AD550" s="7">
        <f>SUM(F550+H550+J550+L550+N550+P550+R550+T550+V550+X550+Z550+AB550)</f>
        <v>0</v>
      </c>
      <c r="AE550" s="7">
        <f>E550+AD550</f>
        <v>0</v>
      </c>
      <c r="AF550" s="8">
        <f>G550+I550+K550+M550+O550+Q550+S550+U550+W550+Y550+AA550+AC550</f>
        <v>0</v>
      </c>
      <c r="AG550" s="212">
        <f>SUM(AE550-AF550)</f>
        <v>0</v>
      </c>
      <c r="AH550" s="214"/>
      <c r="AI550" s="214"/>
    </row>
    <row r="551" spans="1:42" customHeight="1" ht="11.5">
      <c r="A551" s="5"/>
      <c r="B551" s="113"/>
      <c r="C551" s="90"/>
      <c r="D551" s="89"/>
      <c r="E551" s="86"/>
      <c r="F551" s="9"/>
      <c r="G551" s="10"/>
      <c r="H551" s="9"/>
      <c r="I551" s="10"/>
      <c r="J551" s="9"/>
      <c r="K551" s="10"/>
      <c r="L551" s="87"/>
      <c r="M551" s="10"/>
      <c r="N551" s="9"/>
      <c r="O551" s="10"/>
      <c r="P551" s="9"/>
      <c r="Q551" s="10"/>
      <c r="R551" s="9"/>
      <c r="S551" s="10"/>
      <c r="T551" s="9"/>
      <c r="U551" s="10"/>
      <c r="V551" s="9"/>
      <c r="W551" s="10"/>
      <c r="X551" s="9"/>
      <c r="Y551" s="10"/>
      <c r="Z551" s="9"/>
      <c r="AA551" s="10"/>
      <c r="AB551" s="11"/>
      <c r="AC551" s="10"/>
      <c r="AD551" s="7">
        <f>SUM(F551+H551+J551+L551+N551+P551+R551+T551+V551+X551+Z551+AB551)</f>
        <v>0</v>
      </c>
      <c r="AE551" s="7">
        <f>E551+AD551</f>
        <v>0</v>
      </c>
      <c r="AF551" s="8">
        <f>G551+I551+K551+M551+O551+Q551+S551+U551+W551+Y551+AA551+AC551</f>
        <v>0</v>
      </c>
      <c r="AG551" s="212">
        <f>SUM(AE551-AF551)</f>
        <v>0</v>
      </c>
      <c r="AH551" s="214"/>
      <c r="AI551" s="214"/>
    </row>
    <row r="552" spans="1:42" customHeight="1" ht="11.5">
      <c r="A552" s="5"/>
      <c r="B552" s="113"/>
      <c r="C552" s="90"/>
      <c r="D552" s="89"/>
      <c r="E552" s="86"/>
      <c r="F552" s="9"/>
      <c r="G552" s="10"/>
      <c r="H552" s="9"/>
      <c r="I552" s="10"/>
      <c r="J552" s="9"/>
      <c r="K552" s="10"/>
      <c r="L552" s="87"/>
      <c r="M552" s="10"/>
      <c r="N552" s="9"/>
      <c r="O552" s="10"/>
      <c r="P552" s="9"/>
      <c r="Q552" s="10"/>
      <c r="R552" s="9"/>
      <c r="S552" s="10"/>
      <c r="T552" s="9"/>
      <c r="U552" s="10"/>
      <c r="V552" s="9"/>
      <c r="W552" s="10"/>
      <c r="X552" s="9"/>
      <c r="Y552" s="10"/>
      <c r="Z552" s="9"/>
      <c r="AA552" s="10"/>
      <c r="AB552" s="11"/>
      <c r="AC552" s="10"/>
      <c r="AD552" s="7">
        <f>SUM(F552+H552+J552+L552+N552+P552+R552+T552+V552+X552+Z552+AB552)</f>
        <v>0</v>
      </c>
      <c r="AE552" s="7">
        <f>E552+AD552</f>
        <v>0</v>
      </c>
      <c r="AF552" s="8">
        <f>G552+I552+K552+M552+O552+Q552+S552+U552+W552+Y552+AA552+AC552</f>
        <v>0</v>
      </c>
      <c r="AG552" s="212">
        <f>SUM(AE552-AF552)</f>
        <v>0</v>
      </c>
      <c r="AH552" s="214"/>
      <c r="AI552" s="214"/>
    </row>
    <row r="553" spans="1:42" customHeight="1" ht="11.5">
      <c r="A553" s="5"/>
      <c r="B553" s="113"/>
      <c r="C553" s="90"/>
      <c r="D553" s="89"/>
      <c r="E553" s="86"/>
      <c r="F553" s="9"/>
      <c r="G553" s="10"/>
      <c r="H553" s="9"/>
      <c r="I553" s="10"/>
      <c r="J553" s="9"/>
      <c r="K553" s="10"/>
      <c r="L553" s="87"/>
      <c r="M553" s="10"/>
      <c r="N553" s="9"/>
      <c r="O553" s="10"/>
      <c r="P553" s="9"/>
      <c r="Q553" s="10"/>
      <c r="R553" s="9"/>
      <c r="S553" s="10"/>
      <c r="T553" s="9"/>
      <c r="U553" s="10"/>
      <c r="V553" s="9"/>
      <c r="W553" s="10"/>
      <c r="X553" s="9"/>
      <c r="Y553" s="10"/>
      <c r="Z553" s="9"/>
      <c r="AA553" s="10"/>
      <c r="AB553" s="11"/>
      <c r="AC553" s="10"/>
      <c r="AD553" s="7">
        <f>SUM(F553+H553+J553+L553+N553+P553+R553+T553+V553+X553+Z553+AB553)</f>
        <v>0</v>
      </c>
      <c r="AE553" s="7">
        <f>E553+AD553</f>
        <v>0</v>
      </c>
      <c r="AF553" s="8">
        <f>G553+I553+K553+M553+O553+Q553+S553+U553+W553+Y553+AA553+AC553</f>
        <v>0</v>
      </c>
      <c r="AG553" s="212">
        <f>SUM(AE553-AF553)</f>
        <v>0</v>
      </c>
      <c r="AH553" s="214"/>
      <c r="AI553" s="214"/>
    </row>
    <row r="554" spans="1:42" customHeight="1" ht="11.5">
      <c r="A554" s="5"/>
      <c r="B554" s="113"/>
      <c r="C554" s="90"/>
      <c r="D554" s="89"/>
      <c r="E554" s="86"/>
      <c r="F554" s="9"/>
      <c r="G554" s="10"/>
      <c r="H554" s="9"/>
      <c r="I554" s="10"/>
      <c r="J554" s="9"/>
      <c r="K554" s="10"/>
      <c r="L554" s="87"/>
      <c r="M554" s="10"/>
      <c r="N554" s="9"/>
      <c r="O554" s="10"/>
      <c r="P554" s="9"/>
      <c r="Q554" s="10"/>
      <c r="R554" s="9"/>
      <c r="S554" s="10"/>
      <c r="T554" s="9"/>
      <c r="U554" s="10"/>
      <c r="V554" s="9"/>
      <c r="W554" s="10"/>
      <c r="X554" s="9"/>
      <c r="Y554" s="10"/>
      <c r="Z554" s="9"/>
      <c r="AA554" s="10"/>
      <c r="AB554" s="11"/>
      <c r="AC554" s="10"/>
      <c r="AD554" s="7">
        <f>SUM(F554+H554+J554+L554+N554+P554+R554+T554+V554+X554+Z554+AB554)</f>
        <v>0</v>
      </c>
      <c r="AE554" s="7">
        <f>E554+AD554</f>
        <v>0</v>
      </c>
      <c r="AF554" s="8">
        <f>G554+I554+K554+M554+O554+Q554+S554+U554+W554+Y554+AA554+AC554</f>
        <v>0</v>
      </c>
      <c r="AG554" s="212">
        <f>SUM(AE554-AF554)</f>
        <v>0</v>
      </c>
      <c r="AH554" s="214"/>
      <c r="AI554" s="214"/>
    </row>
    <row r="555" spans="1:42" customHeight="1" ht="11.5">
      <c r="A555" s="5"/>
      <c r="B555" s="113"/>
      <c r="C555" s="90"/>
      <c r="D555" s="89"/>
      <c r="E555" s="86"/>
      <c r="F555" s="9"/>
      <c r="G555" s="10"/>
      <c r="H555" s="9"/>
      <c r="I555" s="10"/>
      <c r="J555" s="9"/>
      <c r="K555" s="10"/>
      <c r="L555" s="87"/>
      <c r="M555" s="10"/>
      <c r="N555" s="9"/>
      <c r="O555" s="10"/>
      <c r="P555" s="9"/>
      <c r="Q555" s="10"/>
      <c r="R555" s="9"/>
      <c r="S555" s="10"/>
      <c r="T555" s="9"/>
      <c r="U555" s="10"/>
      <c r="V555" s="9"/>
      <c r="W555" s="10"/>
      <c r="X555" s="9"/>
      <c r="Y555" s="10"/>
      <c r="Z555" s="9"/>
      <c r="AA555" s="10"/>
      <c r="AB555" s="11"/>
      <c r="AC555" s="10"/>
      <c r="AD555" s="7">
        <f>SUM(F555+H555+J555+L555+N555+P555+R555+T555+V555+X555+Z555+AB555)</f>
        <v>0</v>
      </c>
      <c r="AE555" s="7">
        <f>E555+AD555</f>
        <v>0</v>
      </c>
      <c r="AF555" s="8">
        <f>G555+I555+K555+M555+O555+Q555+S555+U555+W555+Y555+AA555+AC555</f>
        <v>0</v>
      </c>
      <c r="AG555" s="212">
        <f>SUM(AE555-AF555)</f>
        <v>0</v>
      </c>
      <c r="AH555" s="214"/>
      <c r="AI555" s="214"/>
    </row>
    <row r="556" spans="1:42" customHeight="1" ht="11.5">
      <c r="A556" s="5"/>
      <c r="B556" s="113"/>
      <c r="C556" s="90"/>
      <c r="D556" s="89"/>
      <c r="E556" s="86"/>
      <c r="F556" s="9"/>
      <c r="G556" s="10"/>
      <c r="H556" s="9"/>
      <c r="I556" s="10"/>
      <c r="J556" s="9"/>
      <c r="K556" s="10"/>
      <c r="L556" s="87"/>
      <c r="M556" s="10"/>
      <c r="N556" s="9"/>
      <c r="O556" s="10"/>
      <c r="P556" s="9"/>
      <c r="Q556" s="10"/>
      <c r="R556" s="9"/>
      <c r="S556" s="10"/>
      <c r="T556" s="9"/>
      <c r="U556" s="10"/>
      <c r="V556" s="9"/>
      <c r="W556" s="10"/>
      <c r="X556" s="9"/>
      <c r="Y556" s="10"/>
      <c r="Z556" s="9"/>
      <c r="AA556" s="10"/>
      <c r="AB556" s="11"/>
      <c r="AC556" s="10"/>
      <c r="AD556" s="7">
        <f>SUM(F556+H556+J556+L556+N556+P556+R556+T556+V556+X556+Z556+AB556)</f>
        <v>0</v>
      </c>
      <c r="AE556" s="7">
        <f>E556+AD556</f>
        <v>0</v>
      </c>
      <c r="AF556" s="8">
        <f>G556+I556+K556+M556+O556+Q556+S556+U556+W556+Y556+AA556+AC556</f>
        <v>0</v>
      </c>
      <c r="AG556" s="212">
        <f>SUM(AE556-AF556)</f>
        <v>0</v>
      </c>
      <c r="AH556" s="214"/>
      <c r="AI556" s="214"/>
    </row>
    <row r="557" spans="1:42" customHeight="1" ht="11.5">
      <c r="A557" s="5"/>
      <c r="B557" s="113"/>
      <c r="C557" s="90"/>
      <c r="D557" s="89"/>
      <c r="E557" s="86"/>
      <c r="F557" s="9"/>
      <c r="G557" s="10"/>
      <c r="H557" s="9"/>
      <c r="I557" s="10"/>
      <c r="J557" s="9"/>
      <c r="K557" s="10"/>
      <c r="L557" s="87"/>
      <c r="M557" s="10"/>
      <c r="N557" s="9"/>
      <c r="O557" s="10"/>
      <c r="P557" s="9"/>
      <c r="Q557" s="10"/>
      <c r="R557" s="9"/>
      <c r="S557" s="10"/>
      <c r="T557" s="9"/>
      <c r="U557" s="10"/>
      <c r="V557" s="9"/>
      <c r="W557" s="10"/>
      <c r="X557" s="9"/>
      <c r="Y557" s="10"/>
      <c r="Z557" s="9"/>
      <c r="AA557" s="10"/>
      <c r="AB557" s="11"/>
      <c r="AC557" s="10"/>
      <c r="AD557" s="7">
        <f>SUM(F557+H557+J557+L557+N557+P557+R557+T557+V557+X557+Z557+AB557)</f>
        <v>0</v>
      </c>
      <c r="AE557" s="7">
        <f>E557+AD557</f>
        <v>0</v>
      </c>
      <c r="AF557" s="8">
        <f>G557+I557+K557+M557+O557+Q557+S557+U557+W557+Y557+AA557+AC557</f>
        <v>0</v>
      </c>
      <c r="AG557" s="212">
        <f>SUM(AE557-AF557)</f>
        <v>0</v>
      </c>
      <c r="AH557" s="214"/>
      <c r="AI557" s="214"/>
    </row>
    <row r="558" spans="1:42" customHeight="1" ht="11.5">
      <c r="A558" s="5"/>
      <c r="B558" s="113"/>
      <c r="C558" s="90"/>
      <c r="D558" s="89"/>
      <c r="E558" s="86"/>
      <c r="F558" s="9"/>
      <c r="G558" s="10"/>
      <c r="H558" s="9"/>
      <c r="I558" s="10"/>
      <c r="J558" s="9"/>
      <c r="K558" s="10"/>
      <c r="L558" s="87"/>
      <c r="M558" s="10"/>
      <c r="N558" s="9"/>
      <c r="O558" s="10"/>
      <c r="P558" s="9"/>
      <c r="Q558" s="10"/>
      <c r="R558" s="9"/>
      <c r="S558" s="10"/>
      <c r="T558" s="9"/>
      <c r="U558" s="10"/>
      <c r="V558" s="9"/>
      <c r="W558" s="10"/>
      <c r="X558" s="9"/>
      <c r="Y558" s="10"/>
      <c r="Z558" s="9"/>
      <c r="AA558" s="10"/>
      <c r="AB558" s="11"/>
      <c r="AC558" s="10"/>
      <c r="AD558" s="7">
        <f>SUM(F558+H558+J558+L558+N558+P558+R558+T558+V558+X558+Z558+AB558)</f>
        <v>0</v>
      </c>
      <c r="AE558" s="7">
        <f>E558+AD558</f>
        <v>0</v>
      </c>
      <c r="AF558" s="8">
        <f>G558+I558+K558+M558+O558+Q558+S558+U558+W558+Y558+AA558+AC558</f>
        <v>0</v>
      </c>
      <c r="AG558" s="212">
        <f>SUM(AE558-AF558)</f>
        <v>0</v>
      </c>
      <c r="AH558" s="214"/>
      <c r="AI558" s="214"/>
    </row>
    <row r="559" spans="1:42" customHeight="1" ht="11.5">
      <c r="A559" s="5"/>
      <c r="B559" s="113"/>
      <c r="C559" s="90"/>
      <c r="D559" s="89"/>
      <c r="E559" s="86"/>
      <c r="F559" s="9"/>
      <c r="G559" s="10"/>
      <c r="H559" s="9"/>
      <c r="I559" s="10"/>
      <c r="J559" s="9"/>
      <c r="K559" s="10"/>
      <c r="L559" s="87"/>
      <c r="M559" s="10"/>
      <c r="N559" s="9"/>
      <c r="O559" s="10"/>
      <c r="P559" s="9"/>
      <c r="Q559" s="10"/>
      <c r="R559" s="9"/>
      <c r="S559" s="10"/>
      <c r="T559" s="9"/>
      <c r="U559" s="10"/>
      <c r="V559" s="9"/>
      <c r="W559" s="10"/>
      <c r="X559" s="9"/>
      <c r="Y559" s="10"/>
      <c r="Z559" s="9"/>
      <c r="AA559" s="10"/>
      <c r="AB559" s="11"/>
      <c r="AC559" s="10"/>
      <c r="AD559" s="7">
        <f>SUM(F559+H559+J559+L559+N559+P559+R559+T559+V559+X559+Z559+AB559)</f>
        <v>0</v>
      </c>
      <c r="AE559" s="7">
        <f>E559+AD559</f>
        <v>0</v>
      </c>
      <c r="AF559" s="8">
        <f>G559+I559+K559+M559+O559+Q559+S559+U559+W559+Y559+AA559+AC559</f>
        <v>0</v>
      </c>
      <c r="AG559" s="212">
        <f>SUM(AE559-AF559)</f>
        <v>0</v>
      </c>
      <c r="AH559" s="214"/>
      <c r="AI559" s="214"/>
    </row>
    <row r="560" spans="1:42" customHeight="1" ht="11.5">
      <c r="A560" s="5"/>
      <c r="B560" s="113"/>
      <c r="C560" s="90"/>
      <c r="D560" s="89"/>
      <c r="E560" s="86"/>
      <c r="F560" s="9"/>
      <c r="G560" s="10"/>
      <c r="H560" s="9"/>
      <c r="I560" s="10"/>
      <c r="J560" s="9"/>
      <c r="K560" s="10"/>
      <c r="L560" s="87"/>
      <c r="M560" s="10"/>
      <c r="N560" s="9"/>
      <c r="O560" s="10"/>
      <c r="P560" s="9"/>
      <c r="Q560" s="10"/>
      <c r="R560" s="9"/>
      <c r="S560" s="10"/>
      <c r="T560" s="9"/>
      <c r="U560" s="10"/>
      <c r="V560" s="9"/>
      <c r="W560" s="10"/>
      <c r="X560" s="9"/>
      <c r="Y560" s="10"/>
      <c r="Z560" s="9"/>
      <c r="AA560" s="10"/>
      <c r="AB560" s="11"/>
      <c r="AC560" s="10"/>
      <c r="AD560" s="7">
        <f>SUM(F560+H560+J560+L560+N560+P560+R560+T560+V560+X560+Z560+AB560)</f>
        <v>0</v>
      </c>
      <c r="AE560" s="7">
        <f>E560+AD560</f>
        <v>0</v>
      </c>
      <c r="AF560" s="8">
        <f>G560+I560+K560+M560+O560+Q560+S560+U560+W560+Y560+AA560+AC560</f>
        <v>0</v>
      </c>
      <c r="AG560" s="212">
        <f>SUM(AE560-AF560)</f>
        <v>0</v>
      </c>
      <c r="AH560" s="214"/>
      <c r="AI560" s="214"/>
    </row>
    <row r="561" spans="1:42" customHeight="1" ht="11.5">
      <c r="A561" s="5"/>
      <c r="B561" s="113"/>
      <c r="C561" s="90"/>
      <c r="D561" s="89"/>
      <c r="E561" s="86"/>
      <c r="F561" s="9"/>
      <c r="G561" s="10"/>
      <c r="H561" s="9"/>
      <c r="I561" s="10"/>
      <c r="J561" s="9"/>
      <c r="K561" s="10"/>
      <c r="L561" s="87"/>
      <c r="M561" s="10"/>
      <c r="N561" s="9"/>
      <c r="O561" s="10"/>
      <c r="P561" s="9"/>
      <c r="Q561" s="10"/>
      <c r="R561" s="9"/>
      <c r="S561" s="10"/>
      <c r="T561" s="9"/>
      <c r="U561" s="10"/>
      <c r="V561" s="9"/>
      <c r="W561" s="10"/>
      <c r="X561" s="9"/>
      <c r="Y561" s="10"/>
      <c r="Z561" s="9"/>
      <c r="AA561" s="10"/>
      <c r="AB561" s="11"/>
      <c r="AC561" s="10"/>
      <c r="AD561" s="7">
        <f>SUM(F561+H561+J561+L561+N561+P561+R561+T561+V561+X561+Z561+AB561)</f>
        <v>0</v>
      </c>
      <c r="AE561" s="7">
        <f>E561+AD561</f>
        <v>0</v>
      </c>
      <c r="AF561" s="8">
        <f>G561+I561+K561+M561+O561+Q561+S561+U561+W561+Y561+AA561+AC561</f>
        <v>0</v>
      </c>
      <c r="AG561" s="212">
        <f>SUM(AE561-AF561)</f>
        <v>0</v>
      </c>
      <c r="AH561" s="214"/>
      <c r="AI561" s="214"/>
    </row>
    <row r="562" spans="1:42" customHeight="1" ht="11.5">
      <c r="A562" s="5"/>
      <c r="B562" s="113"/>
      <c r="C562" s="90"/>
      <c r="D562" s="89"/>
      <c r="E562" s="86"/>
      <c r="F562" s="9"/>
      <c r="G562" s="10"/>
      <c r="H562" s="9"/>
      <c r="I562" s="10"/>
      <c r="J562" s="9"/>
      <c r="K562" s="10"/>
      <c r="L562" s="87"/>
      <c r="M562" s="10"/>
      <c r="N562" s="9"/>
      <c r="O562" s="10"/>
      <c r="P562" s="9"/>
      <c r="Q562" s="10"/>
      <c r="R562" s="9"/>
      <c r="S562" s="10"/>
      <c r="T562" s="9"/>
      <c r="U562" s="10"/>
      <c r="V562" s="9"/>
      <c r="W562" s="10"/>
      <c r="X562" s="9"/>
      <c r="Y562" s="10"/>
      <c r="Z562" s="9"/>
      <c r="AA562" s="10"/>
      <c r="AB562" s="11"/>
      <c r="AC562" s="10"/>
      <c r="AD562" s="7">
        <f>SUM(F562+H562+J562+L562+N562+P562+R562+T562+V562+X562+Z562+AB562)</f>
        <v>0</v>
      </c>
      <c r="AE562" s="7">
        <f>E562+AD562</f>
        <v>0</v>
      </c>
      <c r="AF562" s="8">
        <f>G562+I562+K562+M562+O562+Q562+S562+U562+W562+Y562+AA562+AC562</f>
        <v>0</v>
      </c>
      <c r="AG562" s="212">
        <f>SUM(AE562-AF562)</f>
        <v>0</v>
      </c>
      <c r="AH562" s="214"/>
      <c r="AI562" s="214"/>
    </row>
    <row r="563" spans="1:42" customHeight="1" ht="11.5">
      <c r="A563" s="114"/>
      <c r="B563" s="113"/>
      <c r="C563" s="90"/>
      <c r="D563" s="89"/>
      <c r="E563" s="86"/>
      <c r="F563" s="9"/>
      <c r="G563" s="10"/>
      <c r="H563" s="9"/>
      <c r="I563" s="10"/>
      <c r="J563" s="9"/>
      <c r="K563" s="10"/>
      <c r="L563" s="87"/>
      <c r="M563" s="10"/>
      <c r="N563" s="9"/>
      <c r="O563" s="10"/>
      <c r="P563" s="9"/>
      <c r="Q563" s="10"/>
      <c r="R563" s="9"/>
      <c r="S563" s="10"/>
      <c r="T563" s="9"/>
      <c r="U563" s="10"/>
      <c r="V563" s="9"/>
      <c r="W563" s="10"/>
      <c r="X563" s="9"/>
      <c r="Y563" s="10"/>
      <c r="Z563" s="9"/>
      <c r="AA563" s="10"/>
      <c r="AB563" s="11"/>
      <c r="AC563" s="10"/>
      <c r="AD563" s="7">
        <f>SUM(F563+H563+J563+L563+N563+P563+R563+T563+V563+X563+Z563+AB563)</f>
        <v>0</v>
      </c>
      <c r="AE563" s="7">
        <f>E563+AD563</f>
        <v>0</v>
      </c>
      <c r="AF563" s="8">
        <f>G563+I563+K563+M563+O563+Q563+S563+U563+W563+Y563+AA563+AC563</f>
        <v>0</v>
      </c>
      <c r="AG563" s="212">
        <f>SUM(AE563-AF563)</f>
        <v>0</v>
      </c>
      <c r="AH563" s="214"/>
      <c r="AI563" s="214"/>
    </row>
    <row r="564" spans="1:42" customHeight="1" ht="11.5">
      <c r="A564" s="114"/>
      <c r="B564" s="113"/>
      <c r="C564" s="90"/>
      <c r="D564" s="89"/>
      <c r="E564" s="86"/>
      <c r="F564" s="9"/>
      <c r="G564" s="10"/>
      <c r="H564" s="9"/>
      <c r="I564" s="10"/>
      <c r="J564" s="9"/>
      <c r="K564" s="10"/>
      <c r="L564" s="87"/>
      <c r="M564" s="10"/>
      <c r="N564" s="9"/>
      <c r="O564" s="10"/>
      <c r="P564" s="9"/>
      <c r="Q564" s="10"/>
      <c r="R564" s="9"/>
      <c r="S564" s="10"/>
      <c r="T564" s="9"/>
      <c r="U564" s="10"/>
      <c r="V564" s="9"/>
      <c r="W564" s="10"/>
      <c r="X564" s="9"/>
      <c r="Y564" s="10"/>
      <c r="Z564" s="9"/>
      <c r="AA564" s="10"/>
      <c r="AB564" s="11"/>
      <c r="AC564" s="10"/>
      <c r="AD564" s="7">
        <f>SUM(F564+H564+J564+L564+N564+P564+R564+T564+V564+X564+Z564+AB564)</f>
        <v>0</v>
      </c>
      <c r="AE564" s="7">
        <f>E564+AD564</f>
        <v>0</v>
      </c>
      <c r="AF564" s="8">
        <f>G564+I564+K564+M564+O564+Q564+S564+U564+W564+Y564+AA564+AC564</f>
        <v>0</v>
      </c>
      <c r="AG564" s="212">
        <f>SUM(AE564-AF564)</f>
        <v>0</v>
      </c>
      <c r="AH564" s="214"/>
      <c r="AI564" s="214"/>
    </row>
    <row r="565" spans="1:42" customHeight="1" ht="11.5">
      <c r="A565" s="114"/>
      <c r="B565" s="113"/>
      <c r="C565" s="90"/>
      <c r="D565" s="89"/>
      <c r="E565" s="86"/>
      <c r="F565" s="9"/>
      <c r="G565" s="10"/>
      <c r="H565" s="9"/>
      <c r="I565" s="10"/>
      <c r="J565" s="9"/>
      <c r="K565" s="10"/>
      <c r="L565" s="87"/>
      <c r="M565" s="10"/>
      <c r="N565" s="9"/>
      <c r="O565" s="10"/>
      <c r="P565" s="9"/>
      <c r="Q565" s="10"/>
      <c r="R565" s="9"/>
      <c r="S565" s="10"/>
      <c r="T565" s="9"/>
      <c r="U565" s="10"/>
      <c r="V565" s="9"/>
      <c r="W565" s="10"/>
      <c r="X565" s="9"/>
      <c r="Y565" s="10"/>
      <c r="Z565" s="9"/>
      <c r="AA565" s="10"/>
      <c r="AB565" s="11"/>
      <c r="AC565" s="10"/>
      <c r="AD565" s="7">
        <f>SUM(F565+H565+J565+L565+N565+P565+R565+T565+V565+X565+Z565+AB565)</f>
        <v>0</v>
      </c>
      <c r="AE565" s="7">
        <f>E565+AD565</f>
        <v>0</v>
      </c>
      <c r="AF565" s="8">
        <f>G565+I565+K565+M565+O565+Q565+S565+U565+W565+Y565+AA565+AC565</f>
        <v>0</v>
      </c>
      <c r="AG565" s="212">
        <f>SUM(AE565-AF565)</f>
        <v>0</v>
      </c>
      <c r="AH565" s="214"/>
      <c r="AI565" s="214"/>
    </row>
    <row r="566" spans="1:42" customHeight="1" ht="11.5">
      <c r="A566" s="114"/>
      <c r="B566" s="113"/>
      <c r="C566" s="90"/>
      <c r="D566" s="89"/>
      <c r="E566" s="86"/>
      <c r="F566" s="9"/>
      <c r="G566" s="10"/>
      <c r="H566" s="9"/>
      <c r="I566" s="10"/>
      <c r="J566" s="9"/>
      <c r="K566" s="10"/>
      <c r="L566" s="87"/>
      <c r="M566" s="10"/>
      <c r="N566" s="9"/>
      <c r="O566" s="10"/>
      <c r="P566" s="9"/>
      <c r="Q566" s="10"/>
      <c r="R566" s="9"/>
      <c r="S566" s="10"/>
      <c r="T566" s="9"/>
      <c r="U566" s="10"/>
      <c r="V566" s="9"/>
      <c r="W566" s="10"/>
      <c r="X566" s="9"/>
      <c r="Y566" s="10"/>
      <c r="Z566" s="9"/>
      <c r="AA566" s="10"/>
      <c r="AB566" s="11"/>
      <c r="AC566" s="10"/>
      <c r="AD566" s="7">
        <f>SUM(F566+H566+J566+L566+N566+P566+R566+T566+V566+X566+Z566+AB566)</f>
        <v>0</v>
      </c>
      <c r="AE566" s="7">
        <f>E566+AD566</f>
        <v>0</v>
      </c>
      <c r="AF566" s="8">
        <f>G566+I566+K566+M566+O566+Q566+S566+U566+W566+Y566+AA566+AC566</f>
        <v>0</v>
      </c>
      <c r="AG566" s="212">
        <f>SUM(AE566-AF566)</f>
        <v>0</v>
      </c>
      <c r="AH566" s="214"/>
      <c r="AI566" s="214"/>
    </row>
    <row r="567" spans="1:42" customHeight="1" ht="11.5">
      <c r="A567" s="114"/>
      <c r="B567" s="113"/>
      <c r="C567" s="90"/>
      <c r="D567" s="89"/>
      <c r="E567" s="86"/>
      <c r="F567" s="9"/>
      <c r="G567" s="10"/>
      <c r="H567" s="9"/>
      <c r="I567" s="10"/>
      <c r="J567" s="9"/>
      <c r="K567" s="10"/>
      <c r="L567" s="87"/>
      <c r="M567" s="10"/>
      <c r="N567" s="9"/>
      <c r="O567" s="10"/>
      <c r="P567" s="9"/>
      <c r="Q567" s="10"/>
      <c r="R567" s="9"/>
      <c r="S567" s="10"/>
      <c r="T567" s="9"/>
      <c r="U567" s="10"/>
      <c r="V567" s="9"/>
      <c r="W567" s="10"/>
      <c r="X567" s="9"/>
      <c r="Y567" s="10"/>
      <c r="Z567" s="9"/>
      <c r="AA567" s="10"/>
      <c r="AB567" s="11"/>
      <c r="AC567" s="10"/>
      <c r="AD567" s="7">
        <f>SUM(F567+H567+J567+L567+N567+P567+R567+T567+V567+X567+Z567+AB567)</f>
        <v>0</v>
      </c>
      <c r="AE567" s="7">
        <f>E567+AD567</f>
        <v>0</v>
      </c>
      <c r="AF567" s="8">
        <f>G567+I567+K567+M567+O567+Q567+S567+U567+W567+Y567+AA567+AC567</f>
        <v>0</v>
      </c>
      <c r="AG567" s="212">
        <f>SUM(AE567-AF567)</f>
        <v>0</v>
      </c>
      <c r="AH567" s="214"/>
      <c r="AI567" s="214"/>
    </row>
    <row r="568" spans="1:42" customHeight="1" ht="12">
      <c r="A568" s="115"/>
      <c r="B568" s="116"/>
      <c r="C568" s="117"/>
      <c r="D568" s="91"/>
      <c r="E568" s="86"/>
      <c r="F568" s="9"/>
      <c r="G568" s="10"/>
      <c r="H568" s="9"/>
      <c r="I568" s="10"/>
      <c r="J568" s="9"/>
      <c r="K568" s="10"/>
      <c r="L568" s="87"/>
      <c r="M568" s="10"/>
      <c r="N568" s="9"/>
      <c r="O568" s="10"/>
      <c r="P568" s="9"/>
      <c r="Q568" s="10"/>
      <c r="R568" s="9"/>
      <c r="S568" s="10"/>
      <c r="T568" s="9"/>
      <c r="U568" s="10"/>
      <c r="V568" s="9"/>
      <c r="W568" s="10"/>
      <c r="X568" s="9"/>
      <c r="Y568" s="10"/>
      <c r="Z568" s="9"/>
      <c r="AA568" s="10"/>
      <c r="AB568" s="11"/>
      <c r="AC568" s="10"/>
      <c r="AD568" s="7">
        <f>SUM(F568+H568+J568+L568+N568+P568+R568+T568+V568+X568+Z568+AB568)</f>
        <v>0</v>
      </c>
      <c r="AE568" s="7">
        <f>E568+AD568</f>
        <v>0</v>
      </c>
      <c r="AF568" s="8">
        <f>G568+I568+K568+M568+O568+Q568+S568+U568+W568+Y568+AA568+AC568</f>
        <v>0</v>
      </c>
      <c r="AG568" s="212">
        <f>SUM(AE568-AF568)</f>
        <v>0</v>
      </c>
      <c r="AH568" s="214"/>
      <c r="AI568" s="214"/>
    </row>
    <row r="569" spans="1:42" customHeight="1" ht="12">
      <c r="A569" s="93"/>
      <c r="B569" s="102"/>
      <c r="C569" s="93"/>
      <c r="D569" s="93"/>
      <c r="E569" s="118">
        <f>SUM(E5:E568)</f>
        <v>-724264</v>
      </c>
      <c r="F569" s="119">
        <f>SUM(F9:F568)</f>
        <v>233500</v>
      </c>
      <c r="G569" s="94">
        <f>SUM(G9:G568)</f>
        <v>291178</v>
      </c>
      <c r="H569" s="120">
        <f>SUM(H9:H568)</f>
        <v>79900</v>
      </c>
      <c r="I569" s="94">
        <f>SUM(I9:I568)</f>
        <v>253205</v>
      </c>
      <c r="J569" s="120">
        <f>SUM(J9:J568)</f>
        <v>160100</v>
      </c>
      <c r="K569" s="94">
        <f>SUM(K9:K568)</f>
        <v>0</v>
      </c>
      <c r="L569" s="121">
        <f>SUM(L9:L568)</f>
        <v>82300</v>
      </c>
      <c r="M569" s="94">
        <f>SUM(M9:M568)</f>
        <v>261943</v>
      </c>
      <c r="N569" s="120">
        <f>SUM(N9:N568)</f>
        <v>156000</v>
      </c>
      <c r="O569" s="94">
        <f>SUM(O9:O568)</f>
        <v>438</v>
      </c>
      <c r="P569" s="120">
        <f>SUM(P9:P568)</f>
        <v>122300</v>
      </c>
      <c r="Q569" s="94">
        <f>SUM(Q9:Q568)</f>
        <v>0</v>
      </c>
      <c r="R569" s="120">
        <f>SUM(R9:R568)</f>
        <v>218900</v>
      </c>
      <c r="S569" s="94">
        <f>SUM(S9:S568)</f>
        <v>0</v>
      </c>
      <c r="T569" s="120">
        <f>SUM(T9:T568)</f>
        <v>0</v>
      </c>
      <c r="U569" s="94">
        <f>SUM(U9:U568)</f>
        <v>0</v>
      </c>
      <c r="V569" s="120">
        <f>SUM(V9:V568)</f>
        <v>0</v>
      </c>
      <c r="W569" s="94">
        <f>SUM(W9:W568)</f>
        <v>0</v>
      </c>
      <c r="X569" s="120">
        <f>SUM(X9:X568)</f>
        <v>0</v>
      </c>
      <c r="Y569" s="94">
        <f>SUM(Y9:Y568)</f>
        <v>0</v>
      </c>
      <c r="Z569" s="120">
        <f>SUM(Z9:Z568)</f>
        <v>0</v>
      </c>
      <c r="AA569" s="94">
        <f>SUM(AA9:AA568)</f>
        <v>0</v>
      </c>
      <c r="AB569" s="122">
        <f>SUM(AB9:AB568)</f>
        <v>0</v>
      </c>
      <c r="AC569" s="94">
        <f>SUM(AC9:AC568)</f>
        <v>0</v>
      </c>
      <c r="AD569" s="95">
        <f>SUM(AD9:AD568)</f>
        <v>1053000</v>
      </c>
      <c r="AE569" s="95">
        <f>SUM(AE9:AE568)</f>
        <v>328736</v>
      </c>
      <c r="AF569" s="96">
        <f>SUM(AF9:AF568)</f>
        <v>806764</v>
      </c>
      <c r="AG569" s="213">
        <f>SUM(AG9:AG568)</f>
        <v>-478028</v>
      </c>
      <c r="AH569" s="214"/>
      <c r="AI569" s="214"/>
    </row>
    <row r="570" spans="1:42" customHeight="1" ht="11.5">
      <c r="F570" s="105"/>
      <c r="I570" s="97"/>
      <c r="J570" s="82"/>
      <c r="L570" s="82"/>
      <c r="N570" s="82"/>
      <c r="P570" s="82"/>
      <c r="V570" s="97" t="s">
        <v>124</v>
      </c>
      <c r="X570" s="97" t="s">
        <v>124</v>
      </c>
      <c r="Z570" s="97" t="s">
        <v>124</v>
      </c>
      <c r="AA570" s="123"/>
      <c r="AC570" s="97"/>
      <c r="AG570" s="82"/>
    </row>
    <row r="571" spans="1:42" customHeight="1" ht="11.5">
      <c r="B571" s="124" t="s">
        <v>125</v>
      </c>
      <c r="I571" s="97"/>
      <c r="J571" s="97"/>
      <c r="L571" s="97"/>
      <c r="N571" s="97"/>
      <c r="O571" s="97"/>
      <c r="P571" s="82"/>
      <c r="Q571" s="97"/>
      <c r="R571" s="97"/>
      <c r="V571" s="97" t="s">
        <v>124</v>
      </c>
      <c r="W571" s="97"/>
      <c r="X571" s="97"/>
      <c r="Z571" s="97" t="s">
        <v>124</v>
      </c>
      <c r="AA571" s="123"/>
      <c r="AD571" s="125"/>
      <c r="AE571" s="125"/>
      <c r="AF571" s="125"/>
      <c r="AG571" s="125"/>
    </row>
    <row r="572" spans="1:42" customHeight="1" ht="11.5">
      <c r="B572" s="124" t="s">
        <v>126</v>
      </c>
      <c r="D572" s="126"/>
      <c r="F572" s="105"/>
      <c r="H572" s="97"/>
      <c r="I572" s="97" t="s">
        <v>124</v>
      </c>
      <c r="J572" s="97"/>
      <c r="K572" s="97" t="s">
        <v>124</v>
      </c>
      <c r="L572" s="97"/>
      <c r="M572" s="97"/>
      <c r="N572" s="97"/>
      <c r="P572" s="97"/>
      <c r="Q572" s="97"/>
      <c r="R572" s="97"/>
      <c r="S572" s="97"/>
      <c r="U572" s="97" t="s">
        <v>124</v>
      </c>
      <c r="V572" s="97"/>
      <c r="X572" s="97"/>
      <c r="Z572" s="97"/>
      <c r="AC572" s="97"/>
      <c r="AD572" s="98"/>
      <c r="AG572" s="82"/>
    </row>
    <row r="573" spans="1:42" customHeight="1" ht="11.5">
      <c r="B573" s="82" t="s">
        <v>127</v>
      </c>
      <c r="C573" s="165"/>
      <c r="D573" s="93"/>
      <c r="E573" s="93"/>
      <c r="G573" s="97"/>
      <c r="I573" s="82" t="s">
        <v>124</v>
      </c>
      <c r="J573" s="82"/>
      <c r="K573" s="97"/>
      <c r="L573" s="82"/>
      <c r="M573" s="97" t="s">
        <v>124</v>
      </c>
      <c r="N573" s="82"/>
      <c r="P573" s="105"/>
      <c r="R573" s="105"/>
      <c r="S573" s="97"/>
      <c r="T573" s="97"/>
      <c r="V573" s="97"/>
      <c r="W573" s="97"/>
      <c r="X573" s="97"/>
      <c r="Z573" s="97" t="s">
        <v>124</v>
      </c>
      <c r="AG573" s="82"/>
    </row>
    <row r="574" spans="1:42" customHeight="1" ht="11.5">
      <c r="B574" s="82" t="s">
        <v>128</v>
      </c>
      <c r="C574" s="100"/>
      <c r="D574" s="93"/>
      <c r="E574" s="93"/>
      <c r="G574" s="97"/>
      <c r="I574" s="97"/>
      <c r="J574" s="8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127"/>
      <c r="W574" s="92"/>
      <c r="X574" s="92"/>
      <c r="Y574" s="92"/>
      <c r="Z574" s="92"/>
      <c r="AA574" s="92"/>
      <c r="AC574" s="92"/>
      <c r="AE574" s="128"/>
      <c r="AG574" s="82"/>
    </row>
    <row r="575" spans="1:42" customHeight="1" ht="11.5" s="129" customFormat="1">
      <c r="A575" s="139"/>
      <c r="B575" s="140"/>
      <c r="C575" s="141"/>
      <c r="D575" s="142"/>
      <c r="E575" s="143"/>
      <c r="F575" s="144"/>
      <c r="G575" s="145"/>
      <c r="H575" s="144"/>
      <c r="I575" s="145"/>
      <c r="J575" s="146"/>
      <c r="K575" s="145"/>
      <c r="L575" s="146"/>
      <c r="M575" s="145"/>
      <c r="N575" s="146"/>
      <c r="O575" s="145"/>
      <c r="P575" s="146"/>
      <c r="Q575" s="145"/>
      <c r="R575" s="144"/>
      <c r="S575" s="145"/>
      <c r="T575" s="144"/>
      <c r="U575" s="145"/>
      <c r="V575" s="144"/>
      <c r="W575" s="145"/>
      <c r="X575" s="144"/>
      <c r="Y575" s="145"/>
      <c r="Z575" s="144"/>
      <c r="AA575" s="145"/>
      <c r="AB575" s="147"/>
      <c r="AC575" s="145"/>
      <c r="AD575" s="148"/>
      <c r="AE575" s="148"/>
      <c r="AF575" s="149"/>
      <c r="AG575" s="150"/>
    </row>
    <row r="576" spans="1:42" customHeight="1" ht="11.5" s="129" customFormat="1">
      <c r="A576" s="139"/>
      <c r="B576" s="140"/>
      <c r="C576" s="141"/>
      <c r="D576" s="142"/>
      <c r="E576" s="143"/>
      <c r="F576" s="144"/>
      <c r="G576" s="145"/>
      <c r="H576" s="144"/>
      <c r="I576" s="145"/>
      <c r="J576" s="146"/>
      <c r="K576" s="145"/>
      <c r="L576" s="146"/>
      <c r="M576" s="145"/>
      <c r="N576" s="146"/>
      <c r="O576" s="145"/>
      <c r="P576" s="146"/>
      <c r="Q576" s="145"/>
      <c r="R576" s="144"/>
      <c r="S576" s="145"/>
      <c r="T576" s="144"/>
      <c r="U576" s="145"/>
      <c r="V576" s="144"/>
      <c r="W576" s="145"/>
      <c r="X576" s="144"/>
      <c r="Y576" s="145"/>
      <c r="Z576" s="144"/>
      <c r="AA576" s="145"/>
      <c r="AB576" s="147"/>
      <c r="AC576" s="145"/>
      <c r="AD576" s="148"/>
      <c r="AE576" s="148"/>
      <c r="AF576" s="149"/>
      <c r="AG576" s="150"/>
    </row>
    <row r="577" spans="1:42" customHeight="1" ht="11.5" s="129" customFormat="1">
      <c r="A577" s="139"/>
      <c r="B577" s="140"/>
      <c r="C577" s="141"/>
      <c r="D577" s="142"/>
      <c r="E577" s="143"/>
      <c r="F577" s="144"/>
      <c r="G577" s="145"/>
      <c r="H577" s="144"/>
      <c r="I577" s="145"/>
      <c r="J577" s="146"/>
      <c r="K577" s="145"/>
      <c r="L577" s="146"/>
      <c r="M577" s="145"/>
      <c r="N577" s="146"/>
      <c r="O577" s="145"/>
      <c r="P577" s="146"/>
      <c r="Q577" s="145"/>
      <c r="R577" s="144"/>
      <c r="S577" s="145"/>
      <c r="T577" s="144"/>
      <c r="U577" s="145"/>
      <c r="V577" s="144"/>
      <c r="W577" s="145"/>
      <c r="X577" s="144"/>
      <c r="Y577" s="145"/>
      <c r="Z577" s="144"/>
      <c r="AA577" s="145"/>
      <c r="AB577" s="147"/>
      <c r="AC577" s="145"/>
      <c r="AD577" s="148"/>
      <c r="AE577" s="148"/>
      <c r="AF577" s="149"/>
      <c r="AG577" s="150"/>
    </row>
    <row r="578" spans="1:42" customHeight="1" ht="11.5" s="129" customFormat="1">
      <c r="A578" s="139"/>
      <c r="B578" s="140"/>
      <c r="C578" s="141"/>
      <c r="D578" s="142"/>
      <c r="E578" s="143"/>
      <c r="F578" s="144"/>
      <c r="G578" s="145"/>
      <c r="H578" s="144"/>
      <c r="I578" s="145"/>
      <c r="J578" s="146"/>
      <c r="K578" s="145"/>
      <c r="L578" s="146"/>
      <c r="M578" s="145"/>
      <c r="N578" s="146"/>
      <c r="O578" s="145"/>
      <c r="P578" s="146"/>
      <c r="Q578" s="145"/>
      <c r="R578" s="144"/>
      <c r="S578" s="145"/>
      <c r="T578" s="144"/>
      <c r="U578" s="145"/>
      <c r="V578" s="144"/>
      <c r="W578" s="145"/>
      <c r="X578" s="144"/>
      <c r="Y578" s="145"/>
      <c r="Z578" s="144"/>
      <c r="AA578" s="145"/>
      <c r="AB578" s="147"/>
      <c r="AC578" s="145"/>
      <c r="AD578" s="148"/>
      <c r="AE578" s="148"/>
      <c r="AF578" s="149"/>
      <c r="AG578" s="150"/>
    </row>
    <row r="579" spans="1:42" customHeight="1" ht="11.5" s="129" customFormat="1">
      <c r="A579" s="139"/>
      <c r="B579" s="140"/>
      <c r="C579" s="141"/>
      <c r="D579" s="142"/>
      <c r="E579" s="143"/>
      <c r="F579" s="144"/>
      <c r="G579" s="145"/>
      <c r="H579" s="144"/>
      <c r="I579" s="145"/>
      <c r="J579" s="146"/>
      <c r="K579" s="145"/>
      <c r="L579" s="146"/>
      <c r="M579" s="145"/>
      <c r="N579" s="146"/>
      <c r="O579" s="145"/>
      <c r="P579" s="146"/>
      <c r="Q579" s="145"/>
      <c r="R579" s="144"/>
      <c r="S579" s="145"/>
      <c r="T579" s="144"/>
      <c r="U579" s="145"/>
      <c r="V579" s="144"/>
      <c r="W579" s="145"/>
      <c r="X579" s="144"/>
      <c r="Y579" s="145"/>
      <c r="Z579" s="144"/>
      <c r="AA579" s="145"/>
      <c r="AB579" s="147"/>
      <c r="AC579" s="145"/>
      <c r="AD579" s="148"/>
      <c r="AE579" s="148"/>
      <c r="AF579" s="149"/>
      <c r="AG579" s="150"/>
    </row>
    <row r="580" spans="1:42" customHeight="1" ht="11.5" s="129" customFormat="1">
      <c r="A580" s="139"/>
      <c r="B580" s="140"/>
      <c r="C580" s="141"/>
      <c r="D580" s="142"/>
      <c r="E580" s="143"/>
      <c r="F580" s="144"/>
      <c r="G580" s="145"/>
      <c r="H580" s="144"/>
      <c r="I580" s="145"/>
      <c r="J580" s="146"/>
      <c r="K580" s="145"/>
      <c r="L580" s="146"/>
      <c r="M580" s="145"/>
      <c r="N580" s="146"/>
      <c r="O580" s="145"/>
      <c r="P580" s="146"/>
      <c r="Q580" s="145"/>
      <c r="R580" s="144"/>
      <c r="S580" s="145"/>
      <c r="T580" s="144"/>
      <c r="U580" s="145"/>
      <c r="V580" s="144"/>
      <c r="W580" s="145"/>
      <c r="X580" s="144"/>
      <c r="Y580" s="145"/>
      <c r="Z580" s="144"/>
      <c r="AA580" s="145"/>
      <c r="AB580" s="147"/>
      <c r="AC580" s="145"/>
      <c r="AD580" s="148"/>
      <c r="AE580" s="148"/>
      <c r="AF580" s="149"/>
      <c r="AG580" s="150"/>
    </row>
    <row r="581" spans="1:42" customHeight="1" ht="11.5" s="129" customFormat="1">
      <c r="A581" s="139"/>
      <c r="B581" s="140"/>
      <c r="C581" s="141"/>
      <c r="D581" s="142"/>
      <c r="E581" s="143"/>
      <c r="F581" s="144"/>
      <c r="G581" s="145"/>
      <c r="H581" s="144"/>
      <c r="I581" s="145"/>
      <c r="J581" s="146"/>
      <c r="K581" s="145"/>
      <c r="L581" s="146"/>
      <c r="M581" s="145"/>
      <c r="N581" s="146"/>
      <c r="O581" s="145"/>
      <c r="P581" s="146"/>
      <c r="Q581" s="145"/>
      <c r="R581" s="144"/>
      <c r="S581" s="145"/>
      <c r="T581" s="144"/>
      <c r="U581" s="145"/>
      <c r="V581" s="144"/>
      <c r="W581" s="145"/>
      <c r="X581" s="144"/>
      <c r="Y581" s="145"/>
      <c r="Z581" s="144"/>
      <c r="AA581" s="145"/>
      <c r="AB581" s="147"/>
      <c r="AC581" s="145"/>
      <c r="AD581" s="148"/>
      <c r="AE581" s="148"/>
      <c r="AF581" s="149"/>
      <c r="AG581" s="150"/>
    </row>
    <row r="582" spans="1:42" customHeight="1" ht="11.5" s="129" customFormat="1">
      <c r="A582" s="139"/>
      <c r="B582" s="140"/>
      <c r="C582" s="141"/>
      <c r="D582" s="142"/>
      <c r="E582" s="143"/>
      <c r="F582" s="144"/>
      <c r="G582" s="145"/>
      <c r="H582" s="144"/>
      <c r="I582" s="145"/>
      <c r="J582" s="146"/>
      <c r="K582" s="145"/>
      <c r="L582" s="146"/>
      <c r="M582" s="145"/>
      <c r="N582" s="146"/>
      <c r="O582" s="145"/>
      <c r="P582" s="146"/>
      <c r="Q582" s="145"/>
      <c r="R582" s="144"/>
      <c r="S582" s="145"/>
      <c r="T582" s="144"/>
      <c r="U582" s="145"/>
      <c r="V582" s="144"/>
      <c r="W582" s="145"/>
      <c r="X582" s="144"/>
      <c r="Y582" s="145"/>
      <c r="Z582" s="144"/>
      <c r="AA582" s="145"/>
      <c r="AB582" s="147"/>
      <c r="AC582" s="145"/>
      <c r="AD582" s="148"/>
      <c r="AE582" s="148"/>
      <c r="AF582" s="149"/>
      <c r="AG582" s="150"/>
    </row>
    <row r="583" spans="1:42" customHeight="1" ht="11.5" s="129" customFormat="1">
      <c r="A583" s="139"/>
      <c r="B583" s="140"/>
      <c r="C583" s="141"/>
      <c r="D583" s="142"/>
      <c r="E583" s="143"/>
      <c r="F583" s="144"/>
      <c r="G583" s="145"/>
      <c r="H583" s="144"/>
      <c r="I583" s="145"/>
      <c r="J583" s="146"/>
      <c r="K583" s="145"/>
      <c r="L583" s="146"/>
      <c r="M583" s="145"/>
      <c r="N583" s="146"/>
      <c r="O583" s="145"/>
      <c r="P583" s="146"/>
      <c r="Q583" s="145"/>
      <c r="R583" s="144"/>
      <c r="S583" s="145"/>
      <c r="T583" s="144"/>
      <c r="U583" s="145"/>
      <c r="V583" s="144"/>
      <c r="W583" s="145"/>
      <c r="X583" s="144"/>
      <c r="Y583" s="145"/>
      <c r="Z583" s="144"/>
      <c r="AA583" s="145"/>
      <c r="AB583" s="147"/>
      <c r="AC583" s="145"/>
      <c r="AD583" s="148"/>
      <c r="AE583" s="148"/>
      <c r="AF583" s="149"/>
      <c r="AG583" s="150"/>
    </row>
    <row r="584" spans="1:42" customHeight="1" ht="11.5" s="129" customFormat="1">
      <c r="A584" s="139"/>
      <c r="B584" s="140"/>
      <c r="C584" s="141"/>
      <c r="D584" s="142"/>
      <c r="E584" s="143"/>
      <c r="F584" s="144"/>
      <c r="G584" s="145"/>
      <c r="H584" s="144"/>
      <c r="I584" s="145"/>
      <c r="J584" s="146"/>
      <c r="K584" s="145"/>
      <c r="L584" s="146"/>
      <c r="M584" s="145"/>
      <c r="N584" s="146"/>
      <c r="O584" s="145"/>
      <c r="P584" s="146"/>
      <c r="Q584" s="145"/>
      <c r="R584" s="144"/>
      <c r="S584" s="145"/>
      <c r="T584" s="144"/>
      <c r="U584" s="145"/>
      <c r="V584" s="144"/>
      <c r="W584" s="145"/>
      <c r="X584" s="144"/>
      <c r="Y584" s="145"/>
      <c r="Z584" s="144"/>
      <c r="AA584" s="145"/>
      <c r="AB584" s="147"/>
      <c r="AC584" s="145"/>
      <c r="AD584" s="148"/>
      <c r="AE584" s="148"/>
      <c r="AF584" s="149"/>
      <c r="AG584" s="150"/>
    </row>
    <row r="585" spans="1:42" customHeight="1" ht="11.5" s="129" customFormat="1">
      <c r="A585" s="139"/>
      <c r="B585" s="140"/>
      <c r="C585" s="141"/>
      <c r="D585" s="142"/>
      <c r="E585" s="143"/>
      <c r="F585" s="144"/>
      <c r="G585" s="145"/>
      <c r="H585" s="144"/>
      <c r="I585" s="145"/>
      <c r="J585" s="146"/>
      <c r="K585" s="145"/>
      <c r="L585" s="146"/>
      <c r="M585" s="145"/>
      <c r="N585" s="146"/>
      <c r="O585" s="145"/>
      <c r="P585" s="146"/>
      <c r="Q585" s="145"/>
      <c r="R585" s="144"/>
      <c r="S585" s="145"/>
      <c r="T585" s="144"/>
      <c r="U585" s="145"/>
      <c r="V585" s="144"/>
      <c r="W585" s="145"/>
      <c r="X585" s="144"/>
      <c r="Y585" s="145"/>
      <c r="Z585" s="144"/>
      <c r="AA585" s="145"/>
      <c r="AB585" s="147"/>
      <c r="AC585" s="145"/>
      <c r="AD585" s="148"/>
      <c r="AE585" s="148"/>
      <c r="AF585" s="149"/>
      <c r="AG585" s="150"/>
    </row>
    <row r="586" spans="1:42" customHeight="1" ht="11.5" s="129" customFormat="1">
      <c r="A586" s="139"/>
      <c r="B586" s="140"/>
      <c r="C586" s="141"/>
      <c r="D586" s="142"/>
      <c r="E586" s="143"/>
      <c r="F586" s="144"/>
      <c r="G586" s="145"/>
      <c r="H586" s="144"/>
      <c r="I586" s="145"/>
      <c r="J586" s="146"/>
      <c r="K586" s="145"/>
      <c r="L586" s="146"/>
      <c r="M586" s="145"/>
      <c r="N586" s="146"/>
      <c r="O586" s="145"/>
      <c r="P586" s="146"/>
      <c r="Q586" s="145"/>
      <c r="R586" s="144"/>
      <c r="S586" s="145"/>
      <c r="T586" s="144"/>
      <c r="U586" s="145"/>
      <c r="V586" s="144"/>
      <c r="W586" s="145"/>
      <c r="X586" s="144"/>
      <c r="Y586" s="145"/>
      <c r="Z586" s="144"/>
      <c r="AA586" s="145"/>
      <c r="AB586" s="147"/>
      <c r="AC586" s="145"/>
      <c r="AD586" s="148"/>
      <c r="AE586" s="148"/>
      <c r="AF586" s="149"/>
      <c r="AG586" s="150"/>
    </row>
    <row r="587" spans="1:42" customHeight="1" ht="11.5" s="129" customFormat="1">
      <c r="A587" s="139"/>
      <c r="B587" s="140"/>
      <c r="C587" s="141"/>
      <c r="D587" s="142"/>
      <c r="E587" s="143"/>
      <c r="F587" s="144"/>
      <c r="G587" s="145"/>
      <c r="H587" s="144"/>
      <c r="I587" s="145"/>
      <c r="J587" s="146"/>
      <c r="K587" s="145"/>
      <c r="L587" s="146"/>
      <c r="M587" s="145"/>
      <c r="N587" s="146"/>
      <c r="O587" s="145"/>
      <c r="P587" s="146"/>
      <c r="Q587" s="145"/>
      <c r="R587" s="144"/>
      <c r="S587" s="145"/>
      <c r="T587" s="144"/>
      <c r="U587" s="145"/>
      <c r="V587" s="144"/>
      <c r="W587" s="145"/>
      <c r="X587" s="144"/>
      <c r="Y587" s="145"/>
      <c r="Z587" s="144"/>
      <c r="AA587" s="145"/>
      <c r="AB587" s="147"/>
      <c r="AC587" s="145"/>
      <c r="AD587" s="148"/>
      <c r="AE587" s="148"/>
      <c r="AF587" s="149"/>
      <c r="AG587" s="150"/>
    </row>
    <row r="588" spans="1:42" customHeight="1" ht="11.5" s="129" customFormat="1">
      <c r="A588" s="139"/>
      <c r="B588" s="140"/>
      <c r="C588" s="141"/>
      <c r="D588" s="142"/>
      <c r="E588" s="143"/>
      <c r="F588" s="144"/>
      <c r="G588" s="145"/>
      <c r="H588" s="144"/>
      <c r="I588" s="145"/>
      <c r="J588" s="146"/>
      <c r="K588" s="145"/>
      <c r="L588" s="146"/>
      <c r="M588" s="145"/>
      <c r="N588" s="146"/>
      <c r="O588" s="145"/>
      <c r="P588" s="146"/>
      <c r="Q588" s="145"/>
      <c r="R588" s="144"/>
      <c r="S588" s="145"/>
      <c r="T588" s="144"/>
      <c r="U588" s="145"/>
      <c r="V588" s="144"/>
      <c r="W588" s="145"/>
      <c r="X588" s="144"/>
      <c r="Y588" s="145"/>
      <c r="Z588" s="144"/>
      <c r="AA588" s="145"/>
      <c r="AB588" s="147"/>
      <c r="AC588" s="145"/>
      <c r="AD588" s="148"/>
      <c r="AE588" s="148"/>
      <c r="AF588" s="149"/>
      <c r="AG588" s="150"/>
    </row>
    <row r="589" spans="1:42" customHeight="1" ht="11.5" s="129" customFormat="1">
      <c r="A589" s="139"/>
      <c r="B589" s="140"/>
      <c r="C589" s="141"/>
      <c r="D589" s="142"/>
      <c r="E589" s="143"/>
      <c r="F589" s="144"/>
      <c r="G589" s="145"/>
      <c r="H589" s="144"/>
      <c r="I589" s="145"/>
      <c r="J589" s="146"/>
      <c r="K589" s="145"/>
      <c r="L589" s="146"/>
      <c r="M589" s="145"/>
      <c r="N589" s="146"/>
      <c r="O589" s="145"/>
      <c r="P589" s="146"/>
      <c r="Q589" s="145"/>
      <c r="R589" s="144"/>
      <c r="S589" s="145"/>
      <c r="T589" s="144"/>
      <c r="U589" s="145"/>
      <c r="V589" s="144"/>
      <c r="W589" s="145"/>
      <c r="X589" s="144"/>
      <c r="Y589" s="145"/>
      <c r="Z589" s="144"/>
      <c r="AA589" s="145"/>
      <c r="AB589" s="147"/>
      <c r="AC589" s="145"/>
      <c r="AD589" s="148"/>
      <c r="AE589" s="148"/>
      <c r="AF589" s="149"/>
      <c r="AG589" s="150"/>
    </row>
    <row r="590" spans="1:42" customHeight="1" ht="11.5" s="129" customFormat="1">
      <c r="A590" s="139"/>
      <c r="B590" s="140"/>
      <c r="C590" s="141"/>
      <c r="D590" s="142"/>
      <c r="E590" s="143"/>
      <c r="F590" s="144"/>
      <c r="G590" s="145"/>
      <c r="H590" s="144"/>
      <c r="I590" s="145"/>
      <c r="J590" s="146"/>
      <c r="K590" s="145"/>
      <c r="L590" s="146"/>
      <c r="M590" s="145"/>
      <c r="N590" s="146"/>
      <c r="O590" s="145"/>
      <c r="P590" s="146"/>
      <c r="Q590" s="145"/>
      <c r="R590" s="144"/>
      <c r="S590" s="145"/>
      <c r="T590" s="144"/>
      <c r="U590" s="145"/>
      <c r="V590" s="144"/>
      <c r="W590" s="145"/>
      <c r="X590" s="144"/>
      <c r="Y590" s="145"/>
      <c r="Z590" s="144"/>
      <c r="AA590" s="145"/>
      <c r="AB590" s="147"/>
      <c r="AC590" s="145"/>
      <c r="AD590" s="148"/>
      <c r="AE590" s="148"/>
      <c r="AF590" s="149"/>
      <c r="AG590" s="150"/>
    </row>
    <row r="591" spans="1:42" customHeight="1" ht="11.5" s="129" customFormat="1">
      <c r="A591" s="139"/>
      <c r="B591" s="140"/>
      <c r="C591" s="141"/>
      <c r="D591" s="142"/>
      <c r="E591" s="143"/>
      <c r="F591" s="144"/>
      <c r="G591" s="145"/>
      <c r="H591" s="144"/>
      <c r="I591" s="145"/>
      <c r="J591" s="146"/>
      <c r="K591" s="145"/>
      <c r="L591" s="146"/>
      <c r="M591" s="145"/>
      <c r="N591" s="146"/>
      <c r="O591" s="145"/>
      <c r="P591" s="146"/>
      <c r="Q591" s="145"/>
      <c r="R591" s="144"/>
      <c r="S591" s="145"/>
      <c r="T591" s="144"/>
      <c r="U591" s="145"/>
      <c r="V591" s="144"/>
      <c r="W591" s="145"/>
      <c r="X591" s="144"/>
      <c r="Y591" s="145"/>
      <c r="Z591" s="144"/>
      <c r="AA591" s="145"/>
      <c r="AB591" s="147"/>
      <c r="AC591" s="145"/>
      <c r="AD591" s="148"/>
      <c r="AE591" s="148"/>
      <c r="AF591" s="149"/>
      <c r="AG591" s="150"/>
    </row>
    <row r="592" spans="1:42" customHeight="1" ht="11.5" s="129" customFormat="1">
      <c r="A592" s="139"/>
      <c r="B592" s="140"/>
      <c r="C592" s="141"/>
      <c r="D592" s="142"/>
      <c r="E592" s="143"/>
      <c r="F592" s="144"/>
      <c r="G592" s="145"/>
      <c r="H592" s="144"/>
      <c r="I592" s="145"/>
      <c r="J592" s="146"/>
      <c r="K592" s="145"/>
      <c r="L592" s="146"/>
      <c r="M592" s="145"/>
      <c r="N592" s="146"/>
      <c r="O592" s="145"/>
      <c r="P592" s="146"/>
      <c r="Q592" s="145"/>
      <c r="R592" s="144"/>
      <c r="S592" s="145"/>
      <c r="T592" s="144"/>
      <c r="U592" s="145"/>
      <c r="V592" s="144"/>
      <c r="W592" s="145"/>
      <c r="X592" s="144"/>
      <c r="Y592" s="145"/>
      <c r="Z592" s="144"/>
      <c r="AA592" s="145"/>
      <c r="AB592" s="147"/>
      <c r="AC592" s="145"/>
      <c r="AD592" s="148"/>
      <c r="AE592" s="148"/>
      <c r="AF592" s="149"/>
      <c r="AG592" s="150"/>
    </row>
    <row r="593" spans="1:42" customHeight="1" ht="11.5" s="129" customFormat="1">
      <c r="A593" s="139"/>
      <c r="B593" s="140"/>
      <c r="C593" s="141"/>
      <c r="D593" s="142"/>
      <c r="E593" s="143"/>
      <c r="F593" s="144"/>
      <c r="G593" s="145"/>
      <c r="H593" s="144"/>
      <c r="I593" s="145"/>
      <c r="J593" s="146"/>
      <c r="K593" s="145"/>
      <c r="L593" s="146"/>
      <c r="M593" s="145"/>
      <c r="N593" s="146"/>
      <c r="O593" s="145"/>
      <c r="P593" s="146"/>
      <c r="Q593" s="145"/>
      <c r="R593" s="144"/>
      <c r="S593" s="145"/>
      <c r="T593" s="144"/>
      <c r="U593" s="145"/>
      <c r="V593" s="144"/>
      <c r="W593" s="145"/>
      <c r="X593" s="144"/>
      <c r="Y593" s="145"/>
      <c r="Z593" s="144"/>
      <c r="AA593" s="145"/>
      <c r="AB593" s="147"/>
      <c r="AC593" s="145"/>
      <c r="AD593" s="148"/>
      <c r="AE593" s="148"/>
      <c r="AF593" s="149"/>
      <c r="AG593" s="150"/>
    </row>
    <row r="594" spans="1:42" customHeight="1" ht="11.5" s="129" customFormat="1">
      <c r="A594" s="139"/>
      <c r="B594" s="140"/>
      <c r="C594" s="141"/>
      <c r="D594" s="142"/>
      <c r="E594" s="143"/>
      <c r="F594" s="144"/>
      <c r="G594" s="145"/>
      <c r="H594" s="144"/>
      <c r="I594" s="145"/>
      <c r="J594" s="146"/>
      <c r="K594" s="145"/>
      <c r="L594" s="146"/>
      <c r="M594" s="145"/>
      <c r="N594" s="146"/>
      <c r="O594" s="145"/>
      <c r="P594" s="146"/>
      <c r="Q594" s="145"/>
      <c r="R594" s="144"/>
      <c r="S594" s="145"/>
      <c r="T594" s="144"/>
      <c r="U594" s="145"/>
      <c r="V594" s="144"/>
      <c r="W594" s="145"/>
      <c r="X594" s="144"/>
      <c r="Y594" s="145"/>
      <c r="Z594" s="144"/>
      <c r="AA594" s="145"/>
      <c r="AB594" s="147"/>
      <c r="AC594" s="145"/>
      <c r="AD594" s="148"/>
      <c r="AE594" s="148"/>
      <c r="AF594" s="149"/>
      <c r="AG594" s="150"/>
    </row>
    <row r="595" spans="1:42" customHeight="1" ht="11.5" s="129" customFormat="1">
      <c r="A595" s="139"/>
      <c r="B595" s="140"/>
      <c r="C595" s="141"/>
      <c r="D595" s="142"/>
      <c r="E595" s="143"/>
      <c r="F595" s="144"/>
      <c r="G595" s="145"/>
      <c r="H595" s="144"/>
      <c r="I595" s="145"/>
      <c r="J595" s="146"/>
      <c r="K595" s="145"/>
      <c r="L595" s="146"/>
      <c r="M595" s="145"/>
      <c r="N595" s="146"/>
      <c r="O595" s="145"/>
      <c r="P595" s="146"/>
      <c r="Q595" s="145"/>
      <c r="R595" s="144"/>
      <c r="S595" s="145"/>
      <c r="T595" s="144"/>
      <c r="U595" s="145"/>
      <c r="V595" s="144"/>
      <c r="W595" s="145"/>
      <c r="X595" s="144"/>
      <c r="Y595" s="145"/>
      <c r="Z595" s="144"/>
      <c r="AA595" s="145"/>
      <c r="AB595" s="147"/>
      <c r="AC595" s="145"/>
      <c r="AD595" s="148"/>
      <c r="AE595" s="148"/>
      <c r="AF595" s="149"/>
      <c r="AG595" s="150"/>
    </row>
    <row r="596" spans="1:42" customHeight="1" ht="11.5" s="129" customFormat="1">
      <c r="A596" s="139"/>
      <c r="B596" s="140"/>
      <c r="C596" s="141"/>
      <c r="D596" s="142"/>
      <c r="E596" s="143"/>
      <c r="F596" s="144"/>
      <c r="G596" s="145"/>
      <c r="H596" s="144"/>
      <c r="I596" s="145"/>
      <c r="J596" s="146"/>
      <c r="K596" s="145"/>
      <c r="L596" s="146"/>
      <c r="M596" s="145"/>
      <c r="N596" s="146"/>
      <c r="O596" s="145"/>
      <c r="P596" s="146"/>
      <c r="Q596" s="145"/>
      <c r="R596" s="144"/>
      <c r="S596" s="145"/>
      <c r="T596" s="144"/>
      <c r="U596" s="145"/>
      <c r="V596" s="144"/>
      <c r="W596" s="145"/>
      <c r="X596" s="144"/>
      <c r="Y596" s="145"/>
      <c r="Z596" s="144"/>
      <c r="AA596" s="145"/>
      <c r="AB596" s="147"/>
      <c r="AC596" s="145"/>
      <c r="AD596" s="148"/>
      <c r="AE596" s="148"/>
      <c r="AF596" s="149"/>
      <c r="AG596" s="150"/>
    </row>
    <row r="597" spans="1:42" customHeight="1" ht="11.5" s="129" customFormat="1">
      <c r="A597" s="139"/>
      <c r="B597" s="140"/>
      <c r="C597" s="141"/>
      <c r="D597" s="142"/>
      <c r="E597" s="143"/>
      <c r="F597" s="144"/>
      <c r="G597" s="145"/>
      <c r="H597" s="144"/>
      <c r="I597" s="145"/>
      <c r="J597" s="146"/>
      <c r="K597" s="145"/>
      <c r="L597" s="146"/>
      <c r="M597" s="145"/>
      <c r="N597" s="146"/>
      <c r="O597" s="145"/>
      <c r="P597" s="146"/>
      <c r="Q597" s="145"/>
      <c r="R597" s="144"/>
      <c r="S597" s="145"/>
      <c r="T597" s="144"/>
      <c r="U597" s="145"/>
      <c r="V597" s="144"/>
      <c r="W597" s="145"/>
      <c r="X597" s="144"/>
      <c r="Y597" s="145"/>
      <c r="Z597" s="144"/>
      <c r="AA597" s="145"/>
      <c r="AB597" s="147"/>
      <c r="AC597" s="145"/>
      <c r="AD597" s="148"/>
      <c r="AE597" s="148"/>
      <c r="AF597" s="149"/>
      <c r="AG597" s="150"/>
    </row>
    <row r="598" spans="1:42" customHeight="1" ht="11.5" s="129" customFormat="1">
      <c r="A598" s="139"/>
      <c r="B598" s="140"/>
      <c r="C598" s="141"/>
      <c r="D598" s="142"/>
      <c r="E598" s="143"/>
      <c r="F598" s="144"/>
      <c r="G598" s="145"/>
      <c r="H598" s="144"/>
      <c r="I598" s="145"/>
      <c r="J598" s="146"/>
      <c r="K598" s="145"/>
      <c r="L598" s="146"/>
      <c r="M598" s="145"/>
      <c r="N598" s="146"/>
      <c r="O598" s="145"/>
      <c r="P598" s="146"/>
      <c r="Q598" s="145"/>
      <c r="R598" s="144"/>
      <c r="S598" s="145"/>
      <c r="T598" s="144"/>
      <c r="U598" s="145"/>
      <c r="V598" s="144"/>
      <c r="W598" s="145"/>
      <c r="X598" s="144"/>
      <c r="Y598" s="145"/>
      <c r="Z598" s="144"/>
      <c r="AA598" s="145"/>
      <c r="AB598" s="147"/>
      <c r="AC598" s="145"/>
      <c r="AD598" s="148"/>
      <c r="AE598" s="148"/>
      <c r="AF598" s="149"/>
      <c r="AG598" s="150"/>
    </row>
    <row r="599" spans="1:42" customHeight="1" ht="11.5" s="129" customFormat="1">
      <c r="A599" s="139"/>
      <c r="B599" s="140"/>
      <c r="C599" s="141"/>
      <c r="D599" s="142"/>
      <c r="E599" s="143"/>
      <c r="F599" s="144"/>
      <c r="G599" s="145"/>
      <c r="H599" s="144"/>
      <c r="I599" s="145"/>
      <c r="J599" s="146"/>
      <c r="K599" s="145"/>
      <c r="L599" s="146"/>
      <c r="M599" s="145"/>
      <c r="N599" s="146"/>
      <c r="O599" s="145"/>
      <c r="P599" s="146"/>
      <c r="Q599" s="145"/>
      <c r="R599" s="144"/>
      <c r="S599" s="145"/>
      <c r="T599" s="144"/>
      <c r="U599" s="145"/>
      <c r="V599" s="144"/>
      <c r="W599" s="145"/>
      <c r="X599" s="144"/>
      <c r="Y599" s="145"/>
      <c r="Z599" s="144"/>
      <c r="AA599" s="145"/>
      <c r="AB599" s="147"/>
      <c r="AC599" s="145"/>
      <c r="AD599" s="148"/>
      <c r="AE599" s="148"/>
      <c r="AF599" s="149"/>
      <c r="AG599" s="150"/>
    </row>
    <row r="600" spans="1:42" customHeight="1" ht="11.5" s="129" customFormat="1">
      <c r="A600" s="139"/>
      <c r="B600" s="140"/>
      <c r="C600" s="141"/>
      <c r="D600" s="142"/>
      <c r="E600" s="143"/>
      <c r="F600" s="144"/>
      <c r="G600" s="145"/>
      <c r="H600" s="144"/>
      <c r="I600" s="145"/>
      <c r="J600" s="146"/>
      <c r="K600" s="145"/>
      <c r="L600" s="146"/>
      <c r="M600" s="145"/>
      <c r="N600" s="146"/>
      <c r="O600" s="145"/>
      <c r="P600" s="146"/>
      <c r="Q600" s="145"/>
      <c r="R600" s="144"/>
      <c r="S600" s="145"/>
      <c r="T600" s="144"/>
      <c r="U600" s="145"/>
      <c r="V600" s="144"/>
      <c r="W600" s="145"/>
      <c r="X600" s="144"/>
      <c r="Y600" s="145"/>
      <c r="Z600" s="144"/>
      <c r="AA600" s="145"/>
      <c r="AB600" s="147"/>
      <c r="AC600" s="145"/>
      <c r="AD600" s="148"/>
      <c r="AE600" s="148"/>
      <c r="AF600" s="149"/>
      <c r="AG600" s="150"/>
    </row>
    <row r="601" spans="1:42" customHeight="1" ht="11.5" s="129" customFormat="1">
      <c r="A601" s="139"/>
      <c r="B601" s="140"/>
      <c r="C601" s="141"/>
      <c r="D601" s="142"/>
      <c r="E601" s="143"/>
      <c r="F601" s="144"/>
      <c r="G601" s="145"/>
      <c r="H601" s="144"/>
      <c r="I601" s="145"/>
      <c r="J601" s="146"/>
      <c r="K601" s="145"/>
      <c r="L601" s="146"/>
      <c r="M601" s="145"/>
      <c r="N601" s="146"/>
      <c r="O601" s="145"/>
      <c r="P601" s="146"/>
      <c r="Q601" s="145"/>
      <c r="R601" s="144"/>
      <c r="S601" s="145"/>
      <c r="T601" s="144"/>
      <c r="U601" s="145"/>
      <c r="V601" s="144"/>
      <c r="W601" s="145"/>
      <c r="X601" s="144"/>
      <c r="Y601" s="145"/>
      <c r="Z601" s="144"/>
      <c r="AA601" s="145"/>
      <c r="AB601" s="147"/>
      <c r="AC601" s="145"/>
      <c r="AD601" s="148"/>
      <c r="AE601" s="148"/>
      <c r="AF601" s="149"/>
      <c r="AG601" s="150"/>
    </row>
    <row r="602" spans="1:42" customHeight="1" ht="11.5" s="129" customFormat="1">
      <c r="A602" s="139"/>
      <c r="B602" s="140"/>
      <c r="C602" s="141"/>
      <c r="D602" s="142"/>
      <c r="E602" s="143"/>
      <c r="F602" s="144"/>
      <c r="G602" s="145"/>
      <c r="H602" s="144"/>
      <c r="I602" s="145"/>
      <c r="J602" s="146"/>
      <c r="K602" s="145"/>
      <c r="L602" s="146"/>
      <c r="M602" s="145"/>
      <c r="N602" s="146"/>
      <c r="O602" s="145"/>
      <c r="P602" s="146"/>
      <c r="Q602" s="145"/>
      <c r="R602" s="144"/>
      <c r="S602" s="145"/>
      <c r="T602" s="144"/>
      <c r="U602" s="145"/>
      <c r="V602" s="144"/>
      <c r="W602" s="145"/>
      <c r="X602" s="144"/>
      <c r="Y602" s="145"/>
      <c r="Z602" s="144"/>
      <c r="AA602" s="145"/>
      <c r="AB602" s="147"/>
      <c r="AC602" s="145"/>
      <c r="AD602" s="148"/>
      <c r="AE602" s="148"/>
      <c r="AF602" s="149"/>
      <c r="AG602" s="150"/>
    </row>
    <row r="603" spans="1:42" customHeight="1" ht="11.5" s="129" customFormat="1">
      <c r="A603" s="139"/>
      <c r="B603" s="140"/>
      <c r="C603" s="141"/>
      <c r="D603" s="142"/>
      <c r="E603" s="143"/>
      <c r="F603" s="144"/>
      <c r="G603" s="145"/>
      <c r="H603" s="144"/>
      <c r="I603" s="145"/>
      <c r="J603" s="146"/>
      <c r="K603" s="145"/>
      <c r="L603" s="146"/>
      <c r="M603" s="145"/>
      <c r="N603" s="146"/>
      <c r="O603" s="145"/>
      <c r="P603" s="146"/>
      <c r="Q603" s="145"/>
      <c r="R603" s="144"/>
      <c r="S603" s="145"/>
      <c r="T603" s="144"/>
      <c r="U603" s="145"/>
      <c r="V603" s="144"/>
      <c r="W603" s="145"/>
      <c r="X603" s="144"/>
      <c r="Y603" s="145"/>
      <c r="Z603" s="144"/>
      <c r="AA603" s="145"/>
      <c r="AB603" s="147"/>
      <c r="AC603" s="145"/>
      <c r="AD603" s="148"/>
      <c r="AE603" s="148"/>
      <c r="AF603" s="149"/>
      <c r="AG603" s="150"/>
    </row>
    <row r="604" spans="1:42" customHeight="1" ht="11.5" s="129" customFormat="1">
      <c r="A604" s="139"/>
      <c r="B604" s="140"/>
      <c r="C604" s="141"/>
      <c r="D604" s="142"/>
      <c r="E604" s="143"/>
      <c r="F604" s="144"/>
      <c r="G604" s="145"/>
      <c r="H604" s="144"/>
      <c r="I604" s="145"/>
      <c r="J604" s="146"/>
      <c r="K604" s="145"/>
      <c r="L604" s="146"/>
      <c r="M604" s="145"/>
      <c r="N604" s="146"/>
      <c r="O604" s="145"/>
      <c r="P604" s="146"/>
      <c r="Q604" s="145"/>
      <c r="R604" s="144"/>
      <c r="S604" s="145"/>
      <c r="T604" s="144"/>
      <c r="U604" s="145"/>
      <c r="V604" s="144"/>
      <c r="W604" s="145"/>
      <c r="X604" s="144"/>
      <c r="Y604" s="145"/>
      <c r="Z604" s="144"/>
      <c r="AA604" s="145"/>
      <c r="AB604" s="147"/>
      <c r="AC604" s="145"/>
      <c r="AD604" s="148"/>
      <c r="AE604" s="148"/>
      <c r="AF604" s="149"/>
      <c r="AG604" s="150"/>
    </row>
    <row r="605" spans="1:42" customHeight="1" ht="11.5" s="129" customFormat="1">
      <c r="A605" s="139"/>
      <c r="B605" s="151"/>
      <c r="C605" s="141"/>
      <c r="D605" s="142"/>
      <c r="E605" s="143"/>
      <c r="F605" s="144"/>
      <c r="G605" s="145"/>
      <c r="H605" s="144"/>
      <c r="I605" s="145"/>
      <c r="J605" s="146"/>
      <c r="K605" s="145"/>
      <c r="L605" s="146"/>
      <c r="M605" s="145"/>
      <c r="N605" s="146"/>
      <c r="O605" s="145"/>
      <c r="P605" s="146"/>
      <c r="Q605" s="145"/>
      <c r="R605" s="144"/>
      <c r="S605" s="145"/>
      <c r="T605" s="144"/>
      <c r="U605" s="145"/>
      <c r="V605" s="144"/>
      <c r="W605" s="145"/>
      <c r="X605" s="144"/>
      <c r="Y605" s="145"/>
      <c r="Z605" s="144"/>
      <c r="AA605" s="145"/>
      <c r="AB605" s="147"/>
      <c r="AC605" s="145"/>
      <c r="AD605" s="148"/>
      <c r="AE605" s="148"/>
      <c r="AF605" s="149"/>
      <c r="AG605" s="150"/>
    </row>
    <row r="606" spans="1:42" customHeight="1" ht="11.5" s="129" customFormat="1">
      <c r="A606" s="139"/>
      <c r="B606" s="140"/>
      <c r="C606" s="141"/>
      <c r="D606" s="142"/>
      <c r="E606" s="143"/>
      <c r="F606" s="144"/>
      <c r="G606" s="145"/>
      <c r="H606" s="144"/>
      <c r="I606" s="145"/>
      <c r="J606" s="146"/>
      <c r="K606" s="145"/>
      <c r="L606" s="146"/>
      <c r="M606" s="145"/>
      <c r="N606" s="146"/>
      <c r="O606" s="145"/>
      <c r="P606" s="146"/>
      <c r="Q606" s="145"/>
      <c r="R606" s="144"/>
      <c r="S606" s="145"/>
      <c r="T606" s="144"/>
      <c r="U606" s="145"/>
      <c r="V606" s="144"/>
      <c r="W606" s="145"/>
      <c r="X606" s="144"/>
      <c r="Y606" s="145"/>
      <c r="Z606" s="144"/>
      <c r="AA606" s="145"/>
      <c r="AB606" s="147"/>
      <c r="AC606" s="145"/>
      <c r="AD606" s="148"/>
      <c r="AE606" s="148"/>
      <c r="AF606" s="149"/>
      <c r="AG606" s="150"/>
    </row>
    <row r="607" spans="1:42" customHeight="1" ht="11.5" s="129" customFormat="1">
      <c r="A607" s="139"/>
      <c r="B607" s="140"/>
      <c r="C607" s="141"/>
      <c r="D607" s="142"/>
      <c r="E607" s="143"/>
      <c r="F607" s="144"/>
      <c r="G607" s="145"/>
      <c r="H607" s="144"/>
      <c r="I607" s="145"/>
      <c r="J607" s="146"/>
      <c r="K607" s="145"/>
      <c r="L607" s="146"/>
      <c r="M607" s="145"/>
      <c r="N607" s="146"/>
      <c r="O607" s="145"/>
      <c r="P607" s="146"/>
      <c r="Q607" s="145"/>
      <c r="R607" s="144"/>
      <c r="S607" s="145"/>
      <c r="T607" s="144"/>
      <c r="U607" s="145"/>
      <c r="V607" s="144"/>
      <c r="W607" s="145"/>
      <c r="X607" s="144"/>
      <c r="Y607" s="145"/>
      <c r="Z607" s="144"/>
      <c r="AA607" s="145"/>
      <c r="AB607" s="147"/>
      <c r="AC607" s="145"/>
      <c r="AD607" s="148"/>
      <c r="AE607" s="148"/>
      <c r="AF607" s="149"/>
      <c r="AG607" s="150"/>
    </row>
    <row r="608" spans="1:42" customHeight="1" ht="11.5" s="129" customFormat="1">
      <c r="A608" s="139"/>
      <c r="B608" s="140"/>
      <c r="C608" s="141"/>
      <c r="D608" s="142"/>
      <c r="E608" s="143"/>
      <c r="F608" s="144"/>
      <c r="G608" s="145"/>
      <c r="H608" s="144"/>
      <c r="I608" s="145"/>
      <c r="J608" s="146"/>
      <c r="K608" s="145"/>
      <c r="L608" s="146"/>
      <c r="M608" s="145"/>
      <c r="N608" s="146"/>
      <c r="O608" s="145"/>
      <c r="P608" s="146"/>
      <c r="Q608" s="145"/>
      <c r="R608" s="144"/>
      <c r="S608" s="145"/>
      <c r="T608" s="144"/>
      <c r="U608" s="145"/>
      <c r="V608" s="144"/>
      <c r="W608" s="145"/>
      <c r="X608" s="144"/>
      <c r="Y608" s="145"/>
      <c r="Z608" s="144"/>
      <c r="AA608" s="145"/>
      <c r="AB608" s="147"/>
      <c r="AC608" s="145"/>
      <c r="AD608" s="148"/>
      <c r="AE608" s="148"/>
      <c r="AF608" s="149"/>
      <c r="AG608" s="150"/>
    </row>
    <row r="609" spans="1:42" customHeight="1" ht="11.5" s="129" customFormat="1">
      <c r="A609" s="139"/>
      <c r="B609" s="140"/>
      <c r="C609" s="141"/>
      <c r="D609" s="142"/>
      <c r="E609" s="143"/>
      <c r="F609" s="144"/>
      <c r="G609" s="145"/>
      <c r="H609" s="144"/>
      <c r="I609" s="145"/>
      <c r="J609" s="146"/>
      <c r="K609" s="145"/>
      <c r="L609" s="146"/>
      <c r="M609" s="145"/>
      <c r="N609" s="146"/>
      <c r="O609" s="145"/>
      <c r="P609" s="146"/>
      <c r="Q609" s="145"/>
      <c r="R609" s="144"/>
      <c r="S609" s="145"/>
      <c r="T609" s="144"/>
      <c r="U609" s="145"/>
      <c r="V609" s="144"/>
      <c r="W609" s="145"/>
      <c r="X609" s="144"/>
      <c r="Y609" s="145"/>
      <c r="Z609" s="144"/>
      <c r="AA609" s="145"/>
      <c r="AB609" s="147"/>
      <c r="AC609" s="145"/>
      <c r="AD609" s="148"/>
      <c r="AE609" s="148"/>
      <c r="AF609" s="149"/>
      <c r="AG609" s="150"/>
    </row>
    <row r="610" spans="1:42" customHeight="1" ht="11.5" s="129" customFormat="1">
      <c r="A610" s="139"/>
      <c r="B610" s="140"/>
      <c r="C610" s="141"/>
      <c r="D610" s="142"/>
      <c r="E610" s="143"/>
      <c r="F610" s="144"/>
      <c r="G610" s="145"/>
      <c r="H610" s="144"/>
      <c r="I610" s="145"/>
      <c r="J610" s="146"/>
      <c r="K610" s="145"/>
      <c r="L610" s="146"/>
      <c r="M610" s="145"/>
      <c r="N610" s="146"/>
      <c r="O610" s="145"/>
      <c r="P610" s="146"/>
      <c r="Q610" s="145"/>
      <c r="R610" s="144"/>
      <c r="S610" s="145"/>
      <c r="T610" s="144"/>
      <c r="U610" s="145"/>
      <c r="V610" s="144"/>
      <c r="W610" s="145"/>
      <c r="X610" s="144"/>
      <c r="Y610" s="145"/>
      <c r="Z610" s="144"/>
      <c r="AA610" s="145"/>
      <c r="AB610" s="147"/>
      <c r="AC610" s="145"/>
      <c r="AD610" s="148"/>
      <c r="AE610" s="148"/>
      <c r="AF610" s="149"/>
      <c r="AG610" s="150"/>
    </row>
    <row r="611" spans="1:42" customHeight="1" ht="11.5" s="129" customFormat="1">
      <c r="A611" s="139"/>
      <c r="B611" s="151"/>
      <c r="C611" s="141"/>
      <c r="D611" s="142"/>
      <c r="E611" s="143"/>
      <c r="F611" s="144"/>
      <c r="G611" s="145"/>
      <c r="H611" s="144"/>
      <c r="I611" s="145"/>
      <c r="J611" s="146"/>
      <c r="K611" s="145"/>
      <c r="L611" s="146"/>
      <c r="M611" s="145"/>
      <c r="N611" s="146"/>
      <c r="O611" s="145"/>
      <c r="P611" s="146"/>
      <c r="Q611" s="145"/>
      <c r="R611" s="144"/>
      <c r="S611" s="145"/>
      <c r="T611" s="144"/>
      <c r="U611" s="145"/>
      <c r="V611" s="144"/>
      <c r="W611" s="145"/>
      <c r="X611" s="144"/>
      <c r="Y611" s="145"/>
      <c r="Z611" s="144"/>
      <c r="AA611" s="145"/>
      <c r="AB611" s="147"/>
      <c r="AC611" s="145"/>
      <c r="AD611" s="148"/>
      <c r="AE611" s="148"/>
      <c r="AF611" s="149"/>
      <c r="AG611" s="150"/>
    </row>
    <row r="612" spans="1:42" customHeight="1" ht="11.5" s="129" customFormat="1">
      <c r="A612" s="139"/>
      <c r="B612" s="140"/>
      <c r="C612" s="141"/>
      <c r="D612" s="142"/>
      <c r="E612" s="143"/>
      <c r="F612" s="144"/>
      <c r="G612" s="145"/>
      <c r="H612" s="144"/>
      <c r="I612" s="145"/>
      <c r="J612" s="146"/>
      <c r="K612" s="145"/>
      <c r="L612" s="146"/>
      <c r="M612" s="145"/>
      <c r="N612" s="146"/>
      <c r="O612" s="145"/>
      <c r="P612" s="146"/>
      <c r="Q612" s="145"/>
      <c r="R612" s="144"/>
      <c r="S612" s="145"/>
      <c r="T612" s="144"/>
      <c r="U612" s="145"/>
      <c r="V612" s="144"/>
      <c r="W612" s="145"/>
      <c r="X612" s="144"/>
      <c r="Y612" s="145"/>
      <c r="Z612" s="144"/>
      <c r="AA612" s="145"/>
      <c r="AB612" s="147"/>
      <c r="AC612" s="145"/>
      <c r="AD612" s="148"/>
      <c r="AE612" s="148"/>
      <c r="AF612" s="149"/>
      <c r="AG612" s="150"/>
    </row>
    <row r="613" spans="1:42" customHeight="1" ht="11.5" s="129" customFormat="1">
      <c r="A613" s="139"/>
      <c r="B613" s="140"/>
      <c r="C613" s="141"/>
      <c r="D613" s="142"/>
      <c r="E613" s="143"/>
      <c r="F613" s="144"/>
      <c r="G613" s="145"/>
      <c r="H613" s="144"/>
      <c r="I613" s="145"/>
      <c r="J613" s="146"/>
      <c r="K613" s="145"/>
      <c r="L613" s="146"/>
      <c r="M613" s="145"/>
      <c r="N613" s="146"/>
      <c r="O613" s="145"/>
      <c r="P613" s="146"/>
      <c r="Q613" s="145"/>
      <c r="R613" s="144"/>
      <c r="S613" s="145"/>
      <c r="T613" s="144"/>
      <c r="U613" s="145"/>
      <c r="V613" s="144"/>
      <c r="W613" s="145"/>
      <c r="X613" s="144"/>
      <c r="Y613" s="145"/>
      <c r="Z613" s="144"/>
      <c r="AA613" s="145"/>
      <c r="AB613" s="147"/>
      <c r="AC613" s="145"/>
      <c r="AD613" s="148"/>
      <c r="AE613" s="148"/>
      <c r="AF613" s="149"/>
      <c r="AG613" s="150"/>
    </row>
    <row r="614" spans="1:42" customHeight="1" ht="11.5" s="129" customFormat="1">
      <c r="A614" s="139"/>
      <c r="B614" s="140"/>
      <c r="C614" s="141"/>
      <c r="D614" s="142"/>
      <c r="E614" s="143"/>
      <c r="F614" s="144"/>
      <c r="G614" s="145"/>
      <c r="H614" s="144"/>
      <c r="I614" s="145"/>
      <c r="J614" s="146"/>
      <c r="K614" s="145"/>
      <c r="L614" s="146"/>
      <c r="M614" s="145"/>
      <c r="N614" s="146"/>
      <c r="O614" s="145"/>
      <c r="P614" s="146"/>
      <c r="Q614" s="145"/>
      <c r="R614" s="144"/>
      <c r="S614" s="145"/>
      <c r="T614" s="144"/>
      <c r="U614" s="145"/>
      <c r="V614" s="144"/>
      <c r="W614" s="145"/>
      <c r="X614" s="144"/>
      <c r="Y614" s="145"/>
      <c r="Z614" s="144"/>
      <c r="AA614" s="145"/>
      <c r="AB614" s="147"/>
      <c r="AC614" s="145"/>
      <c r="AD614" s="148"/>
      <c r="AE614" s="148"/>
      <c r="AF614" s="149"/>
      <c r="AG614" s="150"/>
    </row>
    <row r="615" spans="1:42" customHeight="1" ht="11.5" s="129" customFormat="1">
      <c r="A615" s="139"/>
      <c r="B615" s="140"/>
      <c r="C615" s="141"/>
      <c r="D615" s="142"/>
      <c r="E615" s="143"/>
      <c r="F615" s="144"/>
      <c r="G615" s="145"/>
      <c r="H615" s="144"/>
      <c r="I615" s="145"/>
      <c r="J615" s="146"/>
      <c r="K615" s="145"/>
      <c r="L615" s="146"/>
      <c r="M615" s="145"/>
      <c r="N615" s="146"/>
      <c r="O615" s="145"/>
      <c r="P615" s="146"/>
      <c r="Q615" s="145"/>
      <c r="R615" s="144"/>
      <c r="S615" s="145"/>
      <c r="T615" s="144"/>
      <c r="U615" s="145"/>
      <c r="V615" s="144"/>
      <c r="W615" s="145"/>
      <c r="X615" s="144"/>
      <c r="Y615" s="145"/>
      <c r="Z615" s="144"/>
      <c r="AA615" s="145"/>
      <c r="AB615" s="147"/>
      <c r="AC615" s="145"/>
      <c r="AD615" s="148"/>
      <c r="AE615" s="148"/>
      <c r="AF615" s="149"/>
      <c r="AG615" s="150"/>
    </row>
    <row r="616" spans="1:42" customHeight="1" ht="11.5" s="129" customFormat="1">
      <c r="A616" s="139"/>
      <c r="B616" s="140"/>
      <c r="C616" s="141"/>
      <c r="D616" s="142"/>
      <c r="E616" s="143"/>
      <c r="F616" s="144"/>
      <c r="G616" s="145"/>
      <c r="H616" s="144"/>
      <c r="I616" s="145"/>
      <c r="J616" s="146"/>
      <c r="K616" s="145"/>
      <c r="L616" s="146"/>
      <c r="M616" s="145"/>
      <c r="N616" s="146"/>
      <c r="O616" s="145"/>
      <c r="P616" s="146"/>
      <c r="Q616" s="145"/>
      <c r="R616" s="144"/>
      <c r="S616" s="145"/>
      <c r="T616" s="144"/>
      <c r="U616" s="145"/>
      <c r="V616" s="144"/>
      <c r="W616" s="145"/>
      <c r="X616" s="144"/>
      <c r="Y616" s="145"/>
      <c r="Z616" s="144"/>
      <c r="AA616" s="145"/>
      <c r="AB616" s="147"/>
      <c r="AC616" s="145"/>
      <c r="AD616" s="148"/>
      <c r="AE616" s="148"/>
      <c r="AF616" s="149"/>
      <c r="AG616" s="150"/>
    </row>
    <row r="617" spans="1:42" customHeight="1" ht="11.5" s="129" customFormat="1">
      <c r="A617" s="139"/>
      <c r="B617" s="140"/>
      <c r="C617" s="141"/>
      <c r="D617" s="142"/>
      <c r="E617" s="143"/>
      <c r="F617" s="144"/>
      <c r="G617" s="145"/>
      <c r="H617" s="144"/>
      <c r="I617" s="145"/>
      <c r="J617" s="146"/>
      <c r="K617" s="145"/>
      <c r="L617" s="146"/>
      <c r="M617" s="145"/>
      <c r="N617" s="146"/>
      <c r="O617" s="145"/>
      <c r="P617" s="146"/>
      <c r="Q617" s="145"/>
      <c r="R617" s="144"/>
      <c r="S617" s="145"/>
      <c r="T617" s="144"/>
      <c r="U617" s="145"/>
      <c r="V617" s="144"/>
      <c r="W617" s="145"/>
      <c r="X617" s="144"/>
      <c r="Y617" s="145"/>
      <c r="Z617" s="144"/>
      <c r="AA617" s="145"/>
      <c r="AB617" s="147"/>
      <c r="AC617" s="145"/>
      <c r="AD617" s="148"/>
      <c r="AE617" s="148"/>
      <c r="AF617" s="149"/>
      <c r="AG617" s="150"/>
    </row>
    <row r="618" spans="1:42" customHeight="1" ht="11.5" s="129" customFormat="1">
      <c r="A618" s="139"/>
      <c r="B618" s="140"/>
      <c r="C618" s="141"/>
      <c r="D618" s="142"/>
      <c r="E618" s="143"/>
      <c r="F618" s="144"/>
      <c r="G618" s="145"/>
      <c r="H618" s="144"/>
      <c r="I618" s="145"/>
      <c r="J618" s="146"/>
      <c r="K618" s="145"/>
      <c r="L618" s="146"/>
      <c r="M618" s="145"/>
      <c r="N618" s="146"/>
      <c r="O618" s="145"/>
      <c r="P618" s="146"/>
      <c r="Q618" s="145"/>
      <c r="R618" s="144"/>
      <c r="S618" s="145"/>
      <c r="T618" s="144"/>
      <c r="U618" s="145"/>
      <c r="V618" s="144"/>
      <c r="W618" s="145"/>
      <c r="X618" s="144"/>
      <c r="Y618" s="145"/>
      <c r="Z618" s="144"/>
      <c r="AA618" s="145"/>
      <c r="AB618" s="147"/>
      <c r="AC618" s="145"/>
      <c r="AD618" s="148"/>
      <c r="AE618" s="148"/>
      <c r="AF618" s="149"/>
      <c r="AG618" s="150"/>
    </row>
    <row r="619" spans="1:42" customHeight="1" ht="11.5" s="129" customFormat="1">
      <c r="A619" s="139"/>
      <c r="B619" s="140"/>
      <c r="C619" s="141"/>
      <c r="D619" s="142"/>
      <c r="E619" s="143"/>
      <c r="F619" s="144"/>
      <c r="G619" s="145"/>
      <c r="H619" s="144"/>
      <c r="I619" s="145"/>
      <c r="J619" s="146"/>
      <c r="K619" s="145"/>
      <c r="L619" s="146"/>
      <c r="M619" s="145"/>
      <c r="N619" s="146"/>
      <c r="O619" s="145"/>
      <c r="P619" s="146"/>
      <c r="Q619" s="145"/>
      <c r="R619" s="144"/>
      <c r="S619" s="145"/>
      <c r="T619" s="144"/>
      <c r="U619" s="145"/>
      <c r="V619" s="144"/>
      <c r="W619" s="145"/>
      <c r="X619" s="144"/>
      <c r="Y619" s="145"/>
      <c r="Z619" s="144"/>
      <c r="AA619" s="145"/>
      <c r="AB619" s="147"/>
      <c r="AC619" s="145"/>
      <c r="AD619" s="148"/>
      <c r="AE619" s="148"/>
      <c r="AF619" s="149"/>
      <c r="AG619" s="150"/>
    </row>
    <row r="620" spans="1:42" customHeight="1" ht="11.5" s="129" customFormat="1">
      <c r="A620" s="139"/>
      <c r="B620" s="152"/>
      <c r="C620" s="153"/>
      <c r="D620" s="142"/>
      <c r="E620" s="143"/>
      <c r="F620" s="144"/>
      <c r="G620" s="145"/>
      <c r="H620" s="144"/>
      <c r="I620" s="145"/>
      <c r="J620" s="146"/>
      <c r="K620" s="145"/>
      <c r="L620" s="146"/>
      <c r="M620" s="145"/>
      <c r="N620" s="146"/>
      <c r="O620" s="145"/>
      <c r="P620" s="146"/>
      <c r="Q620" s="145"/>
      <c r="R620" s="144"/>
      <c r="S620" s="145"/>
      <c r="T620" s="144"/>
      <c r="U620" s="145"/>
      <c r="V620" s="144"/>
      <c r="W620" s="145"/>
      <c r="X620" s="144"/>
      <c r="Y620" s="145"/>
      <c r="Z620" s="144"/>
      <c r="AA620" s="145"/>
      <c r="AB620" s="147"/>
      <c r="AC620" s="145"/>
      <c r="AD620" s="148"/>
      <c r="AE620" s="148"/>
      <c r="AF620" s="149"/>
      <c r="AG620" s="150"/>
    </row>
    <row r="621" spans="1:42" customHeight="1" ht="11.5" s="129" customFormat="1">
      <c r="A621" s="139"/>
      <c r="B621" s="140"/>
      <c r="C621" s="141"/>
      <c r="D621" s="142"/>
      <c r="E621" s="143"/>
      <c r="F621" s="144"/>
      <c r="G621" s="145"/>
      <c r="H621" s="144"/>
      <c r="I621" s="145"/>
      <c r="J621" s="146"/>
      <c r="K621" s="145"/>
      <c r="L621" s="146"/>
      <c r="M621" s="145"/>
      <c r="N621" s="146"/>
      <c r="O621" s="145"/>
      <c r="P621" s="146"/>
      <c r="Q621" s="145"/>
      <c r="R621" s="144"/>
      <c r="S621" s="145"/>
      <c r="T621" s="144"/>
      <c r="U621" s="145"/>
      <c r="V621" s="144"/>
      <c r="W621" s="145"/>
      <c r="X621" s="144"/>
      <c r="Y621" s="145"/>
      <c r="Z621" s="144"/>
      <c r="AA621" s="145"/>
      <c r="AB621" s="147"/>
      <c r="AC621" s="145"/>
      <c r="AD621" s="148"/>
      <c r="AE621" s="148"/>
      <c r="AF621" s="149"/>
      <c r="AG621" s="150"/>
    </row>
    <row r="622" spans="1:42" customHeight="1" ht="11.5" s="129" customFormat="1">
      <c r="A622" s="139"/>
      <c r="B622" s="140"/>
      <c r="C622" s="141"/>
      <c r="D622" s="142"/>
      <c r="E622" s="143"/>
      <c r="F622" s="144"/>
      <c r="G622" s="145"/>
      <c r="H622" s="144"/>
      <c r="I622" s="145"/>
      <c r="J622" s="146"/>
      <c r="K622" s="145"/>
      <c r="L622" s="146"/>
      <c r="M622" s="145"/>
      <c r="N622" s="146"/>
      <c r="O622" s="145"/>
      <c r="P622" s="146"/>
      <c r="Q622" s="145"/>
      <c r="R622" s="144"/>
      <c r="S622" s="145"/>
      <c r="T622" s="144"/>
      <c r="U622" s="145"/>
      <c r="V622" s="144"/>
      <c r="W622" s="145"/>
      <c r="X622" s="144"/>
      <c r="Y622" s="145"/>
      <c r="Z622" s="144"/>
      <c r="AA622" s="145"/>
      <c r="AB622" s="147"/>
      <c r="AC622" s="145"/>
      <c r="AD622" s="148"/>
      <c r="AE622" s="148"/>
      <c r="AF622" s="149"/>
      <c r="AG622" s="150"/>
    </row>
    <row r="623" spans="1:42" customHeight="1" ht="11.5" s="129" customFormat="1">
      <c r="A623" s="139"/>
      <c r="B623" s="140"/>
      <c r="C623" s="141"/>
      <c r="D623" s="142"/>
      <c r="E623" s="143"/>
      <c r="F623" s="144"/>
      <c r="G623" s="145"/>
      <c r="H623" s="144"/>
      <c r="I623" s="145"/>
      <c r="J623" s="146"/>
      <c r="K623" s="145"/>
      <c r="L623" s="146"/>
      <c r="M623" s="145"/>
      <c r="N623" s="146"/>
      <c r="O623" s="145"/>
      <c r="P623" s="146"/>
      <c r="Q623" s="145"/>
      <c r="R623" s="144"/>
      <c r="S623" s="145"/>
      <c r="T623" s="144"/>
      <c r="U623" s="145"/>
      <c r="V623" s="144"/>
      <c r="W623" s="145"/>
      <c r="X623" s="144"/>
      <c r="Y623" s="145"/>
      <c r="Z623" s="144"/>
      <c r="AA623" s="145"/>
      <c r="AB623" s="147"/>
      <c r="AC623" s="145"/>
      <c r="AD623" s="148"/>
      <c r="AE623" s="148"/>
      <c r="AF623" s="149"/>
      <c r="AG623" s="150"/>
    </row>
    <row r="624" spans="1:42" customHeight="1" ht="11.5" s="129" customFormat="1">
      <c r="A624" s="139"/>
      <c r="B624" s="140"/>
      <c r="C624" s="141"/>
      <c r="D624" s="142"/>
      <c r="E624" s="143"/>
      <c r="F624" s="144"/>
      <c r="G624" s="145"/>
      <c r="H624" s="144"/>
      <c r="I624" s="145"/>
      <c r="J624" s="146"/>
      <c r="K624" s="145"/>
      <c r="L624" s="146"/>
      <c r="M624" s="145"/>
      <c r="N624" s="146"/>
      <c r="O624" s="145"/>
      <c r="P624" s="146"/>
      <c r="Q624" s="145"/>
      <c r="R624" s="144"/>
      <c r="S624" s="145"/>
      <c r="T624" s="144"/>
      <c r="U624" s="145"/>
      <c r="V624" s="144"/>
      <c r="W624" s="145"/>
      <c r="X624" s="144"/>
      <c r="Y624" s="145"/>
      <c r="Z624" s="144"/>
      <c r="AA624" s="145"/>
      <c r="AB624" s="147"/>
      <c r="AC624" s="145"/>
      <c r="AD624" s="148"/>
      <c r="AE624" s="148"/>
      <c r="AF624" s="149"/>
      <c r="AG624" s="150"/>
    </row>
    <row r="625" spans="1:42" customHeight="1" ht="11.5" s="129" customFormat="1">
      <c r="A625" s="139"/>
      <c r="B625" s="140"/>
      <c r="C625" s="141"/>
      <c r="D625" s="142"/>
      <c r="E625" s="143"/>
      <c r="F625" s="144"/>
      <c r="G625" s="145"/>
      <c r="H625" s="144"/>
      <c r="I625" s="145"/>
      <c r="J625" s="146"/>
      <c r="K625" s="145"/>
      <c r="L625" s="146"/>
      <c r="M625" s="145"/>
      <c r="N625" s="146"/>
      <c r="O625" s="145"/>
      <c r="P625" s="146"/>
      <c r="Q625" s="145"/>
      <c r="R625" s="144"/>
      <c r="S625" s="145"/>
      <c r="T625" s="144"/>
      <c r="U625" s="145"/>
      <c r="V625" s="144"/>
      <c r="W625" s="145"/>
      <c r="X625" s="144"/>
      <c r="Y625" s="145"/>
      <c r="Z625" s="144"/>
      <c r="AA625" s="145"/>
      <c r="AB625" s="147"/>
      <c r="AC625" s="145"/>
      <c r="AD625" s="148"/>
      <c r="AE625" s="148"/>
      <c r="AF625" s="149"/>
      <c r="AG625" s="150"/>
    </row>
    <row r="626" spans="1:42" customHeight="1" ht="11.5" s="129" customFormat="1">
      <c r="A626" s="139"/>
      <c r="B626" s="140"/>
      <c r="C626" s="141"/>
      <c r="D626" s="142"/>
      <c r="E626" s="143"/>
      <c r="F626" s="144"/>
      <c r="G626" s="145"/>
      <c r="H626" s="144"/>
      <c r="I626" s="145"/>
      <c r="J626" s="146"/>
      <c r="K626" s="145"/>
      <c r="L626" s="146"/>
      <c r="M626" s="145"/>
      <c r="N626" s="146"/>
      <c r="O626" s="145"/>
      <c r="P626" s="146"/>
      <c r="Q626" s="145"/>
      <c r="R626" s="144"/>
      <c r="S626" s="145"/>
      <c r="T626" s="144"/>
      <c r="U626" s="145"/>
      <c r="V626" s="144"/>
      <c r="W626" s="145"/>
      <c r="X626" s="144"/>
      <c r="Y626" s="145"/>
      <c r="Z626" s="144"/>
      <c r="AA626" s="145"/>
      <c r="AB626" s="147"/>
      <c r="AC626" s="145"/>
      <c r="AD626" s="148"/>
      <c r="AE626" s="148"/>
      <c r="AF626" s="149"/>
      <c r="AG626" s="150"/>
    </row>
    <row r="627" spans="1:42" customHeight="1" ht="11.5" s="129" customFormat="1">
      <c r="A627" s="139"/>
      <c r="B627" s="140"/>
      <c r="C627" s="141"/>
      <c r="D627" s="142"/>
      <c r="E627" s="143"/>
      <c r="F627" s="144"/>
      <c r="G627" s="145"/>
      <c r="H627" s="144"/>
      <c r="I627" s="145"/>
      <c r="J627" s="146"/>
      <c r="K627" s="145"/>
      <c r="L627" s="146"/>
      <c r="M627" s="145"/>
      <c r="N627" s="146"/>
      <c r="O627" s="145"/>
      <c r="P627" s="146"/>
      <c r="Q627" s="145"/>
      <c r="R627" s="144"/>
      <c r="S627" s="145"/>
      <c r="T627" s="144"/>
      <c r="U627" s="145"/>
      <c r="V627" s="144"/>
      <c r="W627" s="145"/>
      <c r="X627" s="144"/>
      <c r="Y627" s="145"/>
      <c r="Z627" s="144"/>
      <c r="AA627" s="145"/>
      <c r="AB627" s="147"/>
      <c r="AC627" s="145"/>
      <c r="AD627" s="148"/>
      <c r="AE627" s="148"/>
      <c r="AF627" s="149"/>
      <c r="AG627" s="150"/>
    </row>
    <row r="628" spans="1:42" customHeight="1" ht="11.5" s="129" customFormat="1">
      <c r="A628" s="139"/>
      <c r="B628" s="140"/>
      <c r="C628" s="141"/>
      <c r="D628" s="142"/>
      <c r="E628" s="143"/>
      <c r="F628" s="144"/>
      <c r="G628" s="145"/>
      <c r="H628" s="144"/>
      <c r="I628" s="145"/>
      <c r="J628" s="146"/>
      <c r="K628" s="145"/>
      <c r="L628" s="146"/>
      <c r="M628" s="145"/>
      <c r="N628" s="146"/>
      <c r="O628" s="145"/>
      <c r="P628" s="146"/>
      <c r="Q628" s="145"/>
      <c r="R628" s="144"/>
      <c r="S628" s="145"/>
      <c r="T628" s="144"/>
      <c r="U628" s="145"/>
      <c r="V628" s="144"/>
      <c r="W628" s="145"/>
      <c r="X628" s="144"/>
      <c r="Y628" s="145"/>
      <c r="Z628" s="144"/>
      <c r="AA628" s="145"/>
      <c r="AB628" s="147"/>
      <c r="AC628" s="145"/>
      <c r="AD628" s="148"/>
      <c r="AE628" s="148"/>
      <c r="AF628" s="149"/>
      <c r="AG628" s="150"/>
    </row>
    <row r="629" spans="1:42" customHeight="1" ht="11.5" s="129" customFormat="1">
      <c r="A629" s="139"/>
      <c r="B629" s="140"/>
      <c r="C629" s="141"/>
      <c r="D629" s="142"/>
      <c r="E629" s="143"/>
      <c r="F629" s="144"/>
      <c r="G629" s="145"/>
      <c r="H629" s="144"/>
      <c r="I629" s="145"/>
      <c r="J629" s="146"/>
      <c r="K629" s="145"/>
      <c r="L629" s="146"/>
      <c r="M629" s="145"/>
      <c r="N629" s="146"/>
      <c r="O629" s="145"/>
      <c r="P629" s="146"/>
      <c r="Q629" s="145"/>
      <c r="R629" s="144"/>
      <c r="S629" s="145"/>
      <c r="T629" s="144"/>
      <c r="U629" s="145"/>
      <c r="V629" s="144"/>
      <c r="W629" s="145"/>
      <c r="X629" s="144"/>
      <c r="Y629" s="145"/>
      <c r="Z629" s="144"/>
      <c r="AA629" s="145"/>
      <c r="AB629" s="147"/>
      <c r="AC629" s="145"/>
      <c r="AD629" s="148"/>
      <c r="AE629" s="148"/>
      <c r="AF629" s="149"/>
      <c r="AG629" s="150"/>
    </row>
    <row r="630" spans="1:42" customHeight="1" ht="11.5" s="129" customFormat="1">
      <c r="A630" s="139"/>
      <c r="B630" s="140"/>
      <c r="C630" s="141"/>
      <c r="D630" s="142"/>
      <c r="E630" s="143"/>
      <c r="F630" s="144"/>
      <c r="G630" s="145"/>
      <c r="H630" s="144"/>
      <c r="I630" s="145"/>
      <c r="J630" s="146"/>
      <c r="K630" s="145"/>
      <c r="L630" s="146"/>
      <c r="M630" s="145"/>
      <c r="N630" s="146"/>
      <c r="O630" s="145"/>
      <c r="P630" s="146"/>
      <c r="Q630" s="145"/>
      <c r="R630" s="144"/>
      <c r="S630" s="145"/>
      <c r="T630" s="144"/>
      <c r="U630" s="145"/>
      <c r="V630" s="144"/>
      <c r="W630" s="145"/>
      <c r="X630" s="144"/>
      <c r="Y630" s="145"/>
      <c r="Z630" s="144"/>
      <c r="AA630" s="145"/>
      <c r="AB630" s="147"/>
      <c r="AC630" s="145"/>
      <c r="AD630" s="148"/>
      <c r="AE630" s="148"/>
      <c r="AF630" s="149"/>
      <c r="AG630" s="150"/>
    </row>
    <row r="631" spans="1:42" customHeight="1" ht="11.5" s="129" customFormat="1">
      <c r="A631" s="139"/>
      <c r="B631" s="140"/>
      <c r="C631" s="141"/>
      <c r="D631" s="142"/>
      <c r="E631" s="143"/>
      <c r="F631" s="144"/>
      <c r="G631" s="145"/>
      <c r="H631" s="144"/>
      <c r="I631" s="145"/>
      <c r="J631" s="146"/>
      <c r="K631" s="145"/>
      <c r="L631" s="146"/>
      <c r="M631" s="145"/>
      <c r="N631" s="146"/>
      <c r="O631" s="145"/>
      <c r="P631" s="146"/>
      <c r="Q631" s="145"/>
      <c r="R631" s="144"/>
      <c r="S631" s="145"/>
      <c r="T631" s="144"/>
      <c r="U631" s="145"/>
      <c r="V631" s="144"/>
      <c r="W631" s="145"/>
      <c r="X631" s="144"/>
      <c r="Y631" s="145"/>
      <c r="Z631" s="144"/>
      <c r="AA631" s="145"/>
      <c r="AB631" s="147"/>
      <c r="AC631" s="145"/>
      <c r="AD631" s="148"/>
      <c r="AE631" s="148"/>
      <c r="AF631" s="149"/>
      <c r="AG631" s="150"/>
    </row>
    <row r="632" spans="1:42" customHeight="1" ht="11.5" s="129" customFormat="1">
      <c r="A632" s="139"/>
      <c r="B632" s="140"/>
      <c r="C632" s="141"/>
      <c r="D632" s="142"/>
      <c r="E632" s="143"/>
      <c r="F632" s="144"/>
      <c r="G632" s="145"/>
      <c r="H632" s="144"/>
      <c r="I632" s="145"/>
      <c r="J632" s="146"/>
      <c r="K632" s="145"/>
      <c r="L632" s="146"/>
      <c r="M632" s="145"/>
      <c r="N632" s="146"/>
      <c r="O632" s="145"/>
      <c r="P632" s="146"/>
      <c r="Q632" s="145"/>
      <c r="R632" s="144"/>
      <c r="S632" s="145"/>
      <c r="T632" s="144"/>
      <c r="U632" s="145"/>
      <c r="V632" s="144"/>
      <c r="W632" s="145"/>
      <c r="X632" s="144"/>
      <c r="Y632" s="145"/>
      <c r="Z632" s="144"/>
      <c r="AA632" s="145"/>
      <c r="AB632" s="147"/>
      <c r="AC632" s="145"/>
      <c r="AD632" s="148"/>
      <c r="AE632" s="148"/>
      <c r="AF632" s="149"/>
      <c r="AG632" s="150"/>
    </row>
    <row r="633" spans="1:42" customHeight="1" ht="11.5" s="129" customFormat="1">
      <c r="A633" s="139"/>
      <c r="B633" s="140"/>
      <c r="C633" s="141"/>
      <c r="D633" s="142"/>
      <c r="E633" s="143"/>
      <c r="F633" s="144"/>
      <c r="G633" s="145"/>
      <c r="H633" s="144"/>
      <c r="I633" s="145"/>
      <c r="J633" s="146"/>
      <c r="K633" s="145"/>
      <c r="L633" s="146"/>
      <c r="M633" s="145"/>
      <c r="N633" s="146"/>
      <c r="O633" s="145"/>
      <c r="P633" s="146"/>
      <c r="Q633" s="145"/>
      <c r="R633" s="144"/>
      <c r="S633" s="145"/>
      <c r="T633" s="144"/>
      <c r="U633" s="145"/>
      <c r="V633" s="144"/>
      <c r="W633" s="145"/>
      <c r="X633" s="144"/>
      <c r="Y633" s="145"/>
      <c r="Z633" s="144"/>
      <c r="AA633" s="145"/>
      <c r="AB633" s="147"/>
      <c r="AC633" s="145"/>
      <c r="AD633" s="148"/>
      <c r="AE633" s="148"/>
      <c r="AF633" s="149"/>
      <c r="AG633" s="150"/>
    </row>
    <row r="634" spans="1:42" customHeight="1" ht="11.5" s="129" customFormat="1">
      <c r="A634" s="139"/>
      <c r="B634" s="140"/>
      <c r="C634" s="141"/>
      <c r="D634" s="142"/>
      <c r="E634" s="143"/>
      <c r="F634" s="144"/>
      <c r="G634" s="145"/>
      <c r="H634" s="144"/>
      <c r="I634" s="145"/>
      <c r="J634" s="146"/>
      <c r="K634" s="145"/>
      <c r="L634" s="146"/>
      <c r="M634" s="145"/>
      <c r="N634" s="146"/>
      <c r="O634" s="145"/>
      <c r="P634" s="146"/>
      <c r="Q634" s="145"/>
      <c r="R634" s="144"/>
      <c r="S634" s="145"/>
      <c r="T634" s="144"/>
      <c r="U634" s="145"/>
      <c r="V634" s="144"/>
      <c r="W634" s="145"/>
      <c r="X634" s="144"/>
      <c r="Y634" s="145"/>
      <c r="Z634" s="144"/>
      <c r="AA634" s="145"/>
      <c r="AB634" s="147"/>
      <c r="AC634" s="145"/>
      <c r="AD634" s="148"/>
      <c r="AE634" s="148"/>
      <c r="AF634" s="149"/>
      <c r="AG634" s="150"/>
    </row>
    <row r="635" spans="1:42" customHeight="1" ht="11.5" s="129" customFormat="1">
      <c r="A635" s="139"/>
      <c r="B635" s="140"/>
      <c r="C635" s="141"/>
      <c r="D635" s="142"/>
      <c r="E635" s="143"/>
      <c r="F635" s="144"/>
      <c r="G635" s="145"/>
      <c r="H635" s="144"/>
      <c r="I635" s="145"/>
      <c r="J635" s="146"/>
      <c r="K635" s="145"/>
      <c r="L635" s="146"/>
      <c r="M635" s="145"/>
      <c r="N635" s="146"/>
      <c r="O635" s="145"/>
      <c r="P635" s="146"/>
      <c r="Q635" s="145"/>
      <c r="R635" s="144"/>
      <c r="S635" s="145"/>
      <c r="T635" s="144"/>
      <c r="U635" s="145"/>
      <c r="V635" s="144"/>
      <c r="W635" s="145"/>
      <c r="X635" s="144"/>
      <c r="Y635" s="145"/>
      <c r="Z635" s="144"/>
      <c r="AA635" s="145"/>
      <c r="AB635" s="147"/>
      <c r="AC635" s="145"/>
      <c r="AD635" s="148"/>
      <c r="AE635" s="148"/>
      <c r="AF635" s="149"/>
      <c r="AG635" s="150"/>
    </row>
    <row r="636" spans="1:42" customHeight="1" ht="11.5" s="129" customFormat="1">
      <c r="A636" s="139"/>
      <c r="B636" s="140"/>
      <c r="C636" s="141"/>
      <c r="D636" s="142"/>
      <c r="E636" s="143"/>
      <c r="F636" s="144"/>
      <c r="G636" s="145"/>
      <c r="H636" s="144"/>
      <c r="I636" s="145"/>
      <c r="J636" s="146"/>
      <c r="K636" s="145"/>
      <c r="L636" s="146"/>
      <c r="M636" s="145"/>
      <c r="N636" s="146"/>
      <c r="O636" s="145"/>
      <c r="P636" s="146"/>
      <c r="Q636" s="145"/>
      <c r="R636" s="144"/>
      <c r="S636" s="145"/>
      <c r="T636" s="144"/>
      <c r="U636" s="145"/>
      <c r="V636" s="144"/>
      <c r="W636" s="145"/>
      <c r="X636" s="144"/>
      <c r="Y636" s="145"/>
      <c r="Z636" s="144"/>
      <c r="AA636" s="145"/>
      <c r="AB636" s="147"/>
      <c r="AC636" s="145"/>
      <c r="AD636" s="148"/>
      <c r="AE636" s="148"/>
      <c r="AF636" s="149"/>
      <c r="AG636" s="150"/>
    </row>
    <row r="637" spans="1:42" customHeight="1" ht="11.5" s="129" customFormat="1">
      <c r="A637" s="139"/>
      <c r="B637" s="140"/>
      <c r="C637" s="141"/>
      <c r="D637" s="142"/>
      <c r="E637" s="143"/>
      <c r="F637" s="144"/>
      <c r="G637" s="145"/>
      <c r="H637" s="144"/>
      <c r="I637" s="145"/>
      <c r="J637" s="146"/>
      <c r="K637" s="145"/>
      <c r="L637" s="146"/>
      <c r="M637" s="145"/>
      <c r="N637" s="146"/>
      <c r="O637" s="145"/>
      <c r="P637" s="146"/>
      <c r="Q637" s="145"/>
      <c r="R637" s="144"/>
      <c r="S637" s="145"/>
      <c r="T637" s="144"/>
      <c r="U637" s="145"/>
      <c r="V637" s="144"/>
      <c r="W637" s="145"/>
      <c r="X637" s="144"/>
      <c r="Y637" s="145"/>
      <c r="Z637" s="144"/>
      <c r="AA637" s="145"/>
      <c r="AB637" s="147"/>
      <c r="AC637" s="145"/>
      <c r="AD637" s="148"/>
      <c r="AE637" s="148"/>
      <c r="AF637" s="149"/>
      <c r="AG637" s="150"/>
    </row>
    <row r="638" spans="1:42" customHeight="1" ht="11.5" s="129" customFormat="1">
      <c r="A638" s="139"/>
      <c r="B638" s="140"/>
      <c r="C638" s="141"/>
      <c r="D638" s="142"/>
      <c r="E638" s="143"/>
      <c r="F638" s="144"/>
      <c r="G638" s="145"/>
      <c r="H638" s="144"/>
      <c r="I638" s="145"/>
      <c r="J638" s="146"/>
      <c r="K638" s="145"/>
      <c r="L638" s="146"/>
      <c r="M638" s="145"/>
      <c r="N638" s="146"/>
      <c r="O638" s="145"/>
      <c r="P638" s="146"/>
      <c r="Q638" s="145"/>
      <c r="R638" s="144"/>
      <c r="S638" s="145"/>
      <c r="T638" s="144"/>
      <c r="U638" s="145"/>
      <c r="V638" s="144"/>
      <c r="W638" s="145"/>
      <c r="X638" s="144"/>
      <c r="Y638" s="145"/>
      <c r="Z638" s="144"/>
      <c r="AA638" s="145"/>
      <c r="AB638" s="147"/>
      <c r="AC638" s="145"/>
      <c r="AD638" s="148"/>
      <c r="AE638" s="148"/>
      <c r="AF638" s="149"/>
      <c r="AG638" s="150"/>
    </row>
    <row r="639" spans="1:42" customHeight="1" ht="11.5" s="129" customFormat="1">
      <c r="A639" s="139"/>
      <c r="B639" s="140"/>
      <c r="C639" s="141"/>
      <c r="D639" s="142"/>
      <c r="E639" s="143"/>
      <c r="F639" s="144"/>
      <c r="G639" s="145"/>
      <c r="H639" s="144"/>
      <c r="I639" s="145"/>
      <c r="J639" s="146"/>
      <c r="K639" s="145"/>
      <c r="L639" s="146"/>
      <c r="M639" s="145"/>
      <c r="N639" s="146"/>
      <c r="O639" s="145"/>
      <c r="P639" s="146"/>
      <c r="Q639" s="145"/>
      <c r="R639" s="144"/>
      <c r="S639" s="145"/>
      <c r="T639" s="144"/>
      <c r="U639" s="145"/>
      <c r="V639" s="144"/>
      <c r="W639" s="145"/>
      <c r="X639" s="144"/>
      <c r="Y639" s="145"/>
      <c r="Z639" s="144"/>
      <c r="AA639" s="145"/>
      <c r="AB639" s="147"/>
      <c r="AC639" s="145"/>
      <c r="AD639" s="148"/>
      <c r="AE639" s="148"/>
      <c r="AF639" s="149"/>
      <c r="AG639" s="150"/>
    </row>
    <row r="640" spans="1:42" customHeight="1" ht="11.5" s="129" customFormat="1">
      <c r="A640" s="139"/>
      <c r="B640" s="140"/>
      <c r="C640" s="141"/>
      <c r="D640" s="142"/>
      <c r="E640" s="143"/>
      <c r="F640" s="144"/>
      <c r="G640" s="145"/>
      <c r="H640" s="144"/>
      <c r="I640" s="145"/>
      <c r="J640" s="146"/>
      <c r="K640" s="145"/>
      <c r="L640" s="146"/>
      <c r="M640" s="145"/>
      <c r="N640" s="146"/>
      <c r="O640" s="145"/>
      <c r="P640" s="146"/>
      <c r="Q640" s="145"/>
      <c r="R640" s="144"/>
      <c r="S640" s="145"/>
      <c r="T640" s="144"/>
      <c r="U640" s="145"/>
      <c r="V640" s="144"/>
      <c r="W640" s="145"/>
      <c r="X640" s="144"/>
      <c r="Y640" s="145"/>
      <c r="Z640" s="144"/>
      <c r="AA640" s="145"/>
      <c r="AB640" s="147"/>
      <c r="AC640" s="145"/>
      <c r="AD640" s="148"/>
      <c r="AE640" s="148"/>
      <c r="AF640" s="149"/>
      <c r="AG640" s="150"/>
    </row>
    <row r="641" spans="1:42" customHeight="1" ht="11.5" s="129" customFormat="1">
      <c r="A641" s="139"/>
      <c r="B641" s="140"/>
      <c r="C641" s="141"/>
      <c r="D641" s="142"/>
      <c r="E641" s="143"/>
      <c r="F641" s="144"/>
      <c r="G641" s="145"/>
      <c r="H641" s="144"/>
      <c r="I641" s="145"/>
      <c r="J641" s="146"/>
      <c r="K641" s="145"/>
      <c r="L641" s="146"/>
      <c r="M641" s="145"/>
      <c r="N641" s="146"/>
      <c r="O641" s="145"/>
      <c r="P641" s="146"/>
      <c r="Q641" s="145"/>
      <c r="R641" s="144"/>
      <c r="S641" s="145"/>
      <c r="T641" s="144"/>
      <c r="U641" s="145"/>
      <c r="V641" s="144"/>
      <c r="W641" s="145"/>
      <c r="X641" s="144"/>
      <c r="Y641" s="145"/>
      <c r="Z641" s="144"/>
      <c r="AA641" s="145"/>
      <c r="AB641" s="147"/>
      <c r="AC641" s="145"/>
      <c r="AD641" s="148"/>
      <c r="AE641" s="148"/>
      <c r="AF641" s="149"/>
      <c r="AG641" s="150"/>
    </row>
    <row r="642" spans="1:42" customHeight="1" ht="11.5" s="129" customFormat="1">
      <c r="A642" s="139"/>
      <c r="B642" s="140"/>
      <c r="C642" s="141"/>
      <c r="D642" s="142"/>
      <c r="E642" s="143"/>
      <c r="F642" s="144"/>
      <c r="G642" s="145"/>
      <c r="H642" s="144"/>
      <c r="I642" s="145"/>
      <c r="J642" s="146"/>
      <c r="K642" s="145"/>
      <c r="L642" s="146"/>
      <c r="M642" s="145"/>
      <c r="N642" s="146"/>
      <c r="O642" s="145"/>
      <c r="P642" s="146"/>
      <c r="Q642" s="145"/>
      <c r="R642" s="144"/>
      <c r="S642" s="145"/>
      <c r="T642" s="144"/>
      <c r="U642" s="145"/>
      <c r="V642" s="144"/>
      <c r="W642" s="145"/>
      <c r="X642" s="144"/>
      <c r="Y642" s="145"/>
      <c r="Z642" s="144"/>
      <c r="AA642" s="145"/>
      <c r="AB642" s="147"/>
      <c r="AC642" s="145"/>
      <c r="AD642" s="148"/>
      <c r="AE642" s="148"/>
      <c r="AF642" s="149"/>
      <c r="AG642" s="150"/>
    </row>
    <row r="643" spans="1:42" customHeight="1" ht="11.5" s="129" customFormat="1">
      <c r="A643" s="139"/>
      <c r="B643" s="140"/>
      <c r="C643" s="141"/>
      <c r="D643" s="142"/>
      <c r="E643" s="143"/>
      <c r="F643" s="144"/>
      <c r="G643" s="145"/>
      <c r="H643" s="144"/>
      <c r="I643" s="145"/>
      <c r="J643" s="146"/>
      <c r="K643" s="145"/>
      <c r="L643" s="146"/>
      <c r="M643" s="145"/>
      <c r="N643" s="146"/>
      <c r="O643" s="145"/>
      <c r="P643" s="146"/>
      <c r="Q643" s="145"/>
      <c r="R643" s="144"/>
      <c r="S643" s="145"/>
      <c r="T643" s="144"/>
      <c r="U643" s="145"/>
      <c r="V643" s="144"/>
      <c r="W643" s="145"/>
      <c r="X643" s="144"/>
      <c r="Y643" s="145"/>
      <c r="Z643" s="144"/>
      <c r="AA643" s="145"/>
      <c r="AB643" s="147"/>
      <c r="AC643" s="145"/>
      <c r="AD643" s="148"/>
      <c r="AE643" s="148"/>
      <c r="AF643" s="149"/>
      <c r="AG643" s="150"/>
    </row>
    <row r="644" spans="1:42" customHeight="1" ht="11.5" s="129" customFormat="1">
      <c r="A644" s="139"/>
      <c r="B644" s="140"/>
      <c r="C644" s="141"/>
      <c r="D644" s="142"/>
      <c r="E644" s="143"/>
      <c r="F644" s="144"/>
      <c r="G644" s="145"/>
      <c r="H644" s="144"/>
      <c r="I644" s="145"/>
      <c r="J644" s="146"/>
      <c r="K644" s="145"/>
      <c r="L644" s="146"/>
      <c r="M644" s="145"/>
      <c r="N644" s="146"/>
      <c r="O644" s="145"/>
      <c r="P644" s="146"/>
      <c r="Q644" s="145"/>
      <c r="R644" s="144"/>
      <c r="S644" s="145"/>
      <c r="T644" s="144"/>
      <c r="U644" s="145"/>
      <c r="V644" s="144"/>
      <c r="W644" s="145"/>
      <c r="X644" s="144"/>
      <c r="Y644" s="145"/>
      <c r="Z644" s="144"/>
      <c r="AA644" s="145"/>
      <c r="AB644" s="147"/>
      <c r="AC644" s="145"/>
      <c r="AD644" s="148"/>
      <c r="AE644" s="148"/>
      <c r="AF644" s="149"/>
      <c r="AG644" s="150"/>
    </row>
    <row r="645" spans="1:42" customHeight="1" ht="11.5" s="129" customFormat="1">
      <c r="A645" s="139"/>
      <c r="B645" s="140"/>
      <c r="C645" s="141"/>
      <c r="D645" s="142"/>
      <c r="E645" s="143"/>
      <c r="F645" s="144"/>
      <c r="G645" s="145"/>
      <c r="H645" s="144"/>
      <c r="I645" s="145"/>
      <c r="J645" s="146"/>
      <c r="K645" s="145"/>
      <c r="L645" s="146"/>
      <c r="M645" s="145"/>
      <c r="N645" s="146"/>
      <c r="O645" s="145"/>
      <c r="P645" s="146"/>
      <c r="Q645" s="145"/>
      <c r="R645" s="144"/>
      <c r="S645" s="145"/>
      <c r="T645" s="144"/>
      <c r="U645" s="145"/>
      <c r="V645" s="144"/>
      <c r="W645" s="145"/>
      <c r="X645" s="144"/>
      <c r="Y645" s="145"/>
      <c r="Z645" s="144"/>
      <c r="AA645" s="145"/>
      <c r="AB645" s="147"/>
      <c r="AC645" s="145"/>
      <c r="AD645" s="148"/>
      <c r="AE645" s="148"/>
      <c r="AF645" s="149"/>
      <c r="AG645" s="150"/>
    </row>
    <row r="646" spans="1:42" customHeight="1" ht="11.5" s="129" customFormat="1">
      <c r="A646" s="139"/>
      <c r="B646" s="140"/>
      <c r="C646" s="141"/>
      <c r="D646" s="142"/>
      <c r="E646" s="143"/>
      <c r="F646" s="144"/>
      <c r="G646" s="145"/>
      <c r="H646" s="144"/>
      <c r="I646" s="145"/>
      <c r="J646" s="146"/>
      <c r="K646" s="145"/>
      <c r="L646" s="146"/>
      <c r="M646" s="145"/>
      <c r="N646" s="146"/>
      <c r="O646" s="145"/>
      <c r="P646" s="146"/>
      <c r="Q646" s="145"/>
      <c r="R646" s="144"/>
      <c r="S646" s="145"/>
      <c r="T646" s="144"/>
      <c r="U646" s="145"/>
      <c r="V646" s="144"/>
      <c r="W646" s="145"/>
      <c r="X646" s="144"/>
      <c r="Y646" s="145"/>
      <c r="Z646" s="144"/>
      <c r="AA646" s="145"/>
      <c r="AB646" s="147"/>
      <c r="AC646" s="145"/>
      <c r="AD646" s="148"/>
      <c r="AE646" s="148"/>
      <c r="AF646" s="149"/>
      <c r="AG646" s="150"/>
    </row>
    <row r="647" spans="1:42" customHeight="1" ht="11.5" s="129" customFormat="1">
      <c r="A647" s="139"/>
      <c r="B647" s="140"/>
      <c r="C647" s="141"/>
      <c r="D647" s="142"/>
      <c r="E647" s="143"/>
      <c r="F647" s="144"/>
      <c r="G647" s="145"/>
      <c r="H647" s="144"/>
      <c r="I647" s="145"/>
      <c r="J647" s="146"/>
      <c r="K647" s="145"/>
      <c r="L647" s="146"/>
      <c r="M647" s="145"/>
      <c r="N647" s="146"/>
      <c r="O647" s="145"/>
      <c r="P647" s="146"/>
      <c r="Q647" s="145"/>
      <c r="R647" s="144"/>
      <c r="S647" s="145"/>
      <c r="T647" s="144"/>
      <c r="U647" s="145"/>
      <c r="V647" s="144"/>
      <c r="W647" s="145"/>
      <c r="X647" s="144"/>
      <c r="Y647" s="145"/>
      <c r="Z647" s="144"/>
      <c r="AA647" s="145"/>
      <c r="AB647" s="147"/>
      <c r="AC647" s="145"/>
      <c r="AD647" s="148"/>
      <c r="AE647" s="148"/>
      <c r="AF647" s="149"/>
      <c r="AG647" s="150"/>
    </row>
    <row r="648" spans="1:42" customHeight="1" ht="11.5" s="129" customFormat="1">
      <c r="A648" s="139"/>
      <c r="B648" s="140"/>
      <c r="C648" s="141"/>
      <c r="D648" s="142"/>
      <c r="E648" s="143"/>
      <c r="F648" s="144"/>
      <c r="G648" s="145"/>
      <c r="H648" s="144"/>
      <c r="I648" s="145"/>
      <c r="J648" s="146"/>
      <c r="K648" s="145"/>
      <c r="L648" s="146"/>
      <c r="M648" s="145"/>
      <c r="N648" s="146"/>
      <c r="O648" s="145"/>
      <c r="P648" s="146"/>
      <c r="Q648" s="145"/>
      <c r="R648" s="144"/>
      <c r="S648" s="145"/>
      <c r="T648" s="144"/>
      <c r="U648" s="145"/>
      <c r="V648" s="144"/>
      <c r="W648" s="145"/>
      <c r="X648" s="144"/>
      <c r="Y648" s="145"/>
      <c r="Z648" s="144"/>
      <c r="AA648" s="145"/>
      <c r="AB648" s="147"/>
      <c r="AC648" s="145"/>
      <c r="AD648" s="148"/>
      <c r="AE648" s="148"/>
      <c r="AF648" s="149"/>
      <c r="AG648" s="150"/>
    </row>
    <row r="649" spans="1:42" customHeight="1" ht="11.5" s="129" customFormat="1">
      <c r="A649" s="139"/>
      <c r="B649" s="140"/>
      <c r="C649" s="141"/>
      <c r="D649" s="142"/>
      <c r="E649" s="143"/>
      <c r="F649" s="144"/>
      <c r="G649" s="145"/>
      <c r="H649" s="144"/>
      <c r="I649" s="145"/>
      <c r="J649" s="146"/>
      <c r="K649" s="145"/>
      <c r="L649" s="146"/>
      <c r="M649" s="145"/>
      <c r="N649" s="146"/>
      <c r="O649" s="145"/>
      <c r="P649" s="146"/>
      <c r="Q649" s="145"/>
      <c r="R649" s="144"/>
      <c r="S649" s="145"/>
      <c r="T649" s="144"/>
      <c r="U649" s="145"/>
      <c r="V649" s="144"/>
      <c r="W649" s="145"/>
      <c r="X649" s="144"/>
      <c r="Y649" s="145"/>
      <c r="Z649" s="144"/>
      <c r="AA649" s="145"/>
      <c r="AB649" s="147"/>
      <c r="AC649" s="145"/>
      <c r="AD649" s="148"/>
      <c r="AE649" s="148"/>
      <c r="AF649" s="149"/>
      <c r="AG649" s="150"/>
    </row>
    <row r="650" spans="1:42" customHeight="1" ht="11.5" s="129" customFormat="1">
      <c r="A650" s="139"/>
      <c r="B650" s="140"/>
      <c r="C650" s="141"/>
      <c r="D650" s="142"/>
      <c r="E650" s="143"/>
      <c r="F650" s="144"/>
      <c r="G650" s="145"/>
      <c r="H650" s="144"/>
      <c r="I650" s="145"/>
      <c r="J650" s="146"/>
      <c r="K650" s="145"/>
      <c r="L650" s="146"/>
      <c r="M650" s="145"/>
      <c r="N650" s="146"/>
      <c r="O650" s="145"/>
      <c r="P650" s="146"/>
      <c r="Q650" s="145"/>
      <c r="R650" s="144"/>
      <c r="S650" s="145"/>
      <c r="T650" s="144"/>
      <c r="U650" s="145"/>
      <c r="V650" s="144"/>
      <c r="W650" s="145"/>
      <c r="X650" s="144"/>
      <c r="Y650" s="145"/>
      <c r="Z650" s="144"/>
      <c r="AA650" s="145"/>
      <c r="AB650" s="147"/>
      <c r="AC650" s="145"/>
      <c r="AD650" s="148"/>
      <c r="AE650" s="148"/>
      <c r="AF650" s="149"/>
      <c r="AG650" s="150"/>
    </row>
    <row r="651" spans="1:42" customHeight="1" ht="11.5" s="129" customFormat="1">
      <c r="A651" s="139"/>
      <c r="B651" s="140"/>
      <c r="C651" s="141"/>
      <c r="D651" s="142"/>
      <c r="E651" s="143"/>
      <c r="F651" s="144"/>
      <c r="G651" s="145"/>
      <c r="H651" s="144"/>
      <c r="I651" s="145"/>
      <c r="J651" s="146"/>
      <c r="K651" s="145"/>
      <c r="L651" s="146"/>
      <c r="M651" s="145"/>
      <c r="N651" s="146"/>
      <c r="O651" s="145"/>
      <c r="P651" s="146"/>
      <c r="Q651" s="145"/>
      <c r="R651" s="144"/>
      <c r="S651" s="145"/>
      <c r="T651" s="144"/>
      <c r="U651" s="145"/>
      <c r="V651" s="144"/>
      <c r="W651" s="145"/>
      <c r="X651" s="144"/>
      <c r="Y651" s="145"/>
      <c r="Z651" s="144"/>
      <c r="AA651" s="145"/>
      <c r="AB651" s="147"/>
      <c r="AC651" s="145"/>
      <c r="AD651" s="148"/>
      <c r="AE651" s="148"/>
      <c r="AF651" s="149"/>
      <c r="AG651" s="150"/>
    </row>
    <row r="652" spans="1:42" customHeight="1" ht="11.5" s="129" customFormat="1">
      <c r="A652" s="139"/>
      <c r="B652" s="140"/>
      <c r="C652" s="141"/>
      <c r="D652" s="142"/>
      <c r="E652" s="143"/>
      <c r="F652" s="144"/>
      <c r="G652" s="145"/>
      <c r="H652" s="144"/>
      <c r="I652" s="145"/>
      <c r="J652" s="146"/>
      <c r="K652" s="145"/>
      <c r="L652" s="146"/>
      <c r="M652" s="145"/>
      <c r="N652" s="146"/>
      <c r="O652" s="145"/>
      <c r="P652" s="146"/>
      <c r="Q652" s="145"/>
      <c r="R652" s="144"/>
      <c r="S652" s="145"/>
      <c r="T652" s="144"/>
      <c r="U652" s="145"/>
      <c r="V652" s="144"/>
      <c r="W652" s="145"/>
      <c r="X652" s="144"/>
      <c r="Y652" s="145"/>
      <c r="Z652" s="144"/>
      <c r="AA652" s="145"/>
      <c r="AB652" s="147"/>
      <c r="AC652" s="145"/>
      <c r="AD652" s="148"/>
      <c r="AE652" s="148"/>
      <c r="AF652" s="149"/>
      <c r="AG652" s="150"/>
    </row>
    <row r="653" spans="1:42" customHeight="1" ht="11.5" s="129" customFormat="1">
      <c r="A653" s="139"/>
      <c r="B653" s="140"/>
      <c r="C653" s="141"/>
      <c r="D653" s="142"/>
      <c r="E653" s="143"/>
      <c r="F653" s="144"/>
      <c r="G653" s="145"/>
      <c r="H653" s="144"/>
      <c r="I653" s="145"/>
      <c r="J653" s="146"/>
      <c r="K653" s="145"/>
      <c r="L653" s="146"/>
      <c r="M653" s="145"/>
      <c r="N653" s="146"/>
      <c r="O653" s="145"/>
      <c r="P653" s="146"/>
      <c r="Q653" s="145"/>
      <c r="R653" s="144"/>
      <c r="S653" s="145"/>
      <c r="T653" s="144"/>
      <c r="U653" s="145"/>
      <c r="V653" s="144"/>
      <c r="W653" s="145"/>
      <c r="X653" s="144"/>
      <c r="Y653" s="145"/>
      <c r="Z653" s="144"/>
      <c r="AA653" s="145"/>
      <c r="AB653" s="147"/>
      <c r="AC653" s="145"/>
      <c r="AD653" s="148"/>
      <c r="AE653" s="148"/>
      <c r="AF653" s="149"/>
      <c r="AG653" s="150"/>
    </row>
    <row r="654" spans="1:42" customHeight="1" ht="11.5" s="129" customFormat="1">
      <c r="A654" s="139"/>
      <c r="B654" s="140"/>
      <c r="C654" s="141"/>
      <c r="D654" s="142"/>
      <c r="E654" s="143"/>
      <c r="F654" s="144"/>
      <c r="G654" s="145"/>
      <c r="H654" s="144"/>
      <c r="I654" s="145"/>
      <c r="J654" s="146"/>
      <c r="K654" s="145"/>
      <c r="L654" s="146"/>
      <c r="M654" s="145"/>
      <c r="N654" s="146"/>
      <c r="O654" s="145"/>
      <c r="P654" s="146"/>
      <c r="Q654" s="145"/>
      <c r="R654" s="144"/>
      <c r="S654" s="145"/>
      <c r="T654" s="144"/>
      <c r="U654" s="145"/>
      <c r="V654" s="144"/>
      <c r="W654" s="145"/>
      <c r="X654" s="144"/>
      <c r="Y654" s="145"/>
      <c r="Z654" s="144"/>
      <c r="AA654" s="145"/>
      <c r="AB654" s="147"/>
      <c r="AC654" s="145"/>
      <c r="AD654" s="148"/>
      <c r="AE654" s="148"/>
      <c r="AF654" s="149"/>
      <c r="AG654" s="150"/>
    </row>
    <row r="655" spans="1:42" customHeight="1" ht="11.5" s="129" customFormat="1">
      <c r="A655" s="139"/>
      <c r="B655" s="140"/>
      <c r="C655" s="141"/>
      <c r="D655" s="142"/>
      <c r="E655" s="143"/>
      <c r="F655" s="144"/>
      <c r="G655" s="145"/>
      <c r="H655" s="144"/>
      <c r="I655" s="145"/>
      <c r="J655" s="146"/>
      <c r="K655" s="145"/>
      <c r="L655" s="146"/>
      <c r="M655" s="145"/>
      <c r="N655" s="146"/>
      <c r="O655" s="145"/>
      <c r="P655" s="146"/>
      <c r="Q655" s="145"/>
      <c r="R655" s="144"/>
      <c r="S655" s="145"/>
      <c r="T655" s="144"/>
      <c r="U655" s="145"/>
      <c r="V655" s="144"/>
      <c r="W655" s="145"/>
      <c r="X655" s="144"/>
      <c r="Y655" s="145"/>
      <c r="Z655" s="144"/>
      <c r="AA655" s="145"/>
      <c r="AB655" s="147"/>
      <c r="AC655" s="145"/>
      <c r="AD655" s="148"/>
      <c r="AE655" s="148"/>
      <c r="AF655" s="149"/>
      <c r="AG655" s="150"/>
    </row>
    <row r="656" spans="1:42" customHeight="1" ht="11.5" s="129" customFormat="1">
      <c r="A656" s="139"/>
      <c r="B656" s="140"/>
      <c r="C656" s="141"/>
      <c r="D656" s="142"/>
      <c r="E656" s="143"/>
      <c r="F656" s="144"/>
      <c r="G656" s="145"/>
      <c r="H656" s="144"/>
      <c r="I656" s="145"/>
      <c r="J656" s="146"/>
      <c r="K656" s="145"/>
      <c r="L656" s="146"/>
      <c r="M656" s="145"/>
      <c r="N656" s="146"/>
      <c r="O656" s="145"/>
      <c r="P656" s="146"/>
      <c r="Q656" s="145"/>
      <c r="R656" s="144"/>
      <c r="S656" s="145"/>
      <c r="T656" s="144"/>
      <c r="U656" s="145"/>
      <c r="V656" s="144"/>
      <c r="W656" s="145"/>
      <c r="X656" s="144"/>
      <c r="Y656" s="145"/>
      <c r="Z656" s="144"/>
      <c r="AA656" s="145"/>
      <c r="AB656" s="147"/>
      <c r="AC656" s="145"/>
      <c r="AD656" s="148"/>
      <c r="AE656" s="148"/>
      <c r="AF656" s="149"/>
      <c r="AG656" s="150"/>
    </row>
    <row r="657" spans="1:42" customHeight="1" ht="11.5" s="129" customFormat="1">
      <c r="A657" s="139"/>
      <c r="B657" s="140"/>
      <c r="C657" s="141"/>
      <c r="D657" s="142"/>
      <c r="E657" s="143"/>
      <c r="F657" s="144"/>
      <c r="G657" s="145"/>
      <c r="H657" s="144"/>
      <c r="I657" s="145"/>
      <c r="J657" s="146"/>
      <c r="K657" s="145"/>
      <c r="L657" s="146"/>
      <c r="M657" s="145"/>
      <c r="N657" s="146"/>
      <c r="O657" s="145"/>
      <c r="P657" s="146"/>
      <c r="Q657" s="145"/>
      <c r="R657" s="144"/>
      <c r="S657" s="145"/>
      <c r="T657" s="144"/>
      <c r="U657" s="145"/>
      <c r="V657" s="144"/>
      <c r="W657" s="145"/>
      <c r="X657" s="144"/>
      <c r="Y657" s="145"/>
      <c r="Z657" s="144"/>
      <c r="AA657" s="145"/>
      <c r="AB657" s="147"/>
      <c r="AC657" s="145"/>
      <c r="AD657" s="148"/>
      <c r="AE657" s="148"/>
      <c r="AF657" s="149"/>
      <c r="AG657" s="150"/>
    </row>
    <row r="658" spans="1:42" customHeight="1" ht="11.5" s="129" customFormat="1">
      <c r="A658" s="139"/>
      <c r="B658" s="140"/>
      <c r="C658" s="141"/>
      <c r="D658" s="142"/>
      <c r="E658" s="143"/>
      <c r="F658" s="144"/>
      <c r="G658" s="145"/>
      <c r="H658" s="144"/>
      <c r="I658" s="145"/>
      <c r="J658" s="146"/>
      <c r="K658" s="145"/>
      <c r="L658" s="146"/>
      <c r="M658" s="145"/>
      <c r="N658" s="146"/>
      <c r="O658" s="145"/>
      <c r="P658" s="146"/>
      <c r="Q658" s="145"/>
      <c r="R658" s="144"/>
      <c r="S658" s="145"/>
      <c r="T658" s="144"/>
      <c r="U658" s="145"/>
      <c r="V658" s="144"/>
      <c r="W658" s="145"/>
      <c r="X658" s="144"/>
      <c r="Y658" s="145"/>
      <c r="Z658" s="144"/>
      <c r="AA658" s="145"/>
      <c r="AB658" s="147"/>
      <c r="AC658" s="145"/>
      <c r="AD658" s="148"/>
      <c r="AE658" s="148"/>
      <c r="AF658" s="149"/>
      <c r="AG658" s="150"/>
    </row>
    <row r="659" spans="1:42" customHeight="1" ht="11.5" s="129" customFormat="1">
      <c r="A659" s="139"/>
      <c r="B659" s="140"/>
      <c r="C659" s="141"/>
      <c r="D659" s="142"/>
      <c r="E659" s="143"/>
      <c r="F659" s="144"/>
      <c r="G659" s="145"/>
      <c r="H659" s="144"/>
      <c r="I659" s="145"/>
      <c r="J659" s="146"/>
      <c r="K659" s="145"/>
      <c r="L659" s="146"/>
      <c r="M659" s="145"/>
      <c r="N659" s="146"/>
      <c r="O659" s="145"/>
      <c r="P659" s="146"/>
      <c r="Q659" s="145"/>
      <c r="R659" s="144"/>
      <c r="S659" s="145"/>
      <c r="T659" s="144"/>
      <c r="U659" s="145"/>
      <c r="V659" s="144"/>
      <c r="W659" s="145"/>
      <c r="X659" s="144"/>
      <c r="Y659" s="145"/>
      <c r="Z659" s="144"/>
      <c r="AA659" s="145"/>
      <c r="AB659" s="147"/>
      <c r="AC659" s="145"/>
      <c r="AD659" s="148"/>
      <c r="AE659" s="148"/>
      <c r="AF659" s="149"/>
      <c r="AG659" s="150"/>
    </row>
    <row r="660" spans="1:42" customHeight="1" ht="11.5" s="129" customFormat="1">
      <c r="A660" s="139"/>
      <c r="B660" s="140"/>
      <c r="C660" s="141"/>
      <c r="D660" s="142"/>
      <c r="E660" s="143"/>
      <c r="F660" s="144"/>
      <c r="G660" s="145"/>
      <c r="H660" s="144"/>
      <c r="I660" s="145"/>
      <c r="J660" s="146"/>
      <c r="K660" s="145"/>
      <c r="L660" s="146"/>
      <c r="M660" s="145"/>
      <c r="N660" s="146"/>
      <c r="O660" s="145"/>
      <c r="P660" s="146"/>
      <c r="Q660" s="145"/>
      <c r="R660" s="144"/>
      <c r="S660" s="145"/>
      <c r="T660" s="144"/>
      <c r="U660" s="145"/>
      <c r="V660" s="144"/>
      <c r="W660" s="145"/>
      <c r="X660" s="144"/>
      <c r="Y660" s="145"/>
      <c r="Z660" s="144"/>
      <c r="AA660" s="145"/>
      <c r="AB660" s="147"/>
      <c r="AC660" s="145"/>
      <c r="AD660" s="148"/>
      <c r="AE660" s="148"/>
      <c r="AF660" s="149"/>
      <c r="AG660" s="150"/>
    </row>
    <row r="661" spans="1:42" customHeight="1" ht="11.5" s="129" customFormat="1">
      <c r="A661" s="139"/>
      <c r="B661" s="140"/>
      <c r="C661" s="141"/>
      <c r="D661" s="142"/>
      <c r="E661" s="143"/>
      <c r="F661" s="144"/>
      <c r="G661" s="145"/>
      <c r="H661" s="144"/>
      <c r="I661" s="145"/>
      <c r="J661" s="146"/>
      <c r="K661" s="145"/>
      <c r="L661" s="146"/>
      <c r="M661" s="145"/>
      <c r="N661" s="146"/>
      <c r="O661" s="145"/>
      <c r="P661" s="146"/>
      <c r="Q661" s="145"/>
      <c r="R661" s="144"/>
      <c r="S661" s="145"/>
      <c r="T661" s="144"/>
      <c r="U661" s="145"/>
      <c r="V661" s="144"/>
      <c r="W661" s="145"/>
      <c r="X661" s="144"/>
      <c r="Y661" s="145"/>
      <c r="Z661" s="144"/>
      <c r="AA661" s="145"/>
      <c r="AB661" s="147"/>
      <c r="AC661" s="145"/>
      <c r="AD661" s="148"/>
      <c r="AE661" s="148"/>
      <c r="AF661" s="149"/>
      <c r="AG661" s="150"/>
    </row>
    <row r="662" spans="1:42" customHeight="1" ht="11.5" s="129" customFormat="1">
      <c r="A662" s="139"/>
      <c r="B662" s="140"/>
      <c r="C662" s="141"/>
      <c r="D662" s="142"/>
      <c r="E662" s="143"/>
      <c r="F662" s="144"/>
      <c r="G662" s="145"/>
      <c r="H662" s="144"/>
      <c r="I662" s="145"/>
      <c r="J662" s="146"/>
      <c r="K662" s="145"/>
      <c r="L662" s="146"/>
      <c r="M662" s="145"/>
      <c r="N662" s="146"/>
      <c r="O662" s="145"/>
      <c r="P662" s="146"/>
      <c r="Q662" s="145"/>
      <c r="R662" s="144"/>
      <c r="S662" s="145"/>
      <c r="T662" s="144"/>
      <c r="U662" s="145"/>
      <c r="V662" s="144"/>
      <c r="W662" s="145"/>
      <c r="X662" s="144"/>
      <c r="Y662" s="145"/>
      <c r="Z662" s="144"/>
      <c r="AA662" s="145"/>
      <c r="AB662" s="147"/>
      <c r="AC662" s="145"/>
      <c r="AD662" s="148"/>
      <c r="AE662" s="148"/>
      <c r="AF662" s="149"/>
      <c r="AG662" s="150"/>
    </row>
    <row r="663" spans="1:42" customHeight="1" ht="11.5" s="129" customFormat="1">
      <c r="A663" s="139"/>
      <c r="B663" s="140"/>
      <c r="C663" s="141"/>
      <c r="D663" s="142"/>
      <c r="E663" s="143"/>
      <c r="F663" s="144"/>
      <c r="G663" s="145"/>
      <c r="H663" s="144"/>
      <c r="I663" s="145"/>
      <c r="J663" s="146"/>
      <c r="K663" s="145"/>
      <c r="L663" s="146"/>
      <c r="M663" s="145"/>
      <c r="N663" s="146"/>
      <c r="O663" s="145"/>
      <c r="P663" s="146"/>
      <c r="Q663" s="145"/>
      <c r="R663" s="144"/>
      <c r="S663" s="145"/>
      <c r="T663" s="144"/>
      <c r="U663" s="145"/>
      <c r="V663" s="144"/>
      <c r="W663" s="145"/>
      <c r="X663" s="144"/>
      <c r="Y663" s="145"/>
      <c r="Z663" s="144"/>
      <c r="AA663" s="145"/>
      <c r="AB663" s="147"/>
      <c r="AC663" s="145"/>
      <c r="AD663" s="148"/>
      <c r="AE663" s="148"/>
      <c r="AF663" s="149"/>
      <c r="AG663" s="150"/>
    </row>
    <row r="664" spans="1:42" customHeight="1" ht="11.5" s="129" customFormat="1">
      <c r="A664" s="139"/>
      <c r="B664" s="140"/>
      <c r="C664" s="141"/>
      <c r="D664" s="142"/>
      <c r="E664" s="143"/>
      <c r="F664" s="144"/>
      <c r="G664" s="145"/>
      <c r="H664" s="144"/>
      <c r="I664" s="145"/>
      <c r="J664" s="146"/>
      <c r="K664" s="145"/>
      <c r="L664" s="146"/>
      <c r="M664" s="145"/>
      <c r="N664" s="146"/>
      <c r="O664" s="145"/>
      <c r="P664" s="146"/>
      <c r="Q664" s="145"/>
      <c r="R664" s="144"/>
      <c r="S664" s="145"/>
      <c r="T664" s="144"/>
      <c r="U664" s="145"/>
      <c r="V664" s="144"/>
      <c r="W664" s="145"/>
      <c r="X664" s="144"/>
      <c r="Y664" s="145"/>
      <c r="Z664" s="144"/>
      <c r="AA664" s="145"/>
      <c r="AB664" s="147"/>
      <c r="AC664" s="145"/>
      <c r="AD664" s="148"/>
      <c r="AE664" s="148"/>
      <c r="AF664" s="149"/>
      <c r="AG664" s="150"/>
    </row>
    <row r="665" spans="1:42" customHeight="1" ht="11.5" s="129" customFormat="1">
      <c r="A665" s="139"/>
      <c r="B665" s="140"/>
      <c r="C665" s="141"/>
      <c r="D665" s="142"/>
      <c r="E665" s="143"/>
      <c r="F665" s="144"/>
      <c r="G665" s="145"/>
      <c r="H665" s="144"/>
      <c r="I665" s="145"/>
      <c r="J665" s="146"/>
      <c r="K665" s="145"/>
      <c r="L665" s="146"/>
      <c r="M665" s="145"/>
      <c r="N665" s="146"/>
      <c r="O665" s="145"/>
      <c r="P665" s="146"/>
      <c r="Q665" s="145"/>
      <c r="R665" s="144"/>
      <c r="S665" s="145"/>
      <c r="T665" s="144"/>
      <c r="U665" s="145"/>
      <c r="V665" s="144"/>
      <c r="W665" s="145"/>
      <c r="X665" s="144"/>
      <c r="Y665" s="145"/>
      <c r="Z665" s="144"/>
      <c r="AA665" s="145"/>
      <c r="AB665" s="147"/>
      <c r="AC665" s="145"/>
      <c r="AD665" s="148"/>
      <c r="AE665" s="148"/>
      <c r="AF665" s="149"/>
      <c r="AG665" s="150"/>
    </row>
    <row r="666" spans="1:42" customHeight="1" ht="11.5" s="129" customFormat="1">
      <c r="A666" s="139"/>
      <c r="B666" s="140"/>
      <c r="C666" s="141"/>
      <c r="D666" s="142"/>
      <c r="E666" s="143"/>
      <c r="F666" s="144"/>
      <c r="G666" s="145"/>
      <c r="H666" s="144"/>
      <c r="I666" s="145"/>
      <c r="J666" s="146"/>
      <c r="K666" s="145"/>
      <c r="L666" s="146"/>
      <c r="M666" s="145"/>
      <c r="N666" s="146"/>
      <c r="O666" s="145"/>
      <c r="P666" s="146"/>
      <c r="Q666" s="145"/>
      <c r="R666" s="144"/>
      <c r="S666" s="145"/>
      <c r="T666" s="144"/>
      <c r="U666" s="145"/>
      <c r="V666" s="144"/>
      <c r="W666" s="145"/>
      <c r="X666" s="144"/>
      <c r="Y666" s="145"/>
      <c r="Z666" s="144"/>
      <c r="AA666" s="145"/>
      <c r="AB666" s="147"/>
      <c r="AC666" s="145"/>
      <c r="AD666" s="148"/>
      <c r="AE666" s="148"/>
      <c r="AF666" s="149"/>
      <c r="AG666" s="150"/>
    </row>
    <row r="667" spans="1:42" customHeight="1" ht="11.5" s="129" customFormat="1">
      <c r="A667" s="139"/>
      <c r="B667" s="140"/>
      <c r="C667" s="141"/>
      <c r="D667" s="142"/>
      <c r="E667" s="143"/>
      <c r="F667" s="144"/>
      <c r="G667" s="145"/>
      <c r="H667" s="144"/>
      <c r="I667" s="145"/>
      <c r="J667" s="146"/>
      <c r="K667" s="145"/>
      <c r="L667" s="146"/>
      <c r="M667" s="145"/>
      <c r="N667" s="146"/>
      <c r="O667" s="145"/>
      <c r="P667" s="146"/>
      <c r="Q667" s="145"/>
      <c r="R667" s="144"/>
      <c r="S667" s="145"/>
      <c r="T667" s="144"/>
      <c r="U667" s="145"/>
      <c r="V667" s="144"/>
      <c r="W667" s="145"/>
      <c r="X667" s="144"/>
      <c r="Y667" s="145"/>
      <c r="Z667" s="144"/>
      <c r="AA667" s="145"/>
      <c r="AB667" s="147"/>
      <c r="AC667" s="145"/>
      <c r="AD667" s="148"/>
      <c r="AE667" s="148"/>
      <c r="AF667" s="149"/>
      <c r="AG667" s="150"/>
    </row>
    <row r="668" spans="1:42" customHeight="1" ht="11.5" s="129" customFormat="1">
      <c r="A668" s="139"/>
      <c r="B668" s="140"/>
      <c r="C668" s="141"/>
      <c r="D668" s="142"/>
      <c r="E668" s="143"/>
      <c r="F668" s="144"/>
      <c r="G668" s="145"/>
      <c r="H668" s="144"/>
      <c r="I668" s="145"/>
      <c r="J668" s="146"/>
      <c r="K668" s="145"/>
      <c r="L668" s="146"/>
      <c r="M668" s="145"/>
      <c r="N668" s="146"/>
      <c r="O668" s="145"/>
      <c r="P668" s="146"/>
      <c r="Q668" s="145"/>
      <c r="R668" s="144"/>
      <c r="S668" s="145"/>
      <c r="T668" s="144"/>
      <c r="U668" s="145"/>
      <c r="V668" s="144"/>
      <c r="W668" s="145"/>
      <c r="X668" s="144"/>
      <c r="Y668" s="145"/>
      <c r="Z668" s="144"/>
      <c r="AA668" s="145"/>
      <c r="AB668" s="147"/>
      <c r="AC668" s="145"/>
      <c r="AD668" s="148"/>
      <c r="AE668" s="148"/>
      <c r="AF668" s="149"/>
      <c r="AG668" s="150"/>
    </row>
    <row r="669" spans="1:42" customHeight="1" ht="11.5" s="129" customFormat="1">
      <c r="A669" s="139"/>
      <c r="B669" s="140"/>
      <c r="C669" s="141"/>
      <c r="D669" s="142"/>
      <c r="E669" s="143"/>
      <c r="F669" s="144"/>
      <c r="G669" s="145"/>
      <c r="H669" s="144"/>
      <c r="I669" s="145"/>
      <c r="J669" s="146"/>
      <c r="K669" s="145"/>
      <c r="L669" s="146"/>
      <c r="M669" s="145"/>
      <c r="N669" s="146"/>
      <c r="O669" s="145"/>
      <c r="P669" s="146"/>
      <c r="Q669" s="145"/>
      <c r="R669" s="144"/>
      <c r="S669" s="145"/>
      <c r="T669" s="144"/>
      <c r="U669" s="145"/>
      <c r="V669" s="144"/>
      <c r="W669" s="145"/>
      <c r="X669" s="144"/>
      <c r="Y669" s="145"/>
      <c r="Z669" s="144"/>
      <c r="AA669" s="145"/>
      <c r="AB669" s="147"/>
      <c r="AC669" s="145"/>
      <c r="AD669" s="148"/>
      <c r="AE669" s="148"/>
      <c r="AF669" s="149"/>
      <c r="AG669" s="150"/>
    </row>
    <row r="670" spans="1:42" customHeight="1" ht="11.5" s="129" customFormat="1">
      <c r="A670" s="139"/>
      <c r="B670" s="140"/>
      <c r="C670" s="141"/>
      <c r="D670" s="142"/>
      <c r="E670" s="143"/>
      <c r="F670" s="144"/>
      <c r="G670" s="145"/>
      <c r="H670" s="144"/>
      <c r="I670" s="145"/>
      <c r="J670" s="146"/>
      <c r="K670" s="145"/>
      <c r="L670" s="146"/>
      <c r="M670" s="145"/>
      <c r="N670" s="146"/>
      <c r="O670" s="145"/>
      <c r="P670" s="146"/>
      <c r="Q670" s="145"/>
      <c r="R670" s="144"/>
      <c r="S670" s="145"/>
      <c r="T670" s="144"/>
      <c r="U670" s="145"/>
      <c r="V670" s="144"/>
      <c r="W670" s="145"/>
      <c r="X670" s="144"/>
      <c r="Y670" s="145"/>
      <c r="Z670" s="144"/>
      <c r="AA670" s="145"/>
      <c r="AB670" s="147"/>
      <c r="AC670" s="145"/>
      <c r="AD670" s="148"/>
      <c r="AE670" s="148"/>
      <c r="AF670" s="149"/>
      <c r="AG670" s="150"/>
    </row>
    <row r="671" spans="1:42" customHeight="1" ht="11.5" s="129" customFormat="1">
      <c r="A671" s="139"/>
      <c r="B671" s="152"/>
      <c r="C671" s="153"/>
      <c r="D671" s="142"/>
      <c r="E671" s="143"/>
      <c r="F671" s="144"/>
      <c r="G671" s="145"/>
      <c r="H671" s="144"/>
      <c r="I671" s="145"/>
      <c r="J671" s="146"/>
      <c r="K671" s="145"/>
      <c r="L671" s="146"/>
      <c r="M671" s="145"/>
      <c r="N671" s="146"/>
      <c r="O671" s="145"/>
      <c r="P671" s="146"/>
      <c r="Q671" s="145"/>
      <c r="R671" s="144"/>
      <c r="S671" s="145"/>
      <c r="T671" s="144"/>
      <c r="U671" s="145"/>
      <c r="V671" s="144"/>
      <c r="W671" s="145"/>
      <c r="X671" s="144"/>
      <c r="Y671" s="145"/>
      <c r="Z671" s="144"/>
      <c r="AA671" s="145"/>
      <c r="AB671" s="147"/>
      <c r="AC671" s="145"/>
      <c r="AD671" s="148"/>
      <c r="AE671" s="148"/>
      <c r="AF671" s="149"/>
      <c r="AG671" s="150"/>
    </row>
    <row r="672" spans="1:42" customHeight="1" ht="11.5" s="129" customFormat="1">
      <c r="A672" s="139"/>
      <c r="B672" s="152"/>
      <c r="C672" s="153"/>
      <c r="D672" s="142"/>
      <c r="E672" s="143"/>
      <c r="F672" s="144"/>
      <c r="G672" s="145"/>
      <c r="H672" s="144"/>
      <c r="I672" s="145"/>
      <c r="J672" s="146"/>
      <c r="K672" s="145"/>
      <c r="L672" s="146"/>
      <c r="M672" s="145"/>
      <c r="N672" s="146"/>
      <c r="O672" s="145"/>
      <c r="P672" s="146"/>
      <c r="Q672" s="145"/>
      <c r="R672" s="144"/>
      <c r="S672" s="145"/>
      <c r="T672" s="144"/>
      <c r="U672" s="145"/>
      <c r="V672" s="144"/>
      <c r="W672" s="145"/>
      <c r="X672" s="144"/>
      <c r="Y672" s="145"/>
      <c r="Z672" s="144"/>
      <c r="AA672" s="145"/>
      <c r="AB672" s="147"/>
      <c r="AC672" s="145"/>
      <c r="AD672" s="148"/>
      <c r="AE672" s="148"/>
      <c r="AF672" s="149"/>
      <c r="AG672" s="150"/>
    </row>
    <row r="673" spans="1:42" customHeight="1" ht="11.5" s="129" customFormat="1">
      <c r="A673" s="139"/>
      <c r="B673" s="152"/>
      <c r="C673" s="153"/>
      <c r="D673" s="142"/>
      <c r="E673" s="143"/>
      <c r="F673" s="144"/>
      <c r="G673" s="145"/>
      <c r="H673" s="144"/>
      <c r="I673" s="145"/>
      <c r="J673" s="146"/>
      <c r="K673" s="145"/>
      <c r="L673" s="146"/>
      <c r="M673" s="145"/>
      <c r="N673" s="146"/>
      <c r="O673" s="145"/>
      <c r="P673" s="146"/>
      <c r="Q673" s="145"/>
      <c r="R673" s="144"/>
      <c r="S673" s="145"/>
      <c r="T673" s="144"/>
      <c r="U673" s="145"/>
      <c r="V673" s="144"/>
      <c r="W673" s="145"/>
      <c r="X673" s="144"/>
      <c r="Y673" s="145"/>
      <c r="Z673" s="144"/>
      <c r="AA673" s="145"/>
      <c r="AB673" s="147"/>
      <c r="AC673" s="145"/>
      <c r="AD673" s="148"/>
      <c r="AE673" s="148"/>
      <c r="AF673" s="149"/>
      <c r="AG673" s="150"/>
    </row>
    <row r="674" spans="1:42" customHeight="1" ht="11.5" s="129" customFormat="1">
      <c r="A674" s="139"/>
      <c r="B674" s="152"/>
      <c r="C674" s="153"/>
      <c r="D674" s="142"/>
      <c r="E674" s="143"/>
      <c r="F674" s="144"/>
      <c r="G674" s="145"/>
      <c r="H674" s="144"/>
      <c r="I674" s="145"/>
      <c r="J674" s="146"/>
      <c r="K674" s="145"/>
      <c r="L674" s="146"/>
      <c r="M674" s="145"/>
      <c r="N674" s="146"/>
      <c r="O674" s="145"/>
      <c r="P674" s="146"/>
      <c r="Q674" s="145"/>
      <c r="R674" s="144"/>
      <c r="S674" s="145"/>
      <c r="T674" s="144"/>
      <c r="U674" s="145"/>
      <c r="V674" s="144"/>
      <c r="W674" s="145"/>
      <c r="X674" s="144"/>
      <c r="Y674" s="145"/>
      <c r="Z674" s="144"/>
      <c r="AA674" s="145"/>
      <c r="AB674" s="147"/>
      <c r="AC674" s="145"/>
      <c r="AD674" s="148"/>
      <c r="AE674" s="148"/>
      <c r="AF674" s="149"/>
      <c r="AG674" s="150"/>
    </row>
    <row r="675" spans="1:42" customHeight="1" ht="11.5" s="129" customFormat="1">
      <c r="A675" s="139"/>
      <c r="B675" s="140"/>
      <c r="C675" s="141"/>
      <c r="D675" s="142"/>
      <c r="E675" s="143"/>
      <c r="F675" s="144"/>
      <c r="G675" s="145"/>
      <c r="H675" s="144"/>
      <c r="I675" s="145"/>
      <c r="J675" s="146"/>
      <c r="K675" s="145"/>
      <c r="L675" s="146"/>
      <c r="M675" s="145"/>
      <c r="N675" s="146"/>
      <c r="O675" s="145"/>
      <c r="P675" s="146"/>
      <c r="Q675" s="145"/>
      <c r="R675" s="144"/>
      <c r="S675" s="145"/>
      <c r="T675" s="144"/>
      <c r="U675" s="145"/>
      <c r="V675" s="144"/>
      <c r="W675" s="145"/>
      <c r="X675" s="144"/>
      <c r="Y675" s="145"/>
      <c r="Z675" s="144"/>
      <c r="AA675" s="145"/>
      <c r="AB675" s="147"/>
      <c r="AC675" s="145"/>
      <c r="AD675" s="148"/>
      <c r="AE675" s="148"/>
      <c r="AF675" s="149"/>
      <c r="AG675" s="150"/>
    </row>
    <row r="676" spans="1:42" customHeight="1" ht="11.5" s="129" customFormat="1">
      <c r="A676" s="139"/>
      <c r="B676" s="140"/>
      <c r="C676" s="141"/>
      <c r="D676" s="142"/>
      <c r="E676" s="143"/>
      <c r="F676" s="144"/>
      <c r="G676" s="145"/>
      <c r="H676" s="144"/>
      <c r="I676" s="145"/>
      <c r="J676" s="146"/>
      <c r="K676" s="145"/>
      <c r="L676" s="146"/>
      <c r="M676" s="145"/>
      <c r="N676" s="146"/>
      <c r="O676" s="145"/>
      <c r="P676" s="146"/>
      <c r="Q676" s="145"/>
      <c r="R676" s="144"/>
      <c r="S676" s="145"/>
      <c r="T676" s="144"/>
      <c r="U676" s="145"/>
      <c r="V676" s="144"/>
      <c r="W676" s="145"/>
      <c r="X676" s="144"/>
      <c r="Y676" s="145"/>
      <c r="Z676" s="144"/>
      <c r="AA676" s="145"/>
      <c r="AB676" s="147"/>
      <c r="AC676" s="145"/>
      <c r="AD676" s="148"/>
      <c r="AE676" s="148"/>
      <c r="AF676" s="149"/>
      <c r="AG676" s="150"/>
    </row>
    <row r="677" spans="1:42" customHeight="1" ht="11.5" s="129" customFormat="1">
      <c r="A677" s="139"/>
      <c r="B677" s="140"/>
      <c r="C677" s="141"/>
      <c r="D677" s="142"/>
      <c r="E677" s="143"/>
      <c r="F677" s="144"/>
      <c r="G677" s="145"/>
      <c r="H677" s="144"/>
      <c r="I677" s="145"/>
      <c r="J677" s="146"/>
      <c r="K677" s="145"/>
      <c r="L677" s="146"/>
      <c r="M677" s="145"/>
      <c r="N677" s="146"/>
      <c r="O677" s="145"/>
      <c r="P677" s="146"/>
      <c r="Q677" s="145"/>
      <c r="R677" s="144"/>
      <c r="S677" s="145"/>
      <c r="T677" s="144"/>
      <c r="U677" s="145"/>
      <c r="V677" s="144"/>
      <c r="W677" s="145"/>
      <c r="X677" s="144"/>
      <c r="Y677" s="145"/>
      <c r="Z677" s="144"/>
      <c r="AA677" s="145"/>
      <c r="AB677" s="147"/>
      <c r="AC677" s="145"/>
      <c r="AD677" s="148"/>
      <c r="AE677" s="148"/>
      <c r="AF677" s="149"/>
      <c r="AG677" s="150"/>
    </row>
    <row r="678" spans="1:42" customHeight="1" ht="11.5" s="129" customFormat="1">
      <c r="A678" s="139"/>
      <c r="B678" s="140"/>
      <c r="C678" s="141"/>
      <c r="D678" s="142"/>
      <c r="E678" s="143"/>
      <c r="F678" s="144"/>
      <c r="G678" s="145"/>
      <c r="H678" s="144"/>
      <c r="I678" s="145"/>
      <c r="J678" s="146"/>
      <c r="K678" s="145"/>
      <c r="L678" s="146"/>
      <c r="M678" s="145"/>
      <c r="N678" s="146"/>
      <c r="O678" s="145"/>
      <c r="P678" s="146"/>
      <c r="Q678" s="145"/>
      <c r="R678" s="144"/>
      <c r="S678" s="145"/>
      <c r="T678" s="144"/>
      <c r="U678" s="145"/>
      <c r="V678" s="144"/>
      <c r="W678" s="145"/>
      <c r="X678" s="144"/>
      <c r="Y678" s="145"/>
      <c r="Z678" s="144"/>
      <c r="AA678" s="145"/>
      <c r="AB678" s="147"/>
      <c r="AC678" s="145"/>
      <c r="AD678" s="148"/>
      <c r="AE678" s="148"/>
      <c r="AF678" s="149"/>
      <c r="AG678" s="150"/>
    </row>
    <row r="679" spans="1:42" customHeight="1" ht="11.5" s="129" customFormat="1">
      <c r="A679" s="139"/>
      <c r="B679" s="140"/>
      <c r="C679" s="141"/>
      <c r="D679" s="142"/>
      <c r="E679" s="143"/>
      <c r="F679" s="144"/>
      <c r="G679" s="145"/>
      <c r="H679" s="144"/>
      <c r="I679" s="145"/>
      <c r="J679" s="146"/>
      <c r="K679" s="145"/>
      <c r="L679" s="146"/>
      <c r="M679" s="145"/>
      <c r="N679" s="146"/>
      <c r="O679" s="145"/>
      <c r="P679" s="146"/>
      <c r="Q679" s="145"/>
      <c r="R679" s="144"/>
      <c r="S679" s="145"/>
      <c r="T679" s="144"/>
      <c r="U679" s="145"/>
      <c r="V679" s="144"/>
      <c r="W679" s="145"/>
      <c r="X679" s="144"/>
      <c r="Y679" s="145"/>
      <c r="Z679" s="144"/>
      <c r="AA679" s="145"/>
      <c r="AB679" s="147"/>
      <c r="AC679" s="145"/>
      <c r="AD679" s="148"/>
      <c r="AE679" s="148"/>
      <c r="AF679" s="149"/>
      <c r="AG679" s="150"/>
    </row>
    <row r="680" spans="1:42" customHeight="1" ht="11.5" s="129" customFormat="1">
      <c r="A680" s="139"/>
      <c r="B680" s="140"/>
      <c r="C680" s="141"/>
      <c r="D680" s="142"/>
      <c r="E680" s="143"/>
      <c r="F680" s="144"/>
      <c r="G680" s="145"/>
      <c r="H680" s="144"/>
      <c r="I680" s="145"/>
      <c r="J680" s="146"/>
      <c r="K680" s="145"/>
      <c r="L680" s="146"/>
      <c r="M680" s="145"/>
      <c r="N680" s="146"/>
      <c r="O680" s="145"/>
      <c r="P680" s="146"/>
      <c r="Q680" s="145"/>
      <c r="R680" s="144"/>
      <c r="S680" s="145"/>
      <c r="T680" s="144"/>
      <c r="U680" s="145"/>
      <c r="V680" s="144"/>
      <c r="W680" s="145"/>
      <c r="X680" s="144"/>
      <c r="Y680" s="145"/>
      <c r="Z680" s="144"/>
      <c r="AA680" s="145"/>
      <c r="AB680" s="147"/>
      <c r="AC680" s="145"/>
      <c r="AD680" s="148"/>
      <c r="AE680" s="148"/>
      <c r="AF680" s="149"/>
      <c r="AG680" s="150"/>
    </row>
    <row r="681" spans="1:42" customHeight="1" ht="11.5" s="129" customFormat="1">
      <c r="A681" s="139"/>
      <c r="B681" s="140"/>
      <c r="C681" s="141"/>
      <c r="D681" s="142"/>
      <c r="E681" s="143"/>
      <c r="F681" s="144"/>
      <c r="G681" s="145"/>
      <c r="H681" s="144"/>
      <c r="I681" s="145"/>
      <c r="J681" s="146"/>
      <c r="K681" s="145"/>
      <c r="L681" s="146"/>
      <c r="M681" s="145"/>
      <c r="N681" s="146"/>
      <c r="O681" s="145"/>
      <c r="P681" s="146"/>
      <c r="Q681" s="145"/>
      <c r="R681" s="144"/>
      <c r="S681" s="145"/>
      <c r="T681" s="144"/>
      <c r="U681" s="145"/>
      <c r="V681" s="144"/>
      <c r="W681" s="145"/>
      <c r="X681" s="144"/>
      <c r="Y681" s="145"/>
      <c r="Z681" s="144"/>
      <c r="AA681" s="145"/>
      <c r="AB681" s="147"/>
      <c r="AC681" s="145"/>
      <c r="AD681" s="148"/>
      <c r="AE681" s="148"/>
      <c r="AF681" s="149"/>
      <c r="AG681" s="150"/>
    </row>
    <row r="682" spans="1:42" customHeight="1" ht="11.5" s="129" customFormat="1">
      <c r="A682" s="139"/>
      <c r="B682" s="140"/>
      <c r="C682" s="141"/>
      <c r="D682" s="142"/>
      <c r="E682" s="143"/>
      <c r="F682" s="144"/>
      <c r="G682" s="145"/>
      <c r="H682" s="144"/>
      <c r="I682" s="145"/>
      <c r="J682" s="146"/>
      <c r="K682" s="145"/>
      <c r="L682" s="146"/>
      <c r="M682" s="145"/>
      <c r="N682" s="146"/>
      <c r="O682" s="145"/>
      <c r="P682" s="146"/>
      <c r="Q682" s="145"/>
      <c r="R682" s="144"/>
      <c r="S682" s="145"/>
      <c r="T682" s="144"/>
      <c r="U682" s="145"/>
      <c r="V682" s="144"/>
      <c r="W682" s="145"/>
      <c r="X682" s="144"/>
      <c r="Y682" s="145"/>
      <c r="Z682" s="144"/>
      <c r="AA682" s="145"/>
      <c r="AB682" s="147"/>
      <c r="AC682" s="145"/>
      <c r="AD682" s="148"/>
      <c r="AE682" s="148"/>
      <c r="AF682" s="149"/>
      <c r="AG682" s="150"/>
    </row>
    <row r="683" spans="1:42" customHeight="1" ht="11.5" s="129" customFormat="1">
      <c r="A683" s="139"/>
      <c r="B683" s="140"/>
      <c r="C683" s="141"/>
      <c r="D683" s="142"/>
      <c r="E683" s="143"/>
      <c r="F683" s="144"/>
      <c r="G683" s="145"/>
      <c r="H683" s="144"/>
      <c r="I683" s="145"/>
      <c r="J683" s="146"/>
      <c r="K683" s="145"/>
      <c r="L683" s="146"/>
      <c r="M683" s="145"/>
      <c r="N683" s="146"/>
      <c r="O683" s="145"/>
      <c r="P683" s="146"/>
      <c r="Q683" s="145"/>
      <c r="R683" s="144"/>
      <c r="S683" s="145"/>
      <c r="T683" s="144"/>
      <c r="U683" s="145"/>
      <c r="V683" s="144"/>
      <c r="W683" s="145"/>
      <c r="X683" s="144"/>
      <c r="Y683" s="145"/>
      <c r="Z683" s="144"/>
      <c r="AA683" s="145"/>
      <c r="AB683" s="147"/>
      <c r="AC683" s="145"/>
      <c r="AD683" s="148"/>
      <c r="AE683" s="148"/>
      <c r="AF683" s="149"/>
      <c r="AG683" s="150"/>
    </row>
    <row r="684" spans="1:42" customHeight="1" ht="11.5" s="129" customFormat="1">
      <c r="A684" s="139"/>
      <c r="B684" s="140"/>
      <c r="C684" s="141"/>
      <c r="D684" s="142"/>
      <c r="E684" s="143"/>
      <c r="F684" s="144"/>
      <c r="G684" s="145"/>
      <c r="H684" s="144"/>
      <c r="I684" s="145"/>
      <c r="J684" s="146"/>
      <c r="K684" s="145"/>
      <c r="L684" s="146"/>
      <c r="M684" s="145"/>
      <c r="N684" s="146"/>
      <c r="O684" s="145"/>
      <c r="P684" s="146"/>
      <c r="Q684" s="145"/>
      <c r="R684" s="144"/>
      <c r="S684" s="145"/>
      <c r="T684" s="144"/>
      <c r="U684" s="145"/>
      <c r="V684" s="144"/>
      <c r="W684" s="145"/>
      <c r="X684" s="144"/>
      <c r="Y684" s="145"/>
      <c r="Z684" s="144"/>
      <c r="AA684" s="145"/>
      <c r="AB684" s="147"/>
      <c r="AC684" s="145"/>
      <c r="AD684" s="148"/>
      <c r="AE684" s="148"/>
      <c r="AF684" s="149"/>
      <c r="AG684" s="150"/>
    </row>
    <row r="685" spans="1:42" customHeight="1" ht="11.5" s="129" customFormat="1">
      <c r="A685" s="139"/>
      <c r="B685" s="140"/>
      <c r="C685" s="141"/>
      <c r="D685" s="142"/>
      <c r="E685" s="143"/>
      <c r="F685" s="144"/>
      <c r="G685" s="145"/>
      <c r="H685" s="144"/>
      <c r="I685" s="145"/>
      <c r="J685" s="146"/>
      <c r="K685" s="145"/>
      <c r="L685" s="146"/>
      <c r="M685" s="145"/>
      <c r="N685" s="146"/>
      <c r="O685" s="145"/>
      <c r="P685" s="146"/>
      <c r="Q685" s="145"/>
      <c r="R685" s="144"/>
      <c r="S685" s="145"/>
      <c r="T685" s="144"/>
      <c r="U685" s="145"/>
      <c r="V685" s="144"/>
      <c r="W685" s="145"/>
      <c r="X685" s="144"/>
      <c r="Y685" s="145"/>
      <c r="Z685" s="144"/>
      <c r="AA685" s="145"/>
      <c r="AB685" s="147"/>
      <c r="AC685" s="145"/>
      <c r="AD685" s="148"/>
      <c r="AE685" s="148"/>
      <c r="AF685" s="149"/>
      <c r="AG685" s="150"/>
    </row>
    <row r="686" spans="1:42" customHeight="1" ht="11.5" s="129" customFormat="1">
      <c r="A686" s="139"/>
      <c r="B686" s="140"/>
      <c r="C686" s="141"/>
      <c r="D686" s="142"/>
      <c r="E686" s="143"/>
      <c r="F686" s="144"/>
      <c r="G686" s="145"/>
      <c r="H686" s="144"/>
      <c r="I686" s="145"/>
      <c r="J686" s="146"/>
      <c r="K686" s="145"/>
      <c r="L686" s="146"/>
      <c r="M686" s="145"/>
      <c r="N686" s="146"/>
      <c r="O686" s="145"/>
      <c r="P686" s="146"/>
      <c r="Q686" s="145"/>
      <c r="R686" s="144"/>
      <c r="S686" s="145"/>
      <c r="T686" s="144"/>
      <c r="U686" s="145"/>
      <c r="V686" s="144"/>
      <c r="W686" s="145"/>
      <c r="X686" s="144"/>
      <c r="Y686" s="145"/>
      <c r="Z686" s="144"/>
      <c r="AA686" s="145"/>
      <c r="AB686" s="147"/>
      <c r="AC686" s="145"/>
      <c r="AD686" s="148"/>
      <c r="AE686" s="148"/>
      <c r="AF686" s="149"/>
      <c r="AG686" s="150"/>
    </row>
    <row r="687" spans="1:42" customHeight="1" ht="11.5" s="129" customFormat="1">
      <c r="A687" s="139"/>
      <c r="B687" s="140"/>
      <c r="C687" s="141"/>
      <c r="D687" s="142"/>
      <c r="E687" s="143"/>
      <c r="F687" s="144"/>
      <c r="G687" s="145"/>
      <c r="H687" s="144"/>
      <c r="I687" s="145"/>
      <c r="J687" s="146"/>
      <c r="K687" s="145"/>
      <c r="L687" s="146"/>
      <c r="M687" s="145"/>
      <c r="N687" s="146"/>
      <c r="O687" s="145"/>
      <c r="P687" s="146"/>
      <c r="Q687" s="145"/>
      <c r="R687" s="144"/>
      <c r="S687" s="145"/>
      <c r="T687" s="144"/>
      <c r="U687" s="145"/>
      <c r="V687" s="144"/>
      <c r="W687" s="145"/>
      <c r="X687" s="144"/>
      <c r="Y687" s="145"/>
      <c r="Z687" s="144"/>
      <c r="AA687" s="145"/>
      <c r="AB687" s="147"/>
      <c r="AC687" s="145"/>
      <c r="AD687" s="148"/>
      <c r="AE687" s="148"/>
      <c r="AF687" s="149"/>
      <c r="AG687" s="150"/>
    </row>
    <row r="688" spans="1:42" customHeight="1" ht="11.5" s="129" customFormat="1">
      <c r="A688" s="139"/>
      <c r="B688" s="140"/>
      <c r="C688" s="141"/>
      <c r="D688" s="142"/>
      <c r="E688" s="143"/>
      <c r="F688" s="144"/>
      <c r="G688" s="145"/>
      <c r="H688" s="144"/>
      <c r="I688" s="145"/>
      <c r="J688" s="146"/>
      <c r="K688" s="145"/>
      <c r="L688" s="146"/>
      <c r="M688" s="145"/>
      <c r="N688" s="146"/>
      <c r="O688" s="145"/>
      <c r="P688" s="146"/>
      <c r="Q688" s="145"/>
      <c r="R688" s="144"/>
      <c r="S688" s="145"/>
      <c r="T688" s="144"/>
      <c r="U688" s="145"/>
      <c r="V688" s="144"/>
      <c r="W688" s="145"/>
      <c r="X688" s="144"/>
      <c r="Y688" s="145"/>
      <c r="Z688" s="144"/>
      <c r="AA688" s="145"/>
      <c r="AB688" s="147"/>
      <c r="AC688" s="145"/>
      <c r="AD688" s="148"/>
      <c r="AE688" s="148"/>
      <c r="AF688" s="149"/>
      <c r="AG688" s="150"/>
    </row>
    <row r="689" spans="1:42" customHeight="1" ht="11.5" s="129" customFormat="1">
      <c r="A689" s="139"/>
      <c r="B689" s="140"/>
      <c r="C689" s="141"/>
      <c r="D689" s="142"/>
      <c r="E689" s="143"/>
      <c r="F689" s="144"/>
      <c r="G689" s="145"/>
      <c r="H689" s="144"/>
      <c r="I689" s="145"/>
      <c r="J689" s="146"/>
      <c r="K689" s="145"/>
      <c r="L689" s="146"/>
      <c r="M689" s="145"/>
      <c r="N689" s="146"/>
      <c r="O689" s="145"/>
      <c r="P689" s="146"/>
      <c r="Q689" s="145"/>
      <c r="R689" s="144"/>
      <c r="S689" s="145"/>
      <c r="T689" s="144"/>
      <c r="U689" s="145"/>
      <c r="V689" s="144"/>
      <c r="W689" s="145"/>
      <c r="X689" s="144"/>
      <c r="Y689" s="145"/>
      <c r="Z689" s="144"/>
      <c r="AA689" s="145"/>
      <c r="AB689" s="147"/>
      <c r="AC689" s="145"/>
      <c r="AD689" s="148"/>
      <c r="AE689" s="148"/>
      <c r="AF689" s="149"/>
      <c r="AG689" s="150"/>
    </row>
    <row r="690" spans="1:42" customHeight="1" ht="11.5" s="129" customFormat="1">
      <c r="A690" s="139"/>
      <c r="B690" s="140"/>
      <c r="C690" s="141"/>
      <c r="D690" s="142"/>
      <c r="E690" s="143"/>
      <c r="F690" s="144"/>
      <c r="G690" s="145"/>
      <c r="H690" s="144"/>
      <c r="I690" s="145"/>
      <c r="J690" s="146"/>
      <c r="K690" s="145"/>
      <c r="L690" s="146"/>
      <c r="M690" s="145"/>
      <c r="N690" s="146"/>
      <c r="O690" s="145"/>
      <c r="P690" s="146"/>
      <c r="Q690" s="145"/>
      <c r="R690" s="144"/>
      <c r="S690" s="145"/>
      <c r="T690" s="144"/>
      <c r="U690" s="145"/>
      <c r="V690" s="144"/>
      <c r="W690" s="145"/>
      <c r="X690" s="144"/>
      <c r="Y690" s="145"/>
      <c r="Z690" s="144"/>
      <c r="AA690" s="145"/>
      <c r="AB690" s="147"/>
      <c r="AC690" s="145"/>
      <c r="AD690" s="148"/>
      <c r="AE690" s="148"/>
      <c r="AF690" s="149"/>
      <c r="AG690" s="150"/>
    </row>
    <row r="691" spans="1:42" customHeight="1" ht="11.5" s="129" customFormat="1">
      <c r="A691" s="139"/>
      <c r="B691" s="140"/>
      <c r="C691" s="141"/>
      <c r="D691" s="142"/>
      <c r="E691" s="143"/>
      <c r="F691" s="144"/>
      <c r="G691" s="145"/>
      <c r="H691" s="144"/>
      <c r="I691" s="145"/>
      <c r="J691" s="146"/>
      <c r="K691" s="145"/>
      <c r="L691" s="146"/>
      <c r="M691" s="145"/>
      <c r="N691" s="146"/>
      <c r="O691" s="145"/>
      <c r="P691" s="146"/>
      <c r="Q691" s="145"/>
      <c r="R691" s="144"/>
      <c r="S691" s="145"/>
      <c r="T691" s="144"/>
      <c r="U691" s="145"/>
      <c r="V691" s="144"/>
      <c r="W691" s="145"/>
      <c r="X691" s="144"/>
      <c r="Y691" s="145"/>
      <c r="Z691" s="144"/>
      <c r="AA691" s="145"/>
      <c r="AB691" s="147"/>
      <c r="AC691" s="145"/>
      <c r="AD691" s="148"/>
      <c r="AE691" s="148"/>
      <c r="AF691" s="149"/>
      <c r="AG691" s="150"/>
    </row>
    <row r="692" spans="1:42" customHeight="1" ht="11.5" s="129" customFormat="1">
      <c r="A692" s="139"/>
      <c r="B692" s="140"/>
      <c r="C692" s="141"/>
      <c r="D692" s="142"/>
      <c r="E692" s="143"/>
      <c r="F692" s="144"/>
      <c r="G692" s="145"/>
      <c r="H692" s="144"/>
      <c r="I692" s="145"/>
      <c r="J692" s="146"/>
      <c r="K692" s="145"/>
      <c r="L692" s="146"/>
      <c r="M692" s="145"/>
      <c r="N692" s="146"/>
      <c r="O692" s="145"/>
      <c r="P692" s="146"/>
      <c r="Q692" s="145"/>
      <c r="R692" s="144"/>
      <c r="S692" s="145"/>
      <c r="T692" s="144"/>
      <c r="U692" s="145"/>
      <c r="V692" s="144"/>
      <c r="W692" s="145"/>
      <c r="X692" s="144"/>
      <c r="Y692" s="145"/>
      <c r="Z692" s="144"/>
      <c r="AA692" s="145"/>
      <c r="AB692" s="147"/>
      <c r="AC692" s="145"/>
      <c r="AD692" s="148"/>
      <c r="AE692" s="148"/>
      <c r="AF692" s="149"/>
      <c r="AG692" s="150"/>
    </row>
    <row r="693" spans="1:42" customHeight="1" ht="11.5" s="129" customFormat="1">
      <c r="A693" s="139"/>
      <c r="B693" s="140"/>
      <c r="C693" s="141"/>
      <c r="D693" s="142"/>
      <c r="E693" s="143"/>
      <c r="F693" s="144"/>
      <c r="G693" s="145"/>
      <c r="H693" s="144"/>
      <c r="I693" s="145"/>
      <c r="J693" s="146"/>
      <c r="K693" s="145"/>
      <c r="L693" s="146"/>
      <c r="M693" s="145"/>
      <c r="N693" s="146"/>
      <c r="O693" s="145"/>
      <c r="P693" s="146"/>
      <c r="Q693" s="145"/>
      <c r="R693" s="144"/>
      <c r="S693" s="145"/>
      <c r="T693" s="144"/>
      <c r="U693" s="145"/>
      <c r="V693" s="144"/>
      <c r="W693" s="145"/>
      <c r="X693" s="144"/>
      <c r="Y693" s="145"/>
      <c r="Z693" s="144"/>
      <c r="AA693" s="145"/>
      <c r="AB693" s="147"/>
      <c r="AC693" s="145"/>
      <c r="AD693" s="148"/>
      <c r="AE693" s="148"/>
      <c r="AF693" s="149"/>
      <c r="AG693" s="150"/>
    </row>
    <row r="694" spans="1:42" customHeight="1" ht="11.5" s="129" customFormat="1">
      <c r="A694" s="139"/>
      <c r="B694" s="140"/>
      <c r="C694" s="141"/>
      <c r="D694" s="142"/>
      <c r="E694" s="143"/>
      <c r="F694" s="144"/>
      <c r="G694" s="145"/>
      <c r="H694" s="144"/>
      <c r="I694" s="145"/>
      <c r="J694" s="146"/>
      <c r="K694" s="145"/>
      <c r="L694" s="146"/>
      <c r="M694" s="145"/>
      <c r="N694" s="146"/>
      <c r="O694" s="145"/>
      <c r="P694" s="146"/>
      <c r="Q694" s="145"/>
      <c r="R694" s="144"/>
      <c r="S694" s="145"/>
      <c r="T694" s="144"/>
      <c r="U694" s="145"/>
      <c r="V694" s="144"/>
      <c r="W694" s="145"/>
      <c r="X694" s="144"/>
      <c r="Y694" s="145"/>
      <c r="Z694" s="144"/>
      <c r="AA694" s="145"/>
      <c r="AB694" s="147"/>
      <c r="AC694" s="145"/>
      <c r="AD694" s="148"/>
      <c r="AE694" s="148"/>
      <c r="AF694" s="149"/>
      <c r="AG694" s="150"/>
    </row>
    <row r="695" spans="1:42" customHeight="1" ht="11.5" s="129" customFormat="1">
      <c r="A695" s="139"/>
      <c r="B695" s="152"/>
      <c r="C695" s="153"/>
      <c r="D695" s="142"/>
      <c r="E695" s="143"/>
      <c r="F695" s="144"/>
      <c r="G695" s="145"/>
      <c r="H695" s="144"/>
      <c r="I695" s="145"/>
      <c r="J695" s="146"/>
      <c r="K695" s="145"/>
      <c r="L695" s="146"/>
      <c r="M695" s="145"/>
      <c r="N695" s="146"/>
      <c r="O695" s="145"/>
      <c r="P695" s="146"/>
      <c r="Q695" s="145"/>
      <c r="R695" s="144"/>
      <c r="S695" s="145"/>
      <c r="T695" s="144"/>
      <c r="U695" s="145"/>
      <c r="V695" s="144"/>
      <c r="W695" s="145"/>
      <c r="X695" s="144"/>
      <c r="Y695" s="145"/>
      <c r="Z695" s="144"/>
      <c r="AA695" s="145"/>
      <c r="AB695" s="147"/>
      <c r="AC695" s="145"/>
      <c r="AD695" s="148"/>
      <c r="AE695" s="148"/>
      <c r="AF695" s="149"/>
      <c r="AG695" s="150"/>
    </row>
    <row r="696" spans="1:42" customHeight="1" ht="11.5" s="129" customFormat="1">
      <c r="A696" s="139"/>
      <c r="B696" s="140"/>
      <c r="C696" s="141"/>
      <c r="D696" s="142"/>
      <c r="E696" s="143"/>
      <c r="F696" s="144"/>
      <c r="G696" s="145"/>
      <c r="H696" s="144"/>
      <c r="I696" s="145"/>
      <c r="J696" s="146"/>
      <c r="K696" s="145"/>
      <c r="L696" s="146"/>
      <c r="M696" s="145"/>
      <c r="N696" s="146"/>
      <c r="O696" s="145"/>
      <c r="P696" s="146"/>
      <c r="Q696" s="145"/>
      <c r="R696" s="144"/>
      <c r="S696" s="145"/>
      <c r="T696" s="144"/>
      <c r="U696" s="145"/>
      <c r="V696" s="144"/>
      <c r="W696" s="145"/>
      <c r="X696" s="144"/>
      <c r="Y696" s="145"/>
      <c r="Z696" s="144"/>
      <c r="AA696" s="145"/>
      <c r="AB696" s="147"/>
      <c r="AC696" s="145"/>
      <c r="AD696" s="148"/>
      <c r="AE696" s="148"/>
      <c r="AF696" s="149"/>
      <c r="AG696" s="150"/>
    </row>
    <row r="697" spans="1:42" customHeight="1" ht="11.5" s="129" customFormat="1">
      <c r="A697" s="139"/>
      <c r="B697" s="140"/>
      <c r="C697" s="141"/>
      <c r="D697" s="142"/>
      <c r="E697" s="143"/>
      <c r="F697" s="144"/>
      <c r="G697" s="145"/>
      <c r="H697" s="144"/>
      <c r="I697" s="145"/>
      <c r="J697" s="146"/>
      <c r="K697" s="145"/>
      <c r="L697" s="146"/>
      <c r="M697" s="145"/>
      <c r="N697" s="146"/>
      <c r="O697" s="145"/>
      <c r="P697" s="146"/>
      <c r="Q697" s="145"/>
      <c r="R697" s="144"/>
      <c r="S697" s="145"/>
      <c r="T697" s="144"/>
      <c r="U697" s="145"/>
      <c r="V697" s="144"/>
      <c r="W697" s="145"/>
      <c r="X697" s="144"/>
      <c r="Y697" s="145"/>
      <c r="Z697" s="144"/>
      <c r="AA697" s="145"/>
      <c r="AB697" s="147"/>
      <c r="AC697" s="145"/>
      <c r="AD697" s="148"/>
      <c r="AE697" s="148"/>
      <c r="AF697" s="149"/>
      <c r="AG697" s="150"/>
    </row>
    <row r="698" spans="1:42" customHeight="1" ht="11.5" s="129" customFormat="1">
      <c r="A698" s="139"/>
      <c r="B698" s="140"/>
      <c r="C698" s="141"/>
      <c r="D698" s="142"/>
      <c r="E698" s="143"/>
      <c r="F698" s="144"/>
      <c r="G698" s="145"/>
      <c r="H698" s="144"/>
      <c r="I698" s="145"/>
      <c r="J698" s="146"/>
      <c r="K698" s="145"/>
      <c r="L698" s="146"/>
      <c r="M698" s="145"/>
      <c r="N698" s="146"/>
      <c r="O698" s="145"/>
      <c r="P698" s="146"/>
      <c r="Q698" s="145"/>
      <c r="R698" s="144"/>
      <c r="S698" s="145"/>
      <c r="T698" s="144"/>
      <c r="U698" s="145"/>
      <c r="V698" s="144"/>
      <c r="W698" s="145"/>
      <c r="X698" s="144"/>
      <c r="Y698" s="145"/>
      <c r="Z698" s="144"/>
      <c r="AA698" s="145"/>
      <c r="AB698" s="147"/>
      <c r="AC698" s="145"/>
      <c r="AD698" s="148"/>
      <c r="AE698" s="148"/>
      <c r="AF698" s="149"/>
      <c r="AG698" s="150"/>
    </row>
    <row r="699" spans="1:42" customHeight="1" ht="11.5" s="129" customFormat="1">
      <c r="A699" s="139"/>
      <c r="B699" s="140"/>
      <c r="C699" s="141"/>
      <c r="D699" s="142"/>
      <c r="E699" s="143"/>
      <c r="F699" s="144"/>
      <c r="G699" s="145"/>
      <c r="H699" s="144"/>
      <c r="I699" s="145"/>
      <c r="J699" s="146"/>
      <c r="K699" s="145"/>
      <c r="L699" s="146"/>
      <c r="M699" s="145"/>
      <c r="N699" s="146"/>
      <c r="O699" s="145"/>
      <c r="P699" s="146"/>
      <c r="Q699" s="145"/>
      <c r="R699" s="144"/>
      <c r="S699" s="145"/>
      <c r="T699" s="144"/>
      <c r="U699" s="145"/>
      <c r="V699" s="144"/>
      <c r="W699" s="145"/>
      <c r="X699" s="144"/>
      <c r="Y699" s="145"/>
      <c r="Z699" s="144"/>
      <c r="AA699" s="145"/>
      <c r="AB699" s="147"/>
      <c r="AC699" s="145"/>
      <c r="AD699" s="148"/>
      <c r="AE699" s="148"/>
      <c r="AF699" s="149"/>
      <c r="AG699" s="150"/>
    </row>
    <row r="700" spans="1:42" customHeight="1" ht="11.5" s="129" customFormat="1">
      <c r="A700" s="139"/>
      <c r="B700" s="140"/>
      <c r="C700" s="141"/>
      <c r="D700" s="142"/>
      <c r="E700" s="143"/>
      <c r="F700" s="144"/>
      <c r="G700" s="145"/>
      <c r="H700" s="144"/>
      <c r="I700" s="145"/>
      <c r="J700" s="146"/>
      <c r="K700" s="145"/>
      <c r="L700" s="146"/>
      <c r="M700" s="145"/>
      <c r="N700" s="146"/>
      <c r="O700" s="145"/>
      <c r="P700" s="146"/>
      <c r="Q700" s="145"/>
      <c r="R700" s="144"/>
      <c r="S700" s="145"/>
      <c r="T700" s="144"/>
      <c r="U700" s="145"/>
      <c r="V700" s="144"/>
      <c r="W700" s="145"/>
      <c r="X700" s="144"/>
      <c r="Y700" s="145"/>
      <c r="Z700" s="144"/>
      <c r="AA700" s="145"/>
      <c r="AB700" s="147"/>
      <c r="AC700" s="145"/>
      <c r="AD700" s="148"/>
      <c r="AE700" s="148"/>
      <c r="AF700" s="149"/>
      <c r="AG700" s="150"/>
    </row>
    <row r="701" spans="1:42" customHeight="1" ht="11.5" s="129" customFormat="1">
      <c r="A701" s="139"/>
      <c r="B701" s="140"/>
      <c r="C701" s="141"/>
      <c r="D701" s="142"/>
      <c r="E701" s="143"/>
      <c r="F701" s="144"/>
      <c r="G701" s="145"/>
      <c r="H701" s="144"/>
      <c r="I701" s="145"/>
      <c r="J701" s="146"/>
      <c r="K701" s="145"/>
      <c r="L701" s="146"/>
      <c r="M701" s="145"/>
      <c r="N701" s="146"/>
      <c r="O701" s="145"/>
      <c r="P701" s="146"/>
      <c r="Q701" s="145"/>
      <c r="R701" s="144"/>
      <c r="S701" s="145"/>
      <c r="T701" s="144"/>
      <c r="U701" s="145"/>
      <c r="V701" s="144"/>
      <c r="W701" s="145"/>
      <c r="X701" s="144"/>
      <c r="Y701" s="145"/>
      <c r="Z701" s="144"/>
      <c r="AA701" s="145"/>
      <c r="AB701" s="147"/>
      <c r="AC701" s="145"/>
      <c r="AD701" s="148"/>
      <c r="AE701" s="148"/>
      <c r="AF701" s="149"/>
      <c r="AG701" s="150"/>
    </row>
    <row r="702" spans="1:42" customHeight="1" ht="11.5" s="129" customFormat="1">
      <c r="A702" s="139"/>
      <c r="B702" s="140"/>
      <c r="C702" s="141"/>
      <c r="D702" s="142"/>
      <c r="E702" s="143"/>
      <c r="F702" s="144"/>
      <c r="G702" s="145"/>
      <c r="H702" s="144"/>
      <c r="I702" s="145"/>
      <c r="J702" s="146"/>
      <c r="K702" s="145"/>
      <c r="L702" s="146"/>
      <c r="M702" s="145"/>
      <c r="N702" s="146"/>
      <c r="O702" s="145"/>
      <c r="P702" s="146"/>
      <c r="Q702" s="145"/>
      <c r="R702" s="144"/>
      <c r="S702" s="145"/>
      <c r="T702" s="144"/>
      <c r="U702" s="145"/>
      <c r="V702" s="144"/>
      <c r="W702" s="145"/>
      <c r="X702" s="144"/>
      <c r="Y702" s="145"/>
      <c r="Z702" s="144"/>
      <c r="AA702" s="145"/>
      <c r="AB702" s="147"/>
      <c r="AC702" s="145"/>
      <c r="AD702" s="148"/>
      <c r="AE702" s="148"/>
      <c r="AF702" s="149"/>
      <c r="AG702" s="150"/>
    </row>
    <row r="703" spans="1:42" customHeight="1" ht="11.5" s="129" customFormat="1">
      <c r="A703" s="139"/>
      <c r="B703" s="140"/>
      <c r="C703" s="141"/>
      <c r="D703" s="142"/>
      <c r="E703" s="143"/>
      <c r="F703" s="144"/>
      <c r="G703" s="145"/>
      <c r="H703" s="144"/>
      <c r="I703" s="145"/>
      <c r="J703" s="146"/>
      <c r="K703" s="145"/>
      <c r="L703" s="146"/>
      <c r="M703" s="145"/>
      <c r="N703" s="146"/>
      <c r="O703" s="145"/>
      <c r="P703" s="146"/>
      <c r="Q703" s="145"/>
      <c r="R703" s="144"/>
      <c r="S703" s="145"/>
      <c r="T703" s="144"/>
      <c r="U703" s="145"/>
      <c r="V703" s="144"/>
      <c r="W703" s="145"/>
      <c r="X703" s="144"/>
      <c r="Y703" s="145"/>
      <c r="Z703" s="144"/>
      <c r="AA703" s="145"/>
      <c r="AB703" s="147"/>
      <c r="AC703" s="145"/>
      <c r="AD703" s="148"/>
      <c r="AE703" s="148"/>
      <c r="AF703" s="149"/>
      <c r="AG703" s="150"/>
    </row>
    <row r="704" spans="1:42" customHeight="1" ht="11.5" s="129" customFormat="1">
      <c r="A704" s="139"/>
      <c r="B704" s="140"/>
      <c r="C704" s="141"/>
      <c r="D704" s="142"/>
      <c r="E704" s="143"/>
      <c r="F704" s="144"/>
      <c r="G704" s="145"/>
      <c r="H704" s="144"/>
      <c r="I704" s="145"/>
      <c r="J704" s="146"/>
      <c r="K704" s="145"/>
      <c r="L704" s="146"/>
      <c r="M704" s="145"/>
      <c r="N704" s="146"/>
      <c r="O704" s="145"/>
      <c r="P704" s="146"/>
      <c r="Q704" s="145"/>
      <c r="R704" s="144"/>
      <c r="S704" s="145"/>
      <c r="T704" s="144"/>
      <c r="U704" s="145"/>
      <c r="V704" s="144"/>
      <c r="W704" s="145"/>
      <c r="X704" s="144"/>
      <c r="Y704" s="145"/>
      <c r="Z704" s="144"/>
      <c r="AA704" s="145"/>
      <c r="AB704" s="147"/>
      <c r="AC704" s="145"/>
      <c r="AD704" s="148"/>
      <c r="AE704" s="148"/>
      <c r="AF704" s="149"/>
      <c r="AG704" s="150"/>
    </row>
    <row r="705" spans="1:42" customHeight="1" ht="11.5" s="129" customFormat="1">
      <c r="A705" s="139"/>
      <c r="B705" s="140"/>
      <c r="C705" s="141"/>
      <c r="D705" s="142"/>
      <c r="E705" s="143"/>
      <c r="F705" s="144"/>
      <c r="G705" s="145"/>
      <c r="H705" s="144"/>
      <c r="I705" s="145"/>
      <c r="J705" s="146"/>
      <c r="K705" s="145"/>
      <c r="L705" s="146"/>
      <c r="M705" s="145"/>
      <c r="N705" s="146"/>
      <c r="O705" s="145"/>
      <c r="P705" s="146"/>
      <c r="Q705" s="145"/>
      <c r="R705" s="144"/>
      <c r="S705" s="145"/>
      <c r="T705" s="144"/>
      <c r="U705" s="145"/>
      <c r="V705" s="144"/>
      <c r="W705" s="145"/>
      <c r="X705" s="144"/>
      <c r="Y705" s="145"/>
      <c r="Z705" s="144"/>
      <c r="AA705" s="145"/>
      <c r="AB705" s="147"/>
      <c r="AC705" s="145"/>
      <c r="AD705" s="148"/>
      <c r="AE705" s="148"/>
      <c r="AF705" s="149"/>
      <c r="AG705" s="150"/>
    </row>
    <row r="706" spans="1:42" customHeight="1" ht="11.5" s="129" customFormat="1">
      <c r="A706" s="139"/>
      <c r="B706" s="140"/>
      <c r="C706" s="141"/>
      <c r="D706" s="142"/>
      <c r="E706" s="143"/>
      <c r="F706" s="144"/>
      <c r="G706" s="145"/>
      <c r="H706" s="144"/>
      <c r="I706" s="145"/>
      <c r="J706" s="146"/>
      <c r="K706" s="145"/>
      <c r="L706" s="146"/>
      <c r="M706" s="145"/>
      <c r="N706" s="146"/>
      <c r="O706" s="145"/>
      <c r="P706" s="146"/>
      <c r="Q706" s="145"/>
      <c r="R706" s="144"/>
      <c r="S706" s="145"/>
      <c r="T706" s="144"/>
      <c r="U706" s="145"/>
      <c r="V706" s="144"/>
      <c r="W706" s="145"/>
      <c r="X706" s="144"/>
      <c r="Y706" s="145"/>
      <c r="Z706" s="144"/>
      <c r="AA706" s="145"/>
      <c r="AB706" s="147"/>
      <c r="AC706" s="145"/>
      <c r="AD706" s="148"/>
      <c r="AE706" s="148"/>
      <c r="AF706" s="149"/>
      <c r="AG706" s="150"/>
    </row>
    <row r="707" spans="1:42" customHeight="1" ht="11.5" s="129" customFormat="1">
      <c r="A707" s="139"/>
      <c r="B707" s="140"/>
      <c r="C707" s="141"/>
      <c r="D707" s="142"/>
      <c r="E707" s="143"/>
      <c r="F707" s="144"/>
      <c r="G707" s="145"/>
      <c r="H707" s="144"/>
      <c r="I707" s="145"/>
      <c r="J707" s="146"/>
      <c r="K707" s="145"/>
      <c r="L707" s="146"/>
      <c r="M707" s="145"/>
      <c r="N707" s="146"/>
      <c r="O707" s="145"/>
      <c r="P707" s="146"/>
      <c r="Q707" s="145"/>
      <c r="R707" s="144"/>
      <c r="S707" s="145"/>
      <c r="T707" s="144"/>
      <c r="U707" s="145"/>
      <c r="V707" s="144"/>
      <c r="W707" s="145"/>
      <c r="X707" s="144"/>
      <c r="Y707" s="145"/>
      <c r="Z707" s="144"/>
      <c r="AA707" s="145"/>
      <c r="AB707" s="147"/>
      <c r="AC707" s="145"/>
      <c r="AD707" s="148"/>
      <c r="AE707" s="148"/>
      <c r="AF707" s="149"/>
      <c r="AG707" s="150"/>
    </row>
    <row r="708" spans="1:42" customHeight="1" ht="11.5" s="129" customFormat="1">
      <c r="A708" s="139"/>
      <c r="B708" s="140"/>
      <c r="C708" s="141"/>
      <c r="D708" s="142"/>
      <c r="E708" s="143"/>
      <c r="F708" s="144"/>
      <c r="G708" s="145"/>
      <c r="H708" s="144"/>
      <c r="I708" s="145"/>
      <c r="J708" s="146"/>
      <c r="K708" s="145"/>
      <c r="L708" s="146"/>
      <c r="M708" s="145"/>
      <c r="N708" s="146"/>
      <c r="O708" s="145"/>
      <c r="P708" s="146"/>
      <c r="Q708" s="145"/>
      <c r="R708" s="144"/>
      <c r="S708" s="145"/>
      <c r="T708" s="144"/>
      <c r="U708" s="145"/>
      <c r="V708" s="144"/>
      <c r="W708" s="145"/>
      <c r="X708" s="144"/>
      <c r="Y708" s="145"/>
      <c r="Z708" s="144"/>
      <c r="AA708" s="145"/>
      <c r="AB708" s="147"/>
      <c r="AC708" s="145"/>
      <c r="AD708" s="148"/>
      <c r="AE708" s="148"/>
      <c r="AF708" s="149"/>
      <c r="AG708" s="150"/>
    </row>
    <row r="709" spans="1:42" customHeight="1" ht="11.5" s="129" customFormat="1">
      <c r="A709" s="139"/>
      <c r="B709" s="140"/>
      <c r="C709" s="141"/>
      <c r="D709" s="142"/>
      <c r="E709" s="143"/>
      <c r="F709" s="144"/>
      <c r="G709" s="145"/>
      <c r="H709" s="144"/>
      <c r="I709" s="145"/>
      <c r="J709" s="146"/>
      <c r="K709" s="145"/>
      <c r="L709" s="146"/>
      <c r="M709" s="145"/>
      <c r="N709" s="146"/>
      <c r="O709" s="145"/>
      <c r="P709" s="146"/>
      <c r="Q709" s="145"/>
      <c r="R709" s="144"/>
      <c r="S709" s="145"/>
      <c r="T709" s="144"/>
      <c r="U709" s="145"/>
      <c r="V709" s="144"/>
      <c r="W709" s="145"/>
      <c r="X709" s="144"/>
      <c r="Y709" s="145"/>
      <c r="Z709" s="144"/>
      <c r="AA709" s="145"/>
      <c r="AB709" s="147"/>
      <c r="AC709" s="145"/>
      <c r="AD709" s="148"/>
      <c r="AE709" s="148"/>
      <c r="AF709" s="149"/>
      <c r="AG709" s="150"/>
    </row>
    <row r="710" spans="1:42" customHeight="1" ht="11.5" s="129" customFormat="1">
      <c r="A710" s="139"/>
      <c r="B710" s="140"/>
      <c r="C710" s="141"/>
      <c r="D710" s="142"/>
      <c r="E710" s="143"/>
      <c r="F710" s="144"/>
      <c r="G710" s="145"/>
      <c r="H710" s="144"/>
      <c r="I710" s="145"/>
      <c r="J710" s="146"/>
      <c r="K710" s="145"/>
      <c r="L710" s="146"/>
      <c r="M710" s="145"/>
      <c r="N710" s="146"/>
      <c r="O710" s="145"/>
      <c r="P710" s="146"/>
      <c r="Q710" s="145"/>
      <c r="R710" s="144"/>
      <c r="S710" s="145"/>
      <c r="T710" s="144"/>
      <c r="U710" s="145"/>
      <c r="V710" s="144"/>
      <c r="W710" s="145"/>
      <c r="X710" s="144"/>
      <c r="Y710" s="145"/>
      <c r="Z710" s="144"/>
      <c r="AA710" s="145"/>
      <c r="AB710" s="147"/>
      <c r="AC710" s="145"/>
      <c r="AD710" s="148"/>
      <c r="AE710" s="148"/>
      <c r="AF710" s="149"/>
      <c r="AG710" s="150"/>
    </row>
    <row r="711" spans="1:42" customHeight="1" ht="11.5" s="129" customFormat="1">
      <c r="A711" s="139"/>
      <c r="B711" s="151"/>
      <c r="C711" s="141"/>
      <c r="D711" s="142"/>
      <c r="E711" s="143"/>
      <c r="F711" s="144"/>
      <c r="G711" s="145"/>
      <c r="H711" s="144"/>
      <c r="I711" s="145"/>
      <c r="J711" s="146"/>
      <c r="K711" s="145"/>
      <c r="L711" s="146"/>
      <c r="M711" s="145"/>
      <c r="N711" s="146"/>
      <c r="O711" s="145"/>
      <c r="P711" s="146"/>
      <c r="Q711" s="145"/>
      <c r="R711" s="144"/>
      <c r="S711" s="145"/>
      <c r="T711" s="144"/>
      <c r="U711" s="145"/>
      <c r="V711" s="144"/>
      <c r="W711" s="145"/>
      <c r="X711" s="144"/>
      <c r="Y711" s="145"/>
      <c r="Z711" s="144"/>
      <c r="AA711" s="145"/>
      <c r="AB711" s="147"/>
      <c r="AC711" s="145"/>
      <c r="AD711" s="148"/>
      <c r="AE711" s="148"/>
      <c r="AF711" s="149"/>
      <c r="AG711" s="150"/>
    </row>
    <row r="712" spans="1:42" customHeight="1" ht="11.5" s="129" customFormat="1">
      <c r="A712" s="139"/>
      <c r="B712" s="140"/>
      <c r="C712" s="141"/>
      <c r="D712" s="142"/>
      <c r="E712" s="143"/>
      <c r="F712" s="144"/>
      <c r="G712" s="145"/>
      <c r="H712" s="144"/>
      <c r="I712" s="145"/>
      <c r="J712" s="146"/>
      <c r="K712" s="145"/>
      <c r="L712" s="146"/>
      <c r="M712" s="145"/>
      <c r="N712" s="146"/>
      <c r="O712" s="145"/>
      <c r="P712" s="146"/>
      <c r="Q712" s="145"/>
      <c r="R712" s="144"/>
      <c r="S712" s="145"/>
      <c r="T712" s="144"/>
      <c r="U712" s="145"/>
      <c r="V712" s="144"/>
      <c r="W712" s="145"/>
      <c r="X712" s="144"/>
      <c r="Y712" s="145"/>
      <c r="Z712" s="144"/>
      <c r="AA712" s="145"/>
      <c r="AB712" s="147"/>
      <c r="AC712" s="145"/>
      <c r="AD712" s="148"/>
      <c r="AE712" s="148"/>
      <c r="AF712" s="149"/>
      <c r="AG712" s="150"/>
    </row>
    <row r="713" spans="1:42" customHeight="1" ht="11.5" s="129" customFormat="1">
      <c r="A713" s="139"/>
      <c r="B713" s="140"/>
      <c r="C713" s="141"/>
      <c r="D713" s="142"/>
      <c r="E713" s="143"/>
      <c r="F713" s="144"/>
      <c r="G713" s="145"/>
      <c r="H713" s="144"/>
      <c r="I713" s="145"/>
      <c r="J713" s="146"/>
      <c r="K713" s="145"/>
      <c r="L713" s="146"/>
      <c r="M713" s="145"/>
      <c r="N713" s="146"/>
      <c r="O713" s="145"/>
      <c r="P713" s="146"/>
      <c r="Q713" s="145"/>
      <c r="R713" s="144"/>
      <c r="S713" s="145"/>
      <c r="T713" s="144"/>
      <c r="U713" s="145"/>
      <c r="V713" s="144"/>
      <c r="W713" s="145"/>
      <c r="X713" s="144"/>
      <c r="Y713" s="145"/>
      <c r="Z713" s="144"/>
      <c r="AA713" s="145"/>
      <c r="AB713" s="147"/>
      <c r="AC713" s="145"/>
      <c r="AD713" s="148"/>
      <c r="AE713" s="148"/>
      <c r="AF713" s="149"/>
      <c r="AG713" s="150"/>
    </row>
    <row r="714" spans="1:42" customHeight="1" ht="11.5" s="129" customFormat="1">
      <c r="A714" s="139"/>
      <c r="B714" s="140"/>
      <c r="C714" s="141"/>
      <c r="D714" s="142"/>
      <c r="E714" s="143"/>
      <c r="F714" s="144"/>
      <c r="G714" s="145"/>
      <c r="H714" s="144"/>
      <c r="I714" s="145"/>
      <c r="J714" s="146"/>
      <c r="K714" s="145"/>
      <c r="L714" s="146"/>
      <c r="M714" s="145"/>
      <c r="N714" s="146"/>
      <c r="O714" s="145"/>
      <c r="P714" s="146"/>
      <c r="Q714" s="145"/>
      <c r="R714" s="144"/>
      <c r="S714" s="145"/>
      <c r="T714" s="144"/>
      <c r="U714" s="145"/>
      <c r="V714" s="144"/>
      <c r="W714" s="145"/>
      <c r="X714" s="144"/>
      <c r="Y714" s="145"/>
      <c r="Z714" s="144"/>
      <c r="AA714" s="145"/>
      <c r="AB714" s="147"/>
      <c r="AC714" s="145"/>
      <c r="AD714" s="148"/>
      <c r="AE714" s="148"/>
      <c r="AF714" s="149"/>
      <c r="AG714" s="150"/>
    </row>
    <row r="715" spans="1:42" customHeight="1" ht="11.5" s="129" customFormat="1">
      <c r="A715" s="139"/>
      <c r="B715" s="140"/>
      <c r="C715" s="141"/>
      <c r="D715" s="142"/>
      <c r="E715" s="143"/>
      <c r="F715" s="144"/>
      <c r="G715" s="145"/>
      <c r="H715" s="144"/>
      <c r="I715" s="145"/>
      <c r="J715" s="146"/>
      <c r="K715" s="145"/>
      <c r="L715" s="146"/>
      <c r="M715" s="145"/>
      <c r="N715" s="146"/>
      <c r="O715" s="145"/>
      <c r="P715" s="146"/>
      <c r="Q715" s="145"/>
      <c r="R715" s="144"/>
      <c r="S715" s="145"/>
      <c r="T715" s="144"/>
      <c r="U715" s="145"/>
      <c r="V715" s="144"/>
      <c r="W715" s="145"/>
      <c r="X715" s="144"/>
      <c r="Y715" s="145"/>
      <c r="Z715" s="144"/>
      <c r="AA715" s="145"/>
      <c r="AB715" s="147"/>
      <c r="AC715" s="145"/>
      <c r="AD715" s="148"/>
      <c r="AE715" s="148"/>
      <c r="AF715" s="149"/>
      <c r="AG715" s="150"/>
    </row>
    <row r="716" spans="1:42" customHeight="1" ht="11.5" s="129" customFormat="1">
      <c r="A716" s="139"/>
      <c r="B716" s="140"/>
      <c r="C716" s="141"/>
      <c r="D716" s="142"/>
      <c r="E716" s="143"/>
      <c r="F716" s="144"/>
      <c r="G716" s="145"/>
      <c r="H716" s="144"/>
      <c r="I716" s="145"/>
      <c r="J716" s="146"/>
      <c r="K716" s="145"/>
      <c r="L716" s="146"/>
      <c r="M716" s="145"/>
      <c r="N716" s="146"/>
      <c r="O716" s="145"/>
      <c r="P716" s="146"/>
      <c r="Q716" s="145"/>
      <c r="R716" s="144"/>
      <c r="S716" s="145"/>
      <c r="T716" s="144"/>
      <c r="U716" s="145"/>
      <c r="V716" s="144"/>
      <c r="W716" s="145"/>
      <c r="X716" s="144"/>
      <c r="Y716" s="145"/>
      <c r="Z716" s="144"/>
      <c r="AA716" s="145"/>
      <c r="AB716" s="147"/>
      <c r="AC716" s="145"/>
      <c r="AD716" s="148"/>
      <c r="AE716" s="148"/>
      <c r="AF716" s="149"/>
      <c r="AG716" s="150"/>
    </row>
    <row r="717" spans="1:42" customHeight="1" ht="11.5" s="129" customFormat="1">
      <c r="A717" s="139"/>
      <c r="B717" s="140"/>
      <c r="C717" s="141"/>
      <c r="D717" s="142"/>
      <c r="E717" s="143"/>
      <c r="F717" s="144"/>
      <c r="G717" s="145"/>
      <c r="H717" s="144"/>
      <c r="I717" s="145"/>
      <c r="J717" s="146"/>
      <c r="K717" s="145"/>
      <c r="L717" s="146"/>
      <c r="M717" s="145"/>
      <c r="N717" s="146"/>
      <c r="O717" s="145"/>
      <c r="P717" s="146"/>
      <c r="Q717" s="145"/>
      <c r="R717" s="144"/>
      <c r="S717" s="145"/>
      <c r="T717" s="144"/>
      <c r="U717" s="145"/>
      <c r="V717" s="144"/>
      <c r="W717" s="145"/>
      <c r="X717" s="144"/>
      <c r="Y717" s="145"/>
      <c r="Z717" s="144"/>
      <c r="AA717" s="145"/>
      <c r="AB717" s="147"/>
      <c r="AC717" s="145"/>
      <c r="AD717" s="148"/>
      <c r="AE717" s="148"/>
      <c r="AF717" s="149"/>
      <c r="AG717" s="150"/>
    </row>
    <row r="718" spans="1:42" customHeight="1" ht="11.5" s="129" customFormat="1">
      <c r="A718" s="139"/>
      <c r="B718" s="140"/>
      <c r="C718" s="141"/>
      <c r="D718" s="142"/>
      <c r="E718" s="143"/>
      <c r="F718" s="144"/>
      <c r="G718" s="145"/>
      <c r="H718" s="144"/>
      <c r="I718" s="145"/>
      <c r="J718" s="146"/>
      <c r="K718" s="145"/>
      <c r="L718" s="146"/>
      <c r="M718" s="145"/>
      <c r="N718" s="146"/>
      <c r="O718" s="145"/>
      <c r="P718" s="146"/>
      <c r="Q718" s="145"/>
      <c r="R718" s="144"/>
      <c r="S718" s="145"/>
      <c r="T718" s="144"/>
      <c r="U718" s="145"/>
      <c r="V718" s="144"/>
      <c r="W718" s="145"/>
      <c r="X718" s="144"/>
      <c r="Y718" s="145"/>
      <c r="Z718" s="144"/>
      <c r="AA718" s="145"/>
      <c r="AB718" s="147"/>
      <c r="AC718" s="145"/>
      <c r="AD718" s="148"/>
      <c r="AE718" s="148"/>
      <c r="AF718" s="149"/>
      <c r="AG718" s="150"/>
    </row>
    <row r="719" spans="1:42" customHeight="1" ht="11.5" s="129" customFormat="1">
      <c r="A719" s="139"/>
      <c r="B719" s="140"/>
      <c r="C719" s="141"/>
      <c r="D719" s="142"/>
      <c r="E719" s="143"/>
      <c r="F719" s="144"/>
      <c r="G719" s="145"/>
      <c r="H719" s="144"/>
      <c r="I719" s="145"/>
      <c r="J719" s="146"/>
      <c r="K719" s="145"/>
      <c r="L719" s="146"/>
      <c r="M719" s="145"/>
      <c r="N719" s="146"/>
      <c r="O719" s="145"/>
      <c r="P719" s="146"/>
      <c r="Q719" s="145"/>
      <c r="R719" s="144"/>
      <c r="S719" s="145"/>
      <c r="T719" s="144"/>
      <c r="U719" s="145"/>
      <c r="V719" s="144"/>
      <c r="W719" s="145"/>
      <c r="X719" s="144"/>
      <c r="Y719" s="145"/>
      <c r="Z719" s="144"/>
      <c r="AA719" s="145"/>
      <c r="AB719" s="147"/>
      <c r="AC719" s="145"/>
      <c r="AD719" s="148"/>
      <c r="AE719" s="148"/>
      <c r="AF719" s="149"/>
      <c r="AG719" s="150"/>
    </row>
    <row r="720" spans="1:42" customHeight="1" ht="11.5" s="129" customFormat="1">
      <c r="A720" s="139"/>
      <c r="B720" s="140"/>
      <c r="C720" s="141"/>
      <c r="D720" s="142"/>
      <c r="E720" s="143"/>
      <c r="F720" s="144"/>
      <c r="G720" s="145"/>
      <c r="H720" s="144"/>
      <c r="I720" s="145"/>
      <c r="J720" s="146"/>
      <c r="K720" s="145"/>
      <c r="L720" s="146"/>
      <c r="M720" s="145"/>
      <c r="N720" s="146"/>
      <c r="O720" s="145"/>
      <c r="P720" s="146"/>
      <c r="Q720" s="145"/>
      <c r="R720" s="144"/>
      <c r="S720" s="145"/>
      <c r="T720" s="144"/>
      <c r="U720" s="145"/>
      <c r="V720" s="144"/>
      <c r="W720" s="145"/>
      <c r="X720" s="144"/>
      <c r="Y720" s="145"/>
      <c r="Z720" s="144"/>
      <c r="AA720" s="145"/>
      <c r="AB720" s="147"/>
      <c r="AC720" s="145"/>
      <c r="AD720" s="148"/>
      <c r="AE720" s="148"/>
      <c r="AF720" s="149"/>
      <c r="AG720" s="150"/>
    </row>
    <row r="721" spans="1:42" customHeight="1" ht="11.5" s="129" customFormat="1">
      <c r="A721" s="139"/>
      <c r="B721" s="140"/>
      <c r="C721" s="141"/>
      <c r="D721" s="142"/>
      <c r="E721" s="143"/>
      <c r="F721" s="144"/>
      <c r="G721" s="145"/>
      <c r="H721" s="144"/>
      <c r="I721" s="145"/>
      <c r="J721" s="146"/>
      <c r="K721" s="145"/>
      <c r="L721" s="146"/>
      <c r="M721" s="145"/>
      <c r="N721" s="146"/>
      <c r="O721" s="145"/>
      <c r="P721" s="146"/>
      <c r="Q721" s="145"/>
      <c r="R721" s="144"/>
      <c r="S721" s="145"/>
      <c r="T721" s="144"/>
      <c r="U721" s="145"/>
      <c r="V721" s="144"/>
      <c r="W721" s="145"/>
      <c r="X721" s="144"/>
      <c r="Y721" s="145"/>
      <c r="Z721" s="144"/>
      <c r="AA721" s="145"/>
      <c r="AB721" s="147"/>
      <c r="AC721" s="145"/>
      <c r="AD721" s="148"/>
      <c r="AE721" s="148"/>
      <c r="AF721" s="149"/>
      <c r="AG721" s="150"/>
    </row>
    <row r="722" spans="1:42" customHeight="1" ht="11.5" s="129" customFormat="1">
      <c r="A722" s="139"/>
      <c r="B722" s="140"/>
      <c r="C722" s="141"/>
      <c r="D722" s="142"/>
      <c r="E722" s="143"/>
      <c r="F722" s="144"/>
      <c r="G722" s="145"/>
      <c r="H722" s="144"/>
      <c r="I722" s="145"/>
      <c r="J722" s="146"/>
      <c r="K722" s="145"/>
      <c r="L722" s="146"/>
      <c r="M722" s="145"/>
      <c r="N722" s="146"/>
      <c r="O722" s="145"/>
      <c r="P722" s="146"/>
      <c r="Q722" s="145"/>
      <c r="R722" s="144"/>
      <c r="S722" s="145"/>
      <c r="T722" s="144"/>
      <c r="U722" s="145"/>
      <c r="V722" s="144"/>
      <c r="W722" s="145"/>
      <c r="X722" s="144"/>
      <c r="Y722" s="145"/>
      <c r="Z722" s="144"/>
      <c r="AA722" s="145"/>
      <c r="AB722" s="147"/>
      <c r="AC722" s="145"/>
      <c r="AD722" s="148"/>
      <c r="AE722" s="148"/>
      <c r="AF722" s="149"/>
      <c r="AG722" s="150"/>
    </row>
    <row r="723" spans="1:42" customHeight="1" ht="11.5" s="129" customFormat="1">
      <c r="A723" s="139"/>
      <c r="B723" s="140"/>
      <c r="C723" s="141"/>
      <c r="D723" s="142"/>
      <c r="E723" s="143"/>
      <c r="F723" s="144"/>
      <c r="G723" s="145"/>
      <c r="H723" s="144"/>
      <c r="I723" s="145"/>
      <c r="J723" s="146"/>
      <c r="K723" s="145"/>
      <c r="L723" s="146"/>
      <c r="M723" s="145"/>
      <c r="N723" s="146"/>
      <c r="O723" s="145"/>
      <c r="P723" s="146"/>
      <c r="Q723" s="145"/>
      <c r="R723" s="144"/>
      <c r="S723" s="145"/>
      <c r="T723" s="144"/>
      <c r="U723" s="145"/>
      <c r="V723" s="144"/>
      <c r="W723" s="145"/>
      <c r="X723" s="144"/>
      <c r="Y723" s="145"/>
      <c r="Z723" s="144"/>
      <c r="AA723" s="145"/>
      <c r="AB723" s="147"/>
      <c r="AC723" s="145"/>
      <c r="AD723" s="148"/>
      <c r="AE723" s="148"/>
      <c r="AF723" s="149"/>
      <c r="AG723" s="150"/>
    </row>
    <row r="724" spans="1:42" customHeight="1" ht="11.5" s="129" customFormat="1">
      <c r="A724" s="139"/>
      <c r="B724" s="140"/>
      <c r="C724" s="141"/>
      <c r="D724" s="142"/>
      <c r="E724" s="143"/>
      <c r="F724" s="144"/>
      <c r="G724" s="145"/>
      <c r="H724" s="144"/>
      <c r="I724" s="145"/>
      <c r="J724" s="146"/>
      <c r="K724" s="145"/>
      <c r="L724" s="146"/>
      <c r="M724" s="145"/>
      <c r="N724" s="146"/>
      <c r="O724" s="145"/>
      <c r="P724" s="146"/>
      <c r="Q724" s="145"/>
      <c r="R724" s="144"/>
      <c r="S724" s="145"/>
      <c r="T724" s="144"/>
      <c r="U724" s="145"/>
      <c r="V724" s="144"/>
      <c r="W724" s="145"/>
      <c r="X724" s="144"/>
      <c r="Y724" s="145"/>
      <c r="Z724" s="144"/>
      <c r="AA724" s="145"/>
      <c r="AB724" s="147"/>
      <c r="AC724" s="145"/>
      <c r="AD724" s="148"/>
      <c r="AE724" s="148"/>
      <c r="AF724" s="149"/>
      <c r="AG724" s="150"/>
    </row>
    <row r="725" spans="1:42" customHeight="1" ht="11.5" s="129" customFormat="1">
      <c r="A725" s="139"/>
      <c r="B725" s="140"/>
      <c r="C725" s="141"/>
      <c r="D725" s="142"/>
      <c r="E725" s="143"/>
      <c r="F725" s="144"/>
      <c r="G725" s="145"/>
      <c r="H725" s="144"/>
      <c r="I725" s="145"/>
      <c r="J725" s="146"/>
      <c r="K725" s="145"/>
      <c r="L725" s="146"/>
      <c r="M725" s="145"/>
      <c r="N725" s="146"/>
      <c r="O725" s="145"/>
      <c r="P725" s="146"/>
      <c r="Q725" s="145"/>
      <c r="R725" s="144"/>
      <c r="S725" s="145"/>
      <c r="T725" s="144"/>
      <c r="U725" s="145"/>
      <c r="V725" s="144"/>
      <c r="W725" s="145"/>
      <c r="X725" s="144"/>
      <c r="Y725" s="145"/>
      <c r="Z725" s="144"/>
      <c r="AA725" s="145"/>
      <c r="AB725" s="147"/>
      <c r="AC725" s="145"/>
      <c r="AD725" s="148"/>
      <c r="AE725" s="148"/>
      <c r="AF725" s="149"/>
      <c r="AG725" s="150"/>
    </row>
    <row r="726" spans="1:42" customHeight="1" ht="11.5" s="129" customFormat="1">
      <c r="A726" s="139"/>
      <c r="B726" s="140"/>
      <c r="C726" s="141"/>
      <c r="D726" s="142"/>
      <c r="E726" s="143"/>
      <c r="F726" s="144"/>
      <c r="G726" s="145"/>
      <c r="H726" s="144"/>
      <c r="I726" s="145"/>
      <c r="J726" s="146"/>
      <c r="K726" s="145"/>
      <c r="L726" s="146"/>
      <c r="M726" s="145"/>
      <c r="N726" s="146"/>
      <c r="O726" s="145"/>
      <c r="P726" s="146"/>
      <c r="Q726" s="145"/>
      <c r="R726" s="144"/>
      <c r="S726" s="145"/>
      <c r="T726" s="144"/>
      <c r="U726" s="145"/>
      <c r="V726" s="144"/>
      <c r="W726" s="145"/>
      <c r="X726" s="144"/>
      <c r="Y726" s="145"/>
      <c r="Z726" s="144"/>
      <c r="AA726" s="145"/>
      <c r="AB726" s="147"/>
      <c r="AC726" s="145"/>
      <c r="AD726" s="148"/>
      <c r="AE726" s="148"/>
      <c r="AF726" s="149"/>
      <c r="AG726" s="150"/>
    </row>
    <row r="727" spans="1:42" customHeight="1" ht="11.5" s="129" customFormat="1">
      <c r="A727" s="139"/>
      <c r="B727" s="140"/>
      <c r="C727" s="141"/>
      <c r="D727" s="142"/>
      <c r="E727" s="143"/>
      <c r="F727" s="144"/>
      <c r="G727" s="145"/>
      <c r="H727" s="144"/>
      <c r="I727" s="145"/>
      <c r="J727" s="146"/>
      <c r="K727" s="145"/>
      <c r="L727" s="146"/>
      <c r="M727" s="145"/>
      <c r="N727" s="146"/>
      <c r="O727" s="145"/>
      <c r="P727" s="146"/>
      <c r="Q727" s="145"/>
      <c r="R727" s="144"/>
      <c r="S727" s="145"/>
      <c r="T727" s="144"/>
      <c r="U727" s="145"/>
      <c r="V727" s="144"/>
      <c r="W727" s="145"/>
      <c r="X727" s="144"/>
      <c r="Y727" s="145"/>
      <c r="Z727" s="144"/>
      <c r="AA727" s="145"/>
      <c r="AB727" s="147"/>
      <c r="AC727" s="145"/>
      <c r="AD727" s="148"/>
      <c r="AE727" s="148"/>
      <c r="AF727" s="149"/>
      <c r="AG727" s="150"/>
    </row>
    <row r="728" spans="1:42" customHeight="1" ht="11.5" s="129" customFormat="1">
      <c r="A728" s="139"/>
      <c r="B728" s="140"/>
      <c r="C728" s="141"/>
      <c r="D728" s="142"/>
      <c r="E728" s="143"/>
      <c r="F728" s="144"/>
      <c r="G728" s="145"/>
      <c r="H728" s="144"/>
      <c r="I728" s="145"/>
      <c r="J728" s="146"/>
      <c r="K728" s="145"/>
      <c r="L728" s="146"/>
      <c r="M728" s="145"/>
      <c r="N728" s="146"/>
      <c r="O728" s="145"/>
      <c r="P728" s="146"/>
      <c r="Q728" s="145"/>
      <c r="R728" s="144"/>
      <c r="S728" s="145"/>
      <c r="T728" s="144"/>
      <c r="U728" s="145"/>
      <c r="V728" s="144"/>
      <c r="W728" s="145"/>
      <c r="X728" s="144"/>
      <c r="Y728" s="145"/>
      <c r="Z728" s="144"/>
      <c r="AA728" s="145"/>
      <c r="AB728" s="147"/>
      <c r="AC728" s="145"/>
      <c r="AD728" s="148"/>
      <c r="AE728" s="148"/>
      <c r="AF728" s="149"/>
      <c r="AG728" s="150"/>
    </row>
    <row r="729" spans="1:42" customHeight="1" ht="11.5" s="129" customFormat="1">
      <c r="A729" s="139"/>
      <c r="B729" s="140"/>
      <c r="C729" s="141"/>
      <c r="D729" s="142"/>
      <c r="E729" s="143"/>
      <c r="F729" s="144"/>
      <c r="G729" s="145"/>
      <c r="H729" s="144"/>
      <c r="I729" s="145"/>
      <c r="J729" s="146"/>
      <c r="K729" s="145"/>
      <c r="L729" s="146"/>
      <c r="M729" s="145"/>
      <c r="N729" s="146"/>
      <c r="O729" s="145"/>
      <c r="P729" s="146"/>
      <c r="Q729" s="145"/>
      <c r="R729" s="144"/>
      <c r="S729" s="145"/>
      <c r="T729" s="144"/>
      <c r="U729" s="145"/>
      <c r="V729" s="144"/>
      <c r="W729" s="145"/>
      <c r="X729" s="144"/>
      <c r="Y729" s="145"/>
      <c r="Z729" s="144"/>
      <c r="AA729" s="145"/>
      <c r="AB729" s="147"/>
      <c r="AC729" s="145"/>
      <c r="AD729" s="148"/>
      <c r="AE729" s="148"/>
      <c r="AF729" s="149"/>
      <c r="AG729" s="150"/>
    </row>
    <row r="730" spans="1:42" customHeight="1" ht="11.5" s="129" customFormat="1">
      <c r="A730" s="139"/>
      <c r="B730" s="140"/>
      <c r="C730" s="141"/>
      <c r="D730" s="142"/>
      <c r="E730" s="143"/>
      <c r="F730" s="144"/>
      <c r="G730" s="145"/>
      <c r="H730" s="144"/>
      <c r="I730" s="145"/>
      <c r="J730" s="146"/>
      <c r="K730" s="145"/>
      <c r="L730" s="146"/>
      <c r="M730" s="145"/>
      <c r="N730" s="146"/>
      <c r="O730" s="145"/>
      <c r="P730" s="146"/>
      <c r="Q730" s="145"/>
      <c r="R730" s="144"/>
      <c r="S730" s="145"/>
      <c r="T730" s="144"/>
      <c r="U730" s="145"/>
      <c r="V730" s="144"/>
      <c r="W730" s="145"/>
      <c r="X730" s="144"/>
      <c r="Y730" s="145"/>
      <c r="Z730" s="144"/>
      <c r="AA730" s="145"/>
      <c r="AB730" s="147"/>
      <c r="AC730" s="145"/>
      <c r="AD730" s="148"/>
      <c r="AE730" s="148"/>
      <c r="AF730" s="149"/>
      <c r="AG730" s="150"/>
    </row>
    <row r="731" spans="1:42" customHeight="1" ht="11.5" s="129" customFormat="1">
      <c r="A731" s="139"/>
      <c r="B731" s="140"/>
      <c r="C731" s="141"/>
      <c r="D731" s="142"/>
      <c r="E731" s="143"/>
      <c r="F731" s="144"/>
      <c r="G731" s="145"/>
      <c r="H731" s="144"/>
      <c r="I731" s="145"/>
      <c r="J731" s="146"/>
      <c r="K731" s="145"/>
      <c r="L731" s="146"/>
      <c r="M731" s="145"/>
      <c r="N731" s="146"/>
      <c r="O731" s="145"/>
      <c r="P731" s="146"/>
      <c r="Q731" s="145"/>
      <c r="R731" s="144"/>
      <c r="S731" s="145"/>
      <c r="T731" s="144"/>
      <c r="U731" s="145"/>
      <c r="V731" s="144"/>
      <c r="W731" s="145"/>
      <c r="X731" s="144"/>
      <c r="Y731" s="145"/>
      <c r="Z731" s="144"/>
      <c r="AA731" s="145"/>
      <c r="AB731" s="147"/>
      <c r="AC731" s="145"/>
      <c r="AD731" s="148"/>
      <c r="AE731" s="148"/>
      <c r="AF731" s="149"/>
      <c r="AG731" s="150"/>
    </row>
    <row r="732" spans="1:42" customHeight="1" ht="11.5" s="129" customFormat="1">
      <c r="A732" s="139"/>
      <c r="B732" s="140"/>
      <c r="C732" s="141"/>
      <c r="D732" s="142"/>
      <c r="E732" s="143"/>
      <c r="F732" s="144"/>
      <c r="G732" s="145"/>
      <c r="H732" s="144"/>
      <c r="I732" s="145"/>
      <c r="J732" s="146"/>
      <c r="K732" s="145"/>
      <c r="L732" s="146"/>
      <c r="M732" s="145"/>
      <c r="N732" s="146"/>
      <c r="O732" s="145"/>
      <c r="P732" s="146"/>
      <c r="Q732" s="145"/>
      <c r="R732" s="144"/>
      <c r="S732" s="145"/>
      <c r="T732" s="144"/>
      <c r="U732" s="145"/>
      <c r="V732" s="144"/>
      <c r="W732" s="145"/>
      <c r="X732" s="144"/>
      <c r="Y732" s="145"/>
      <c r="Z732" s="144"/>
      <c r="AA732" s="145"/>
      <c r="AB732" s="147"/>
      <c r="AC732" s="145"/>
      <c r="AD732" s="148"/>
      <c r="AE732" s="148"/>
      <c r="AF732" s="149"/>
      <c r="AG732" s="150"/>
    </row>
    <row r="733" spans="1:42" customHeight="1" ht="11.5" s="129" customFormat="1">
      <c r="A733" s="139"/>
      <c r="B733" s="140"/>
      <c r="C733" s="141"/>
      <c r="D733" s="142"/>
      <c r="E733" s="143"/>
      <c r="F733" s="144"/>
      <c r="G733" s="145"/>
      <c r="H733" s="144"/>
      <c r="I733" s="145"/>
      <c r="J733" s="146"/>
      <c r="K733" s="145"/>
      <c r="L733" s="146"/>
      <c r="M733" s="145"/>
      <c r="N733" s="146"/>
      <c r="O733" s="145"/>
      <c r="P733" s="146"/>
      <c r="Q733" s="145"/>
      <c r="R733" s="144"/>
      <c r="S733" s="145"/>
      <c r="T733" s="144"/>
      <c r="U733" s="145"/>
      <c r="V733" s="144"/>
      <c r="W733" s="145"/>
      <c r="X733" s="144"/>
      <c r="Y733" s="145"/>
      <c r="Z733" s="144"/>
      <c r="AA733" s="145"/>
      <c r="AB733" s="147"/>
      <c r="AC733" s="145"/>
      <c r="AD733" s="148"/>
      <c r="AE733" s="148"/>
      <c r="AF733" s="149"/>
      <c r="AG733" s="150"/>
    </row>
    <row r="734" spans="1:42" customHeight="1" ht="11.5" s="129" customFormat="1">
      <c r="A734" s="139"/>
      <c r="B734" s="151"/>
      <c r="C734" s="141"/>
      <c r="D734" s="142"/>
      <c r="E734" s="143"/>
      <c r="F734" s="144"/>
      <c r="G734" s="145"/>
      <c r="H734" s="144"/>
      <c r="I734" s="145"/>
      <c r="J734" s="146"/>
      <c r="K734" s="145"/>
      <c r="L734" s="146"/>
      <c r="M734" s="145"/>
      <c r="N734" s="146"/>
      <c r="O734" s="145"/>
      <c r="P734" s="146"/>
      <c r="Q734" s="145"/>
      <c r="R734" s="144"/>
      <c r="S734" s="145"/>
      <c r="T734" s="144"/>
      <c r="U734" s="145"/>
      <c r="V734" s="144"/>
      <c r="W734" s="145"/>
      <c r="X734" s="144"/>
      <c r="Y734" s="145"/>
      <c r="Z734" s="144"/>
      <c r="AA734" s="145"/>
      <c r="AB734" s="147"/>
      <c r="AC734" s="145"/>
      <c r="AD734" s="148"/>
      <c r="AE734" s="148"/>
      <c r="AF734" s="149"/>
      <c r="AG734" s="150"/>
    </row>
    <row r="735" spans="1:42" customHeight="1" ht="11.5" s="129" customFormat="1">
      <c r="A735" s="139"/>
      <c r="B735" s="140"/>
      <c r="C735" s="141"/>
      <c r="D735" s="142"/>
      <c r="E735" s="143"/>
      <c r="F735" s="144"/>
      <c r="G735" s="145"/>
      <c r="H735" s="144"/>
      <c r="I735" s="145"/>
      <c r="J735" s="146"/>
      <c r="K735" s="145"/>
      <c r="L735" s="146"/>
      <c r="M735" s="145"/>
      <c r="N735" s="146"/>
      <c r="O735" s="145"/>
      <c r="P735" s="146"/>
      <c r="Q735" s="145"/>
      <c r="R735" s="144"/>
      <c r="S735" s="145"/>
      <c r="T735" s="144"/>
      <c r="U735" s="145"/>
      <c r="V735" s="144"/>
      <c r="W735" s="145"/>
      <c r="X735" s="144"/>
      <c r="Y735" s="145"/>
      <c r="Z735" s="144"/>
      <c r="AA735" s="145"/>
      <c r="AB735" s="147"/>
      <c r="AC735" s="145"/>
      <c r="AD735" s="148"/>
      <c r="AE735" s="148"/>
      <c r="AF735" s="149"/>
      <c r="AG735" s="150"/>
    </row>
    <row r="736" spans="1:42" customHeight="1" ht="11.5" s="129" customFormat="1">
      <c r="A736" s="139"/>
      <c r="B736" s="140"/>
      <c r="C736" s="141"/>
      <c r="D736" s="142"/>
      <c r="E736" s="143"/>
      <c r="F736" s="144"/>
      <c r="G736" s="145"/>
      <c r="H736" s="144"/>
      <c r="I736" s="145"/>
      <c r="J736" s="146"/>
      <c r="K736" s="145"/>
      <c r="L736" s="146"/>
      <c r="M736" s="145"/>
      <c r="N736" s="146"/>
      <c r="O736" s="145"/>
      <c r="P736" s="146"/>
      <c r="Q736" s="145"/>
      <c r="R736" s="144"/>
      <c r="S736" s="145"/>
      <c r="T736" s="144"/>
      <c r="U736" s="145"/>
      <c r="V736" s="144"/>
      <c r="W736" s="145"/>
      <c r="X736" s="144"/>
      <c r="Y736" s="145"/>
      <c r="Z736" s="144"/>
      <c r="AA736" s="145"/>
      <c r="AB736" s="147"/>
      <c r="AC736" s="145"/>
      <c r="AD736" s="148"/>
      <c r="AE736" s="148"/>
      <c r="AF736" s="149"/>
      <c r="AG736" s="150"/>
    </row>
    <row r="737" spans="1:42" customHeight="1" ht="11.5" s="129" customFormat="1">
      <c r="A737" s="139"/>
      <c r="B737" s="140"/>
      <c r="C737" s="141"/>
      <c r="D737" s="142"/>
      <c r="E737" s="143"/>
      <c r="F737" s="144"/>
      <c r="G737" s="145"/>
      <c r="H737" s="144"/>
      <c r="I737" s="145"/>
      <c r="J737" s="146"/>
      <c r="K737" s="145"/>
      <c r="L737" s="146"/>
      <c r="M737" s="145"/>
      <c r="N737" s="146"/>
      <c r="O737" s="145"/>
      <c r="P737" s="146"/>
      <c r="Q737" s="145"/>
      <c r="R737" s="144"/>
      <c r="S737" s="145"/>
      <c r="T737" s="144"/>
      <c r="U737" s="145"/>
      <c r="V737" s="144"/>
      <c r="W737" s="145"/>
      <c r="X737" s="144"/>
      <c r="Y737" s="145"/>
      <c r="Z737" s="144"/>
      <c r="AA737" s="145"/>
      <c r="AB737" s="147"/>
      <c r="AC737" s="145"/>
      <c r="AD737" s="148"/>
      <c r="AE737" s="148"/>
      <c r="AF737" s="149"/>
      <c r="AG737" s="150"/>
    </row>
    <row r="738" spans="1:42" customHeight="1" ht="11.5" s="129" customFormat="1">
      <c r="A738" s="139"/>
      <c r="B738" s="140"/>
      <c r="C738" s="141"/>
      <c r="D738" s="142"/>
      <c r="E738" s="143"/>
      <c r="F738" s="144"/>
      <c r="G738" s="145"/>
      <c r="H738" s="144"/>
      <c r="I738" s="145"/>
      <c r="J738" s="146"/>
      <c r="K738" s="145"/>
      <c r="L738" s="146"/>
      <c r="M738" s="145"/>
      <c r="N738" s="146"/>
      <c r="O738" s="145"/>
      <c r="P738" s="146"/>
      <c r="Q738" s="145"/>
      <c r="R738" s="144"/>
      <c r="S738" s="145"/>
      <c r="T738" s="144"/>
      <c r="U738" s="145"/>
      <c r="V738" s="144"/>
      <c r="W738" s="145"/>
      <c r="X738" s="144"/>
      <c r="Y738" s="145"/>
      <c r="Z738" s="144"/>
      <c r="AA738" s="145"/>
      <c r="AB738" s="147"/>
      <c r="AC738" s="145"/>
      <c r="AD738" s="148"/>
      <c r="AE738" s="148"/>
      <c r="AF738" s="149"/>
      <c r="AG738" s="150"/>
    </row>
    <row r="739" spans="1:42" customHeight="1" ht="11.5" s="129" customFormat="1">
      <c r="A739" s="139"/>
      <c r="B739" s="140"/>
      <c r="C739" s="141"/>
      <c r="D739" s="142"/>
      <c r="E739" s="143"/>
      <c r="F739" s="144"/>
      <c r="G739" s="145"/>
      <c r="H739" s="144"/>
      <c r="I739" s="145"/>
      <c r="J739" s="146"/>
      <c r="K739" s="145"/>
      <c r="L739" s="146"/>
      <c r="M739" s="145"/>
      <c r="N739" s="146"/>
      <c r="O739" s="145"/>
      <c r="P739" s="146"/>
      <c r="Q739" s="145"/>
      <c r="R739" s="144"/>
      <c r="S739" s="145"/>
      <c r="T739" s="144"/>
      <c r="U739" s="145"/>
      <c r="V739" s="144"/>
      <c r="W739" s="145"/>
      <c r="X739" s="144"/>
      <c r="Y739" s="145"/>
      <c r="Z739" s="144"/>
      <c r="AA739" s="145"/>
      <c r="AB739" s="147"/>
      <c r="AC739" s="145"/>
      <c r="AD739" s="148"/>
      <c r="AE739" s="148"/>
      <c r="AF739" s="149"/>
      <c r="AG739" s="150"/>
    </row>
    <row r="740" spans="1:42" customHeight="1" ht="11.5" s="129" customFormat="1">
      <c r="A740" s="139"/>
      <c r="B740" s="140"/>
      <c r="C740" s="141"/>
      <c r="D740" s="142"/>
      <c r="E740" s="143"/>
      <c r="F740" s="144"/>
      <c r="G740" s="145"/>
      <c r="H740" s="144"/>
      <c r="I740" s="145"/>
      <c r="J740" s="146"/>
      <c r="K740" s="145"/>
      <c r="L740" s="146"/>
      <c r="M740" s="145"/>
      <c r="N740" s="146"/>
      <c r="O740" s="145"/>
      <c r="P740" s="146"/>
      <c r="Q740" s="145"/>
      <c r="R740" s="144"/>
      <c r="S740" s="145"/>
      <c r="T740" s="144"/>
      <c r="U740" s="145"/>
      <c r="V740" s="144"/>
      <c r="W740" s="145"/>
      <c r="X740" s="144"/>
      <c r="Y740" s="145"/>
      <c r="Z740" s="144"/>
      <c r="AA740" s="145"/>
      <c r="AB740" s="147"/>
      <c r="AC740" s="145"/>
      <c r="AD740" s="148"/>
      <c r="AE740" s="148"/>
      <c r="AF740" s="149"/>
      <c r="AG740" s="150"/>
    </row>
    <row r="741" spans="1:42" customHeight="1" ht="11.5" s="129" customFormat="1">
      <c r="A741" s="139"/>
      <c r="B741" s="140"/>
      <c r="C741" s="141"/>
      <c r="D741" s="142"/>
      <c r="E741" s="143"/>
      <c r="F741" s="144"/>
      <c r="G741" s="145"/>
      <c r="H741" s="144"/>
      <c r="I741" s="145"/>
      <c r="J741" s="146"/>
      <c r="K741" s="145"/>
      <c r="L741" s="146"/>
      <c r="M741" s="145"/>
      <c r="N741" s="146"/>
      <c r="O741" s="145"/>
      <c r="P741" s="146"/>
      <c r="Q741" s="145"/>
      <c r="R741" s="144"/>
      <c r="S741" s="145"/>
      <c r="T741" s="144"/>
      <c r="U741" s="145"/>
      <c r="V741" s="144"/>
      <c r="W741" s="145"/>
      <c r="X741" s="144"/>
      <c r="Y741" s="145"/>
      <c r="Z741" s="144"/>
      <c r="AA741" s="145"/>
      <c r="AB741" s="147"/>
      <c r="AC741" s="145"/>
      <c r="AD741" s="148"/>
      <c r="AE741" s="148"/>
      <c r="AF741" s="149"/>
      <c r="AG741" s="150"/>
    </row>
    <row r="742" spans="1:42" customHeight="1" ht="11.5" s="129" customFormat="1">
      <c r="A742" s="139"/>
      <c r="B742" s="140"/>
      <c r="C742" s="141"/>
      <c r="D742" s="142"/>
      <c r="E742" s="143"/>
      <c r="F742" s="144"/>
      <c r="G742" s="145"/>
      <c r="H742" s="144"/>
      <c r="I742" s="145"/>
      <c r="J742" s="146"/>
      <c r="K742" s="145"/>
      <c r="L742" s="146"/>
      <c r="M742" s="145"/>
      <c r="N742" s="146"/>
      <c r="O742" s="145"/>
      <c r="P742" s="146"/>
      <c r="Q742" s="145"/>
      <c r="R742" s="144"/>
      <c r="S742" s="145"/>
      <c r="T742" s="144"/>
      <c r="U742" s="145"/>
      <c r="V742" s="144"/>
      <c r="W742" s="145"/>
      <c r="X742" s="144"/>
      <c r="Y742" s="145"/>
      <c r="Z742" s="144"/>
      <c r="AA742" s="145"/>
      <c r="AB742" s="147"/>
      <c r="AC742" s="145"/>
      <c r="AD742" s="148"/>
      <c r="AE742" s="148"/>
      <c r="AF742" s="149"/>
      <c r="AG742" s="150"/>
    </row>
    <row r="743" spans="1:42" customHeight="1" ht="11.5" s="129" customFormat="1">
      <c r="A743" s="139"/>
      <c r="B743" s="140"/>
      <c r="C743" s="141"/>
      <c r="D743" s="142"/>
      <c r="E743" s="143"/>
      <c r="F743" s="144"/>
      <c r="G743" s="145"/>
      <c r="H743" s="144"/>
      <c r="I743" s="145"/>
      <c r="J743" s="146"/>
      <c r="K743" s="145"/>
      <c r="L743" s="146"/>
      <c r="M743" s="145"/>
      <c r="N743" s="146"/>
      <c r="O743" s="145"/>
      <c r="P743" s="146"/>
      <c r="Q743" s="145"/>
      <c r="R743" s="144"/>
      <c r="S743" s="145"/>
      <c r="T743" s="144"/>
      <c r="U743" s="145"/>
      <c r="V743" s="144"/>
      <c r="W743" s="145"/>
      <c r="X743" s="144"/>
      <c r="Y743" s="145"/>
      <c r="Z743" s="144"/>
      <c r="AA743" s="145"/>
      <c r="AB743" s="147"/>
      <c r="AC743" s="145"/>
      <c r="AD743" s="148"/>
      <c r="AE743" s="148"/>
      <c r="AF743" s="149"/>
      <c r="AG743" s="150"/>
    </row>
    <row r="744" spans="1:42" customHeight="1" ht="11.5" s="129" customFormat="1">
      <c r="A744" s="139"/>
      <c r="B744" s="140"/>
      <c r="C744" s="141"/>
      <c r="D744" s="142"/>
      <c r="E744" s="143"/>
      <c r="F744" s="144"/>
      <c r="G744" s="145"/>
      <c r="H744" s="144"/>
      <c r="I744" s="145"/>
      <c r="J744" s="146"/>
      <c r="K744" s="145"/>
      <c r="L744" s="146"/>
      <c r="M744" s="145"/>
      <c r="N744" s="146"/>
      <c r="O744" s="145"/>
      <c r="P744" s="146"/>
      <c r="Q744" s="145"/>
      <c r="R744" s="144"/>
      <c r="S744" s="145"/>
      <c r="T744" s="144"/>
      <c r="U744" s="145"/>
      <c r="V744" s="144"/>
      <c r="W744" s="145"/>
      <c r="X744" s="144"/>
      <c r="Y744" s="145"/>
      <c r="Z744" s="144"/>
      <c r="AA744" s="145"/>
      <c r="AB744" s="147"/>
      <c r="AC744" s="145"/>
      <c r="AD744" s="148"/>
      <c r="AE744" s="148"/>
      <c r="AF744" s="149"/>
      <c r="AG744" s="150"/>
    </row>
    <row r="745" spans="1:42" customHeight="1" ht="11.5" s="129" customFormat="1">
      <c r="A745" s="139"/>
      <c r="B745" s="140"/>
      <c r="C745" s="141"/>
      <c r="D745" s="142"/>
      <c r="E745" s="143"/>
      <c r="F745" s="144"/>
      <c r="G745" s="145"/>
      <c r="H745" s="144"/>
      <c r="I745" s="145"/>
      <c r="J745" s="146"/>
      <c r="K745" s="145"/>
      <c r="L745" s="146"/>
      <c r="M745" s="145"/>
      <c r="N745" s="146"/>
      <c r="O745" s="145"/>
      <c r="P745" s="146"/>
      <c r="Q745" s="145"/>
      <c r="R745" s="144"/>
      <c r="S745" s="145"/>
      <c r="T745" s="144"/>
      <c r="U745" s="145"/>
      <c r="V745" s="144"/>
      <c r="W745" s="145"/>
      <c r="X745" s="144"/>
      <c r="Y745" s="145"/>
      <c r="Z745" s="144"/>
      <c r="AA745" s="145"/>
      <c r="AB745" s="147"/>
      <c r="AC745" s="145"/>
      <c r="AD745" s="148"/>
      <c r="AE745" s="148"/>
      <c r="AF745" s="149"/>
      <c r="AG745" s="150"/>
    </row>
    <row r="746" spans="1:42" customHeight="1" ht="11.5" s="129" customFormat="1">
      <c r="A746" s="139"/>
      <c r="B746" s="140"/>
      <c r="C746" s="141"/>
      <c r="D746" s="142"/>
      <c r="E746" s="143"/>
      <c r="F746" s="144"/>
      <c r="G746" s="145"/>
      <c r="H746" s="144"/>
      <c r="I746" s="145"/>
      <c r="J746" s="146"/>
      <c r="K746" s="145"/>
      <c r="L746" s="146"/>
      <c r="M746" s="145"/>
      <c r="N746" s="146"/>
      <c r="O746" s="145"/>
      <c r="P746" s="146"/>
      <c r="Q746" s="145"/>
      <c r="R746" s="144"/>
      <c r="S746" s="145"/>
      <c r="T746" s="144"/>
      <c r="U746" s="145"/>
      <c r="V746" s="144"/>
      <c r="W746" s="145"/>
      <c r="X746" s="144"/>
      <c r="Y746" s="145"/>
      <c r="Z746" s="144"/>
      <c r="AA746" s="145"/>
      <c r="AB746" s="147"/>
      <c r="AC746" s="145"/>
      <c r="AD746" s="148"/>
      <c r="AE746" s="148"/>
      <c r="AF746" s="149"/>
      <c r="AG746" s="150"/>
    </row>
    <row r="747" spans="1:42" customHeight="1" ht="11.5" s="129" customFormat="1">
      <c r="A747" s="139"/>
      <c r="B747" s="140"/>
      <c r="C747" s="141"/>
      <c r="D747" s="142"/>
      <c r="E747" s="143"/>
      <c r="F747" s="144"/>
      <c r="G747" s="145"/>
      <c r="H747" s="144"/>
      <c r="I747" s="145"/>
      <c r="J747" s="146"/>
      <c r="K747" s="145"/>
      <c r="L747" s="146"/>
      <c r="M747" s="145"/>
      <c r="N747" s="146"/>
      <c r="O747" s="145"/>
      <c r="P747" s="146"/>
      <c r="Q747" s="145"/>
      <c r="R747" s="144"/>
      <c r="S747" s="145"/>
      <c r="T747" s="144"/>
      <c r="U747" s="145"/>
      <c r="V747" s="144"/>
      <c r="W747" s="145"/>
      <c r="X747" s="144"/>
      <c r="Y747" s="145"/>
      <c r="Z747" s="144"/>
      <c r="AA747" s="145"/>
      <c r="AB747" s="147"/>
      <c r="AC747" s="145"/>
      <c r="AD747" s="148"/>
      <c r="AE747" s="148"/>
      <c r="AF747" s="149"/>
      <c r="AG747" s="150"/>
    </row>
    <row r="748" spans="1:42" customHeight="1" ht="11.5" s="129" customFormat="1">
      <c r="A748" s="139"/>
      <c r="B748" s="140"/>
      <c r="C748" s="141"/>
      <c r="D748" s="142"/>
      <c r="E748" s="143"/>
      <c r="F748" s="144"/>
      <c r="G748" s="145"/>
      <c r="H748" s="144"/>
      <c r="I748" s="145"/>
      <c r="J748" s="146"/>
      <c r="K748" s="145"/>
      <c r="L748" s="146"/>
      <c r="M748" s="145"/>
      <c r="N748" s="146"/>
      <c r="O748" s="145"/>
      <c r="P748" s="146"/>
      <c r="Q748" s="145"/>
      <c r="R748" s="144"/>
      <c r="S748" s="145"/>
      <c r="T748" s="144"/>
      <c r="U748" s="145"/>
      <c r="V748" s="144"/>
      <c r="W748" s="145"/>
      <c r="X748" s="144"/>
      <c r="Y748" s="145"/>
      <c r="Z748" s="144"/>
      <c r="AA748" s="145"/>
      <c r="AB748" s="147"/>
      <c r="AC748" s="145"/>
      <c r="AD748" s="148"/>
      <c r="AE748" s="148"/>
      <c r="AF748" s="149"/>
      <c r="AG748" s="150"/>
    </row>
    <row r="749" spans="1:42" customHeight="1" ht="11.5" s="129" customFormat="1">
      <c r="A749" s="139"/>
      <c r="B749" s="140"/>
      <c r="C749" s="141"/>
      <c r="D749" s="142"/>
      <c r="E749" s="143"/>
      <c r="F749" s="144"/>
      <c r="G749" s="145"/>
      <c r="H749" s="144"/>
      <c r="I749" s="145"/>
      <c r="J749" s="146"/>
      <c r="K749" s="145"/>
      <c r="L749" s="146"/>
      <c r="M749" s="145"/>
      <c r="N749" s="146"/>
      <c r="O749" s="145"/>
      <c r="P749" s="146"/>
      <c r="Q749" s="145"/>
      <c r="R749" s="144"/>
      <c r="S749" s="145"/>
      <c r="T749" s="144"/>
      <c r="U749" s="145"/>
      <c r="V749" s="144"/>
      <c r="W749" s="145"/>
      <c r="X749" s="144"/>
      <c r="Y749" s="145"/>
      <c r="Z749" s="144"/>
      <c r="AA749" s="145"/>
      <c r="AB749" s="147"/>
      <c r="AC749" s="145"/>
      <c r="AD749" s="148"/>
      <c r="AE749" s="148"/>
      <c r="AF749" s="149"/>
      <c r="AG749" s="150"/>
    </row>
    <row r="750" spans="1:42" customHeight="1" ht="11.5" s="129" customFormat="1">
      <c r="A750" s="139"/>
      <c r="B750" s="140"/>
      <c r="C750" s="141"/>
      <c r="D750" s="142"/>
      <c r="E750" s="143"/>
      <c r="F750" s="144"/>
      <c r="G750" s="145"/>
      <c r="H750" s="144"/>
      <c r="I750" s="145"/>
      <c r="J750" s="146"/>
      <c r="K750" s="145"/>
      <c r="L750" s="146"/>
      <c r="M750" s="145"/>
      <c r="N750" s="146"/>
      <c r="O750" s="145"/>
      <c r="P750" s="146"/>
      <c r="Q750" s="145"/>
      <c r="R750" s="144"/>
      <c r="S750" s="145"/>
      <c r="T750" s="144"/>
      <c r="U750" s="145"/>
      <c r="V750" s="144"/>
      <c r="W750" s="145"/>
      <c r="X750" s="144"/>
      <c r="Y750" s="145"/>
      <c r="Z750" s="144"/>
      <c r="AA750" s="145"/>
      <c r="AB750" s="147"/>
      <c r="AC750" s="145"/>
      <c r="AD750" s="148"/>
      <c r="AE750" s="148"/>
      <c r="AF750" s="149"/>
      <c r="AG750" s="150"/>
    </row>
    <row r="751" spans="1:42" customHeight="1" ht="11.5" s="129" customFormat="1">
      <c r="A751" s="139"/>
      <c r="B751" s="140"/>
      <c r="C751" s="141"/>
      <c r="D751" s="142"/>
      <c r="E751" s="143"/>
      <c r="F751" s="144"/>
      <c r="G751" s="145"/>
      <c r="H751" s="144"/>
      <c r="I751" s="145"/>
      <c r="J751" s="146"/>
      <c r="K751" s="145"/>
      <c r="L751" s="146"/>
      <c r="M751" s="145"/>
      <c r="N751" s="146"/>
      <c r="O751" s="145"/>
      <c r="P751" s="146"/>
      <c r="Q751" s="145"/>
      <c r="R751" s="144"/>
      <c r="S751" s="145"/>
      <c r="T751" s="144"/>
      <c r="U751" s="145"/>
      <c r="V751" s="144"/>
      <c r="W751" s="145"/>
      <c r="X751" s="144"/>
      <c r="Y751" s="145"/>
      <c r="Z751" s="144"/>
      <c r="AA751" s="145"/>
      <c r="AB751" s="147"/>
      <c r="AC751" s="145"/>
      <c r="AD751" s="148"/>
      <c r="AE751" s="148"/>
      <c r="AF751" s="149"/>
      <c r="AG751" s="150"/>
    </row>
    <row r="752" spans="1:42" customHeight="1" ht="11.5" s="129" customFormat="1">
      <c r="A752" s="139"/>
      <c r="B752" s="140"/>
      <c r="C752" s="141"/>
      <c r="D752" s="142"/>
      <c r="E752" s="143"/>
      <c r="F752" s="144"/>
      <c r="G752" s="145"/>
      <c r="H752" s="144"/>
      <c r="I752" s="145"/>
      <c r="J752" s="146"/>
      <c r="K752" s="145"/>
      <c r="L752" s="146"/>
      <c r="M752" s="145"/>
      <c r="N752" s="146"/>
      <c r="O752" s="145"/>
      <c r="P752" s="146"/>
      <c r="Q752" s="145"/>
      <c r="R752" s="144"/>
      <c r="S752" s="145"/>
      <c r="T752" s="144"/>
      <c r="U752" s="145"/>
      <c r="V752" s="144"/>
      <c r="W752" s="145"/>
      <c r="X752" s="144"/>
      <c r="Y752" s="145"/>
      <c r="Z752" s="144"/>
      <c r="AA752" s="145"/>
      <c r="AB752" s="147"/>
      <c r="AC752" s="145"/>
      <c r="AD752" s="148"/>
      <c r="AE752" s="148"/>
      <c r="AF752" s="149"/>
      <c r="AG752" s="150"/>
    </row>
    <row r="753" spans="1:42" customHeight="1" ht="11.5" s="129" customFormat="1">
      <c r="A753" s="139"/>
      <c r="B753" s="140"/>
      <c r="C753" s="141"/>
      <c r="D753" s="142"/>
      <c r="E753" s="143"/>
      <c r="F753" s="144"/>
      <c r="G753" s="145"/>
      <c r="H753" s="144"/>
      <c r="I753" s="145"/>
      <c r="J753" s="146"/>
      <c r="K753" s="145"/>
      <c r="L753" s="146"/>
      <c r="M753" s="145"/>
      <c r="N753" s="146"/>
      <c r="O753" s="145"/>
      <c r="P753" s="146"/>
      <c r="Q753" s="145"/>
      <c r="R753" s="144"/>
      <c r="S753" s="145"/>
      <c r="T753" s="144"/>
      <c r="U753" s="145"/>
      <c r="V753" s="144"/>
      <c r="W753" s="145"/>
      <c r="X753" s="144"/>
      <c r="Y753" s="145"/>
      <c r="Z753" s="144"/>
      <c r="AA753" s="145"/>
      <c r="AB753" s="147"/>
      <c r="AC753" s="145"/>
      <c r="AD753" s="148"/>
      <c r="AE753" s="148"/>
      <c r="AF753" s="149"/>
      <c r="AG753" s="150"/>
    </row>
    <row r="754" spans="1:42" customHeight="1" ht="11.5" s="129" customFormat="1">
      <c r="A754" s="139"/>
      <c r="B754" s="140"/>
      <c r="C754" s="141"/>
      <c r="D754" s="142"/>
      <c r="E754" s="143"/>
      <c r="F754" s="144"/>
      <c r="G754" s="145"/>
      <c r="H754" s="144"/>
      <c r="I754" s="145"/>
      <c r="J754" s="146"/>
      <c r="K754" s="145"/>
      <c r="L754" s="146"/>
      <c r="M754" s="145"/>
      <c r="N754" s="146"/>
      <c r="O754" s="145"/>
      <c r="P754" s="146"/>
      <c r="Q754" s="145"/>
      <c r="R754" s="144"/>
      <c r="S754" s="145"/>
      <c r="T754" s="144"/>
      <c r="U754" s="145"/>
      <c r="V754" s="144"/>
      <c r="W754" s="145"/>
      <c r="X754" s="144"/>
      <c r="Y754" s="145"/>
      <c r="Z754" s="144"/>
      <c r="AA754" s="145"/>
      <c r="AB754" s="147"/>
      <c r="AC754" s="145"/>
      <c r="AD754" s="148"/>
      <c r="AE754" s="148"/>
      <c r="AF754" s="149"/>
      <c r="AG754" s="150"/>
    </row>
    <row r="755" spans="1:42" customHeight="1" ht="11.5" s="129" customFormat="1">
      <c r="A755" s="139"/>
      <c r="B755" s="140"/>
      <c r="C755" s="141"/>
      <c r="D755" s="142"/>
      <c r="E755" s="143"/>
      <c r="F755" s="144"/>
      <c r="G755" s="145"/>
      <c r="H755" s="144"/>
      <c r="I755" s="145"/>
      <c r="J755" s="146"/>
      <c r="K755" s="145"/>
      <c r="L755" s="146"/>
      <c r="M755" s="145"/>
      <c r="N755" s="146"/>
      <c r="O755" s="145"/>
      <c r="P755" s="146"/>
      <c r="Q755" s="145"/>
      <c r="R755" s="144"/>
      <c r="S755" s="145"/>
      <c r="T755" s="144"/>
      <c r="U755" s="145"/>
      <c r="V755" s="144"/>
      <c r="W755" s="145"/>
      <c r="X755" s="144"/>
      <c r="Y755" s="145"/>
      <c r="Z755" s="144"/>
      <c r="AA755" s="145"/>
      <c r="AB755" s="147"/>
      <c r="AC755" s="145"/>
      <c r="AD755" s="148"/>
      <c r="AE755" s="148"/>
      <c r="AF755" s="149"/>
      <c r="AG755" s="150"/>
    </row>
    <row r="756" spans="1:42" customHeight="1" ht="11.5" s="129" customFormat="1">
      <c r="A756" s="139"/>
      <c r="B756" s="140"/>
      <c r="C756" s="141"/>
      <c r="D756" s="142"/>
      <c r="E756" s="143"/>
      <c r="F756" s="144"/>
      <c r="G756" s="145"/>
      <c r="H756" s="144"/>
      <c r="I756" s="145"/>
      <c r="J756" s="146"/>
      <c r="K756" s="145"/>
      <c r="L756" s="146"/>
      <c r="M756" s="145"/>
      <c r="N756" s="146"/>
      <c r="O756" s="145"/>
      <c r="P756" s="146"/>
      <c r="Q756" s="145"/>
      <c r="R756" s="144"/>
      <c r="S756" s="145"/>
      <c r="T756" s="144"/>
      <c r="U756" s="145"/>
      <c r="V756" s="144"/>
      <c r="W756" s="145"/>
      <c r="X756" s="144"/>
      <c r="Y756" s="145"/>
      <c r="Z756" s="144"/>
      <c r="AA756" s="145"/>
      <c r="AB756" s="147"/>
      <c r="AC756" s="145"/>
      <c r="AD756" s="148"/>
      <c r="AE756" s="148"/>
      <c r="AF756" s="149"/>
      <c r="AG756" s="150"/>
    </row>
    <row r="757" spans="1:42" customHeight="1" ht="11.5" s="129" customFormat="1">
      <c r="A757" s="139"/>
      <c r="B757" s="140"/>
      <c r="C757" s="141"/>
      <c r="D757" s="142"/>
      <c r="E757" s="143"/>
      <c r="F757" s="144"/>
      <c r="G757" s="145"/>
      <c r="H757" s="144"/>
      <c r="I757" s="145"/>
      <c r="J757" s="146"/>
      <c r="K757" s="145"/>
      <c r="L757" s="146"/>
      <c r="M757" s="145"/>
      <c r="N757" s="146"/>
      <c r="O757" s="145"/>
      <c r="P757" s="146"/>
      <c r="Q757" s="145"/>
      <c r="R757" s="144"/>
      <c r="S757" s="145"/>
      <c r="T757" s="144"/>
      <c r="U757" s="145"/>
      <c r="V757" s="144"/>
      <c r="W757" s="145"/>
      <c r="X757" s="144"/>
      <c r="Y757" s="145"/>
      <c r="Z757" s="144"/>
      <c r="AA757" s="145"/>
      <c r="AB757" s="147"/>
      <c r="AC757" s="145"/>
      <c r="AD757" s="148"/>
      <c r="AE757" s="148"/>
      <c r="AF757" s="149"/>
      <c r="AG757" s="150"/>
    </row>
    <row r="758" spans="1:42" customHeight="1" ht="11.5" s="129" customFormat="1">
      <c r="A758" s="139"/>
      <c r="B758" s="140"/>
      <c r="C758" s="141"/>
      <c r="D758" s="142"/>
      <c r="E758" s="143"/>
      <c r="F758" s="144"/>
      <c r="G758" s="145"/>
      <c r="H758" s="144"/>
      <c r="I758" s="145"/>
      <c r="J758" s="146"/>
      <c r="K758" s="145"/>
      <c r="L758" s="146"/>
      <c r="M758" s="145"/>
      <c r="N758" s="146"/>
      <c r="O758" s="145"/>
      <c r="P758" s="146"/>
      <c r="Q758" s="145"/>
      <c r="R758" s="144"/>
      <c r="S758" s="145"/>
      <c r="T758" s="144"/>
      <c r="U758" s="145"/>
      <c r="V758" s="144"/>
      <c r="W758" s="145"/>
      <c r="X758" s="144"/>
      <c r="Y758" s="145"/>
      <c r="Z758" s="144"/>
      <c r="AA758" s="145"/>
      <c r="AB758" s="147"/>
      <c r="AC758" s="145"/>
      <c r="AD758" s="148"/>
      <c r="AE758" s="148"/>
      <c r="AF758" s="149"/>
      <c r="AG758" s="150"/>
    </row>
    <row r="759" spans="1:42" customHeight="1" ht="11.5" s="129" customFormat="1">
      <c r="A759" s="139"/>
      <c r="B759" s="140"/>
      <c r="C759" s="141"/>
      <c r="D759" s="142"/>
      <c r="E759" s="143"/>
      <c r="F759" s="144"/>
      <c r="G759" s="145"/>
      <c r="H759" s="144"/>
      <c r="I759" s="145"/>
      <c r="J759" s="146"/>
      <c r="K759" s="145"/>
      <c r="L759" s="146"/>
      <c r="M759" s="145"/>
      <c r="N759" s="146"/>
      <c r="O759" s="145"/>
      <c r="P759" s="146"/>
      <c r="Q759" s="145"/>
      <c r="R759" s="144"/>
      <c r="S759" s="145"/>
      <c r="T759" s="144"/>
      <c r="U759" s="145"/>
      <c r="V759" s="144"/>
      <c r="W759" s="145"/>
      <c r="X759" s="144"/>
      <c r="Y759" s="145"/>
      <c r="Z759" s="144"/>
      <c r="AA759" s="145"/>
      <c r="AB759" s="147"/>
      <c r="AC759" s="145"/>
      <c r="AD759" s="148"/>
      <c r="AE759" s="148"/>
      <c r="AF759" s="149"/>
      <c r="AG759" s="150"/>
    </row>
    <row r="760" spans="1:42" customHeight="1" ht="11.5" s="129" customFormat="1">
      <c r="A760" s="139"/>
      <c r="B760" s="140"/>
      <c r="C760" s="141"/>
      <c r="D760" s="142"/>
      <c r="E760" s="143"/>
      <c r="F760" s="144"/>
      <c r="G760" s="145"/>
      <c r="H760" s="144"/>
      <c r="I760" s="145"/>
      <c r="J760" s="146"/>
      <c r="K760" s="145"/>
      <c r="L760" s="146"/>
      <c r="M760" s="145"/>
      <c r="N760" s="146"/>
      <c r="O760" s="145"/>
      <c r="P760" s="146"/>
      <c r="Q760" s="145"/>
      <c r="R760" s="144"/>
      <c r="S760" s="145"/>
      <c r="T760" s="144"/>
      <c r="U760" s="145"/>
      <c r="V760" s="144"/>
      <c r="W760" s="145"/>
      <c r="X760" s="144"/>
      <c r="Y760" s="145"/>
      <c r="Z760" s="144"/>
      <c r="AA760" s="145"/>
      <c r="AB760" s="147"/>
      <c r="AC760" s="145"/>
      <c r="AD760" s="148"/>
      <c r="AE760" s="148"/>
      <c r="AF760" s="149"/>
      <c r="AG760" s="150"/>
    </row>
    <row r="761" spans="1:42" customHeight="1" ht="11.5" s="129" customFormat="1">
      <c r="A761" s="139"/>
      <c r="B761" s="140"/>
      <c r="C761" s="141"/>
      <c r="D761" s="142"/>
      <c r="E761" s="143"/>
      <c r="F761" s="144"/>
      <c r="G761" s="145"/>
      <c r="H761" s="144"/>
      <c r="I761" s="145"/>
      <c r="J761" s="146"/>
      <c r="K761" s="145"/>
      <c r="L761" s="146"/>
      <c r="M761" s="145"/>
      <c r="N761" s="146"/>
      <c r="O761" s="145"/>
      <c r="P761" s="146"/>
      <c r="Q761" s="145"/>
      <c r="R761" s="144"/>
      <c r="S761" s="145"/>
      <c r="T761" s="144"/>
      <c r="U761" s="145"/>
      <c r="V761" s="144"/>
      <c r="W761" s="145"/>
      <c r="X761" s="144"/>
      <c r="Y761" s="145"/>
      <c r="Z761" s="144"/>
      <c r="AA761" s="145"/>
      <c r="AB761" s="147"/>
      <c r="AC761" s="145"/>
      <c r="AD761" s="148"/>
      <c r="AE761" s="148"/>
      <c r="AF761" s="149"/>
      <c r="AG761" s="150"/>
    </row>
    <row r="762" spans="1:42" customHeight="1" ht="11.5" s="129" customFormat="1">
      <c r="A762" s="139"/>
      <c r="B762" s="140"/>
      <c r="C762" s="141"/>
      <c r="D762" s="142"/>
      <c r="E762" s="143"/>
      <c r="F762" s="144"/>
      <c r="G762" s="145"/>
      <c r="H762" s="144"/>
      <c r="I762" s="145"/>
      <c r="J762" s="146"/>
      <c r="K762" s="145"/>
      <c r="L762" s="146"/>
      <c r="M762" s="145"/>
      <c r="N762" s="146"/>
      <c r="O762" s="145"/>
      <c r="P762" s="146"/>
      <c r="Q762" s="145"/>
      <c r="R762" s="144"/>
      <c r="S762" s="145"/>
      <c r="T762" s="144"/>
      <c r="U762" s="145"/>
      <c r="V762" s="144"/>
      <c r="W762" s="145"/>
      <c r="X762" s="144"/>
      <c r="Y762" s="145"/>
      <c r="Z762" s="144"/>
      <c r="AA762" s="145"/>
      <c r="AB762" s="147"/>
      <c r="AC762" s="145"/>
      <c r="AD762" s="148"/>
      <c r="AE762" s="148"/>
      <c r="AF762" s="149"/>
      <c r="AG762" s="150"/>
    </row>
    <row r="763" spans="1:42" customHeight="1" ht="11.5" s="129" customFormat="1">
      <c r="A763" s="139"/>
      <c r="B763" s="140"/>
      <c r="C763" s="141"/>
      <c r="D763" s="142"/>
      <c r="E763" s="143"/>
      <c r="F763" s="144"/>
      <c r="G763" s="145"/>
      <c r="H763" s="144"/>
      <c r="I763" s="145"/>
      <c r="J763" s="146"/>
      <c r="K763" s="145"/>
      <c r="L763" s="146"/>
      <c r="M763" s="145"/>
      <c r="N763" s="146"/>
      <c r="O763" s="145"/>
      <c r="P763" s="146"/>
      <c r="Q763" s="145"/>
      <c r="R763" s="144"/>
      <c r="S763" s="145"/>
      <c r="T763" s="144"/>
      <c r="U763" s="145"/>
      <c r="V763" s="144"/>
      <c r="W763" s="145"/>
      <c r="X763" s="144"/>
      <c r="Y763" s="145"/>
      <c r="Z763" s="144"/>
      <c r="AA763" s="145"/>
      <c r="AB763" s="147"/>
      <c r="AC763" s="145"/>
      <c r="AD763" s="148"/>
      <c r="AE763" s="148"/>
      <c r="AF763" s="149"/>
      <c r="AG763" s="150"/>
    </row>
    <row r="764" spans="1:42" customHeight="1" ht="11.5" s="129" customFormat="1">
      <c r="A764" s="139"/>
      <c r="B764" s="140"/>
      <c r="C764" s="141"/>
      <c r="D764" s="142"/>
      <c r="E764" s="143"/>
      <c r="F764" s="144"/>
      <c r="G764" s="145"/>
      <c r="H764" s="144"/>
      <c r="I764" s="145"/>
      <c r="J764" s="146"/>
      <c r="K764" s="145"/>
      <c r="L764" s="146"/>
      <c r="M764" s="145"/>
      <c r="N764" s="146"/>
      <c r="O764" s="145"/>
      <c r="P764" s="146"/>
      <c r="Q764" s="145"/>
      <c r="R764" s="144"/>
      <c r="S764" s="145"/>
      <c r="T764" s="144"/>
      <c r="U764" s="145"/>
      <c r="V764" s="144"/>
      <c r="W764" s="145"/>
      <c r="X764" s="144"/>
      <c r="Y764" s="145"/>
      <c r="Z764" s="144"/>
      <c r="AA764" s="145"/>
      <c r="AB764" s="147"/>
      <c r="AC764" s="145"/>
      <c r="AD764" s="148"/>
      <c r="AE764" s="148"/>
      <c r="AF764" s="149"/>
      <c r="AG764" s="150"/>
    </row>
    <row r="765" spans="1:42" customHeight="1" ht="11.5" s="129" customFormat="1">
      <c r="A765" s="139"/>
      <c r="B765" s="140"/>
      <c r="C765" s="141"/>
      <c r="D765" s="142"/>
      <c r="E765" s="143"/>
      <c r="F765" s="144"/>
      <c r="G765" s="145"/>
      <c r="H765" s="144"/>
      <c r="I765" s="145"/>
      <c r="J765" s="146"/>
      <c r="K765" s="145"/>
      <c r="L765" s="146"/>
      <c r="M765" s="145"/>
      <c r="N765" s="146"/>
      <c r="O765" s="145"/>
      <c r="P765" s="146"/>
      <c r="Q765" s="145"/>
      <c r="R765" s="144"/>
      <c r="S765" s="145"/>
      <c r="T765" s="144"/>
      <c r="U765" s="145"/>
      <c r="V765" s="144"/>
      <c r="W765" s="145"/>
      <c r="X765" s="144"/>
      <c r="Y765" s="145"/>
      <c r="Z765" s="144"/>
      <c r="AA765" s="145"/>
      <c r="AB765" s="147"/>
      <c r="AC765" s="145"/>
      <c r="AD765" s="148"/>
      <c r="AE765" s="148"/>
      <c r="AF765" s="149"/>
      <c r="AG765" s="150"/>
    </row>
    <row r="766" spans="1:42" customHeight="1" ht="11.5" s="129" customFormat="1">
      <c r="A766" s="139"/>
      <c r="B766" s="140"/>
      <c r="C766" s="141"/>
      <c r="D766" s="142"/>
      <c r="E766" s="143"/>
      <c r="F766" s="144"/>
      <c r="G766" s="145"/>
      <c r="H766" s="144"/>
      <c r="I766" s="145"/>
      <c r="J766" s="146"/>
      <c r="K766" s="145"/>
      <c r="L766" s="146"/>
      <c r="M766" s="145"/>
      <c r="N766" s="146"/>
      <c r="O766" s="145"/>
      <c r="P766" s="146"/>
      <c r="Q766" s="145"/>
      <c r="R766" s="144"/>
      <c r="S766" s="145"/>
      <c r="T766" s="144"/>
      <c r="U766" s="145"/>
      <c r="V766" s="144"/>
      <c r="W766" s="145"/>
      <c r="X766" s="144"/>
      <c r="Y766" s="145"/>
      <c r="Z766" s="144"/>
      <c r="AA766" s="145"/>
      <c r="AB766" s="147"/>
      <c r="AC766" s="145"/>
      <c r="AD766" s="148"/>
      <c r="AE766" s="148"/>
      <c r="AF766" s="149"/>
      <c r="AG766" s="150"/>
    </row>
    <row r="767" spans="1:42" customHeight="1" ht="11.5" s="129" customFormat="1">
      <c r="A767" s="139"/>
      <c r="B767" s="140"/>
      <c r="C767" s="141"/>
      <c r="D767" s="142"/>
      <c r="E767" s="143"/>
      <c r="F767" s="144"/>
      <c r="G767" s="145"/>
      <c r="H767" s="144"/>
      <c r="I767" s="145"/>
      <c r="J767" s="146"/>
      <c r="K767" s="145"/>
      <c r="L767" s="146"/>
      <c r="M767" s="145"/>
      <c r="N767" s="146"/>
      <c r="O767" s="145"/>
      <c r="P767" s="146"/>
      <c r="Q767" s="145"/>
      <c r="R767" s="144"/>
      <c r="S767" s="145"/>
      <c r="T767" s="144"/>
      <c r="U767" s="145"/>
      <c r="V767" s="144"/>
      <c r="W767" s="145"/>
      <c r="X767" s="144"/>
      <c r="Y767" s="145"/>
      <c r="Z767" s="144"/>
      <c r="AA767" s="145"/>
      <c r="AB767" s="147"/>
      <c r="AC767" s="145"/>
      <c r="AD767" s="148"/>
      <c r="AE767" s="148"/>
      <c r="AF767" s="149"/>
      <c r="AG767" s="150"/>
    </row>
    <row r="768" spans="1:42" customHeight="1" ht="11.5" s="129" customFormat="1">
      <c r="A768" s="139"/>
      <c r="B768" s="140"/>
      <c r="C768" s="141"/>
      <c r="D768" s="142"/>
      <c r="E768" s="143"/>
      <c r="F768" s="144"/>
      <c r="G768" s="145"/>
      <c r="H768" s="144"/>
      <c r="I768" s="145"/>
      <c r="J768" s="146"/>
      <c r="K768" s="145"/>
      <c r="L768" s="146"/>
      <c r="M768" s="145"/>
      <c r="N768" s="146"/>
      <c r="O768" s="145"/>
      <c r="P768" s="146"/>
      <c r="Q768" s="145"/>
      <c r="R768" s="144"/>
      <c r="S768" s="145"/>
      <c r="T768" s="144"/>
      <c r="U768" s="145"/>
      <c r="V768" s="144"/>
      <c r="W768" s="145"/>
      <c r="X768" s="144"/>
      <c r="Y768" s="145"/>
      <c r="Z768" s="144"/>
      <c r="AA768" s="145"/>
      <c r="AB768" s="147"/>
      <c r="AC768" s="145"/>
      <c r="AD768" s="148"/>
      <c r="AE768" s="148"/>
      <c r="AF768" s="149"/>
      <c r="AG768" s="150"/>
    </row>
    <row r="769" spans="1:42" customHeight="1" ht="11.5" s="129" customFormat="1">
      <c r="A769" s="139"/>
      <c r="B769" s="140"/>
      <c r="C769" s="141"/>
      <c r="D769" s="142"/>
      <c r="E769" s="143"/>
      <c r="F769" s="144"/>
      <c r="G769" s="145"/>
      <c r="H769" s="144"/>
      <c r="I769" s="145"/>
      <c r="J769" s="146"/>
      <c r="K769" s="145"/>
      <c r="L769" s="146"/>
      <c r="M769" s="145"/>
      <c r="N769" s="146"/>
      <c r="O769" s="145"/>
      <c r="P769" s="146"/>
      <c r="Q769" s="145"/>
      <c r="R769" s="144"/>
      <c r="S769" s="145"/>
      <c r="T769" s="144"/>
      <c r="U769" s="145"/>
      <c r="V769" s="144"/>
      <c r="W769" s="145"/>
      <c r="X769" s="144"/>
      <c r="Y769" s="145"/>
      <c r="Z769" s="144"/>
      <c r="AA769" s="145"/>
      <c r="AB769" s="147"/>
      <c r="AC769" s="145"/>
      <c r="AD769" s="148"/>
      <c r="AE769" s="148"/>
      <c r="AF769" s="149"/>
      <c r="AG769" s="150"/>
    </row>
    <row r="770" spans="1:42" customHeight="1" ht="11.5" s="129" customFormat="1">
      <c r="A770" s="139"/>
      <c r="B770" s="140"/>
      <c r="C770" s="141"/>
      <c r="D770" s="142"/>
      <c r="E770" s="143"/>
      <c r="F770" s="144"/>
      <c r="G770" s="145"/>
      <c r="H770" s="144"/>
      <c r="I770" s="145"/>
      <c r="J770" s="146"/>
      <c r="K770" s="145"/>
      <c r="L770" s="146"/>
      <c r="M770" s="145"/>
      <c r="N770" s="146"/>
      <c r="O770" s="145"/>
      <c r="P770" s="146"/>
      <c r="Q770" s="145"/>
      <c r="R770" s="144"/>
      <c r="S770" s="145"/>
      <c r="T770" s="144"/>
      <c r="U770" s="145"/>
      <c r="V770" s="144"/>
      <c r="W770" s="145"/>
      <c r="X770" s="144"/>
      <c r="Y770" s="145"/>
      <c r="Z770" s="144"/>
      <c r="AA770" s="145"/>
      <c r="AB770" s="147"/>
      <c r="AC770" s="145"/>
      <c r="AD770" s="148"/>
      <c r="AE770" s="148"/>
      <c r="AF770" s="149"/>
      <c r="AG770" s="150"/>
    </row>
    <row r="771" spans="1:42" customHeight="1" ht="11.5" s="129" customFormat="1">
      <c r="A771" s="139"/>
      <c r="B771" s="140"/>
      <c r="C771" s="141"/>
      <c r="D771" s="142"/>
      <c r="E771" s="143"/>
      <c r="F771" s="144"/>
      <c r="G771" s="145"/>
      <c r="H771" s="144"/>
      <c r="I771" s="145"/>
      <c r="J771" s="146"/>
      <c r="K771" s="145"/>
      <c r="L771" s="146"/>
      <c r="M771" s="145"/>
      <c r="N771" s="146"/>
      <c r="O771" s="145"/>
      <c r="P771" s="146"/>
      <c r="Q771" s="145"/>
      <c r="R771" s="144"/>
      <c r="S771" s="145"/>
      <c r="T771" s="144"/>
      <c r="U771" s="145"/>
      <c r="V771" s="144"/>
      <c r="W771" s="145"/>
      <c r="X771" s="144"/>
      <c r="Y771" s="145"/>
      <c r="Z771" s="144"/>
      <c r="AA771" s="145"/>
      <c r="AB771" s="147"/>
      <c r="AC771" s="145"/>
      <c r="AD771" s="148"/>
      <c r="AE771" s="148"/>
      <c r="AF771" s="149"/>
      <c r="AG771" s="150"/>
    </row>
    <row r="772" spans="1:42" customHeight="1" ht="11.5" s="129" customFormat="1">
      <c r="A772" s="139"/>
      <c r="B772" s="140"/>
      <c r="C772" s="141"/>
      <c r="D772" s="142"/>
      <c r="E772" s="143"/>
      <c r="F772" s="144"/>
      <c r="G772" s="145"/>
      <c r="H772" s="144"/>
      <c r="I772" s="145"/>
      <c r="J772" s="146"/>
      <c r="K772" s="145"/>
      <c r="L772" s="146"/>
      <c r="M772" s="145"/>
      <c r="N772" s="146"/>
      <c r="O772" s="145"/>
      <c r="P772" s="146"/>
      <c r="Q772" s="145"/>
      <c r="R772" s="144"/>
      <c r="S772" s="145"/>
      <c r="T772" s="144"/>
      <c r="U772" s="145"/>
      <c r="V772" s="144"/>
      <c r="W772" s="145"/>
      <c r="X772" s="144"/>
      <c r="Y772" s="145"/>
      <c r="Z772" s="144"/>
      <c r="AA772" s="145"/>
      <c r="AB772" s="147"/>
      <c r="AC772" s="145"/>
      <c r="AD772" s="148"/>
      <c r="AE772" s="148"/>
      <c r="AF772" s="149"/>
      <c r="AG772" s="150"/>
    </row>
    <row r="773" spans="1:42" customHeight="1" ht="11.5" s="129" customFormat="1">
      <c r="A773" s="139"/>
      <c r="B773" s="140"/>
      <c r="C773" s="141"/>
      <c r="D773" s="142"/>
      <c r="E773" s="143"/>
      <c r="F773" s="144"/>
      <c r="G773" s="145"/>
      <c r="H773" s="144"/>
      <c r="I773" s="145"/>
      <c r="J773" s="146"/>
      <c r="K773" s="145"/>
      <c r="L773" s="146"/>
      <c r="M773" s="145"/>
      <c r="N773" s="146"/>
      <c r="O773" s="145"/>
      <c r="P773" s="146"/>
      <c r="Q773" s="145"/>
      <c r="R773" s="144"/>
      <c r="S773" s="145"/>
      <c r="T773" s="144"/>
      <c r="U773" s="145"/>
      <c r="V773" s="144"/>
      <c r="W773" s="145"/>
      <c r="X773" s="144"/>
      <c r="Y773" s="145"/>
      <c r="Z773" s="144"/>
      <c r="AA773" s="145"/>
      <c r="AB773" s="147"/>
      <c r="AC773" s="145"/>
      <c r="AD773" s="148"/>
      <c r="AE773" s="148"/>
      <c r="AF773" s="149"/>
      <c r="AG773" s="150"/>
    </row>
    <row r="774" spans="1:42" customHeight="1" ht="11.5" s="129" customFormat="1">
      <c r="A774" s="139"/>
      <c r="B774" s="140"/>
      <c r="C774" s="141"/>
      <c r="D774" s="142"/>
      <c r="E774" s="143"/>
      <c r="F774" s="144"/>
      <c r="G774" s="145"/>
      <c r="H774" s="144"/>
      <c r="I774" s="145"/>
      <c r="J774" s="146"/>
      <c r="K774" s="145"/>
      <c r="L774" s="146"/>
      <c r="M774" s="145"/>
      <c r="N774" s="146"/>
      <c r="O774" s="145"/>
      <c r="P774" s="146"/>
      <c r="Q774" s="145"/>
      <c r="R774" s="144"/>
      <c r="S774" s="145"/>
      <c r="T774" s="144"/>
      <c r="U774" s="145"/>
      <c r="V774" s="144"/>
      <c r="W774" s="145"/>
      <c r="X774" s="144"/>
      <c r="Y774" s="145"/>
      <c r="Z774" s="144"/>
      <c r="AA774" s="145"/>
      <c r="AB774" s="147"/>
      <c r="AC774" s="145"/>
      <c r="AD774" s="148"/>
      <c r="AE774" s="148"/>
      <c r="AF774" s="149"/>
      <c r="AG774" s="150"/>
    </row>
    <row r="775" spans="1:42" customHeight="1" ht="11.5" s="129" customFormat="1">
      <c r="A775" s="139"/>
      <c r="B775" s="140"/>
      <c r="C775" s="141"/>
      <c r="D775" s="142"/>
      <c r="E775" s="143"/>
      <c r="F775" s="144"/>
      <c r="G775" s="145"/>
      <c r="H775" s="144"/>
      <c r="I775" s="145"/>
      <c r="J775" s="146"/>
      <c r="K775" s="145"/>
      <c r="L775" s="146"/>
      <c r="M775" s="145"/>
      <c r="N775" s="146"/>
      <c r="O775" s="145"/>
      <c r="P775" s="146"/>
      <c r="Q775" s="145"/>
      <c r="R775" s="144"/>
      <c r="S775" s="145"/>
      <c r="T775" s="144"/>
      <c r="U775" s="145"/>
      <c r="V775" s="144"/>
      <c r="W775" s="145"/>
      <c r="X775" s="144"/>
      <c r="Y775" s="145"/>
      <c r="Z775" s="144"/>
      <c r="AA775" s="145"/>
      <c r="AB775" s="147"/>
      <c r="AC775" s="145"/>
      <c r="AD775" s="148"/>
      <c r="AE775" s="148"/>
      <c r="AF775" s="149"/>
      <c r="AG775" s="150"/>
    </row>
    <row r="776" spans="1:42" customHeight="1" ht="11.5" s="129" customFormat="1">
      <c r="A776" s="139"/>
      <c r="B776" s="140"/>
      <c r="C776" s="141"/>
      <c r="D776" s="142"/>
      <c r="E776" s="143"/>
      <c r="F776" s="144"/>
      <c r="G776" s="145"/>
      <c r="H776" s="144"/>
      <c r="I776" s="145"/>
      <c r="J776" s="146"/>
      <c r="K776" s="145"/>
      <c r="L776" s="146"/>
      <c r="M776" s="145"/>
      <c r="N776" s="146"/>
      <c r="O776" s="145"/>
      <c r="P776" s="146"/>
      <c r="Q776" s="145"/>
      <c r="R776" s="144"/>
      <c r="S776" s="145"/>
      <c r="T776" s="144"/>
      <c r="U776" s="145"/>
      <c r="V776" s="144"/>
      <c r="W776" s="145"/>
      <c r="X776" s="144"/>
      <c r="Y776" s="145"/>
      <c r="Z776" s="144"/>
      <c r="AA776" s="145"/>
      <c r="AB776" s="147"/>
      <c r="AC776" s="145"/>
      <c r="AD776" s="148"/>
      <c r="AE776" s="148"/>
      <c r="AF776" s="149"/>
      <c r="AG776" s="150"/>
    </row>
    <row r="777" spans="1:42" customHeight="1" ht="11.5" s="129" customFormat="1">
      <c r="A777" s="139"/>
      <c r="B777" s="140"/>
      <c r="C777" s="141"/>
      <c r="D777" s="142"/>
      <c r="E777" s="143"/>
      <c r="F777" s="144"/>
      <c r="G777" s="145"/>
      <c r="H777" s="144"/>
      <c r="I777" s="145"/>
      <c r="J777" s="146"/>
      <c r="K777" s="145"/>
      <c r="L777" s="146"/>
      <c r="M777" s="145"/>
      <c r="N777" s="146"/>
      <c r="O777" s="145"/>
      <c r="P777" s="146"/>
      <c r="Q777" s="145"/>
      <c r="R777" s="144"/>
      <c r="S777" s="145"/>
      <c r="T777" s="144"/>
      <c r="U777" s="145"/>
      <c r="V777" s="144"/>
      <c r="W777" s="145"/>
      <c r="X777" s="144"/>
      <c r="Y777" s="145"/>
      <c r="Z777" s="144"/>
      <c r="AA777" s="145"/>
      <c r="AB777" s="147"/>
      <c r="AC777" s="145"/>
      <c r="AD777" s="148"/>
      <c r="AE777" s="148"/>
      <c r="AF777" s="149"/>
      <c r="AG777" s="150"/>
    </row>
    <row r="778" spans="1:42" customHeight="1" ht="11.5" s="129" customFormat="1">
      <c r="A778" s="139"/>
      <c r="B778" s="140"/>
      <c r="C778" s="141"/>
      <c r="D778" s="142"/>
      <c r="E778" s="143"/>
      <c r="F778" s="144"/>
      <c r="G778" s="145"/>
      <c r="H778" s="144"/>
      <c r="I778" s="145"/>
      <c r="J778" s="146"/>
      <c r="K778" s="145"/>
      <c r="L778" s="146"/>
      <c r="M778" s="145"/>
      <c r="N778" s="146"/>
      <c r="O778" s="145"/>
      <c r="P778" s="146"/>
      <c r="Q778" s="145"/>
      <c r="R778" s="144"/>
      <c r="S778" s="145"/>
      <c r="T778" s="144"/>
      <c r="U778" s="145"/>
      <c r="V778" s="144"/>
      <c r="W778" s="145"/>
      <c r="X778" s="144"/>
      <c r="Y778" s="145"/>
      <c r="Z778" s="144"/>
      <c r="AA778" s="145"/>
      <c r="AB778" s="147"/>
      <c r="AC778" s="145"/>
      <c r="AD778" s="148"/>
      <c r="AE778" s="148"/>
      <c r="AF778" s="149"/>
      <c r="AG778" s="150"/>
    </row>
    <row r="779" spans="1:42" customHeight="1" ht="11.5" s="129" customFormat="1">
      <c r="A779" s="139"/>
      <c r="B779" s="140"/>
      <c r="C779" s="141"/>
      <c r="D779" s="142"/>
      <c r="E779" s="143"/>
      <c r="F779" s="144"/>
      <c r="G779" s="145"/>
      <c r="H779" s="144"/>
      <c r="I779" s="145"/>
      <c r="J779" s="146"/>
      <c r="K779" s="145"/>
      <c r="L779" s="146"/>
      <c r="M779" s="145"/>
      <c r="N779" s="146"/>
      <c r="O779" s="145"/>
      <c r="P779" s="146"/>
      <c r="Q779" s="145"/>
      <c r="R779" s="144"/>
      <c r="S779" s="145"/>
      <c r="T779" s="144"/>
      <c r="U779" s="145"/>
      <c r="V779" s="144"/>
      <c r="W779" s="145"/>
      <c r="X779" s="144"/>
      <c r="Y779" s="145"/>
      <c r="Z779" s="144"/>
      <c r="AA779" s="145"/>
      <c r="AB779" s="147"/>
      <c r="AC779" s="145"/>
      <c r="AD779" s="148"/>
      <c r="AE779" s="148"/>
      <c r="AF779" s="149"/>
      <c r="AG779" s="150"/>
    </row>
    <row r="780" spans="1:42" customHeight="1" ht="11.5" s="129" customFormat="1">
      <c r="A780" s="139"/>
      <c r="B780" s="140"/>
      <c r="C780" s="141"/>
      <c r="D780" s="142"/>
      <c r="E780" s="143"/>
      <c r="F780" s="144"/>
      <c r="G780" s="145"/>
      <c r="H780" s="144"/>
      <c r="I780" s="145"/>
      <c r="J780" s="146"/>
      <c r="K780" s="145"/>
      <c r="L780" s="146"/>
      <c r="M780" s="145"/>
      <c r="N780" s="146"/>
      <c r="O780" s="145"/>
      <c r="P780" s="146"/>
      <c r="Q780" s="145"/>
      <c r="R780" s="144"/>
      <c r="S780" s="145"/>
      <c r="T780" s="144"/>
      <c r="U780" s="145"/>
      <c r="V780" s="144"/>
      <c r="W780" s="145"/>
      <c r="X780" s="144"/>
      <c r="Y780" s="145"/>
      <c r="Z780" s="144"/>
      <c r="AA780" s="145"/>
      <c r="AB780" s="147"/>
      <c r="AC780" s="145"/>
      <c r="AD780" s="148"/>
      <c r="AE780" s="148"/>
      <c r="AF780" s="149"/>
      <c r="AG780" s="150"/>
    </row>
    <row r="781" spans="1:42" customHeight="1" ht="11.5" s="129" customFormat="1">
      <c r="A781" s="139"/>
      <c r="B781" s="140"/>
      <c r="C781" s="141"/>
      <c r="D781" s="142"/>
      <c r="E781" s="143"/>
      <c r="F781" s="144"/>
      <c r="G781" s="145"/>
      <c r="H781" s="144"/>
      <c r="I781" s="145"/>
      <c r="J781" s="146"/>
      <c r="K781" s="145"/>
      <c r="L781" s="146"/>
      <c r="M781" s="145"/>
      <c r="N781" s="146"/>
      <c r="O781" s="145"/>
      <c r="P781" s="146"/>
      <c r="Q781" s="145"/>
      <c r="R781" s="144"/>
      <c r="S781" s="145"/>
      <c r="T781" s="144"/>
      <c r="U781" s="145"/>
      <c r="V781" s="144"/>
      <c r="W781" s="145"/>
      <c r="X781" s="144"/>
      <c r="Y781" s="145"/>
      <c r="Z781" s="144"/>
      <c r="AA781" s="145"/>
      <c r="AB781" s="147"/>
      <c r="AC781" s="145"/>
      <c r="AD781" s="148"/>
      <c r="AE781" s="148"/>
      <c r="AF781" s="149"/>
      <c r="AG781" s="150"/>
    </row>
    <row r="782" spans="1:42" customHeight="1" ht="11.5" s="129" customFormat="1">
      <c r="A782" s="139"/>
      <c r="B782" s="140"/>
      <c r="C782" s="141"/>
      <c r="D782" s="142"/>
      <c r="E782" s="143"/>
      <c r="F782" s="144"/>
      <c r="G782" s="145"/>
      <c r="H782" s="144"/>
      <c r="I782" s="145"/>
      <c r="J782" s="146"/>
      <c r="K782" s="145"/>
      <c r="L782" s="146"/>
      <c r="M782" s="145"/>
      <c r="N782" s="146"/>
      <c r="O782" s="145"/>
      <c r="P782" s="146"/>
      <c r="Q782" s="145"/>
      <c r="R782" s="144"/>
      <c r="S782" s="145"/>
      <c r="T782" s="144"/>
      <c r="U782" s="145"/>
      <c r="V782" s="144"/>
      <c r="W782" s="145"/>
      <c r="X782" s="144"/>
      <c r="Y782" s="145"/>
      <c r="Z782" s="144"/>
      <c r="AA782" s="145"/>
      <c r="AB782" s="147"/>
      <c r="AC782" s="145"/>
      <c r="AD782" s="148"/>
      <c r="AE782" s="148"/>
      <c r="AF782" s="149"/>
      <c r="AG782" s="150"/>
    </row>
    <row r="783" spans="1:42" customHeight="1" ht="11.5" s="129" customFormat="1">
      <c r="A783" s="139"/>
      <c r="B783" s="140"/>
      <c r="C783" s="141"/>
      <c r="D783" s="142"/>
      <c r="E783" s="143"/>
      <c r="F783" s="144"/>
      <c r="G783" s="145"/>
      <c r="H783" s="144"/>
      <c r="I783" s="145"/>
      <c r="J783" s="146"/>
      <c r="K783" s="145"/>
      <c r="L783" s="146"/>
      <c r="M783" s="145"/>
      <c r="N783" s="146"/>
      <c r="O783" s="145"/>
      <c r="P783" s="146"/>
      <c r="Q783" s="145"/>
      <c r="R783" s="144"/>
      <c r="S783" s="145"/>
      <c r="T783" s="144"/>
      <c r="U783" s="145"/>
      <c r="V783" s="144"/>
      <c r="W783" s="145"/>
      <c r="X783" s="144"/>
      <c r="Y783" s="145"/>
      <c r="Z783" s="144"/>
      <c r="AA783" s="145"/>
      <c r="AB783" s="147"/>
      <c r="AC783" s="145"/>
      <c r="AD783" s="148"/>
      <c r="AE783" s="148"/>
      <c r="AF783" s="149"/>
      <c r="AG783" s="150"/>
    </row>
    <row r="784" spans="1:42" customHeight="1" ht="11.5" s="129" customFormat="1">
      <c r="A784" s="139"/>
      <c r="B784" s="140"/>
      <c r="C784" s="141"/>
      <c r="D784" s="142"/>
      <c r="E784" s="143"/>
      <c r="F784" s="144"/>
      <c r="G784" s="145"/>
      <c r="H784" s="144"/>
      <c r="I784" s="145"/>
      <c r="J784" s="146"/>
      <c r="K784" s="145"/>
      <c r="L784" s="146"/>
      <c r="M784" s="145"/>
      <c r="N784" s="146"/>
      <c r="O784" s="145"/>
      <c r="P784" s="146"/>
      <c r="Q784" s="145"/>
      <c r="R784" s="144"/>
      <c r="S784" s="145"/>
      <c r="T784" s="144"/>
      <c r="U784" s="145"/>
      <c r="V784" s="144"/>
      <c r="W784" s="145"/>
      <c r="X784" s="144"/>
      <c r="Y784" s="145"/>
      <c r="Z784" s="144"/>
      <c r="AA784" s="145"/>
      <c r="AB784" s="147"/>
      <c r="AC784" s="145"/>
      <c r="AD784" s="148"/>
      <c r="AE784" s="148"/>
      <c r="AF784" s="149"/>
      <c r="AG784" s="150"/>
    </row>
    <row r="785" spans="1:42" customHeight="1" ht="11.5" s="129" customFormat="1">
      <c r="A785" s="139"/>
      <c r="B785" s="140"/>
      <c r="C785" s="141"/>
      <c r="D785" s="142"/>
      <c r="E785" s="143"/>
      <c r="F785" s="144"/>
      <c r="G785" s="145"/>
      <c r="H785" s="144"/>
      <c r="I785" s="145"/>
      <c r="J785" s="146"/>
      <c r="K785" s="145"/>
      <c r="L785" s="146"/>
      <c r="M785" s="145"/>
      <c r="N785" s="146"/>
      <c r="O785" s="145"/>
      <c r="P785" s="146"/>
      <c r="Q785" s="145"/>
      <c r="R785" s="144"/>
      <c r="S785" s="145"/>
      <c r="T785" s="144"/>
      <c r="U785" s="145"/>
      <c r="V785" s="144"/>
      <c r="W785" s="145"/>
      <c r="X785" s="144"/>
      <c r="Y785" s="145"/>
      <c r="Z785" s="144"/>
      <c r="AA785" s="145"/>
      <c r="AB785" s="147"/>
      <c r="AC785" s="145"/>
      <c r="AD785" s="148"/>
      <c r="AE785" s="148"/>
      <c r="AF785" s="149"/>
      <c r="AG785" s="150"/>
    </row>
    <row r="786" spans="1:42" customHeight="1" ht="11.5" s="129" customFormat="1">
      <c r="A786" s="139"/>
      <c r="B786" s="140"/>
      <c r="C786" s="141"/>
      <c r="D786" s="142"/>
      <c r="E786" s="143"/>
      <c r="F786" s="144"/>
      <c r="G786" s="145"/>
      <c r="H786" s="144"/>
      <c r="I786" s="145"/>
      <c r="J786" s="146"/>
      <c r="K786" s="145"/>
      <c r="L786" s="146"/>
      <c r="M786" s="145"/>
      <c r="N786" s="146"/>
      <c r="O786" s="145"/>
      <c r="P786" s="146"/>
      <c r="Q786" s="145"/>
      <c r="R786" s="144"/>
      <c r="S786" s="145"/>
      <c r="T786" s="144"/>
      <c r="U786" s="145"/>
      <c r="V786" s="144"/>
      <c r="W786" s="145"/>
      <c r="X786" s="144"/>
      <c r="Y786" s="145"/>
      <c r="Z786" s="144"/>
      <c r="AA786" s="145"/>
      <c r="AB786" s="147"/>
      <c r="AC786" s="145"/>
      <c r="AD786" s="148"/>
      <c r="AE786" s="148"/>
      <c r="AF786" s="149"/>
      <c r="AG786" s="150"/>
    </row>
    <row r="787" spans="1:42" customHeight="1" ht="11.5" s="129" customFormat="1">
      <c r="A787" s="139"/>
      <c r="B787" s="140"/>
      <c r="C787" s="141"/>
      <c r="D787" s="142"/>
      <c r="E787" s="143"/>
      <c r="F787" s="144"/>
      <c r="G787" s="145"/>
      <c r="H787" s="144"/>
      <c r="I787" s="145"/>
      <c r="J787" s="146"/>
      <c r="K787" s="145"/>
      <c r="L787" s="146"/>
      <c r="M787" s="145"/>
      <c r="N787" s="146"/>
      <c r="O787" s="145"/>
      <c r="P787" s="146"/>
      <c r="Q787" s="145"/>
      <c r="R787" s="144"/>
      <c r="S787" s="145"/>
      <c r="T787" s="144"/>
      <c r="U787" s="145"/>
      <c r="V787" s="144"/>
      <c r="W787" s="145"/>
      <c r="X787" s="144"/>
      <c r="Y787" s="145"/>
      <c r="Z787" s="144"/>
      <c r="AA787" s="145"/>
      <c r="AB787" s="147"/>
      <c r="AC787" s="145"/>
      <c r="AD787" s="148"/>
      <c r="AE787" s="148"/>
      <c r="AF787" s="149"/>
      <c r="AG787" s="150"/>
    </row>
    <row r="788" spans="1:42" customHeight="1" ht="11.5" s="129" customFormat="1">
      <c r="A788" s="139"/>
      <c r="B788" s="140"/>
      <c r="C788" s="141"/>
      <c r="D788" s="142"/>
      <c r="E788" s="143"/>
      <c r="F788" s="144"/>
      <c r="G788" s="145"/>
      <c r="H788" s="144"/>
      <c r="I788" s="145"/>
      <c r="J788" s="146"/>
      <c r="K788" s="145"/>
      <c r="L788" s="146"/>
      <c r="M788" s="145"/>
      <c r="N788" s="146"/>
      <c r="O788" s="145"/>
      <c r="P788" s="146"/>
      <c r="Q788" s="145"/>
      <c r="R788" s="144"/>
      <c r="S788" s="145"/>
      <c r="T788" s="144"/>
      <c r="U788" s="145"/>
      <c r="V788" s="144"/>
      <c r="W788" s="145"/>
      <c r="X788" s="144"/>
      <c r="Y788" s="145"/>
      <c r="Z788" s="144"/>
      <c r="AA788" s="145"/>
      <c r="AB788" s="147"/>
      <c r="AC788" s="145"/>
      <c r="AD788" s="148"/>
      <c r="AE788" s="148"/>
      <c r="AF788" s="149"/>
      <c r="AG788" s="150"/>
    </row>
    <row r="789" spans="1:42" customHeight="1" ht="11.5" s="129" customFormat="1">
      <c r="A789" s="139"/>
      <c r="B789" s="140"/>
      <c r="C789" s="141"/>
      <c r="D789" s="142"/>
      <c r="E789" s="143"/>
      <c r="F789" s="144"/>
      <c r="G789" s="145"/>
      <c r="H789" s="144"/>
      <c r="I789" s="145"/>
      <c r="J789" s="146"/>
      <c r="K789" s="145"/>
      <c r="L789" s="146"/>
      <c r="M789" s="145"/>
      <c r="N789" s="146"/>
      <c r="O789" s="145"/>
      <c r="P789" s="146"/>
      <c r="Q789" s="145"/>
      <c r="R789" s="144"/>
      <c r="S789" s="145"/>
      <c r="T789" s="144"/>
      <c r="U789" s="145"/>
      <c r="V789" s="144"/>
      <c r="W789" s="145"/>
      <c r="X789" s="144"/>
      <c r="Y789" s="145"/>
      <c r="Z789" s="144"/>
      <c r="AA789" s="145"/>
      <c r="AB789" s="147"/>
      <c r="AC789" s="145"/>
      <c r="AD789" s="148"/>
      <c r="AE789" s="148"/>
      <c r="AF789" s="149"/>
      <c r="AG789" s="150"/>
    </row>
    <row r="790" spans="1:42" customHeight="1" ht="11.5" s="129" customFormat="1">
      <c r="A790" s="139"/>
      <c r="B790" s="140"/>
      <c r="C790" s="141"/>
      <c r="D790" s="142"/>
      <c r="E790" s="143"/>
      <c r="F790" s="144"/>
      <c r="G790" s="145"/>
      <c r="H790" s="144"/>
      <c r="I790" s="145"/>
      <c r="J790" s="146"/>
      <c r="K790" s="145"/>
      <c r="L790" s="146"/>
      <c r="M790" s="145"/>
      <c r="N790" s="146"/>
      <c r="O790" s="145"/>
      <c r="P790" s="146"/>
      <c r="Q790" s="145"/>
      <c r="R790" s="144"/>
      <c r="S790" s="145"/>
      <c r="T790" s="144"/>
      <c r="U790" s="145"/>
      <c r="V790" s="144"/>
      <c r="W790" s="145"/>
      <c r="X790" s="144"/>
      <c r="Y790" s="145"/>
      <c r="Z790" s="144"/>
      <c r="AA790" s="145"/>
      <c r="AB790" s="147"/>
      <c r="AC790" s="145"/>
      <c r="AD790" s="148"/>
      <c r="AE790" s="148"/>
      <c r="AF790" s="149"/>
      <c r="AG790" s="150"/>
    </row>
    <row r="791" spans="1:42" customHeight="1" ht="11.5" s="129" customFormat="1">
      <c r="A791" s="139"/>
      <c r="B791" s="140"/>
      <c r="C791" s="141"/>
      <c r="D791" s="142"/>
      <c r="E791" s="143"/>
      <c r="F791" s="144"/>
      <c r="G791" s="145"/>
      <c r="H791" s="144"/>
      <c r="I791" s="145"/>
      <c r="J791" s="146"/>
      <c r="K791" s="145"/>
      <c r="L791" s="146"/>
      <c r="M791" s="145"/>
      <c r="N791" s="146"/>
      <c r="O791" s="145"/>
      <c r="P791" s="146"/>
      <c r="Q791" s="145"/>
      <c r="R791" s="144"/>
      <c r="S791" s="145"/>
      <c r="T791" s="144"/>
      <c r="U791" s="145"/>
      <c r="V791" s="144"/>
      <c r="W791" s="145"/>
      <c r="X791" s="144"/>
      <c r="Y791" s="145"/>
      <c r="Z791" s="144"/>
      <c r="AA791" s="145"/>
      <c r="AB791" s="147"/>
      <c r="AC791" s="145"/>
      <c r="AD791" s="148"/>
      <c r="AE791" s="148"/>
      <c r="AF791" s="149"/>
      <c r="AG791" s="150"/>
    </row>
    <row r="792" spans="1:42" customHeight="1" ht="11.5" s="129" customFormat="1">
      <c r="A792" s="139"/>
      <c r="B792" s="140"/>
      <c r="C792" s="141"/>
      <c r="D792" s="142"/>
      <c r="E792" s="143"/>
      <c r="F792" s="144"/>
      <c r="G792" s="145"/>
      <c r="H792" s="144"/>
      <c r="I792" s="145"/>
      <c r="J792" s="146"/>
      <c r="K792" s="145"/>
      <c r="L792" s="146"/>
      <c r="M792" s="145"/>
      <c r="N792" s="146"/>
      <c r="O792" s="145"/>
      <c r="P792" s="146"/>
      <c r="Q792" s="145"/>
      <c r="R792" s="144"/>
      <c r="S792" s="145"/>
      <c r="T792" s="144"/>
      <c r="U792" s="145"/>
      <c r="V792" s="144"/>
      <c r="W792" s="145"/>
      <c r="X792" s="144"/>
      <c r="Y792" s="145"/>
      <c r="Z792" s="144"/>
      <c r="AA792" s="145"/>
      <c r="AB792" s="147"/>
      <c r="AC792" s="145"/>
      <c r="AD792" s="148"/>
      <c r="AE792" s="148"/>
      <c r="AF792" s="149"/>
      <c r="AG792" s="150"/>
    </row>
    <row r="793" spans="1:42" customHeight="1" ht="11.5" s="129" customFormat="1">
      <c r="A793" s="139"/>
      <c r="B793" s="140"/>
      <c r="C793" s="141"/>
      <c r="D793" s="142"/>
      <c r="E793" s="143"/>
      <c r="F793" s="144"/>
      <c r="G793" s="145"/>
      <c r="H793" s="144"/>
      <c r="I793" s="145"/>
      <c r="J793" s="146"/>
      <c r="K793" s="145"/>
      <c r="L793" s="146"/>
      <c r="M793" s="145"/>
      <c r="N793" s="146"/>
      <c r="O793" s="145"/>
      <c r="P793" s="146"/>
      <c r="Q793" s="145"/>
      <c r="R793" s="144"/>
      <c r="S793" s="145"/>
      <c r="T793" s="144"/>
      <c r="U793" s="145"/>
      <c r="V793" s="144"/>
      <c r="W793" s="145"/>
      <c r="X793" s="144"/>
      <c r="Y793" s="145"/>
      <c r="Z793" s="144"/>
      <c r="AA793" s="145"/>
      <c r="AB793" s="147"/>
      <c r="AC793" s="145"/>
      <c r="AD793" s="148"/>
      <c r="AE793" s="148"/>
      <c r="AF793" s="149"/>
      <c r="AG793" s="150"/>
    </row>
    <row r="794" spans="1:42" customHeight="1" ht="11.5" s="129" customFormat="1">
      <c r="A794" s="139"/>
      <c r="B794" s="140"/>
      <c r="C794" s="141"/>
      <c r="D794" s="142"/>
      <c r="E794" s="143"/>
      <c r="F794" s="144"/>
      <c r="G794" s="145"/>
      <c r="H794" s="144"/>
      <c r="I794" s="145"/>
      <c r="J794" s="146"/>
      <c r="K794" s="145"/>
      <c r="L794" s="146"/>
      <c r="M794" s="145"/>
      <c r="N794" s="146"/>
      <c r="O794" s="145"/>
      <c r="P794" s="146"/>
      <c r="Q794" s="145"/>
      <c r="R794" s="144"/>
      <c r="S794" s="145"/>
      <c r="T794" s="144"/>
      <c r="U794" s="145"/>
      <c r="V794" s="144"/>
      <c r="W794" s="145"/>
      <c r="X794" s="144"/>
      <c r="Y794" s="145"/>
      <c r="Z794" s="144"/>
      <c r="AA794" s="145"/>
      <c r="AB794" s="147"/>
      <c r="AC794" s="145"/>
      <c r="AD794" s="148"/>
      <c r="AE794" s="148"/>
      <c r="AF794" s="149"/>
      <c r="AG794" s="150"/>
    </row>
    <row r="795" spans="1:42" customHeight="1" ht="11.5" s="129" customFormat="1">
      <c r="A795" s="139"/>
      <c r="B795" s="140"/>
      <c r="C795" s="141"/>
      <c r="D795" s="142"/>
      <c r="E795" s="143"/>
      <c r="F795" s="144"/>
      <c r="G795" s="145"/>
      <c r="H795" s="144"/>
      <c r="I795" s="145"/>
      <c r="J795" s="146"/>
      <c r="K795" s="145"/>
      <c r="L795" s="146"/>
      <c r="M795" s="145"/>
      <c r="N795" s="146"/>
      <c r="O795" s="145"/>
      <c r="P795" s="146"/>
      <c r="Q795" s="145"/>
      <c r="R795" s="144"/>
      <c r="S795" s="145"/>
      <c r="T795" s="144"/>
      <c r="U795" s="145"/>
      <c r="V795" s="144"/>
      <c r="W795" s="145"/>
      <c r="X795" s="144"/>
      <c r="Y795" s="145"/>
      <c r="Z795" s="144"/>
      <c r="AA795" s="145"/>
      <c r="AB795" s="147"/>
      <c r="AC795" s="145"/>
      <c r="AD795" s="148"/>
      <c r="AE795" s="148"/>
      <c r="AF795" s="149"/>
      <c r="AG795" s="150"/>
    </row>
    <row r="796" spans="1:42" customHeight="1" ht="11.5" s="129" customFormat="1">
      <c r="A796" s="139"/>
      <c r="B796" s="140"/>
      <c r="C796" s="141"/>
      <c r="D796" s="142"/>
      <c r="E796" s="143"/>
      <c r="F796" s="144"/>
      <c r="G796" s="145"/>
      <c r="H796" s="144"/>
      <c r="I796" s="145"/>
      <c r="J796" s="146"/>
      <c r="K796" s="145"/>
      <c r="L796" s="146"/>
      <c r="M796" s="145"/>
      <c r="N796" s="146"/>
      <c r="O796" s="145"/>
      <c r="P796" s="146"/>
      <c r="Q796" s="145"/>
      <c r="R796" s="144"/>
      <c r="S796" s="145"/>
      <c r="T796" s="144"/>
      <c r="U796" s="145"/>
      <c r="V796" s="144"/>
      <c r="W796" s="145"/>
      <c r="X796" s="144"/>
      <c r="Y796" s="145"/>
      <c r="Z796" s="144"/>
      <c r="AA796" s="145"/>
      <c r="AB796" s="147"/>
      <c r="AC796" s="145"/>
      <c r="AD796" s="148"/>
      <c r="AE796" s="148"/>
      <c r="AF796" s="149"/>
      <c r="AG796" s="150"/>
    </row>
    <row r="797" spans="1:42" customHeight="1" ht="11.5" s="129" customFormat="1">
      <c r="A797" s="139"/>
      <c r="B797" s="140"/>
      <c r="C797" s="141"/>
      <c r="D797" s="142"/>
      <c r="E797" s="143"/>
      <c r="F797" s="144"/>
      <c r="G797" s="145"/>
      <c r="H797" s="144"/>
      <c r="I797" s="145"/>
      <c r="J797" s="146"/>
      <c r="K797" s="145"/>
      <c r="L797" s="146"/>
      <c r="M797" s="145"/>
      <c r="N797" s="146"/>
      <c r="O797" s="145"/>
      <c r="P797" s="146"/>
      <c r="Q797" s="145"/>
      <c r="R797" s="144"/>
      <c r="S797" s="145"/>
      <c r="T797" s="144"/>
      <c r="U797" s="145"/>
      <c r="V797" s="144"/>
      <c r="W797" s="145"/>
      <c r="X797" s="144"/>
      <c r="Y797" s="145"/>
      <c r="Z797" s="144"/>
      <c r="AA797" s="145"/>
      <c r="AB797" s="147"/>
      <c r="AC797" s="145"/>
      <c r="AD797" s="148"/>
      <c r="AE797" s="148"/>
      <c r="AF797" s="149"/>
      <c r="AG797" s="150"/>
    </row>
    <row r="798" spans="1:42" customHeight="1" ht="11.5" s="129" customFormat="1">
      <c r="A798" s="139"/>
      <c r="B798" s="140"/>
      <c r="C798" s="141"/>
      <c r="D798" s="142"/>
      <c r="E798" s="143"/>
      <c r="F798" s="144"/>
      <c r="G798" s="145"/>
      <c r="H798" s="144"/>
      <c r="I798" s="145"/>
      <c r="J798" s="146"/>
      <c r="K798" s="145"/>
      <c r="L798" s="146"/>
      <c r="M798" s="145"/>
      <c r="N798" s="146"/>
      <c r="O798" s="145"/>
      <c r="P798" s="146"/>
      <c r="Q798" s="145"/>
      <c r="R798" s="144"/>
      <c r="S798" s="145"/>
      <c r="T798" s="144"/>
      <c r="U798" s="145"/>
      <c r="V798" s="144"/>
      <c r="W798" s="145"/>
      <c r="X798" s="144"/>
      <c r="Y798" s="145"/>
      <c r="Z798" s="144"/>
      <c r="AA798" s="145"/>
      <c r="AB798" s="147"/>
      <c r="AC798" s="145"/>
      <c r="AD798" s="148"/>
      <c r="AE798" s="148"/>
      <c r="AF798" s="149"/>
      <c r="AG798" s="150"/>
    </row>
    <row r="799" spans="1:42" customHeight="1" ht="11.5" s="129" customFormat="1">
      <c r="A799" s="139"/>
      <c r="B799" s="140"/>
      <c r="C799" s="141"/>
      <c r="D799" s="142"/>
      <c r="E799" s="143"/>
      <c r="F799" s="144"/>
      <c r="G799" s="145"/>
      <c r="H799" s="144"/>
      <c r="I799" s="145"/>
      <c r="J799" s="146"/>
      <c r="K799" s="145"/>
      <c r="L799" s="146"/>
      <c r="M799" s="145"/>
      <c r="N799" s="146"/>
      <c r="O799" s="145"/>
      <c r="P799" s="146"/>
      <c r="Q799" s="145"/>
      <c r="R799" s="144"/>
      <c r="S799" s="145"/>
      <c r="T799" s="144"/>
      <c r="U799" s="145"/>
      <c r="V799" s="144"/>
      <c r="W799" s="145"/>
      <c r="X799" s="144"/>
      <c r="Y799" s="145"/>
      <c r="Z799" s="144"/>
      <c r="AA799" s="145"/>
      <c r="AB799" s="147"/>
      <c r="AC799" s="145"/>
      <c r="AD799" s="148"/>
      <c r="AE799" s="148"/>
      <c r="AF799" s="149"/>
      <c r="AG799" s="150"/>
    </row>
    <row r="800" spans="1:42" customHeight="1" ht="11.5" s="129" customFormat="1">
      <c r="A800" s="139"/>
      <c r="B800" s="140"/>
      <c r="C800" s="141"/>
      <c r="D800" s="142"/>
      <c r="E800" s="143"/>
      <c r="F800" s="144"/>
      <c r="G800" s="145"/>
      <c r="H800" s="144"/>
      <c r="I800" s="145"/>
      <c r="J800" s="146"/>
      <c r="K800" s="145"/>
      <c r="L800" s="146"/>
      <c r="M800" s="145"/>
      <c r="N800" s="146"/>
      <c r="O800" s="145"/>
      <c r="P800" s="146"/>
      <c r="Q800" s="145"/>
      <c r="R800" s="144"/>
      <c r="S800" s="145"/>
      <c r="T800" s="144"/>
      <c r="U800" s="145"/>
      <c r="V800" s="144"/>
      <c r="W800" s="145"/>
      <c r="X800" s="144"/>
      <c r="Y800" s="145"/>
      <c r="Z800" s="144"/>
      <c r="AA800" s="145"/>
      <c r="AB800" s="147"/>
      <c r="AC800" s="145"/>
      <c r="AD800" s="148"/>
      <c r="AE800" s="148"/>
      <c r="AF800" s="149"/>
      <c r="AG800" s="150"/>
    </row>
    <row r="801" spans="1:42" customHeight="1" ht="11.5" s="129" customFormat="1">
      <c r="A801" s="139"/>
      <c r="B801" s="140"/>
      <c r="C801" s="141"/>
      <c r="D801" s="142"/>
      <c r="E801" s="143"/>
      <c r="F801" s="144"/>
      <c r="G801" s="145"/>
      <c r="H801" s="144"/>
      <c r="I801" s="145"/>
      <c r="J801" s="146"/>
      <c r="K801" s="145"/>
      <c r="L801" s="146"/>
      <c r="M801" s="145"/>
      <c r="N801" s="146"/>
      <c r="O801" s="145"/>
      <c r="P801" s="146"/>
      <c r="Q801" s="145"/>
      <c r="R801" s="144"/>
      <c r="S801" s="145"/>
      <c r="T801" s="144"/>
      <c r="U801" s="145"/>
      <c r="V801" s="144"/>
      <c r="W801" s="145"/>
      <c r="X801" s="144"/>
      <c r="Y801" s="145"/>
      <c r="Z801" s="144"/>
      <c r="AA801" s="145"/>
      <c r="AB801" s="147"/>
      <c r="AC801" s="145"/>
      <c r="AD801" s="148"/>
      <c r="AE801" s="148"/>
      <c r="AF801" s="149"/>
      <c r="AG801" s="150"/>
    </row>
    <row r="802" spans="1:42" customHeight="1" ht="11.5" s="129" customFormat="1">
      <c r="A802" s="139"/>
      <c r="B802" s="140"/>
      <c r="C802" s="141"/>
      <c r="D802" s="142"/>
      <c r="E802" s="143"/>
      <c r="F802" s="144"/>
      <c r="G802" s="145"/>
      <c r="H802" s="144"/>
      <c r="I802" s="145"/>
      <c r="J802" s="146"/>
      <c r="K802" s="145"/>
      <c r="L802" s="146"/>
      <c r="M802" s="145"/>
      <c r="N802" s="146"/>
      <c r="O802" s="145"/>
      <c r="P802" s="146"/>
      <c r="Q802" s="145"/>
      <c r="R802" s="144"/>
      <c r="S802" s="145"/>
      <c r="T802" s="144"/>
      <c r="U802" s="145"/>
      <c r="V802" s="144"/>
      <c r="W802" s="145"/>
      <c r="X802" s="144"/>
      <c r="Y802" s="145"/>
      <c r="Z802" s="144"/>
      <c r="AA802" s="145"/>
      <c r="AB802" s="147"/>
      <c r="AC802" s="145"/>
      <c r="AD802" s="148"/>
      <c r="AE802" s="148"/>
      <c r="AF802" s="149"/>
      <c r="AG802" s="150"/>
    </row>
    <row r="803" spans="1:42" customHeight="1" ht="11.5" s="129" customFormat="1">
      <c r="A803" s="139"/>
      <c r="B803" s="140"/>
      <c r="C803" s="141"/>
      <c r="D803" s="142"/>
      <c r="E803" s="143"/>
      <c r="F803" s="144"/>
      <c r="G803" s="145"/>
      <c r="H803" s="144"/>
      <c r="I803" s="145"/>
      <c r="J803" s="146"/>
      <c r="K803" s="145"/>
      <c r="L803" s="146"/>
      <c r="M803" s="145"/>
      <c r="N803" s="146"/>
      <c r="O803" s="145"/>
      <c r="P803" s="146"/>
      <c r="Q803" s="145"/>
      <c r="R803" s="144"/>
      <c r="S803" s="145"/>
      <c r="T803" s="144"/>
      <c r="U803" s="145"/>
      <c r="V803" s="144"/>
      <c r="W803" s="145"/>
      <c r="X803" s="144"/>
      <c r="Y803" s="145"/>
      <c r="Z803" s="144"/>
      <c r="AA803" s="145"/>
      <c r="AB803" s="147"/>
      <c r="AC803" s="145"/>
      <c r="AD803" s="148"/>
      <c r="AE803" s="148"/>
      <c r="AF803" s="149"/>
      <c r="AG803" s="150"/>
    </row>
    <row r="804" spans="1:42" customHeight="1" ht="11.5" s="129" customFormat="1">
      <c r="A804" s="139"/>
      <c r="B804" s="140"/>
      <c r="C804" s="141"/>
      <c r="D804" s="142"/>
      <c r="E804" s="143"/>
      <c r="F804" s="144"/>
      <c r="G804" s="145"/>
      <c r="H804" s="144"/>
      <c r="I804" s="145"/>
      <c r="J804" s="146"/>
      <c r="K804" s="145"/>
      <c r="L804" s="146"/>
      <c r="M804" s="145"/>
      <c r="N804" s="146"/>
      <c r="O804" s="145"/>
      <c r="P804" s="146"/>
      <c r="Q804" s="145"/>
      <c r="R804" s="144"/>
      <c r="S804" s="145"/>
      <c r="T804" s="144"/>
      <c r="U804" s="145"/>
      <c r="V804" s="144"/>
      <c r="W804" s="145"/>
      <c r="X804" s="144"/>
      <c r="Y804" s="145"/>
      <c r="Z804" s="144"/>
      <c r="AA804" s="145"/>
      <c r="AB804" s="147"/>
      <c r="AC804" s="145"/>
      <c r="AD804" s="148"/>
      <c r="AE804" s="148"/>
      <c r="AF804" s="149"/>
      <c r="AG804" s="150"/>
    </row>
    <row r="805" spans="1:42" customHeight="1" ht="11.5" s="129" customFormat="1">
      <c r="A805" s="139"/>
      <c r="B805" s="140"/>
      <c r="C805" s="141"/>
      <c r="D805" s="142"/>
      <c r="E805" s="143"/>
      <c r="F805" s="144"/>
      <c r="G805" s="145"/>
      <c r="H805" s="144"/>
      <c r="I805" s="145"/>
      <c r="J805" s="146"/>
      <c r="K805" s="145"/>
      <c r="L805" s="146"/>
      <c r="M805" s="145"/>
      <c r="N805" s="146"/>
      <c r="O805" s="145"/>
      <c r="P805" s="146"/>
      <c r="Q805" s="145"/>
      <c r="R805" s="144"/>
      <c r="S805" s="145"/>
      <c r="T805" s="144"/>
      <c r="U805" s="145"/>
      <c r="V805" s="144"/>
      <c r="W805" s="145"/>
      <c r="X805" s="144"/>
      <c r="Y805" s="145"/>
      <c r="Z805" s="144"/>
      <c r="AA805" s="145"/>
      <c r="AB805" s="147"/>
      <c r="AC805" s="145"/>
      <c r="AD805" s="148"/>
      <c r="AE805" s="148"/>
      <c r="AF805" s="149"/>
      <c r="AG805" s="150"/>
    </row>
    <row r="806" spans="1:42" customHeight="1" ht="11.5" s="129" customFormat="1">
      <c r="A806" s="139"/>
      <c r="B806" s="140"/>
      <c r="C806" s="141"/>
      <c r="D806" s="142"/>
      <c r="E806" s="143"/>
      <c r="F806" s="144"/>
      <c r="G806" s="145"/>
      <c r="H806" s="144"/>
      <c r="I806" s="145"/>
      <c r="J806" s="146"/>
      <c r="K806" s="145"/>
      <c r="L806" s="146"/>
      <c r="M806" s="145"/>
      <c r="N806" s="146"/>
      <c r="O806" s="145"/>
      <c r="P806" s="146"/>
      <c r="Q806" s="145"/>
      <c r="R806" s="144"/>
      <c r="S806" s="145"/>
      <c r="T806" s="144"/>
      <c r="U806" s="145"/>
      <c r="V806" s="144"/>
      <c r="W806" s="145"/>
      <c r="X806" s="144"/>
      <c r="Y806" s="145"/>
      <c r="Z806" s="144"/>
      <c r="AA806" s="145"/>
      <c r="AB806" s="147"/>
      <c r="AC806" s="145"/>
      <c r="AD806" s="148"/>
      <c r="AE806" s="148"/>
      <c r="AF806" s="149"/>
      <c r="AG806" s="150"/>
    </row>
    <row r="807" spans="1:42" customHeight="1" ht="11.5" s="129" customFormat="1">
      <c r="A807" s="139"/>
      <c r="B807" s="140"/>
      <c r="C807" s="141"/>
      <c r="D807" s="142"/>
      <c r="E807" s="143"/>
      <c r="F807" s="144"/>
      <c r="G807" s="145"/>
      <c r="H807" s="144"/>
      <c r="I807" s="145"/>
      <c r="J807" s="146"/>
      <c r="K807" s="145"/>
      <c r="L807" s="146"/>
      <c r="M807" s="145"/>
      <c r="N807" s="146"/>
      <c r="O807" s="145"/>
      <c r="P807" s="146"/>
      <c r="Q807" s="145"/>
      <c r="R807" s="144"/>
      <c r="S807" s="145"/>
      <c r="T807" s="144"/>
      <c r="U807" s="145"/>
      <c r="V807" s="144"/>
      <c r="W807" s="145"/>
      <c r="X807" s="144"/>
      <c r="Y807" s="145"/>
      <c r="Z807" s="144"/>
      <c r="AA807" s="145"/>
      <c r="AB807" s="147"/>
      <c r="AC807" s="145"/>
      <c r="AD807" s="148"/>
      <c r="AE807" s="148"/>
      <c r="AF807" s="149"/>
      <c r="AG807" s="150"/>
    </row>
    <row r="808" spans="1:42" customHeight="1" ht="11.5" s="129" customFormat="1">
      <c r="A808" s="139"/>
      <c r="B808" s="140"/>
      <c r="C808" s="141"/>
      <c r="D808" s="142"/>
      <c r="E808" s="143"/>
      <c r="F808" s="144"/>
      <c r="G808" s="145"/>
      <c r="H808" s="144"/>
      <c r="I808" s="145"/>
      <c r="J808" s="146"/>
      <c r="K808" s="145"/>
      <c r="L808" s="146"/>
      <c r="M808" s="145"/>
      <c r="N808" s="146"/>
      <c r="O808" s="145"/>
      <c r="P808" s="146"/>
      <c r="Q808" s="145"/>
      <c r="R808" s="144"/>
      <c r="S808" s="145"/>
      <c r="T808" s="144"/>
      <c r="U808" s="145"/>
      <c r="V808" s="144"/>
      <c r="W808" s="145"/>
      <c r="X808" s="144"/>
      <c r="Y808" s="145"/>
      <c r="Z808" s="144"/>
      <c r="AA808" s="145"/>
      <c r="AB808" s="147"/>
      <c r="AC808" s="145"/>
      <c r="AD808" s="148"/>
      <c r="AE808" s="148"/>
      <c r="AF808" s="149"/>
      <c r="AG808" s="150"/>
    </row>
    <row r="809" spans="1:42" customHeight="1" ht="11.5" s="129" customFormat="1">
      <c r="A809" s="139"/>
      <c r="B809" s="140"/>
      <c r="C809" s="141"/>
      <c r="D809" s="142"/>
      <c r="E809" s="143"/>
      <c r="F809" s="144"/>
      <c r="G809" s="145"/>
      <c r="H809" s="144"/>
      <c r="I809" s="145"/>
      <c r="J809" s="146"/>
      <c r="K809" s="145"/>
      <c r="L809" s="146"/>
      <c r="M809" s="145"/>
      <c r="N809" s="146"/>
      <c r="O809" s="145"/>
      <c r="P809" s="146"/>
      <c r="Q809" s="145"/>
      <c r="R809" s="144"/>
      <c r="S809" s="145"/>
      <c r="T809" s="144"/>
      <c r="U809" s="145"/>
      <c r="V809" s="144"/>
      <c r="W809" s="145"/>
      <c r="X809" s="144"/>
      <c r="Y809" s="145"/>
      <c r="Z809" s="144"/>
      <c r="AA809" s="145"/>
      <c r="AB809" s="147"/>
      <c r="AC809" s="145"/>
      <c r="AD809" s="148"/>
      <c r="AE809" s="148"/>
      <c r="AF809" s="149"/>
      <c r="AG809" s="150"/>
    </row>
    <row r="810" spans="1:42" customHeight="1" ht="11.5" s="129" customFormat="1">
      <c r="A810" s="139"/>
      <c r="B810" s="140"/>
      <c r="C810" s="141"/>
      <c r="D810" s="142"/>
      <c r="E810" s="143"/>
      <c r="F810" s="144"/>
      <c r="G810" s="145"/>
      <c r="H810" s="144"/>
      <c r="I810" s="145"/>
      <c r="J810" s="146"/>
      <c r="K810" s="145"/>
      <c r="L810" s="146"/>
      <c r="M810" s="145"/>
      <c r="N810" s="146"/>
      <c r="O810" s="145"/>
      <c r="P810" s="146"/>
      <c r="Q810" s="145"/>
      <c r="R810" s="144"/>
      <c r="S810" s="145"/>
      <c r="T810" s="144"/>
      <c r="U810" s="145"/>
      <c r="V810" s="144"/>
      <c r="W810" s="145"/>
      <c r="X810" s="144"/>
      <c r="Y810" s="145"/>
      <c r="Z810" s="144"/>
      <c r="AA810" s="145"/>
      <c r="AB810" s="147"/>
      <c r="AC810" s="145"/>
      <c r="AD810" s="148"/>
      <c r="AE810" s="148"/>
      <c r="AF810" s="149"/>
      <c r="AG810" s="150"/>
    </row>
    <row r="811" spans="1:42" customHeight="1" ht="11.5" s="129" customFormat="1">
      <c r="A811" s="139"/>
      <c r="B811" s="140"/>
      <c r="C811" s="141"/>
      <c r="D811" s="142"/>
      <c r="E811" s="143"/>
      <c r="F811" s="144"/>
      <c r="G811" s="145"/>
      <c r="H811" s="144"/>
      <c r="I811" s="145"/>
      <c r="J811" s="146"/>
      <c r="K811" s="145"/>
      <c r="L811" s="146"/>
      <c r="M811" s="145"/>
      <c r="N811" s="146"/>
      <c r="O811" s="145"/>
      <c r="P811" s="146"/>
      <c r="Q811" s="145"/>
      <c r="R811" s="144"/>
      <c r="S811" s="145"/>
      <c r="T811" s="144"/>
      <c r="U811" s="145"/>
      <c r="V811" s="144"/>
      <c r="W811" s="145"/>
      <c r="X811" s="144"/>
      <c r="Y811" s="145"/>
      <c r="Z811" s="144"/>
      <c r="AA811" s="145"/>
      <c r="AB811" s="147"/>
      <c r="AC811" s="145"/>
      <c r="AD811" s="148"/>
      <c r="AE811" s="148"/>
      <c r="AF811" s="149"/>
      <c r="AG811" s="150"/>
    </row>
    <row r="812" spans="1:42" customHeight="1" ht="11.5" s="129" customFormat="1">
      <c r="A812" s="139"/>
      <c r="B812" s="140"/>
      <c r="C812" s="141"/>
      <c r="D812" s="142"/>
      <c r="E812" s="143"/>
      <c r="F812" s="144"/>
      <c r="G812" s="145"/>
      <c r="H812" s="144"/>
      <c r="I812" s="145"/>
      <c r="J812" s="146"/>
      <c r="K812" s="145"/>
      <c r="L812" s="146"/>
      <c r="M812" s="145"/>
      <c r="N812" s="146"/>
      <c r="O812" s="145"/>
      <c r="P812" s="146"/>
      <c r="Q812" s="145"/>
      <c r="R812" s="144"/>
      <c r="S812" s="145"/>
      <c r="T812" s="144"/>
      <c r="U812" s="145"/>
      <c r="V812" s="144"/>
      <c r="W812" s="145"/>
      <c r="X812" s="144"/>
      <c r="Y812" s="145"/>
      <c r="Z812" s="144"/>
      <c r="AA812" s="145"/>
      <c r="AB812" s="147"/>
      <c r="AC812" s="145"/>
      <c r="AD812" s="148"/>
      <c r="AE812" s="148"/>
      <c r="AF812" s="149"/>
      <c r="AG812" s="150"/>
    </row>
    <row r="813" spans="1:42" customHeight="1" ht="11.5" s="129" customFormat="1">
      <c r="A813" s="139"/>
      <c r="B813" s="140"/>
      <c r="C813" s="141"/>
      <c r="D813" s="142"/>
      <c r="E813" s="143"/>
      <c r="F813" s="144"/>
      <c r="G813" s="145"/>
      <c r="H813" s="144"/>
      <c r="I813" s="145"/>
      <c r="J813" s="146"/>
      <c r="K813" s="145"/>
      <c r="L813" s="146"/>
      <c r="M813" s="145"/>
      <c r="N813" s="146"/>
      <c r="O813" s="145"/>
      <c r="P813" s="146"/>
      <c r="Q813" s="145"/>
      <c r="R813" s="144"/>
      <c r="S813" s="145"/>
      <c r="T813" s="144"/>
      <c r="U813" s="145"/>
      <c r="V813" s="144"/>
      <c r="W813" s="145"/>
      <c r="X813" s="144"/>
      <c r="Y813" s="145"/>
      <c r="Z813" s="144"/>
      <c r="AA813" s="145"/>
      <c r="AB813" s="147"/>
      <c r="AC813" s="145"/>
      <c r="AD813" s="148"/>
      <c r="AE813" s="148"/>
      <c r="AF813" s="149"/>
      <c r="AG813" s="150"/>
    </row>
    <row r="814" spans="1:42" customHeight="1" ht="11.5" s="129" customFormat="1">
      <c r="A814" s="139"/>
      <c r="B814" s="140"/>
      <c r="C814" s="141"/>
      <c r="D814" s="142"/>
      <c r="E814" s="143"/>
      <c r="F814" s="144"/>
      <c r="G814" s="145"/>
      <c r="H814" s="144"/>
      <c r="I814" s="145"/>
      <c r="J814" s="146"/>
      <c r="K814" s="145"/>
      <c r="L814" s="146"/>
      <c r="M814" s="145"/>
      <c r="N814" s="146"/>
      <c r="O814" s="145"/>
      <c r="P814" s="146"/>
      <c r="Q814" s="145"/>
      <c r="R814" s="144"/>
      <c r="S814" s="145"/>
      <c r="T814" s="144"/>
      <c r="U814" s="145"/>
      <c r="V814" s="144"/>
      <c r="W814" s="145"/>
      <c r="X814" s="144"/>
      <c r="Y814" s="145"/>
      <c r="Z814" s="144"/>
      <c r="AA814" s="145"/>
      <c r="AB814" s="147"/>
      <c r="AC814" s="145"/>
      <c r="AD814" s="148"/>
      <c r="AE814" s="148"/>
      <c r="AF814" s="149"/>
      <c r="AG814" s="150"/>
    </row>
    <row r="815" spans="1:42" customHeight="1" ht="11.5" s="129" customFormat="1">
      <c r="A815" s="139"/>
      <c r="B815" s="140"/>
      <c r="C815" s="141"/>
      <c r="D815" s="142"/>
      <c r="E815" s="143"/>
      <c r="F815" s="144"/>
      <c r="G815" s="145"/>
      <c r="H815" s="144"/>
      <c r="I815" s="145"/>
      <c r="J815" s="146"/>
      <c r="K815" s="145"/>
      <c r="L815" s="146"/>
      <c r="M815" s="145"/>
      <c r="N815" s="146"/>
      <c r="O815" s="145"/>
      <c r="P815" s="146"/>
      <c r="Q815" s="145"/>
      <c r="R815" s="144"/>
      <c r="S815" s="145"/>
      <c r="T815" s="144"/>
      <c r="U815" s="145"/>
      <c r="V815" s="144"/>
      <c r="W815" s="145"/>
      <c r="X815" s="144"/>
      <c r="Y815" s="145"/>
      <c r="Z815" s="144"/>
      <c r="AA815" s="145"/>
      <c r="AB815" s="147"/>
      <c r="AC815" s="145"/>
      <c r="AD815" s="148"/>
      <c r="AE815" s="148"/>
      <c r="AF815" s="149"/>
      <c r="AG815" s="150"/>
    </row>
    <row r="816" spans="1:42" customHeight="1" ht="11.5" s="129" customFormat="1">
      <c r="A816" s="139"/>
      <c r="B816" s="140"/>
      <c r="C816" s="141"/>
      <c r="D816" s="142"/>
      <c r="E816" s="143"/>
      <c r="F816" s="144"/>
      <c r="G816" s="145"/>
      <c r="H816" s="144"/>
      <c r="I816" s="145"/>
      <c r="J816" s="146"/>
      <c r="K816" s="145"/>
      <c r="L816" s="146"/>
      <c r="M816" s="145"/>
      <c r="N816" s="146"/>
      <c r="O816" s="145"/>
      <c r="P816" s="146"/>
      <c r="Q816" s="145"/>
      <c r="R816" s="144"/>
      <c r="S816" s="145"/>
      <c r="T816" s="144"/>
      <c r="U816" s="145"/>
      <c r="V816" s="144"/>
      <c r="W816" s="145"/>
      <c r="X816" s="144"/>
      <c r="Y816" s="145"/>
      <c r="Z816" s="144"/>
      <c r="AA816" s="145"/>
      <c r="AB816" s="147"/>
      <c r="AC816" s="145"/>
      <c r="AD816" s="148"/>
      <c r="AE816" s="148"/>
      <c r="AF816" s="149"/>
      <c r="AG816" s="150"/>
    </row>
    <row r="817" spans="1:42" customHeight="1" ht="11.5" s="129" customFormat="1">
      <c r="A817" s="139"/>
      <c r="B817" s="140"/>
      <c r="C817" s="141"/>
      <c r="D817" s="142"/>
      <c r="E817" s="143"/>
      <c r="F817" s="144"/>
      <c r="G817" s="145"/>
      <c r="H817" s="144"/>
      <c r="I817" s="145"/>
      <c r="J817" s="146"/>
      <c r="K817" s="145"/>
      <c r="L817" s="146"/>
      <c r="M817" s="145"/>
      <c r="N817" s="146"/>
      <c r="O817" s="145"/>
      <c r="P817" s="146"/>
      <c r="Q817" s="145"/>
      <c r="R817" s="144"/>
      <c r="S817" s="145"/>
      <c r="T817" s="144"/>
      <c r="U817" s="145"/>
      <c r="V817" s="144"/>
      <c r="W817" s="145"/>
      <c r="X817" s="144"/>
      <c r="Y817" s="145"/>
      <c r="Z817" s="144"/>
      <c r="AA817" s="145"/>
      <c r="AB817" s="147"/>
      <c r="AC817" s="145"/>
      <c r="AD817" s="148"/>
      <c r="AE817" s="148"/>
      <c r="AF817" s="149"/>
      <c r="AG817" s="150"/>
    </row>
    <row r="818" spans="1:42" customHeight="1" ht="11.5" s="129" customFormat="1">
      <c r="A818" s="139"/>
      <c r="B818" s="140"/>
      <c r="C818" s="141"/>
      <c r="D818" s="142"/>
      <c r="E818" s="143"/>
      <c r="F818" s="144"/>
      <c r="G818" s="145"/>
      <c r="H818" s="144"/>
      <c r="I818" s="145"/>
      <c r="J818" s="146"/>
      <c r="K818" s="145"/>
      <c r="L818" s="146"/>
      <c r="M818" s="145"/>
      <c r="N818" s="146"/>
      <c r="O818" s="145"/>
      <c r="P818" s="146"/>
      <c r="Q818" s="145"/>
      <c r="R818" s="144"/>
      <c r="S818" s="145"/>
      <c r="T818" s="144"/>
      <c r="U818" s="145"/>
      <c r="V818" s="144"/>
      <c r="W818" s="145"/>
      <c r="X818" s="144"/>
      <c r="Y818" s="145"/>
      <c r="Z818" s="144"/>
      <c r="AA818" s="145"/>
      <c r="AB818" s="147"/>
      <c r="AC818" s="145"/>
      <c r="AD818" s="148"/>
      <c r="AE818" s="148"/>
      <c r="AF818" s="149"/>
      <c r="AG818" s="150"/>
    </row>
    <row r="819" spans="1:42" customHeight="1" ht="11.5" s="129" customFormat="1">
      <c r="A819" s="139"/>
      <c r="B819" s="140"/>
      <c r="C819" s="141"/>
      <c r="D819" s="142"/>
      <c r="E819" s="143"/>
      <c r="F819" s="144"/>
      <c r="G819" s="145"/>
      <c r="H819" s="144"/>
      <c r="I819" s="145"/>
      <c r="J819" s="146"/>
      <c r="K819" s="145"/>
      <c r="L819" s="146"/>
      <c r="M819" s="145"/>
      <c r="N819" s="146"/>
      <c r="O819" s="145"/>
      <c r="P819" s="146"/>
      <c r="Q819" s="145"/>
      <c r="R819" s="144"/>
      <c r="S819" s="145"/>
      <c r="T819" s="144"/>
      <c r="U819" s="145"/>
      <c r="V819" s="144"/>
      <c r="W819" s="145"/>
      <c r="X819" s="144"/>
      <c r="Y819" s="145"/>
      <c r="Z819" s="144"/>
      <c r="AA819" s="145"/>
      <c r="AB819" s="147"/>
      <c r="AC819" s="145"/>
      <c r="AD819" s="148"/>
      <c r="AE819" s="148"/>
      <c r="AF819" s="149"/>
      <c r="AG819" s="150"/>
    </row>
    <row r="820" spans="1:42" customHeight="1" ht="11.5" s="129" customFormat="1">
      <c r="A820" s="139"/>
      <c r="B820" s="140"/>
      <c r="C820" s="141"/>
      <c r="D820" s="142"/>
      <c r="E820" s="143"/>
      <c r="F820" s="144"/>
      <c r="G820" s="145"/>
      <c r="H820" s="144"/>
      <c r="I820" s="145"/>
      <c r="J820" s="146"/>
      <c r="K820" s="145"/>
      <c r="L820" s="146"/>
      <c r="M820" s="145"/>
      <c r="N820" s="146"/>
      <c r="O820" s="145"/>
      <c r="P820" s="146"/>
      <c r="Q820" s="145"/>
      <c r="R820" s="144"/>
      <c r="S820" s="145"/>
      <c r="T820" s="144"/>
      <c r="U820" s="145"/>
      <c r="V820" s="144"/>
      <c r="W820" s="145"/>
      <c r="X820" s="144"/>
      <c r="Y820" s="145"/>
      <c r="Z820" s="144"/>
      <c r="AA820" s="145"/>
      <c r="AB820" s="147"/>
      <c r="AC820" s="145"/>
      <c r="AD820" s="148"/>
      <c r="AE820" s="148"/>
      <c r="AF820" s="149"/>
      <c r="AG820" s="150"/>
    </row>
    <row r="821" spans="1:42" customHeight="1" ht="11.5" s="129" customFormat="1">
      <c r="A821" s="139"/>
      <c r="B821" s="140"/>
      <c r="C821" s="141"/>
      <c r="D821" s="142"/>
      <c r="E821" s="143"/>
      <c r="F821" s="144"/>
      <c r="G821" s="145"/>
      <c r="H821" s="144"/>
      <c r="I821" s="145"/>
      <c r="J821" s="146"/>
      <c r="K821" s="145"/>
      <c r="L821" s="146"/>
      <c r="M821" s="145"/>
      <c r="N821" s="146"/>
      <c r="O821" s="145"/>
      <c r="P821" s="146"/>
      <c r="Q821" s="145"/>
      <c r="R821" s="144"/>
      <c r="S821" s="145"/>
      <c r="T821" s="144"/>
      <c r="U821" s="145"/>
      <c r="V821" s="144"/>
      <c r="W821" s="145"/>
      <c r="X821" s="144"/>
      <c r="Y821" s="145"/>
      <c r="Z821" s="144"/>
      <c r="AA821" s="145"/>
      <c r="AB821" s="147"/>
      <c r="AC821" s="145"/>
      <c r="AD821" s="148"/>
      <c r="AE821" s="148"/>
      <c r="AF821" s="149"/>
      <c r="AG821" s="150"/>
    </row>
    <row r="822" spans="1:42" customHeight="1" ht="11.5" s="129" customFormat="1">
      <c r="A822" s="139"/>
      <c r="B822" s="140"/>
      <c r="C822" s="141"/>
      <c r="D822" s="142"/>
      <c r="E822" s="143"/>
      <c r="F822" s="144"/>
      <c r="G822" s="145"/>
      <c r="H822" s="144"/>
      <c r="I822" s="145"/>
      <c r="J822" s="146"/>
      <c r="K822" s="145"/>
      <c r="L822" s="146"/>
      <c r="M822" s="145"/>
      <c r="N822" s="146"/>
      <c r="O822" s="145"/>
      <c r="P822" s="146"/>
      <c r="Q822" s="145"/>
      <c r="R822" s="144"/>
      <c r="S822" s="145"/>
      <c r="T822" s="144"/>
      <c r="U822" s="145"/>
      <c r="V822" s="144"/>
      <c r="W822" s="145"/>
      <c r="X822" s="144"/>
      <c r="Y822" s="145"/>
      <c r="Z822" s="144"/>
      <c r="AA822" s="145"/>
      <c r="AB822" s="147"/>
      <c r="AC822" s="145"/>
      <c r="AD822" s="148"/>
      <c r="AE822" s="148"/>
      <c r="AF822" s="149"/>
      <c r="AG822" s="150"/>
    </row>
    <row r="823" spans="1:42" customHeight="1" ht="11.5" s="129" customFormat="1">
      <c r="A823" s="139"/>
      <c r="B823" s="140"/>
      <c r="C823" s="141"/>
      <c r="D823" s="142"/>
      <c r="E823" s="143"/>
      <c r="F823" s="144"/>
      <c r="G823" s="145"/>
      <c r="H823" s="144"/>
      <c r="I823" s="145"/>
      <c r="J823" s="146"/>
      <c r="K823" s="145"/>
      <c r="L823" s="146"/>
      <c r="M823" s="145"/>
      <c r="N823" s="146"/>
      <c r="O823" s="145"/>
      <c r="P823" s="146"/>
      <c r="Q823" s="145"/>
      <c r="R823" s="144"/>
      <c r="S823" s="145"/>
      <c r="T823" s="144"/>
      <c r="U823" s="145"/>
      <c r="V823" s="144"/>
      <c r="W823" s="145"/>
      <c r="X823" s="144"/>
      <c r="Y823" s="145"/>
      <c r="Z823" s="144"/>
      <c r="AA823" s="145"/>
      <c r="AB823" s="147"/>
      <c r="AC823" s="145"/>
      <c r="AD823" s="148"/>
      <c r="AE823" s="148"/>
      <c r="AF823" s="149"/>
      <c r="AG823" s="150"/>
    </row>
    <row r="824" spans="1:42" customHeight="1" ht="11.5" s="129" customFormat="1">
      <c r="A824" s="139"/>
      <c r="B824" s="140"/>
      <c r="C824" s="141"/>
      <c r="D824" s="142"/>
      <c r="E824" s="143"/>
      <c r="F824" s="144"/>
      <c r="G824" s="145"/>
      <c r="H824" s="144"/>
      <c r="I824" s="145"/>
      <c r="J824" s="146"/>
      <c r="K824" s="145"/>
      <c r="L824" s="146"/>
      <c r="M824" s="145"/>
      <c r="N824" s="146"/>
      <c r="O824" s="145"/>
      <c r="P824" s="146"/>
      <c r="Q824" s="145"/>
      <c r="R824" s="144"/>
      <c r="S824" s="145"/>
      <c r="T824" s="144"/>
      <c r="U824" s="145"/>
      <c r="V824" s="144"/>
      <c r="W824" s="145"/>
      <c r="X824" s="144"/>
      <c r="Y824" s="145"/>
      <c r="Z824" s="144"/>
      <c r="AA824" s="145"/>
      <c r="AB824" s="147"/>
      <c r="AC824" s="145"/>
      <c r="AD824" s="148"/>
      <c r="AE824" s="148"/>
      <c r="AF824" s="149"/>
      <c r="AG824" s="150"/>
    </row>
    <row r="825" spans="1:42" customHeight="1" ht="11.5" s="129" customFormat="1">
      <c r="A825" s="139"/>
      <c r="B825" s="140"/>
      <c r="C825" s="141"/>
      <c r="D825" s="142"/>
      <c r="E825" s="143"/>
      <c r="F825" s="144"/>
      <c r="G825" s="145"/>
      <c r="H825" s="144"/>
      <c r="I825" s="145"/>
      <c r="J825" s="146"/>
      <c r="K825" s="145"/>
      <c r="L825" s="146"/>
      <c r="M825" s="145"/>
      <c r="N825" s="146"/>
      <c r="O825" s="145"/>
      <c r="P825" s="146"/>
      <c r="Q825" s="145"/>
      <c r="R825" s="144"/>
      <c r="S825" s="145"/>
      <c r="T825" s="144"/>
      <c r="U825" s="145"/>
      <c r="V825" s="144"/>
      <c r="W825" s="145"/>
      <c r="X825" s="144"/>
      <c r="Y825" s="145"/>
      <c r="Z825" s="144"/>
      <c r="AA825" s="145"/>
      <c r="AB825" s="147"/>
      <c r="AC825" s="145"/>
      <c r="AD825" s="148"/>
      <c r="AE825" s="148"/>
      <c r="AF825" s="149"/>
      <c r="AG825" s="150"/>
    </row>
    <row r="826" spans="1:42" customHeight="1" ht="11.5" s="129" customFormat="1">
      <c r="A826" s="139"/>
      <c r="B826" s="140"/>
      <c r="C826" s="141"/>
      <c r="D826" s="142"/>
      <c r="E826" s="143"/>
      <c r="F826" s="144"/>
      <c r="G826" s="145"/>
      <c r="H826" s="144"/>
      <c r="I826" s="145"/>
      <c r="J826" s="146"/>
      <c r="K826" s="145"/>
      <c r="L826" s="146"/>
      <c r="M826" s="145"/>
      <c r="N826" s="146"/>
      <c r="O826" s="145"/>
      <c r="P826" s="146"/>
      <c r="Q826" s="145"/>
      <c r="R826" s="144"/>
      <c r="S826" s="145"/>
      <c r="T826" s="144"/>
      <c r="U826" s="145"/>
      <c r="V826" s="144"/>
      <c r="W826" s="145"/>
      <c r="X826" s="144"/>
      <c r="Y826" s="145"/>
      <c r="Z826" s="144"/>
      <c r="AA826" s="145"/>
      <c r="AB826" s="147"/>
      <c r="AC826" s="145"/>
      <c r="AD826" s="148"/>
      <c r="AE826" s="148"/>
      <c r="AF826" s="149"/>
      <c r="AG826" s="150"/>
    </row>
    <row r="827" spans="1:42" customHeight="1" ht="11.5" s="129" customFormat="1">
      <c r="A827" s="139"/>
      <c r="B827" s="140"/>
      <c r="C827" s="141"/>
      <c r="D827" s="142"/>
      <c r="E827" s="143"/>
      <c r="F827" s="144"/>
      <c r="G827" s="145"/>
      <c r="H827" s="144"/>
      <c r="I827" s="145"/>
      <c r="J827" s="146"/>
      <c r="K827" s="145"/>
      <c r="L827" s="146"/>
      <c r="M827" s="145"/>
      <c r="N827" s="146"/>
      <c r="O827" s="145"/>
      <c r="P827" s="146"/>
      <c r="Q827" s="145"/>
      <c r="R827" s="144"/>
      <c r="S827" s="145"/>
      <c r="T827" s="144"/>
      <c r="U827" s="145"/>
      <c r="V827" s="144"/>
      <c r="W827" s="145"/>
      <c r="X827" s="144"/>
      <c r="Y827" s="145"/>
      <c r="Z827" s="144"/>
      <c r="AA827" s="145"/>
      <c r="AB827" s="147"/>
      <c r="AC827" s="145"/>
      <c r="AD827" s="148"/>
      <c r="AE827" s="148"/>
      <c r="AF827" s="149"/>
      <c r="AG827" s="150"/>
    </row>
    <row r="828" spans="1:42" customHeight="1" ht="11.5" s="129" customFormat="1">
      <c r="A828" s="139"/>
      <c r="B828" s="140"/>
      <c r="C828" s="141"/>
      <c r="D828" s="142"/>
      <c r="E828" s="143"/>
      <c r="F828" s="144"/>
      <c r="G828" s="145"/>
      <c r="H828" s="144"/>
      <c r="I828" s="145"/>
      <c r="J828" s="146"/>
      <c r="K828" s="145"/>
      <c r="L828" s="146"/>
      <c r="M828" s="145"/>
      <c r="N828" s="146"/>
      <c r="O828" s="145"/>
      <c r="P828" s="146"/>
      <c r="Q828" s="145"/>
      <c r="R828" s="144"/>
      <c r="S828" s="145"/>
      <c r="T828" s="144"/>
      <c r="U828" s="145"/>
      <c r="V828" s="144"/>
      <c r="W828" s="145"/>
      <c r="X828" s="144"/>
      <c r="Y828" s="145"/>
      <c r="Z828" s="144"/>
      <c r="AA828" s="145"/>
      <c r="AB828" s="147"/>
      <c r="AC828" s="145"/>
      <c r="AD828" s="148"/>
      <c r="AE828" s="148"/>
      <c r="AF828" s="149"/>
      <c r="AG828" s="150"/>
    </row>
    <row r="829" spans="1:42" customHeight="1" ht="11.5" s="129" customFormat="1">
      <c r="A829" s="139"/>
      <c r="B829" s="140"/>
      <c r="C829" s="141"/>
      <c r="D829" s="142"/>
      <c r="E829" s="143"/>
      <c r="F829" s="144"/>
      <c r="G829" s="145"/>
      <c r="H829" s="144"/>
      <c r="I829" s="145"/>
      <c r="J829" s="146"/>
      <c r="K829" s="145"/>
      <c r="L829" s="146"/>
      <c r="M829" s="145"/>
      <c r="N829" s="146"/>
      <c r="O829" s="145"/>
      <c r="P829" s="146"/>
      <c r="Q829" s="145"/>
      <c r="R829" s="144"/>
      <c r="S829" s="145"/>
      <c r="T829" s="144"/>
      <c r="U829" s="145"/>
      <c r="V829" s="144"/>
      <c r="W829" s="145"/>
      <c r="X829" s="144"/>
      <c r="Y829" s="145"/>
      <c r="Z829" s="144"/>
      <c r="AA829" s="145"/>
      <c r="AB829" s="147"/>
      <c r="AC829" s="145"/>
      <c r="AD829" s="148"/>
      <c r="AE829" s="148"/>
      <c r="AF829" s="149"/>
      <c r="AG829" s="150"/>
    </row>
    <row r="830" spans="1:42" customHeight="1" ht="11.5" s="129" customFormat="1">
      <c r="A830" s="139"/>
      <c r="B830" s="140"/>
      <c r="C830" s="141"/>
      <c r="D830" s="142"/>
      <c r="E830" s="143"/>
      <c r="F830" s="144"/>
      <c r="G830" s="145"/>
      <c r="H830" s="144"/>
      <c r="I830" s="145"/>
      <c r="J830" s="146"/>
      <c r="K830" s="145"/>
      <c r="L830" s="146"/>
      <c r="M830" s="145"/>
      <c r="N830" s="146"/>
      <c r="O830" s="145"/>
      <c r="P830" s="146"/>
      <c r="Q830" s="145"/>
      <c r="R830" s="144"/>
      <c r="S830" s="145"/>
      <c r="T830" s="144"/>
      <c r="U830" s="145"/>
      <c r="V830" s="144"/>
      <c r="W830" s="145"/>
      <c r="X830" s="144"/>
      <c r="Y830" s="145"/>
      <c r="Z830" s="144"/>
      <c r="AA830" s="145"/>
      <c r="AB830" s="147"/>
      <c r="AC830" s="145"/>
      <c r="AD830" s="148"/>
      <c r="AE830" s="148"/>
      <c r="AF830" s="149"/>
      <c r="AG830" s="150"/>
    </row>
    <row r="831" spans="1:42" customHeight="1" ht="11.5" s="129" customFormat="1">
      <c r="A831" s="139"/>
      <c r="B831" s="140"/>
      <c r="C831" s="141"/>
      <c r="D831" s="142"/>
      <c r="E831" s="143"/>
      <c r="F831" s="144"/>
      <c r="G831" s="145"/>
      <c r="H831" s="144"/>
      <c r="I831" s="145"/>
      <c r="J831" s="146"/>
      <c r="K831" s="145"/>
      <c r="L831" s="146"/>
      <c r="M831" s="145"/>
      <c r="N831" s="146"/>
      <c r="O831" s="145"/>
      <c r="P831" s="146"/>
      <c r="Q831" s="145"/>
      <c r="R831" s="144"/>
      <c r="S831" s="145"/>
      <c r="T831" s="144"/>
      <c r="U831" s="145"/>
      <c r="V831" s="144"/>
      <c r="W831" s="145"/>
      <c r="X831" s="144"/>
      <c r="Y831" s="145"/>
      <c r="Z831" s="144"/>
      <c r="AA831" s="145"/>
      <c r="AB831" s="147"/>
      <c r="AC831" s="145"/>
      <c r="AD831" s="148"/>
      <c r="AE831" s="148"/>
      <c r="AF831" s="149"/>
      <c r="AG831" s="150"/>
    </row>
    <row r="832" spans="1:42" customHeight="1" ht="11.5" s="129" customFormat="1">
      <c r="A832" s="139"/>
      <c r="B832" s="140"/>
      <c r="C832" s="141"/>
      <c r="D832" s="142"/>
      <c r="E832" s="143"/>
      <c r="F832" s="144"/>
      <c r="G832" s="145"/>
      <c r="H832" s="144"/>
      <c r="I832" s="145"/>
      <c r="J832" s="146"/>
      <c r="K832" s="145"/>
      <c r="L832" s="146"/>
      <c r="M832" s="145"/>
      <c r="N832" s="146"/>
      <c r="O832" s="145"/>
      <c r="P832" s="146"/>
      <c r="Q832" s="145"/>
      <c r="R832" s="144"/>
      <c r="S832" s="145"/>
      <c r="T832" s="144"/>
      <c r="U832" s="145"/>
      <c r="V832" s="144"/>
      <c r="W832" s="145"/>
      <c r="X832" s="144"/>
      <c r="Y832" s="145"/>
      <c r="Z832" s="144"/>
      <c r="AA832" s="145"/>
      <c r="AB832" s="147"/>
      <c r="AC832" s="145"/>
      <c r="AD832" s="148"/>
      <c r="AE832" s="148"/>
      <c r="AF832" s="149"/>
      <c r="AG832" s="150"/>
    </row>
    <row r="833" spans="1:42" customHeight="1" ht="11.5" s="129" customFormat="1">
      <c r="A833" s="139"/>
      <c r="B833" s="140"/>
      <c r="C833" s="141"/>
      <c r="D833" s="142"/>
      <c r="E833" s="143"/>
      <c r="F833" s="144"/>
      <c r="G833" s="145"/>
      <c r="H833" s="144"/>
      <c r="I833" s="145"/>
      <c r="J833" s="146"/>
      <c r="K833" s="145"/>
      <c r="L833" s="146"/>
      <c r="M833" s="145"/>
      <c r="N833" s="146"/>
      <c r="O833" s="145"/>
      <c r="P833" s="146"/>
      <c r="Q833" s="145"/>
      <c r="R833" s="144"/>
      <c r="S833" s="145"/>
      <c r="T833" s="144"/>
      <c r="U833" s="145"/>
      <c r="V833" s="144"/>
      <c r="W833" s="145"/>
      <c r="X833" s="144"/>
      <c r="Y833" s="145"/>
      <c r="Z833" s="144"/>
      <c r="AA833" s="145"/>
      <c r="AB833" s="147"/>
      <c r="AC833" s="145"/>
      <c r="AD833" s="148"/>
      <c r="AE833" s="148"/>
      <c r="AF833" s="149"/>
      <c r="AG833" s="150"/>
    </row>
    <row r="834" spans="1:42" customHeight="1" ht="11.5" s="129" customFormat="1">
      <c r="A834" s="139"/>
      <c r="B834" s="140"/>
      <c r="C834" s="141"/>
      <c r="D834" s="142"/>
      <c r="E834" s="143"/>
      <c r="F834" s="144"/>
      <c r="G834" s="145"/>
      <c r="H834" s="144"/>
      <c r="I834" s="145"/>
      <c r="J834" s="146"/>
      <c r="K834" s="145"/>
      <c r="L834" s="146"/>
      <c r="M834" s="145"/>
      <c r="N834" s="146"/>
      <c r="O834" s="145"/>
      <c r="P834" s="146"/>
      <c r="Q834" s="145"/>
      <c r="R834" s="144"/>
      <c r="S834" s="145"/>
      <c r="T834" s="144"/>
      <c r="U834" s="145"/>
      <c r="V834" s="144"/>
      <c r="W834" s="145"/>
      <c r="X834" s="144"/>
      <c r="Y834" s="145"/>
      <c r="Z834" s="144"/>
      <c r="AA834" s="145"/>
      <c r="AB834" s="147"/>
      <c r="AC834" s="145"/>
      <c r="AD834" s="148"/>
      <c r="AE834" s="148"/>
      <c r="AF834" s="149"/>
      <c r="AG834" s="150"/>
    </row>
    <row r="835" spans="1:42" customHeight="1" ht="11.5" s="129" customFormat="1">
      <c r="A835" s="139"/>
      <c r="B835" s="140"/>
      <c r="C835" s="141"/>
      <c r="D835" s="142"/>
      <c r="E835" s="143"/>
      <c r="F835" s="144"/>
      <c r="G835" s="145"/>
      <c r="H835" s="144"/>
      <c r="I835" s="145"/>
      <c r="J835" s="146"/>
      <c r="K835" s="145"/>
      <c r="L835" s="146"/>
      <c r="M835" s="145"/>
      <c r="N835" s="146"/>
      <c r="O835" s="145"/>
      <c r="P835" s="146"/>
      <c r="Q835" s="145"/>
      <c r="R835" s="144"/>
      <c r="S835" s="145"/>
      <c r="T835" s="144"/>
      <c r="U835" s="145"/>
      <c r="V835" s="144"/>
      <c r="W835" s="145"/>
      <c r="X835" s="144"/>
      <c r="Y835" s="145"/>
      <c r="Z835" s="144"/>
      <c r="AA835" s="145"/>
      <c r="AB835" s="147"/>
      <c r="AC835" s="145"/>
      <c r="AD835" s="148"/>
      <c r="AE835" s="148"/>
      <c r="AF835" s="149"/>
      <c r="AG835" s="150"/>
    </row>
    <row r="836" spans="1:42" customHeight="1" ht="11.5" s="129" customFormat="1">
      <c r="A836" s="139"/>
      <c r="B836" s="140"/>
      <c r="C836" s="141"/>
      <c r="D836" s="142"/>
      <c r="E836" s="143"/>
      <c r="F836" s="144"/>
      <c r="G836" s="145"/>
      <c r="H836" s="144"/>
      <c r="I836" s="145"/>
      <c r="J836" s="146"/>
      <c r="K836" s="145"/>
      <c r="L836" s="146"/>
      <c r="M836" s="145"/>
      <c r="N836" s="146"/>
      <c r="O836" s="145"/>
      <c r="P836" s="146"/>
      <c r="Q836" s="145"/>
      <c r="R836" s="144"/>
      <c r="S836" s="145"/>
      <c r="T836" s="144"/>
      <c r="U836" s="145"/>
      <c r="V836" s="144"/>
      <c r="W836" s="145"/>
      <c r="X836" s="144"/>
      <c r="Y836" s="145"/>
      <c r="Z836" s="144"/>
      <c r="AA836" s="145"/>
      <c r="AB836" s="147"/>
      <c r="AC836" s="145"/>
      <c r="AD836" s="148"/>
      <c r="AE836" s="148"/>
      <c r="AF836" s="149"/>
      <c r="AG836" s="150"/>
    </row>
    <row r="837" spans="1:42" customHeight="1" ht="11.5" s="129" customFormat="1">
      <c r="A837" s="139"/>
      <c r="B837" s="140"/>
      <c r="C837" s="141"/>
      <c r="D837" s="142"/>
      <c r="E837" s="143"/>
      <c r="F837" s="144"/>
      <c r="G837" s="145"/>
      <c r="H837" s="144"/>
      <c r="I837" s="145"/>
      <c r="J837" s="146"/>
      <c r="K837" s="145"/>
      <c r="L837" s="146"/>
      <c r="M837" s="145"/>
      <c r="N837" s="146"/>
      <c r="O837" s="145"/>
      <c r="P837" s="146"/>
      <c r="Q837" s="145"/>
      <c r="R837" s="144"/>
      <c r="S837" s="145"/>
      <c r="T837" s="144"/>
      <c r="U837" s="145"/>
      <c r="V837" s="144"/>
      <c r="W837" s="145"/>
      <c r="X837" s="144"/>
      <c r="Y837" s="145"/>
      <c r="Z837" s="144"/>
      <c r="AA837" s="145"/>
      <c r="AB837" s="147"/>
      <c r="AC837" s="145"/>
      <c r="AD837" s="148"/>
      <c r="AE837" s="148"/>
      <c r="AF837" s="149"/>
      <c r="AG837" s="150"/>
    </row>
    <row r="838" spans="1:42" customHeight="1" ht="11.5" s="129" customFormat="1">
      <c r="A838" s="139"/>
      <c r="B838" s="140"/>
      <c r="C838" s="141"/>
      <c r="D838" s="142"/>
      <c r="E838" s="143"/>
      <c r="F838" s="144"/>
      <c r="G838" s="145"/>
      <c r="H838" s="144"/>
      <c r="I838" s="145"/>
      <c r="J838" s="146"/>
      <c r="K838" s="145"/>
      <c r="L838" s="146"/>
      <c r="M838" s="145"/>
      <c r="N838" s="146"/>
      <c r="O838" s="145"/>
      <c r="P838" s="146"/>
      <c r="Q838" s="145"/>
      <c r="R838" s="144"/>
      <c r="S838" s="145"/>
      <c r="T838" s="144"/>
      <c r="U838" s="145"/>
      <c r="V838" s="144"/>
      <c r="W838" s="145"/>
      <c r="X838" s="144"/>
      <c r="Y838" s="145"/>
      <c r="Z838" s="144"/>
      <c r="AA838" s="145"/>
      <c r="AB838" s="147"/>
      <c r="AC838" s="145"/>
      <c r="AD838" s="148"/>
      <c r="AE838" s="148"/>
      <c r="AF838" s="149"/>
      <c r="AG838" s="150"/>
    </row>
    <row r="839" spans="1:42" customHeight="1" ht="11.5" s="129" customFormat="1">
      <c r="A839" s="139"/>
      <c r="B839" s="140"/>
      <c r="C839" s="141"/>
      <c r="D839" s="142"/>
      <c r="E839" s="143"/>
      <c r="F839" s="144"/>
      <c r="G839" s="145"/>
      <c r="H839" s="144"/>
      <c r="I839" s="145"/>
      <c r="J839" s="146"/>
      <c r="K839" s="145"/>
      <c r="L839" s="146"/>
      <c r="M839" s="145"/>
      <c r="N839" s="146"/>
      <c r="O839" s="145"/>
      <c r="P839" s="146"/>
      <c r="Q839" s="145"/>
      <c r="R839" s="144"/>
      <c r="S839" s="145"/>
      <c r="T839" s="144"/>
      <c r="U839" s="145"/>
      <c r="V839" s="144"/>
      <c r="W839" s="145"/>
      <c r="X839" s="144"/>
      <c r="Y839" s="145"/>
      <c r="Z839" s="144"/>
      <c r="AA839" s="145"/>
      <c r="AB839" s="147"/>
      <c r="AC839" s="145"/>
      <c r="AD839" s="148"/>
      <c r="AE839" s="148"/>
      <c r="AF839" s="149"/>
      <c r="AG839" s="150"/>
    </row>
    <row r="840" spans="1:42" customHeight="1" ht="11.5" s="129" customFormat="1">
      <c r="A840" s="139"/>
      <c r="B840" s="140"/>
      <c r="C840" s="141"/>
      <c r="D840" s="142"/>
      <c r="E840" s="143"/>
      <c r="F840" s="144"/>
      <c r="G840" s="145"/>
      <c r="H840" s="144"/>
      <c r="I840" s="145"/>
      <c r="J840" s="146"/>
      <c r="K840" s="145"/>
      <c r="L840" s="146"/>
      <c r="M840" s="145"/>
      <c r="N840" s="146"/>
      <c r="O840" s="145"/>
      <c r="P840" s="146"/>
      <c r="Q840" s="145"/>
      <c r="R840" s="144"/>
      <c r="S840" s="145"/>
      <c r="T840" s="144"/>
      <c r="U840" s="145"/>
      <c r="V840" s="144"/>
      <c r="W840" s="145"/>
      <c r="X840" s="144"/>
      <c r="Y840" s="145"/>
      <c r="Z840" s="144"/>
      <c r="AA840" s="145"/>
      <c r="AB840" s="147"/>
      <c r="AC840" s="145"/>
      <c r="AD840" s="148"/>
      <c r="AE840" s="148"/>
      <c r="AF840" s="149"/>
      <c r="AG840" s="150"/>
    </row>
    <row r="841" spans="1:42" customHeight="1" ht="11.5" s="129" customFormat="1">
      <c r="A841" s="139"/>
      <c r="B841" s="140"/>
      <c r="C841" s="141"/>
      <c r="D841" s="142"/>
      <c r="E841" s="143"/>
      <c r="F841" s="144"/>
      <c r="G841" s="145"/>
      <c r="H841" s="144"/>
      <c r="I841" s="145"/>
      <c r="J841" s="146"/>
      <c r="K841" s="145"/>
      <c r="L841" s="146"/>
      <c r="M841" s="145"/>
      <c r="N841" s="146"/>
      <c r="O841" s="145"/>
      <c r="P841" s="146"/>
      <c r="Q841" s="145"/>
      <c r="R841" s="144"/>
      <c r="S841" s="145"/>
      <c r="T841" s="144"/>
      <c r="U841" s="145"/>
      <c r="V841" s="144"/>
      <c r="W841" s="145"/>
      <c r="X841" s="144"/>
      <c r="Y841" s="145"/>
      <c r="Z841" s="144"/>
      <c r="AA841" s="145"/>
      <c r="AB841" s="147"/>
      <c r="AC841" s="145"/>
      <c r="AD841" s="148"/>
      <c r="AE841" s="148"/>
      <c r="AF841" s="149"/>
      <c r="AG841" s="150"/>
    </row>
    <row r="842" spans="1:42" customHeight="1" ht="11.5" s="129" customFormat="1">
      <c r="A842" s="139"/>
      <c r="B842" s="140"/>
      <c r="C842" s="141"/>
      <c r="D842" s="142"/>
      <c r="E842" s="143"/>
      <c r="F842" s="144"/>
      <c r="G842" s="145"/>
      <c r="H842" s="144"/>
      <c r="I842" s="145"/>
      <c r="J842" s="146"/>
      <c r="K842" s="145"/>
      <c r="L842" s="146"/>
      <c r="M842" s="145"/>
      <c r="N842" s="146"/>
      <c r="O842" s="145"/>
      <c r="P842" s="146"/>
      <c r="Q842" s="145"/>
      <c r="R842" s="144"/>
      <c r="S842" s="145"/>
      <c r="T842" s="144"/>
      <c r="U842" s="145"/>
      <c r="V842" s="144"/>
      <c r="W842" s="145"/>
      <c r="X842" s="144"/>
      <c r="Y842" s="145"/>
      <c r="Z842" s="144"/>
      <c r="AA842" s="145"/>
      <c r="AB842" s="147"/>
      <c r="AC842" s="145"/>
      <c r="AD842" s="148"/>
      <c r="AE842" s="148"/>
      <c r="AF842" s="149"/>
      <c r="AG842" s="150"/>
    </row>
    <row r="843" spans="1:42" customHeight="1" ht="11.5" s="129" customFormat="1">
      <c r="A843" s="139"/>
      <c r="B843" s="140"/>
      <c r="C843" s="141"/>
      <c r="D843" s="142"/>
      <c r="E843" s="143"/>
      <c r="F843" s="144"/>
      <c r="G843" s="145"/>
      <c r="H843" s="144"/>
      <c r="I843" s="145"/>
      <c r="J843" s="146"/>
      <c r="K843" s="145"/>
      <c r="L843" s="146"/>
      <c r="M843" s="145"/>
      <c r="N843" s="146"/>
      <c r="O843" s="145"/>
      <c r="P843" s="146"/>
      <c r="Q843" s="145"/>
      <c r="R843" s="144"/>
      <c r="S843" s="145"/>
      <c r="T843" s="144"/>
      <c r="U843" s="145"/>
      <c r="V843" s="144"/>
      <c r="W843" s="145"/>
      <c r="X843" s="144"/>
      <c r="Y843" s="145"/>
      <c r="Z843" s="144"/>
      <c r="AA843" s="145"/>
      <c r="AB843" s="147"/>
      <c r="AC843" s="145"/>
      <c r="AD843" s="148"/>
      <c r="AE843" s="148"/>
      <c r="AF843" s="149"/>
      <c r="AG843" s="150"/>
    </row>
    <row r="844" spans="1:42" customHeight="1" ht="11.5" s="129" customFormat="1">
      <c r="A844" s="139"/>
      <c r="B844" s="140"/>
      <c r="C844" s="141"/>
      <c r="D844" s="142"/>
      <c r="E844" s="143"/>
      <c r="F844" s="144"/>
      <c r="G844" s="145"/>
      <c r="H844" s="144"/>
      <c r="I844" s="145"/>
      <c r="J844" s="146"/>
      <c r="K844" s="145"/>
      <c r="L844" s="146"/>
      <c r="M844" s="145"/>
      <c r="N844" s="146"/>
      <c r="O844" s="145"/>
      <c r="P844" s="146"/>
      <c r="Q844" s="145"/>
      <c r="R844" s="144"/>
      <c r="S844" s="145"/>
      <c r="T844" s="144"/>
      <c r="U844" s="145"/>
      <c r="V844" s="144"/>
      <c r="W844" s="145"/>
      <c r="X844" s="144"/>
      <c r="Y844" s="145"/>
      <c r="Z844" s="144"/>
      <c r="AA844" s="145"/>
      <c r="AB844" s="147"/>
      <c r="AC844" s="145"/>
      <c r="AD844" s="148"/>
      <c r="AE844" s="148"/>
      <c r="AF844" s="149"/>
      <c r="AG844" s="150"/>
    </row>
    <row r="845" spans="1:42" customHeight="1" ht="11.5" s="129" customFormat="1">
      <c r="A845" s="139"/>
      <c r="B845" s="140"/>
      <c r="C845" s="141"/>
      <c r="D845" s="142"/>
      <c r="E845" s="143"/>
      <c r="F845" s="144"/>
      <c r="G845" s="145"/>
      <c r="H845" s="144"/>
      <c r="I845" s="145"/>
      <c r="J845" s="146"/>
      <c r="K845" s="145"/>
      <c r="L845" s="146"/>
      <c r="M845" s="145"/>
      <c r="N845" s="146"/>
      <c r="O845" s="145"/>
      <c r="P845" s="146"/>
      <c r="Q845" s="145"/>
      <c r="R845" s="144"/>
      <c r="S845" s="145"/>
      <c r="T845" s="144"/>
      <c r="U845" s="145"/>
      <c r="V845" s="144"/>
      <c r="W845" s="145"/>
      <c r="X845" s="144"/>
      <c r="Y845" s="145"/>
      <c r="Z845" s="144"/>
      <c r="AA845" s="145"/>
      <c r="AB845" s="147"/>
      <c r="AC845" s="145"/>
      <c r="AD845" s="148"/>
      <c r="AE845" s="148"/>
      <c r="AF845" s="149"/>
      <c r="AG845" s="150"/>
    </row>
    <row r="846" spans="1:42" customHeight="1" ht="11.5" s="129" customFormat="1">
      <c r="A846" s="139"/>
      <c r="B846" s="140"/>
      <c r="C846" s="141"/>
      <c r="D846" s="142"/>
      <c r="E846" s="143"/>
      <c r="F846" s="144"/>
      <c r="G846" s="145"/>
      <c r="H846" s="144"/>
      <c r="I846" s="145"/>
      <c r="J846" s="146"/>
      <c r="K846" s="145"/>
      <c r="L846" s="146"/>
      <c r="M846" s="145"/>
      <c r="N846" s="146"/>
      <c r="O846" s="145"/>
      <c r="P846" s="146"/>
      <c r="Q846" s="145"/>
      <c r="R846" s="144"/>
      <c r="S846" s="145"/>
      <c r="T846" s="144"/>
      <c r="U846" s="145"/>
      <c r="V846" s="144"/>
      <c r="W846" s="145"/>
      <c r="X846" s="144"/>
      <c r="Y846" s="145"/>
      <c r="Z846" s="144"/>
      <c r="AA846" s="145"/>
      <c r="AB846" s="147"/>
      <c r="AC846" s="145"/>
      <c r="AD846" s="148"/>
      <c r="AE846" s="148"/>
      <c r="AF846" s="149"/>
      <c r="AG846" s="150"/>
    </row>
    <row r="847" spans="1:42" customHeight="1" ht="11.5" s="129" customFormat="1">
      <c r="A847" s="139"/>
      <c r="B847" s="140"/>
      <c r="C847" s="141"/>
      <c r="D847" s="142"/>
      <c r="E847" s="143"/>
      <c r="F847" s="144"/>
      <c r="G847" s="145"/>
      <c r="H847" s="144"/>
      <c r="I847" s="145"/>
      <c r="J847" s="146"/>
      <c r="K847" s="145"/>
      <c r="L847" s="146"/>
      <c r="M847" s="145"/>
      <c r="N847" s="146"/>
      <c r="O847" s="145"/>
      <c r="P847" s="146"/>
      <c r="Q847" s="145"/>
      <c r="R847" s="144"/>
      <c r="S847" s="145"/>
      <c r="T847" s="144"/>
      <c r="U847" s="145"/>
      <c r="V847" s="144"/>
      <c r="W847" s="145"/>
      <c r="X847" s="144"/>
      <c r="Y847" s="145"/>
      <c r="Z847" s="144"/>
      <c r="AA847" s="145"/>
      <c r="AB847" s="147"/>
      <c r="AC847" s="145"/>
      <c r="AD847" s="148"/>
      <c r="AE847" s="148"/>
      <c r="AF847" s="149"/>
      <c r="AG847" s="150"/>
    </row>
    <row r="848" spans="1:42" customHeight="1" ht="11.5" s="129" customFormat="1">
      <c r="A848" s="139"/>
      <c r="B848" s="140"/>
      <c r="C848" s="141"/>
      <c r="D848" s="142"/>
      <c r="E848" s="143"/>
      <c r="F848" s="144"/>
      <c r="G848" s="145"/>
      <c r="H848" s="144"/>
      <c r="I848" s="145"/>
      <c r="J848" s="146"/>
      <c r="K848" s="145"/>
      <c r="L848" s="146"/>
      <c r="M848" s="145"/>
      <c r="N848" s="146"/>
      <c r="O848" s="145"/>
      <c r="P848" s="146"/>
      <c r="Q848" s="145"/>
      <c r="R848" s="144"/>
      <c r="S848" s="145"/>
      <c r="T848" s="144"/>
      <c r="U848" s="145"/>
      <c r="V848" s="144"/>
      <c r="W848" s="145"/>
      <c r="X848" s="144"/>
      <c r="Y848" s="145"/>
      <c r="Z848" s="144"/>
      <c r="AA848" s="145"/>
      <c r="AB848" s="147"/>
      <c r="AC848" s="145"/>
      <c r="AD848" s="148"/>
      <c r="AE848" s="148"/>
      <c r="AF848" s="149"/>
      <c r="AG848" s="150"/>
    </row>
    <row r="849" spans="1:42" customHeight="1" ht="11.5" s="129" customFormat="1">
      <c r="A849" s="139"/>
      <c r="B849" s="140"/>
      <c r="C849" s="141"/>
      <c r="D849" s="142"/>
      <c r="E849" s="143"/>
      <c r="F849" s="144"/>
      <c r="G849" s="145"/>
      <c r="H849" s="144"/>
      <c r="I849" s="145"/>
      <c r="J849" s="146"/>
      <c r="K849" s="145"/>
      <c r="L849" s="146"/>
      <c r="M849" s="145"/>
      <c r="N849" s="146"/>
      <c r="O849" s="145"/>
      <c r="P849" s="146"/>
      <c r="Q849" s="145"/>
      <c r="R849" s="144"/>
      <c r="S849" s="145"/>
      <c r="T849" s="144"/>
      <c r="U849" s="145"/>
      <c r="V849" s="144"/>
      <c r="W849" s="145"/>
      <c r="X849" s="144"/>
      <c r="Y849" s="145"/>
      <c r="Z849" s="144"/>
      <c r="AA849" s="145"/>
      <c r="AB849" s="147"/>
      <c r="AC849" s="145"/>
      <c r="AD849" s="148"/>
      <c r="AE849" s="148"/>
      <c r="AF849" s="149"/>
      <c r="AG849" s="150"/>
    </row>
    <row r="850" spans="1:42" customHeight="1" ht="11.5" s="129" customFormat="1">
      <c r="A850" s="139"/>
      <c r="B850" s="140"/>
      <c r="C850" s="141"/>
      <c r="D850" s="142"/>
      <c r="E850" s="143"/>
      <c r="F850" s="144"/>
      <c r="G850" s="145"/>
      <c r="H850" s="144"/>
      <c r="I850" s="145"/>
      <c r="J850" s="146"/>
      <c r="K850" s="145"/>
      <c r="L850" s="146"/>
      <c r="M850" s="145"/>
      <c r="N850" s="146"/>
      <c r="O850" s="145"/>
      <c r="P850" s="146"/>
      <c r="Q850" s="145"/>
      <c r="R850" s="144"/>
      <c r="S850" s="145"/>
      <c r="T850" s="144"/>
      <c r="U850" s="145"/>
      <c r="V850" s="144"/>
      <c r="W850" s="145"/>
      <c r="X850" s="144"/>
      <c r="Y850" s="145"/>
      <c r="Z850" s="144"/>
      <c r="AA850" s="145"/>
      <c r="AB850" s="147"/>
      <c r="AC850" s="145"/>
      <c r="AD850" s="148"/>
      <c r="AE850" s="148"/>
      <c r="AF850" s="149"/>
      <c r="AG850" s="150"/>
    </row>
    <row r="851" spans="1:42" customHeight="1" ht="11.5" s="129" customFormat="1">
      <c r="A851" s="139"/>
      <c r="B851" s="140"/>
      <c r="C851" s="141"/>
      <c r="D851" s="142"/>
      <c r="E851" s="143"/>
      <c r="F851" s="144"/>
      <c r="G851" s="145"/>
      <c r="H851" s="144"/>
      <c r="I851" s="145"/>
      <c r="J851" s="146"/>
      <c r="K851" s="145"/>
      <c r="L851" s="146"/>
      <c r="M851" s="145"/>
      <c r="N851" s="146"/>
      <c r="O851" s="145"/>
      <c r="P851" s="146"/>
      <c r="Q851" s="145"/>
      <c r="R851" s="144"/>
      <c r="S851" s="145"/>
      <c r="T851" s="144"/>
      <c r="U851" s="145"/>
      <c r="V851" s="144"/>
      <c r="W851" s="145"/>
      <c r="X851" s="144"/>
      <c r="Y851" s="145"/>
      <c r="Z851" s="144"/>
      <c r="AA851" s="145"/>
      <c r="AB851" s="147"/>
      <c r="AC851" s="145"/>
      <c r="AD851" s="148"/>
      <c r="AE851" s="148"/>
      <c r="AF851" s="149"/>
      <c r="AG851" s="150"/>
    </row>
    <row r="852" spans="1:42" customHeight="1" ht="11.5" s="129" customFormat="1">
      <c r="A852" s="139"/>
      <c r="B852" s="140"/>
      <c r="C852" s="141"/>
      <c r="D852" s="142"/>
      <c r="E852" s="143"/>
      <c r="F852" s="144"/>
      <c r="G852" s="145"/>
      <c r="H852" s="144"/>
      <c r="I852" s="145"/>
      <c r="J852" s="146"/>
      <c r="K852" s="145"/>
      <c r="L852" s="146"/>
      <c r="M852" s="145"/>
      <c r="N852" s="146"/>
      <c r="O852" s="145"/>
      <c r="P852" s="146"/>
      <c r="Q852" s="145"/>
      <c r="R852" s="144"/>
      <c r="S852" s="145"/>
      <c r="T852" s="144"/>
      <c r="U852" s="145"/>
      <c r="V852" s="144"/>
      <c r="W852" s="145"/>
      <c r="X852" s="144"/>
      <c r="Y852" s="145"/>
      <c r="Z852" s="144"/>
      <c r="AA852" s="145"/>
      <c r="AB852" s="147"/>
      <c r="AC852" s="145"/>
      <c r="AD852" s="148"/>
      <c r="AE852" s="148"/>
      <c r="AF852" s="149"/>
      <c r="AG852" s="150"/>
    </row>
    <row r="853" spans="1:42" customHeight="1" ht="11.5" s="129" customFormat="1">
      <c r="A853" s="139"/>
      <c r="B853" s="140"/>
      <c r="C853" s="141"/>
      <c r="D853" s="142"/>
      <c r="E853" s="143"/>
      <c r="F853" s="144"/>
      <c r="G853" s="145"/>
      <c r="H853" s="144"/>
      <c r="I853" s="145"/>
      <c r="J853" s="146"/>
      <c r="K853" s="145"/>
      <c r="L853" s="146"/>
      <c r="M853" s="145"/>
      <c r="N853" s="146"/>
      <c r="O853" s="145"/>
      <c r="P853" s="146"/>
      <c r="Q853" s="145"/>
      <c r="R853" s="144"/>
      <c r="S853" s="145"/>
      <c r="T853" s="144"/>
      <c r="U853" s="145"/>
      <c r="V853" s="144"/>
      <c r="W853" s="145"/>
      <c r="X853" s="144"/>
      <c r="Y853" s="145"/>
      <c r="Z853" s="144"/>
      <c r="AA853" s="145"/>
      <c r="AB853" s="147"/>
      <c r="AC853" s="145"/>
      <c r="AD853" s="148"/>
      <c r="AE853" s="148"/>
      <c r="AF853" s="149"/>
      <c r="AG853" s="150"/>
    </row>
    <row r="854" spans="1:42" customHeight="1" ht="11.5" s="129" customFormat="1">
      <c r="A854" s="139"/>
      <c r="B854" s="140"/>
      <c r="C854" s="141"/>
      <c r="D854" s="142"/>
      <c r="E854" s="143"/>
      <c r="F854" s="144"/>
      <c r="G854" s="145"/>
      <c r="H854" s="144"/>
      <c r="I854" s="145"/>
      <c r="J854" s="146"/>
      <c r="K854" s="145"/>
      <c r="L854" s="146"/>
      <c r="M854" s="145"/>
      <c r="N854" s="146"/>
      <c r="O854" s="145"/>
      <c r="P854" s="146"/>
      <c r="Q854" s="145"/>
      <c r="R854" s="144"/>
      <c r="S854" s="145"/>
      <c r="T854" s="144"/>
      <c r="U854" s="145"/>
      <c r="V854" s="144"/>
      <c r="W854" s="145"/>
      <c r="X854" s="144"/>
      <c r="Y854" s="145"/>
      <c r="Z854" s="144"/>
      <c r="AA854" s="145"/>
      <c r="AB854" s="147"/>
      <c r="AC854" s="145"/>
      <c r="AD854" s="148"/>
      <c r="AE854" s="148"/>
      <c r="AF854" s="149"/>
      <c r="AG854" s="150"/>
    </row>
    <row r="855" spans="1:42" customHeight="1" ht="11.5" s="129" customFormat="1">
      <c r="A855" s="139"/>
      <c r="B855" s="140"/>
      <c r="C855" s="141"/>
      <c r="D855" s="142"/>
      <c r="E855" s="143"/>
      <c r="F855" s="144"/>
      <c r="G855" s="145"/>
      <c r="H855" s="144"/>
      <c r="I855" s="145"/>
      <c r="J855" s="146"/>
      <c r="K855" s="145"/>
      <c r="L855" s="146"/>
      <c r="M855" s="145"/>
      <c r="N855" s="146"/>
      <c r="O855" s="145"/>
      <c r="P855" s="146"/>
      <c r="Q855" s="145"/>
      <c r="R855" s="144"/>
      <c r="S855" s="145"/>
      <c r="T855" s="144"/>
      <c r="U855" s="145"/>
      <c r="V855" s="144"/>
      <c r="W855" s="145"/>
      <c r="X855" s="144"/>
      <c r="Y855" s="145"/>
      <c r="Z855" s="144"/>
      <c r="AA855" s="145"/>
      <c r="AB855" s="147"/>
      <c r="AC855" s="145"/>
      <c r="AD855" s="148"/>
      <c r="AE855" s="148"/>
      <c r="AF855" s="149"/>
      <c r="AG855" s="150"/>
    </row>
    <row r="856" spans="1:42" customHeight="1" ht="11.5" s="129" customFormat="1">
      <c r="A856" s="139"/>
      <c r="B856" s="140"/>
      <c r="C856" s="141"/>
      <c r="D856" s="142"/>
      <c r="E856" s="143"/>
      <c r="F856" s="144"/>
      <c r="G856" s="145"/>
      <c r="H856" s="144"/>
      <c r="I856" s="145"/>
      <c r="J856" s="146"/>
      <c r="K856" s="145"/>
      <c r="L856" s="146"/>
      <c r="M856" s="145"/>
      <c r="N856" s="146"/>
      <c r="O856" s="145"/>
      <c r="P856" s="146"/>
      <c r="Q856" s="145"/>
      <c r="R856" s="144"/>
      <c r="S856" s="145"/>
      <c r="T856" s="144"/>
      <c r="U856" s="145"/>
      <c r="V856" s="144"/>
      <c r="W856" s="145"/>
      <c r="X856" s="144"/>
      <c r="Y856" s="145"/>
      <c r="Z856" s="144"/>
      <c r="AA856" s="145"/>
      <c r="AB856" s="147"/>
      <c r="AC856" s="145"/>
      <c r="AD856" s="148"/>
      <c r="AE856" s="148"/>
      <c r="AF856" s="149"/>
      <c r="AG856" s="150"/>
    </row>
    <row r="857" spans="1:42" customHeight="1" ht="11.5" s="129" customFormat="1">
      <c r="A857" s="139"/>
      <c r="B857" s="140"/>
      <c r="C857" s="141"/>
      <c r="D857" s="142"/>
      <c r="E857" s="143"/>
      <c r="F857" s="144"/>
      <c r="G857" s="145"/>
      <c r="H857" s="144"/>
      <c r="I857" s="145"/>
      <c r="J857" s="146"/>
      <c r="K857" s="145"/>
      <c r="L857" s="146"/>
      <c r="M857" s="145"/>
      <c r="N857" s="146"/>
      <c r="O857" s="145"/>
      <c r="P857" s="146"/>
      <c r="Q857" s="145"/>
      <c r="R857" s="144"/>
      <c r="S857" s="145"/>
      <c r="T857" s="144"/>
      <c r="U857" s="145"/>
      <c r="V857" s="144"/>
      <c r="W857" s="145"/>
      <c r="X857" s="144"/>
      <c r="Y857" s="145"/>
      <c r="Z857" s="144"/>
      <c r="AA857" s="145"/>
      <c r="AB857" s="147"/>
      <c r="AC857" s="145"/>
      <c r="AD857" s="148"/>
      <c r="AE857" s="148"/>
      <c r="AF857" s="149"/>
      <c r="AG857" s="150"/>
    </row>
    <row r="858" spans="1:42" customHeight="1" ht="11.5" s="129" customFormat="1">
      <c r="A858" s="139"/>
      <c r="B858" s="140"/>
      <c r="C858" s="141"/>
      <c r="D858" s="142"/>
      <c r="E858" s="143"/>
      <c r="F858" s="144"/>
      <c r="G858" s="145"/>
      <c r="H858" s="144"/>
      <c r="I858" s="145"/>
      <c r="J858" s="146"/>
      <c r="K858" s="145"/>
      <c r="L858" s="146"/>
      <c r="M858" s="145"/>
      <c r="N858" s="146"/>
      <c r="O858" s="145"/>
      <c r="P858" s="146"/>
      <c r="Q858" s="145"/>
      <c r="R858" s="144"/>
      <c r="S858" s="145"/>
      <c r="T858" s="144"/>
      <c r="U858" s="145"/>
      <c r="V858" s="144"/>
      <c r="W858" s="145"/>
      <c r="X858" s="144"/>
      <c r="Y858" s="145"/>
      <c r="Z858" s="144"/>
      <c r="AA858" s="145"/>
      <c r="AB858" s="147"/>
      <c r="AC858" s="145"/>
      <c r="AD858" s="148"/>
      <c r="AE858" s="148"/>
      <c r="AF858" s="149"/>
      <c r="AG858" s="150"/>
    </row>
    <row r="859" spans="1:42" customHeight="1" ht="11.5" s="129" customFormat="1">
      <c r="A859" s="139"/>
      <c r="B859" s="140"/>
      <c r="C859" s="141"/>
      <c r="D859" s="142"/>
      <c r="E859" s="143"/>
      <c r="F859" s="144"/>
      <c r="G859" s="145"/>
      <c r="H859" s="144"/>
      <c r="I859" s="145"/>
      <c r="J859" s="146"/>
      <c r="K859" s="145"/>
      <c r="L859" s="146"/>
      <c r="M859" s="145"/>
      <c r="N859" s="146"/>
      <c r="O859" s="145"/>
      <c r="P859" s="146"/>
      <c r="Q859" s="145"/>
      <c r="R859" s="144"/>
      <c r="S859" s="145"/>
      <c r="T859" s="144"/>
      <c r="U859" s="145"/>
      <c r="V859" s="144"/>
      <c r="W859" s="145"/>
      <c r="X859" s="144"/>
      <c r="Y859" s="145"/>
      <c r="Z859" s="144"/>
      <c r="AA859" s="145"/>
      <c r="AB859" s="147"/>
      <c r="AC859" s="145"/>
      <c r="AD859" s="148"/>
      <c r="AE859" s="148"/>
      <c r="AF859" s="149"/>
      <c r="AG859" s="150"/>
    </row>
    <row r="860" spans="1:42" customHeight="1" ht="11.5" s="129" customFormat="1">
      <c r="A860" s="139"/>
      <c r="B860" s="140"/>
      <c r="C860" s="141"/>
      <c r="D860" s="142"/>
      <c r="E860" s="143"/>
      <c r="F860" s="144"/>
      <c r="G860" s="145"/>
      <c r="H860" s="144"/>
      <c r="I860" s="145"/>
      <c r="J860" s="146"/>
      <c r="K860" s="145"/>
      <c r="L860" s="146"/>
      <c r="M860" s="145"/>
      <c r="N860" s="146"/>
      <c r="O860" s="145"/>
      <c r="P860" s="146"/>
      <c r="Q860" s="145"/>
      <c r="R860" s="144"/>
      <c r="S860" s="145"/>
      <c r="T860" s="144"/>
      <c r="U860" s="145"/>
      <c r="V860" s="144"/>
      <c r="W860" s="145"/>
      <c r="X860" s="144"/>
      <c r="Y860" s="145"/>
      <c r="Z860" s="144"/>
      <c r="AA860" s="145"/>
      <c r="AB860" s="147"/>
      <c r="AC860" s="145"/>
      <c r="AD860" s="148"/>
      <c r="AE860" s="148"/>
      <c r="AF860" s="149"/>
      <c r="AG860" s="150"/>
    </row>
    <row r="861" spans="1:42" customHeight="1" ht="11.5" s="129" customFormat="1">
      <c r="A861" s="139"/>
      <c r="B861" s="140"/>
      <c r="C861" s="141"/>
      <c r="D861" s="142"/>
      <c r="E861" s="143"/>
      <c r="F861" s="144"/>
      <c r="G861" s="145"/>
      <c r="H861" s="144"/>
      <c r="I861" s="145"/>
      <c r="J861" s="146"/>
      <c r="K861" s="145"/>
      <c r="L861" s="146"/>
      <c r="M861" s="145"/>
      <c r="N861" s="146"/>
      <c r="O861" s="145"/>
      <c r="P861" s="146"/>
      <c r="Q861" s="145"/>
      <c r="R861" s="144"/>
      <c r="S861" s="145"/>
      <c r="T861" s="144"/>
      <c r="U861" s="145"/>
      <c r="V861" s="144"/>
      <c r="W861" s="145"/>
      <c r="X861" s="144"/>
      <c r="Y861" s="145"/>
      <c r="Z861" s="144"/>
      <c r="AA861" s="145"/>
      <c r="AB861" s="147"/>
      <c r="AC861" s="145"/>
      <c r="AD861" s="148"/>
      <c r="AE861" s="148"/>
      <c r="AF861" s="149"/>
      <c r="AG861" s="150"/>
    </row>
    <row r="862" spans="1:42" customHeight="1" ht="11.5" s="129" customFormat="1">
      <c r="A862" s="139"/>
      <c r="B862" s="140"/>
      <c r="C862" s="141"/>
      <c r="D862" s="142"/>
      <c r="E862" s="143"/>
      <c r="F862" s="144"/>
      <c r="G862" s="145"/>
      <c r="H862" s="144"/>
      <c r="I862" s="145"/>
      <c r="J862" s="146"/>
      <c r="K862" s="145"/>
      <c r="L862" s="146"/>
      <c r="M862" s="145"/>
      <c r="N862" s="146"/>
      <c r="O862" s="145"/>
      <c r="P862" s="146"/>
      <c r="Q862" s="145"/>
      <c r="R862" s="144"/>
      <c r="S862" s="145"/>
      <c r="T862" s="144"/>
      <c r="U862" s="145"/>
      <c r="V862" s="144"/>
      <c r="W862" s="145"/>
      <c r="X862" s="144"/>
      <c r="Y862" s="145"/>
      <c r="Z862" s="144"/>
      <c r="AA862" s="145"/>
      <c r="AB862" s="147"/>
      <c r="AC862" s="145"/>
      <c r="AD862" s="148"/>
      <c r="AE862" s="148"/>
      <c r="AF862" s="149"/>
      <c r="AG862" s="150"/>
    </row>
    <row r="863" spans="1:42" customHeight="1" ht="11.5" s="129" customFormat="1">
      <c r="A863" s="139"/>
      <c r="B863" s="140"/>
      <c r="C863" s="141"/>
      <c r="D863" s="142"/>
      <c r="E863" s="143"/>
      <c r="F863" s="144"/>
      <c r="G863" s="145"/>
      <c r="H863" s="144"/>
      <c r="I863" s="145"/>
      <c r="J863" s="146"/>
      <c r="K863" s="145"/>
      <c r="L863" s="146"/>
      <c r="M863" s="145"/>
      <c r="N863" s="146"/>
      <c r="O863" s="145"/>
      <c r="P863" s="146"/>
      <c r="Q863" s="145"/>
      <c r="R863" s="144"/>
      <c r="S863" s="145"/>
      <c r="T863" s="144"/>
      <c r="U863" s="145"/>
      <c r="V863" s="144"/>
      <c r="W863" s="145"/>
      <c r="X863" s="144"/>
      <c r="Y863" s="145"/>
      <c r="Z863" s="144"/>
      <c r="AA863" s="145"/>
      <c r="AB863" s="147"/>
      <c r="AC863" s="145"/>
      <c r="AD863" s="148"/>
      <c r="AE863" s="148"/>
      <c r="AF863" s="149"/>
      <c r="AG863" s="150"/>
    </row>
    <row r="864" spans="1:42" customHeight="1" ht="11.5" s="129" customFormat="1">
      <c r="A864" s="139"/>
      <c r="B864" s="140"/>
      <c r="C864" s="141"/>
      <c r="D864" s="142"/>
      <c r="E864" s="143"/>
      <c r="F864" s="144"/>
      <c r="G864" s="145"/>
      <c r="H864" s="144"/>
      <c r="I864" s="145"/>
      <c r="J864" s="146"/>
      <c r="K864" s="145"/>
      <c r="L864" s="146"/>
      <c r="M864" s="145"/>
      <c r="N864" s="146"/>
      <c r="O864" s="145"/>
      <c r="P864" s="146"/>
      <c r="Q864" s="145"/>
      <c r="R864" s="144"/>
      <c r="S864" s="145"/>
      <c r="T864" s="144"/>
      <c r="U864" s="145"/>
      <c r="V864" s="144"/>
      <c r="W864" s="145"/>
      <c r="X864" s="144"/>
      <c r="Y864" s="145"/>
      <c r="Z864" s="144"/>
      <c r="AA864" s="145"/>
      <c r="AB864" s="147"/>
      <c r="AC864" s="145"/>
      <c r="AD864" s="148"/>
      <c r="AE864" s="148"/>
      <c r="AF864" s="149"/>
      <c r="AG864" s="150"/>
    </row>
    <row r="865" spans="1:42" customHeight="1" ht="11.5" s="129" customFormat="1">
      <c r="A865" s="139"/>
      <c r="B865" s="140"/>
      <c r="C865" s="141"/>
      <c r="D865" s="142"/>
      <c r="E865" s="143"/>
      <c r="F865" s="144"/>
      <c r="G865" s="145"/>
      <c r="H865" s="144"/>
      <c r="I865" s="145"/>
      <c r="J865" s="146"/>
      <c r="K865" s="145"/>
      <c r="L865" s="146"/>
      <c r="M865" s="145"/>
      <c r="N865" s="146"/>
      <c r="O865" s="145"/>
      <c r="P865" s="146"/>
      <c r="Q865" s="145"/>
      <c r="R865" s="144"/>
      <c r="S865" s="145"/>
      <c r="T865" s="144"/>
      <c r="U865" s="145"/>
      <c r="V865" s="144"/>
      <c r="W865" s="145"/>
      <c r="X865" s="144"/>
      <c r="Y865" s="145"/>
      <c r="Z865" s="144"/>
      <c r="AA865" s="145"/>
      <c r="AB865" s="147"/>
      <c r="AC865" s="145"/>
      <c r="AD865" s="148"/>
      <c r="AE865" s="148"/>
      <c r="AF865" s="149"/>
      <c r="AG865" s="150"/>
    </row>
    <row r="866" spans="1:42" customHeight="1" ht="11.5" s="129" customFormat="1">
      <c r="A866" s="139"/>
      <c r="B866" s="140"/>
      <c r="C866" s="141"/>
      <c r="D866" s="142"/>
      <c r="E866" s="143"/>
      <c r="F866" s="144"/>
      <c r="G866" s="145"/>
      <c r="H866" s="144"/>
      <c r="I866" s="145"/>
      <c r="J866" s="146"/>
      <c r="K866" s="145"/>
      <c r="L866" s="146"/>
      <c r="M866" s="145"/>
      <c r="N866" s="146"/>
      <c r="O866" s="145"/>
      <c r="P866" s="146"/>
      <c r="Q866" s="145"/>
      <c r="R866" s="144"/>
      <c r="S866" s="145"/>
      <c r="T866" s="144"/>
      <c r="U866" s="145"/>
      <c r="V866" s="144"/>
      <c r="W866" s="145"/>
      <c r="X866" s="144"/>
      <c r="Y866" s="145"/>
      <c r="Z866" s="144"/>
      <c r="AA866" s="145"/>
      <c r="AB866" s="147"/>
      <c r="AC866" s="145"/>
      <c r="AD866" s="148"/>
      <c r="AE866" s="148"/>
      <c r="AF866" s="149"/>
      <c r="AG866" s="150"/>
    </row>
    <row r="867" spans="1:42" customHeight="1" ht="11.5" s="129" customFormat="1">
      <c r="A867" s="139"/>
      <c r="B867" s="140"/>
      <c r="C867" s="141"/>
      <c r="D867" s="142"/>
      <c r="E867" s="143"/>
      <c r="F867" s="144"/>
      <c r="G867" s="145"/>
      <c r="H867" s="144"/>
      <c r="I867" s="145"/>
      <c r="J867" s="146"/>
      <c r="K867" s="145"/>
      <c r="L867" s="146"/>
      <c r="M867" s="145"/>
      <c r="N867" s="146"/>
      <c r="O867" s="145"/>
      <c r="P867" s="146"/>
      <c r="Q867" s="145"/>
      <c r="R867" s="144"/>
      <c r="S867" s="145"/>
      <c r="T867" s="144"/>
      <c r="U867" s="145"/>
      <c r="V867" s="144"/>
      <c r="W867" s="145"/>
      <c r="X867" s="144"/>
      <c r="Y867" s="145"/>
      <c r="Z867" s="144"/>
      <c r="AA867" s="145"/>
      <c r="AB867" s="147"/>
      <c r="AC867" s="145"/>
      <c r="AD867" s="148"/>
      <c r="AE867" s="148"/>
      <c r="AF867" s="149"/>
      <c r="AG867" s="150"/>
    </row>
    <row r="868" spans="1:42" customHeight="1" ht="11.5" s="129" customFormat="1">
      <c r="A868" s="139"/>
      <c r="B868" s="140"/>
      <c r="C868" s="141"/>
      <c r="D868" s="142"/>
      <c r="E868" s="143"/>
      <c r="F868" s="144"/>
      <c r="G868" s="145"/>
      <c r="H868" s="144"/>
      <c r="I868" s="145"/>
      <c r="J868" s="146"/>
      <c r="K868" s="145"/>
      <c r="L868" s="146"/>
      <c r="M868" s="145"/>
      <c r="N868" s="146"/>
      <c r="O868" s="145"/>
      <c r="P868" s="146"/>
      <c r="Q868" s="145"/>
      <c r="R868" s="144"/>
      <c r="S868" s="145"/>
      <c r="T868" s="144"/>
      <c r="U868" s="145"/>
      <c r="V868" s="144"/>
      <c r="W868" s="145"/>
      <c r="X868" s="144"/>
      <c r="Y868" s="145"/>
      <c r="Z868" s="144"/>
      <c r="AA868" s="145"/>
      <c r="AB868" s="147"/>
      <c r="AC868" s="145"/>
      <c r="AD868" s="148"/>
      <c r="AE868" s="148"/>
      <c r="AF868" s="149"/>
      <c r="AG868" s="150"/>
    </row>
    <row r="869" spans="1:42" customHeight="1" ht="11.5" s="129" customFormat="1">
      <c r="A869" s="139"/>
      <c r="B869" s="140"/>
      <c r="C869" s="141"/>
      <c r="D869" s="142"/>
      <c r="E869" s="143"/>
      <c r="F869" s="144"/>
      <c r="G869" s="145"/>
      <c r="H869" s="144"/>
      <c r="I869" s="145"/>
      <c r="J869" s="146"/>
      <c r="K869" s="145"/>
      <c r="L869" s="146"/>
      <c r="M869" s="145"/>
      <c r="N869" s="146"/>
      <c r="O869" s="145"/>
      <c r="P869" s="146"/>
      <c r="Q869" s="145"/>
      <c r="R869" s="144"/>
      <c r="S869" s="145"/>
      <c r="T869" s="144"/>
      <c r="U869" s="145"/>
      <c r="V869" s="144"/>
      <c r="W869" s="145"/>
      <c r="X869" s="144"/>
      <c r="Y869" s="145"/>
      <c r="Z869" s="144"/>
      <c r="AA869" s="145"/>
      <c r="AB869" s="147"/>
      <c r="AC869" s="145"/>
      <c r="AD869" s="148"/>
      <c r="AE869" s="148"/>
      <c r="AF869" s="149"/>
      <c r="AG869" s="150"/>
    </row>
    <row r="870" spans="1:42" customHeight="1" ht="11.5" s="129" customFormat="1">
      <c r="A870" s="139"/>
      <c r="B870" s="140"/>
      <c r="C870" s="141"/>
      <c r="D870" s="142"/>
      <c r="E870" s="143"/>
      <c r="F870" s="144"/>
      <c r="G870" s="145"/>
      <c r="H870" s="144"/>
      <c r="I870" s="145"/>
      <c r="J870" s="146"/>
      <c r="K870" s="145"/>
      <c r="L870" s="146"/>
      <c r="M870" s="145"/>
      <c r="N870" s="146"/>
      <c r="O870" s="145"/>
      <c r="P870" s="146"/>
      <c r="Q870" s="145"/>
      <c r="R870" s="144"/>
      <c r="S870" s="145"/>
      <c r="T870" s="144"/>
      <c r="U870" s="145"/>
      <c r="V870" s="144"/>
      <c r="W870" s="145"/>
      <c r="X870" s="144"/>
      <c r="Y870" s="145"/>
      <c r="Z870" s="144"/>
      <c r="AA870" s="145"/>
      <c r="AB870" s="147"/>
      <c r="AC870" s="145"/>
      <c r="AD870" s="148"/>
      <c r="AE870" s="148"/>
      <c r="AF870" s="149"/>
      <c r="AG870" s="150"/>
    </row>
    <row r="871" spans="1:42" customHeight="1" ht="11.5" s="129" customFormat="1">
      <c r="A871" s="139"/>
      <c r="B871" s="140"/>
      <c r="C871" s="141"/>
      <c r="D871" s="142"/>
      <c r="E871" s="143"/>
      <c r="F871" s="144"/>
      <c r="G871" s="145"/>
      <c r="H871" s="144"/>
      <c r="I871" s="145"/>
      <c r="J871" s="146"/>
      <c r="K871" s="145"/>
      <c r="L871" s="146"/>
      <c r="M871" s="145"/>
      <c r="N871" s="146"/>
      <c r="O871" s="145"/>
      <c r="P871" s="146"/>
      <c r="Q871" s="145"/>
      <c r="R871" s="144"/>
      <c r="S871" s="145"/>
      <c r="T871" s="144"/>
      <c r="U871" s="145"/>
      <c r="V871" s="144"/>
      <c r="W871" s="145"/>
      <c r="X871" s="144"/>
      <c r="Y871" s="145"/>
      <c r="Z871" s="144"/>
      <c r="AA871" s="145"/>
      <c r="AB871" s="147"/>
      <c r="AC871" s="145"/>
      <c r="AD871" s="148"/>
      <c r="AE871" s="148"/>
      <c r="AF871" s="149"/>
      <c r="AG871" s="150"/>
    </row>
    <row r="872" spans="1:42" customHeight="1" ht="11.5" s="129" customFormat="1">
      <c r="A872" s="139"/>
      <c r="B872" s="140"/>
      <c r="C872" s="141"/>
      <c r="D872" s="142"/>
      <c r="E872" s="143"/>
      <c r="F872" s="144"/>
      <c r="G872" s="145"/>
      <c r="H872" s="144"/>
      <c r="I872" s="145"/>
      <c r="J872" s="146"/>
      <c r="K872" s="145"/>
      <c r="L872" s="146"/>
      <c r="M872" s="145"/>
      <c r="N872" s="146"/>
      <c r="O872" s="145"/>
      <c r="P872" s="146"/>
      <c r="Q872" s="145"/>
      <c r="R872" s="144"/>
      <c r="S872" s="145"/>
      <c r="T872" s="144"/>
      <c r="U872" s="145"/>
      <c r="V872" s="144"/>
      <c r="W872" s="145"/>
      <c r="X872" s="144"/>
      <c r="Y872" s="145"/>
      <c r="Z872" s="144"/>
      <c r="AA872" s="145"/>
      <c r="AB872" s="147"/>
      <c r="AC872" s="145"/>
      <c r="AD872" s="148"/>
      <c r="AE872" s="148"/>
      <c r="AF872" s="149"/>
      <c r="AG872" s="150"/>
    </row>
    <row r="873" spans="1:42" customHeight="1" ht="11.5" s="129" customFormat="1">
      <c r="A873" s="139"/>
      <c r="B873" s="140"/>
      <c r="C873" s="141"/>
      <c r="D873" s="142"/>
      <c r="E873" s="143"/>
      <c r="F873" s="144"/>
      <c r="G873" s="145"/>
      <c r="H873" s="144"/>
      <c r="I873" s="145"/>
      <c r="J873" s="146"/>
      <c r="K873" s="145"/>
      <c r="L873" s="146"/>
      <c r="M873" s="145"/>
      <c r="N873" s="146"/>
      <c r="O873" s="145"/>
      <c r="P873" s="146"/>
      <c r="Q873" s="145"/>
      <c r="R873" s="144"/>
      <c r="S873" s="145"/>
      <c r="T873" s="144"/>
      <c r="U873" s="145"/>
      <c r="V873" s="144"/>
      <c r="W873" s="145"/>
      <c r="X873" s="144"/>
      <c r="Y873" s="145"/>
      <c r="Z873" s="144"/>
      <c r="AA873" s="145"/>
      <c r="AB873" s="147"/>
      <c r="AC873" s="145"/>
      <c r="AD873" s="148"/>
      <c r="AE873" s="148"/>
      <c r="AF873" s="149"/>
      <c r="AG873" s="150"/>
    </row>
    <row r="874" spans="1:42" customHeight="1" ht="11.5" s="129" customFormat="1">
      <c r="A874" s="139"/>
      <c r="B874" s="140"/>
      <c r="C874" s="141"/>
      <c r="D874" s="142"/>
      <c r="E874" s="143"/>
      <c r="F874" s="144"/>
      <c r="G874" s="145"/>
      <c r="H874" s="144"/>
      <c r="I874" s="145"/>
      <c r="J874" s="146"/>
      <c r="K874" s="145"/>
      <c r="L874" s="146"/>
      <c r="M874" s="145"/>
      <c r="N874" s="146"/>
      <c r="O874" s="145"/>
      <c r="P874" s="146"/>
      <c r="Q874" s="145"/>
      <c r="R874" s="144"/>
      <c r="S874" s="145"/>
      <c r="T874" s="144"/>
      <c r="U874" s="145"/>
      <c r="V874" s="144"/>
      <c r="W874" s="145"/>
      <c r="X874" s="144"/>
      <c r="Y874" s="145"/>
      <c r="Z874" s="144"/>
      <c r="AA874" s="145"/>
      <c r="AB874" s="147"/>
      <c r="AC874" s="145"/>
      <c r="AD874" s="148"/>
      <c r="AE874" s="148"/>
      <c r="AF874" s="149"/>
      <c r="AG874" s="150"/>
    </row>
    <row r="875" spans="1:42" customHeight="1" ht="11.5" s="129" customFormat="1">
      <c r="A875" s="139"/>
      <c r="B875" s="140"/>
      <c r="C875" s="141"/>
      <c r="D875" s="142"/>
      <c r="E875" s="143"/>
      <c r="F875" s="144"/>
      <c r="G875" s="145"/>
      <c r="H875" s="144"/>
      <c r="I875" s="145"/>
      <c r="J875" s="146"/>
      <c r="K875" s="145"/>
      <c r="L875" s="146"/>
      <c r="M875" s="145"/>
      <c r="N875" s="146"/>
      <c r="O875" s="145"/>
      <c r="P875" s="146"/>
      <c r="Q875" s="145"/>
      <c r="R875" s="144"/>
      <c r="S875" s="145"/>
      <c r="T875" s="144"/>
      <c r="U875" s="145"/>
      <c r="V875" s="144"/>
      <c r="W875" s="145"/>
      <c r="X875" s="144"/>
      <c r="Y875" s="145"/>
      <c r="Z875" s="144"/>
      <c r="AA875" s="145"/>
      <c r="AB875" s="147"/>
      <c r="AC875" s="145"/>
      <c r="AD875" s="148"/>
      <c r="AE875" s="148"/>
      <c r="AF875" s="149"/>
      <c r="AG875" s="150"/>
    </row>
    <row r="876" spans="1:42" customHeight="1" ht="11.5" s="129" customFormat="1">
      <c r="A876" s="139"/>
      <c r="B876" s="140"/>
      <c r="C876" s="141"/>
      <c r="D876" s="142"/>
      <c r="E876" s="143"/>
      <c r="F876" s="144"/>
      <c r="G876" s="145"/>
      <c r="H876" s="144"/>
      <c r="I876" s="145"/>
      <c r="J876" s="146"/>
      <c r="K876" s="145"/>
      <c r="L876" s="146"/>
      <c r="M876" s="145"/>
      <c r="N876" s="146"/>
      <c r="O876" s="145"/>
      <c r="P876" s="146"/>
      <c r="Q876" s="145"/>
      <c r="R876" s="144"/>
      <c r="S876" s="145"/>
      <c r="T876" s="144"/>
      <c r="U876" s="145"/>
      <c r="V876" s="144"/>
      <c r="W876" s="145"/>
      <c r="X876" s="144"/>
      <c r="Y876" s="145"/>
      <c r="Z876" s="144"/>
      <c r="AA876" s="145"/>
      <c r="AB876" s="147"/>
      <c r="AC876" s="145"/>
      <c r="AD876" s="148"/>
      <c r="AE876" s="148"/>
      <c r="AF876" s="149"/>
      <c r="AG876" s="150"/>
    </row>
    <row r="877" spans="1:42" customHeight="1" ht="11.5" s="129" customFormat="1">
      <c r="A877" s="139"/>
      <c r="B877" s="140"/>
      <c r="C877" s="141"/>
      <c r="D877" s="142"/>
      <c r="E877" s="143"/>
      <c r="F877" s="144"/>
      <c r="G877" s="145"/>
      <c r="H877" s="144"/>
      <c r="I877" s="145"/>
      <c r="J877" s="146"/>
      <c r="K877" s="145"/>
      <c r="L877" s="146"/>
      <c r="M877" s="145"/>
      <c r="N877" s="146"/>
      <c r="O877" s="145"/>
      <c r="P877" s="146"/>
      <c r="Q877" s="145"/>
      <c r="R877" s="144"/>
      <c r="S877" s="145"/>
      <c r="T877" s="144"/>
      <c r="U877" s="145"/>
      <c r="V877" s="144"/>
      <c r="W877" s="145"/>
      <c r="X877" s="144"/>
      <c r="Y877" s="145"/>
      <c r="Z877" s="144"/>
      <c r="AA877" s="145"/>
      <c r="AB877" s="147"/>
      <c r="AC877" s="145"/>
      <c r="AD877" s="148"/>
      <c r="AE877" s="148"/>
      <c r="AF877" s="149"/>
      <c r="AG877" s="150"/>
    </row>
    <row r="878" spans="1:42" customHeight="1" ht="11.5" s="129" customFormat="1">
      <c r="A878" s="139"/>
      <c r="B878" s="140"/>
      <c r="C878" s="141"/>
      <c r="D878" s="142"/>
      <c r="E878" s="143"/>
      <c r="F878" s="144"/>
      <c r="G878" s="145"/>
      <c r="H878" s="144"/>
      <c r="I878" s="145"/>
      <c r="J878" s="146"/>
      <c r="K878" s="145"/>
      <c r="L878" s="146"/>
      <c r="M878" s="145"/>
      <c r="N878" s="146"/>
      <c r="O878" s="145"/>
      <c r="P878" s="146"/>
      <c r="Q878" s="145"/>
      <c r="R878" s="144"/>
      <c r="S878" s="145"/>
      <c r="T878" s="144"/>
      <c r="U878" s="145"/>
      <c r="V878" s="144"/>
      <c r="W878" s="145"/>
      <c r="X878" s="144"/>
      <c r="Y878" s="145"/>
      <c r="Z878" s="144"/>
      <c r="AA878" s="145"/>
      <c r="AB878" s="147"/>
      <c r="AC878" s="145"/>
      <c r="AD878" s="148"/>
      <c r="AE878" s="148"/>
      <c r="AF878" s="149"/>
      <c r="AG878" s="150"/>
    </row>
    <row r="879" spans="1:42" customHeight="1" ht="11.5" s="129" customFormat="1">
      <c r="A879" s="139"/>
      <c r="B879" s="140"/>
      <c r="C879" s="141"/>
      <c r="D879" s="142"/>
      <c r="E879" s="143"/>
      <c r="F879" s="144"/>
      <c r="G879" s="145"/>
      <c r="H879" s="144"/>
      <c r="I879" s="145"/>
      <c r="J879" s="146"/>
      <c r="K879" s="145"/>
      <c r="L879" s="146"/>
      <c r="M879" s="145"/>
      <c r="N879" s="146"/>
      <c r="O879" s="145"/>
      <c r="P879" s="146"/>
      <c r="Q879" s="145"/>
      <c r="R879" s="144"/>
      <c r="S879" s="145"/>
      <c r="T879" s="144"/>
      <c r="U879" s="145"/>
      <c r="V879" s="144"/>
      <c r="W879" s="145"/>
      <c r="X879" s="144"/>
      <c r="Y879" s="145"/>
      <c r="Z879" s="144"/>
      <c r="AA879" s="145"/>
      <c r="AB879" s="147"/>
      <c r="AC879" s="145"/>
      <c r="AD879" s="148"/>
      <c r="AE879" s="148"/>
      <c r="AF879" s="149"/>
      <c r="AG879" s="150"/>
    </row>
    <row r="880" spans="1:42" customHeight="1" ht="11.5" s="129" customFormat="1">
      <c r="A880" s="139"/>
      <c r="B880" s="140"/>
      <c r="C880" s="141"/>
      <c r="D880" s="142"/>
      <c r="E880" s="143"/>
      <c r="F880" s="144"/>
      <c r="G880" s="145"/>
      <c r="H880" s="144"/>
      <c r="I880" s="145"/>
      <c r="J880" s="146"/>
      <c r="K880" s="145"/>
      <c r="L880" s="146"/>
      <c r="M880" s="145"/>
      <c r="N880" s="146"/>
      <c r="O880" s="145"/>
      <c r="P880" s="146"/>
      <c r="Q880" s="145"/>
      <c r="R880" s="144"/>
      <c r="S880" s="145"/>
      <c r="T880" s="144"/>
      <c r="U880" s="145"/>
      <c r="V880" s="144"/>
      <c r="W880" s="145"/>
      <c r="X880" s="144"/>
      <c r="Y880" s="145"/>
      <c r="Z880" s="144"/>
      <c r="AA880" s="145"/>
      <c r="AB880" s="147"/>
      <c r="AC880" s="145"/>
      <c r="AD880" s="148"/>
      <c r="AE880" s="148"/>
      <c r="AF880" s="149"/>
      <c r="AG880" s="150"/>
    </row>
    <row r="881" spans="1:42" customHeight="1" ht="11.5" s="129" customFormat="1">
      <c r="A881" s="139"/>
      <c r="B881" s="140"/>
      <c r="C881" s="141"/>
      <c r="D881" s="142"/>
      <c r="E881" s="143"/>
      <c r="F881" s="144"/>
      <c r="G881" s="145"/>
      <c r="H881" s="144"/>
      <c r="I881" s="145"/>
      <c r="J881" s="146"/>
      <c r="K881" s="145"/>
      <c r="L881" s="146"/>
      <c r="M881" s="145"/>
      <c r="N881" s="146"/>
      <c r="O881" s="145"/>
      <c r="P881" s="146"/>
      <c r="Q881" s="145"/>
      <c r="R881" s="144"/>
      <c r="S881" s="145"/>
      <c r="T881" s="144"/>
      <c r="U881" s="145"/>
      <c r="V881" s="144"/>
      <c r="W881" s="145"/>
      <c r="X881" s="144"/>
      <c r="Y881" s="145"/>
      <c r="Z881" s="144"/>
      <c r="AA881" s="145"/>
      <c r="AB881" s="147"/>
      <c r="AC881" s="145"/>
      <c r="AD881" s="148"/>
      <c r="AE881" s="148"/>
      <c r="AF881" s="149"/>
      <c r="AG881" s="150"/>
    </row>
    <row r="882" spans="1:42" customHeight="1" ht="11.5" s="129" customFormat="1">
      <c r="A882" s="139"/>
      <c r="B882" s="140"/>
      <c r="C882" s="141"/>
      <c r="D882" s="142"/>
      <c r="E882" s="143"/>
      <c r="F882" s="144"/>
      <c r="G882" s="145"/>
      <c r="H882" s="144"/>
      <c r="I882" s="145"/>
      <c r="J882" s="146"/>
      <c r="K882" s="145"/>
      <c r="L882" s="146"/>
      <c r="M882" s="145"/>
      <c r="N882" s="146"/>
      <c r="O882" s="145"/>
      <c r="P882" s="146"/>
      <c r="Q882" s="145"/>
      <c r="R882" s="144"/>
      <c r="S882" s="145"/>
      <c r="T882" s="144"/>
      <c r="U882" s="145"/>
      <c r="V882" s="144"/>
      <c r="W882" s="145"/>
      <c r="X882" s="144"/>
      <c r="Y882" s="145"/>
      <c r="Z882" s="144"/>
      <c r="AA882" s="145"/>
      <c r="AB882" s="147"/>
      <c r="AC882" s="145"/>
      <c r="AD882" s="148"/>
      <c r="AE882" s="148"/>
      <c r="AF882" s="149"/>
      <c r="AG882" s="150"/>
    </row>
    <row r="883" spans="1:42" customHeight="1" ht="11.5" s="129" customFormat="1">
      <c r="A883" s="139"/>
      <c r="B883" s="140"/>
      <c r="C883" s="141"/>
      <c r="D883" s="142"/>
      <c r="E883" s="143"/>
      <c r="F883" s="144"/>
      <c r="G883" s="145"/>
      <c r="H883" s="144"/>
      <c r="I883" s="145"/>
      <c r="J883" s="146"/>
      <c r="K883" s="145"/>
      <c r="L883" s="146"/>
      <c r="M883" s="145"/>
      <c r="N883" s="146"/>
      <c r="O883" s="145"/>
      <c r="P883" s="146"/>
      <c r="Q883" s="145"/>
      <c r="R883" s="144"/>
      <c r="S883" s="145"/>
      <c r="T883" s="144"/>
      <c r="U883" s="145"/>
      <c r="V883" s="144"/>
      <c r="W883" s="145"/>
      <c r="X883" s="144"/>
      <c r="Y883" s="145"/>
      <c r="Z883" s="144"/>
      <c r="AA883" s="145"/>
      <c r="AB883" s="147"/>
      <c r="AC883" s="145"/>
      <c r="AD883" s="148"/>
      <c r="AE883" s="148"/>
      <c r="AF883" s="149"/>
      <c r="AG883" s="150"/>
    </row>
    <row r="884" spans="1:42" customHeight="1" ht="11.5" s="129" customFormat="1">
      <c r="A884" s="139"/>
      <c r="B884" s="140"/>
      <c r="C884" s="141"/>
      <c r="D884" s="142"/>
      <c r="E884" s="143"/>
      <c r="F884" s="144"/>
      <c r="G884" s="145"/>
      <c r="H884" s="144"/>
      <c r="I884" s="145"/>
      <c r="J884" s="146"/>
      <c r="K884" s="145"/>
      <c r="L884" s="146"/>
      <c r="M884" s="145"/>
      <c r="N884" s="146"/>
      <c r="O884" s="145"/>
      <c r="P884" s="146"/>
      <c r="Q884" s="145"/>
      <c r="R884" s="144"/>
      <c r="S884" s="145"/>
      <c r="T884" s="144"/>
      <c r="U884" s="145"/>
      <c r="V884" s="144"/>
      <c r="W884" s="145"/>
      <c r="X884" s="144"/>
      <c r="Y884" s="145"/>
      <c r="Z884" s="144"/>
      <c r="AA884" s="145"/>
      <c r="AB884" s="147"/>
      <c r="AC884" s="145"/>
      <c r="AD884" s="148"/>
      <c r="AE884" s="148"/>
      <c r="AF884" s="149"/>
      <c r="AG884" s="150"/>
    </row>
    <row r="885" spans="1:42" customHeight="1" ht="11.5" s="129" customFormat="1">
      <c r="A885" s="139"/>
      <c r="B885" s="140"/>
      <c r="C885" s="141"/>
      <c r="D885" s="142"/>
      <c r="E885" s="143"/>
      <c r="F885" s="144"/>
      <c r="G885" s="145"/>
      <c r="H885" s="144"/>
      <c r="I885" s="145"/>
      <c r="J885" s="146"/>
      <c r="K885" s="145"/>
      <c r="L885" s="146"/>
      <c r="M885" s="145"/>
      <c r="N885" s="146"/>
      <c r="O885" s="145"/>
      <c r="P885" s="146"/>
      <c r="Q885" s="145"/>
      <c r="R885" s="144"/>
      <c r="S885" s="145"/>
      <c r="T885" s="144"/>
      <c r="U885" s="145"/>
      <c r="V885" s="144"/>
      <c r="W885" s="145"/>
      <c r="X885" s="144"/>
      <c r="Y885" s="145"/>
      <c r="Z885" s="144"/>
      <c r="AA885" s="145"/>
      <c r="AB885" s="147"/>
      <c r="AC885" s="145"/>
      <c r="AD885" s="148"/>
      <c r="AE885" s="148"/>
      <c r="AF885" s="149"/>
      <c r="AG885" s="150"/>
    </row>
    <row r="886" spans="1:42" customHeight="1" ht="11.5" s="129" customFormat="1">
      <c r="A886" s="139"/>
      <c r="B886" s="140"/>
      <c r="C886" s="141"/>
      <c r="D886" s="142"/>
      <c r="E886" s="143"/>
      <c r="F886" s="144"/>
      <c r="G886" s="145"/>
      <c r="H886" s="144"/>
      <c r="I886" s="145"/>
      <c r="J886" s="146"/>
      <c r="K886" s="145"/>
      <c r="L886" s="146"/>
      <c r="M886" s="145"/>
      <c r="N886" s="146"/>
      <c r="O886" s="145"/>
      <c r="P886" s="146"/>
      <c r="Q886" s="145"/>
      <c r="R886" s="144"/>
      <c r="S886" s="145"/>
      <c r="T886" s="144"/>
      <c r="U886" s="145"/>
      <c r="V886" s="144"/>
      <c r="W886" s="145"/>
      <c r="X886" s="144"/>
      <c r="Y886" s="145"/>
      <c r="Z886" s="144"/>
      <c r="AA886" s="145"/>
      <c r="AB886" s="147"/>
      <c r="AC886" s="145"/>
      <c r="AD886" s="148"/>
      <c r="AE886" s="148"/>
      <c r="AF886" s="149"/>
      <c r="AG886" s="150"/>
    </row>
    <row r="887" spans="1:42" customHeight="1" ht="11.5" s="129" customFormat="1">
      <c r="A887" s="139"/>
      <c r="B887" s="140"/>
      <c r="C887" s="141"/>
      <c r="D887" s="142"/>
      <c r="E887" s="143"/>
      <c r="F887" s="144"/>
      <c r="G887" s="145"/>
      <c r="H887" s="144"/>
      <c r="I887" s="145"/>
      <c r="J887" s="146"/>
      <c r="K887" s="145"/>
      <c r="L887" s="146"/>
      <c r="M887" s="145"/>
      <c r="N887" s="146"/>
      <c r="O887" s="145"/>
      <c r="P887" s="146"/>
      <c r="Q887" s="145"/>
      <c r="R887" s="144"/>
      <c r="S887" s="145"/>
      <c r="T887" s="144"/>
      <c r="U887" s="145"/>
      <c r="V887" s="144"/>
      <c r="W887" s="145"/>
      <c r="X887" s="144"/>
      <c r="Y887" s="145"/>
      <c r="Z887" s="144"/>
      <c r="AA887" s="145"/>
      <c r="AB887" s="147"/>
      <c r="AC887" s="145"/>
      <c r="AD887" s="148"/>
      <c r="AE887" s="148"/>
      <c r="AF887" s="149"/>
      <c r="AG887" s="150"/>
    </row>
    <row r="888" spans="1:42" customHeight="1" ht="11.5" s="129" customFormat="1">
      <c r="A888" s="139"/>
      <c r="B888" s="140"/>
      <c r="C888" s="141"/>
      <c r="D888" s="142"/>
      <c r="E888" s="143"/>
      <c r="F888" s="144"/>
      <c r="G888" s="145"/>
      <c r="H888" s="144"/>
      <c r="I888" s="145"/>
      <c r="J888" s="146"/>
      <c r="K888" s="145"/>
      <c r="L888" s="146"/>
      <c r="M888" s="145"/>
      <c r="N888" s="146"/>
      <c r="O888" s="145"/>
      <c r="P888" s="146"/>
      <c r="Q888" s="145"/>
      <c r="R888" s="144"/>
      <c r="S888" s="145"/>
      <c r="T888" s="144"/>
      <c r="U888" s="145"/>
      <c r="V888" s="144"/>
      <c r="W888" s="145"/>
      <c r="X888" s="144"/>
      <c r="Y888" s="145"/>
      <c r="Z888" s="144"/>
      <c r="AA888" s="145"/>
      <c r="AB888" s="147"/>
      <c r="AC888" s="145"/>
      <c r="AD888" s="148"/>
      <c r="AE888" s="148"/>
      <c r="AF888" s="149"/>
      <c r="AG888" s="150"/>
    </row>
    <row r="889" spans="1:42" customHeight="1" ht="11.5" s="129" customFormat="1">
      <c r="A889" s="139"/>
      <c r="B889" s="140"/>
      <c r="C889" s="141"/>
      <c r="D889" s="142"/>
      <c r="E889" s="143"/>
      <c r="F889" s="144"/>
      <c r="G889" s="145"/>
      <c r="H889" s="144"/>
      <c r="I889" s="145"/>
      <c r="J889" s="146"/>
      <c r="K889" s="145"/>
      <c r="L889" s="146"/>
      <c r="M889" s="145"/>
      <c r="N889" s="146"/>
      <c r="O889" s="145"/>
      <c r="P889" s="146"/>
      <c r="Q889" s="145"/>
      <c r="R889" s="144"/>
      <c r="S889" s="145"/>
      <c r="T889" s="144"/>
      <c r="U889" s="145"/>
      <c r="V889" s="144"/>
      <c r="W889" s="145"/>
      <c r="X889" s="144"/>
      <c r="Y889" s="145"/>
      <c r="Z889" s="144"/>
      <c r="AA889" s="145"/>
      <c r="AB889" s="147"/>
      <c r="AC889" s="145"/>
      <c r="AD889" s="148"/>
      <c r="AE889" s="148"/>
      <c r="AF889" s="149"/>
      <c r="AG889" s="150"/>
    </row>
    <row r="890" spans="1:42" customHeight="1" ht="11.5" s="129" customFormat="1">
      <c r="A890" s="139"/>
      <c r="B890" s="140"/>
      <c r="C890" s="141"/>
      <c r="D890" s="142"/>
      <c r="E890" s="143"/>
      <c r="F890" s="144"/>
      <c r="G890" s="145"/>
      <c r="H890" s="144"/>
      <c r="I890" s="145"/>
      <c r="J890" s="146"/>
      <c r="K890" s="145"/>
      <c r="L890" s="146"/>
      <c r="M890" s="145"/>
      <c r="N890" s="146"/>
      <c r="O890" s="145"/>
      <c r="P890" s="146"/>
      <c r="Q890" s="145"/>
      <c r="R890" s="144"/>
      <c r="S890" s="145"/>
      <c r="T890" s="144"/>
      <c r="U890" s="145"/>
      <c r="V890" s="144"/>
      <c r="W890" s="145"/>
      <c r="X890" s="144"/>
      <c r="Y890" s="145"/>
      <c r="Z890" s="144"/>
      <c r="AA890" s="145"/>
      <c r="AB890" s="147"/>
      <c r="AC890" s="145"/>
      <c r="AD890" s="148"/>
      <c r="AE890" s="148"/>
      <c r="AF890" s="149"/>
      <c r="AG890" s="150"/>
    </row>
    <row r="891" spans="1:42" customHeight="1" ht="11.5" s="129" customFormat="1">
      <c r="A891" s="139"/>
      <c r="B891" s="140"/>
      <c r="C891" s="141"/>
      <c r="D891" s="142"/>
      <c r="E891" s="143"/>
      <c r="F891" s="144"/>
      <c r="G891" s="145"/>
      <c r="H891" s="144"/>
      <c r="I891" s="145"/>
      <c r="J891" s="146"/>
      <c r="K891" s="145"/>
      <c r="L891" s="146"/>
      <c r="M891" s="145"/>
      <c r="N891" s="146"/>
      <c r="O891" s="145"/>
      <c r="P891" s="146"/>
      <c r="Q891" s="145"/>
      <c r="R891" s="144"/>
      <c r="S891" s="145"/>
      <c r="T891" s="144"/>
      <c r="U891" s="145"/>
      <c r="V891" s="144"/>
      <c r="W891" s="145"/>
      <c r="X891" s="144"/>
      <c r="Y891" s="145"/>
      <c r="Z891" s="144"/>
      <c r="AA891" s="145"/>
      <c r="AB891" s="147"/>
      <c r="AC891" s="145"/>
      <c r="AD891" s="148"/>
      <c r="AE891" s="148"/>
      <c r="AF891" s="149"/>
      <c r="AG891" s="150"/>
    </row>
    <row r="892" spans="1:42" customHeight="1" ht="11.5" s="129" customFormat="1">
      <c r="A892" s="139"/>
      <c r="B892" s="140"/>
      <c r="C892" s="141"/>
      <c r="D892" s="142"/>
      <c r="E892" s="143"/>
      <c r="F892" s="144"/>
      <c r="G892" s="145"/>
      <c r="H892" s="144"/>
      <c r="I892" s="145"/>
      <c r="J892" s="146"/>
      <c r="K892" s="145"/>
      <c r="L892" s="146"/>
      <c r="M892" s="145"/>
      <c r="N892" s="146"/>
      <c r="O892" s="145"/>
      <c r="P892" s="146"/>
      <c r="Q892" s="145"/>
      <c r="R892" s="144"/>
      <c r="S892" s="145"/>
      <c r="T892" s="144"/>
      <c r="U892" s="145"/>
      <c r="V892" s="144"/>
      <c r="W892" s="145"/>
      <c r="X892" s="144"/>
      <c r="Y892" s="145"/>
      <c r="Z892" s="144"/>
      <c r="AA892" s="145"/>
      <c r="AB892" s="147"/>
      <c r="AC892" s="145"/>
      <c r="AD892" s="148"/>
      <c r="AE892" s="148"/>
      <c r="AF892" s="149"/>
      <c r="AG892" s="150"/>
    </row>
    <row r="893" spans="1:42" customHeight="1" ht="11.5" s="129" customFormat="1">
      <c r="A893" s="139"/>
      <c r="B893" s="140"/>
      <c r="C893" s="141"/>
      <c r="D893" s="142"/>
      <c r="E893" s="143"/>
      <c r="F893" s="144"/>
      <c r="G893" s="145"/>
      <c r="H893" s="144"/>
      <c r="I893" s="145"/>
      <c r="J893" s="146"/>
      <c r="K893" s="145"/>
      <c r="L893" s="146"/>
      <c r="M893" s="145"/>
      <c r="N893" s="146"/>
      <c r="O893" s="145"/>
      <c r="P893" s="146"/>
      <c r="Q893" s="145"/>
      <c r="R893" s="144"/>
      <c r="S893" s="145"/>
      <c r="T893" s="144"/>
      <c r="U893" s="145"/>
      <c r="V893" s="144"/>
      <c r="W893" s="145"/>
      <c r="X893" s="144"/>
      <c r="Y893" s="145"/>
      <c r="Z893" s="144"/>
      <c r="AA893" s="145"/>
      <c r="AB893" s="147"/>
      <c r="AC893" s="145"/>
      <c r="AD893" s="148"/>
      <c r="AE893" s="148"/>
      <c r="AF893" s="149"/>
      <c r="AG893" s="150"/>
    </row>
    <row r="894" spans="1:42" customHeight="1" ht="11.5" s="129" customFormat="1">
      <c r="A894" s="139"/>
      <c r="B894" s="140"/>
      <c r="C894" s="141"/>
      <c r="D894" s="142"/>
      <c r="E894" s="143"/>
      <c r="F894" s="144"/>
      <c r="G894" s="145"/>
      <c r="H894" s="144"/>
      <c r="I894" s="145"/>
      <c r="J894" s="146"/>
      <c r="K894" s="145"/>
      <c r="L894" s="146"/>
      <c r="M894" s="145"/>
      <c r="N894" s="146"/>
      <c r="O894" s="145"/>
      <c r="P894" s="146"/>
      <c r="Q894" s="145"/>
      <c r="R894" s="144"/>
      <c r="S894" s="145"/>
      <c r="T894" s="144"/>
      <c r="U894" s="145"/>
      <c r="V894" s="144"/>
      <c r="W894" s="145"/>
      <c r="X894" s="144"/>
      <c r="Y894" s="145"/>
      <c r="Z894" s="144"/>
      <c r="AA894" s="145"/>
      <c r="AB894" s="147"/>
      <c r="AC894" s="145"/>
      <c r="AD894" s="148"/>
      <c r="AE894" s="148"/>
      <c r="AF894" s="149"/>
      <c r="AG894" s="150"/>
    </row>
    <row r="895" spans="1:42" customHeight="1" ht="11.5" s="129" customFormat="1">
      <c r="A895" s="139"/>
      <c r="B895" s="140"/>
      <c r="C895" s="141"/>
      <c r="D895" s="142"/>
      <c r="E895" s="143"/>
      <c r="F895" s="144"/>
      <c r="G895" s="145"/>
      <c r="H895" s="144"/>
      <c r="I895" s="145"/>
      <c r="J895" s="146"/>
      <c r="K895" s="145"/>
      <c r="L895" s="146"/>
      <c r="M895" s="145"/>
      <c r="N895" s="146"/>
      <c r="O895" s="145"/>
      <c r="P895" s="146"/>
      <c r="Q895" s="145"/>
      <c r="R895" s="144"/>
      <c r="S895" s="145"/>
      <c r="T895" s="144"/>
      <c r="U895" s="145"/>
      <c r="V895" s="144"/>
      <c r="W895" s="145"/>
      <c r="X895" s="144"/>
      <c r="Y895" s="145"/>
      <c r="Z895" s="144"/>
      <c r="AA895" s="145"/>
      <c r="AB895" s="147"/>
      <c r="AC895" s="145"/>
      <c r="AD895" s="148"/>
      <c r="AE895" s="148"/>
      <c r="AF895" s="149"/>
      <c r="AG895" s="150"/>
    </row>
    <row r="896" spans="1:42" customHeight="1" ht="11.5" s="129" customFormat="1">
      <c r="A896" s="139"/>
      <c r="B896" s="140"/>
      <c r="C896" s="141"/>
      <c r="D896" s="142"/>
      <c r="E896" s="143"/>
      <c r="F896" s="144"/>
      <c r="G896" s="145"/>
      <c r="H896" s="144"/>
      <c r="I896" s="145"/>
      <c r="J896" s="146"/>
      <c r="K896" s="145"/>
      <c r="L896" s="146"/>
      <c r="M896" s="145"/>
      <c r="N896" s="146"/>
      <c r="O896" s="145"/>
      <c r="P896" s="146"/>
      <c r="Q896" s="145"/>
      <c r="R896" s="144"/>
      <c r="S896" s="145"/>
      <c r="T896" s="144"/>
      <c r="U896" s="145"/>
      <c r="V896" s="144"/>
      <c r="W896" s="145"/>
      <c r="X896" s="144"/>
      <c r="Y896" s="145"/>
      <c r="Z896" s="144"/>
      <c r="AA896" s="145"/>
      <c r="AB896" s="147"/>
      <c r="AC896" s="145"/>
      <c r="AD896" s="148"/>
      <c r="AE896" s="148"/>
      <c r="AF896" s="149"/>
      <c r="AG896" s="150"/>
    </row>
    <row r="897" spans="1:42" customHeight="1" ht="11.5" s="129" customFormat="1">
      <c r="A897" s="139"/>
      <c r="B897" s="140"/>
      <c r="C897" s="141"/>
      <c r="D897" s="142"/>
      <c r="E897" s="143"/>
      <c r="F897" s="144"/>
      <c r="G897" s="145"/>
      <c r="H897" s="144"/>
      <c r="I897" s="145"/>
      <c r="J897" s="146"/>
      <c r="K897" s="145"/>
      <c r="L897" s="146"/>
      <c r="M897" s="145"/>
      <c r="N897" s="146"/>
      <c r="O897" s="145"/>
      <c r="P897" s="146"/>
      <c r="Q897" s="145"/>
      <c r="R897" s="144"/>
      <c r="S897" s="145"/>
      <c r="T897" s="144"/>
      <c r="U897" s="145"/>
      <c r="V897" s="144"/>
      <c r="W897" s="145"/>
      <c r="X897" s="144"/>
      <c r="Y897" s="145"/>
      <c r="Z897" s="144"/>
      <c r="AA897" s="145"/>
      <c r="AB897" s="147"/>
      <c r="AC897" s="145"/>
      <c r="AD897" s="148"/>
      <c r="AE897" s="148"/>
      <c r="AF897" s="149"/>
      <c r="AG897" s="150"/>
    </row>
    <row r="898" spans="1:42" customHeight="1" ht="11.5" s="129" customFormat="1">
      <c r="A898" s="139"/>
      <c r="B898" s="140"/>
      <c r="C898" s="141"/>
      <c r="D898" s="142"/>
      <c r="E898" s="143"/>
      <c r="F898" s="144"/>
      <c r="G898" s="145"/>
      <c r="H898" s="144"/>
      <c r="I898" s="145"/>
      <c r="J898" s="146"/>
      <c r="K898" s="145"/>
      <c r="L898" s="146"/>
      <c r="M898" s="145"/>
      <c r="N898" s="146"/>
      <c r="O898" s="145"/>
      <c r="P898" s="146"/>
      <c r="Q898" s="145"/>
      <c r="R898" s="144"/>
      <c r="S898" s="145"/>
      <c r="T898" s="144"/>
      <c r="U898" s="145"/>
      <c r="V898" s="144"/>
      <c r="W898" s="145"/>
      <c r="X898" s="144"/>
      <c r="Y898" s="145"/>
      <c r="Z898" s="144"/>
      <c r="AA898" s="145"/>
      <c r="AB898" s="147"/>
      <c r="AC898" s="145"/>
      <c r="AD898" s="148"/>
      <c r="AE898" s="148"/>
      <c r="AF898" s="149"/>
      <c r="AG898" s="150"/>
    </row>
    <row r="899" spans="1:42" customHeight="1" ht="11.5" s="129" customFormat="1">
      <c r="A899" s="139"/>
      <c r="B899" s="140"/>
      <c r="C899" s="141"/>
      <c r="D899" s="142"/>
      <c r="E899" s="143"/>
      <c r="F899" s="144"/>
      <c r="G899" s="145"/>
      <c r="H899" s="144"/>
      <c r="I899" s="145"/>
      <c r="J899" s="146"/>
      <c r="K899" s="145"/>
      <c r="L899" s="146"/>
      <c r="M899" s="145"/>
      <c r="N899" s="146"/>
      <c r="O899" s="145"/>
      <c r="P899" s="146"/>
      <c r="Q899" s="145"/>
      <c r="R899" s="144"/>
      <c r="S899" s="145"/>
      <c r="T899" s="144"/>
      <c r="U899" s="145"/>
      <c r="V899" s="144"/>
      <c r="W899" s="145"/>
      <c r="X899" s="144"/>
      <c r="Y899" s="145"/>
      <c r="Z899" s="144"/>
      <c r="AA899" s="145"/>
      <c r="AB899" s="147"/>
      <c r="AC899" s="145"/>
      <c r="AD899" s="148"/>
      <c r="AE899" s="148"/>
      <c r="AF899" s="149"/>
      <c r="AG899" s="150"/>
    </row>
    <row r="900" spans="1:42" customHeight="1" ht="11.5" s="129" customFormat="1">
      <c r="A900" s="139"/>
      <c r="B900" s="140"/>
      <c r="C900" s="141"/>
      <c r="D900" s="142"/>
      <c r="E900" s="143"/>
      <c r="F900" s="144"/>
      <c r="G900" s="145"/>
      <c r="H900" s="144"/>
      <c r="I900" s="145"/>
      <c r="J900" s="146"/>
      <c r="K900" s="145"/>
      <c r="L900" s="146"/>
      <c r="M900" s="145"/>
      <c r="N900" s="146"/>
      <c r="O900" s="145"/>
      <c r="P900" s="146"/>
      <c r="Q900" s="145"/>
      <c r="R900" s="144"/>
      <c r="S900" s="145"/>
      <c r="T900" s="144"/>
      <c r="U900" s="145"/>
      <c r="V900" s="144"/>
      <c r="W900" s="145"/>
      <c r="X900" s="144"/>
      <c r="Y900" s="145"/>
      <c r="Z900" s="144"/>
      <c r="AA900" s="145"/>
      <c r="AB900" s="147"/>
      <c r="AC900" s="145"/>
      <c r="AD900" s="148"/>
      <c r="AE900" s="148"/>
      <c r="AF900" s="149"/>
      <c r="AG900" s="150"/>
    </row>
    <row r="901" spans="1:42" customHeight="1" ht="11.5" s="129" customFormat="1">
      <c r="A901" s="139"/>
      <c r="B901" s="140"/>
      <c r="C901" s="141"/>
      <c r="D901" s="142"/>
      <c r="E901" s="143"/>
      <c r="F901" s="144"/>
      <c r="G901" s="145"/>
      <c r="H901" s="144"/>
      <c r="I901" s="145"/>
      <c r="J901" s="146"/>
      <c r="K901" s="145"/>
      <c r="L901" s="146"/>
      <c r="M901" s="145"/>
      <c r="N901" s="146"/>
      <c r="O901" s="145"/>
      <c r="P901" s="146"/>
      <c r="Q901" s="145"/>
      <c r="R901" s="144"/>
      <c r="S901" s="145"/>
      <c r="T901" s="144"/>
      <c r="U901" s="145"/>
      <c r="V901" s="144"/>
      <c r="W901" s="145"/>
      <c r="X901" s="144"/>
      <c r="Y901" s="145"/>
      <c r="Z901" s="144"/>
      <c r="AA901" s="145"/>
      <c r="AB901" s="147"/>
      <c r="AC901" s="145"/>
      <c r="AD901" s="148"/>
      <c r="AE901" s="148"/>
      <c r="AF901" s="149"/>
      <c r="AG901" s="150"/>
    </row>
    <row r="902" spans="1:42" customHeight="1" ht="11.5" s="129" customFormat="1">
      <c r="A902" s="139"/>
      <c r="B902" s="140"/>
      <c r="C902" s="141"/>
      <c r="D902" s="142"/>
      <c r="E902" s="143"/>
      <c r="F902" s="144"/>
      <c r="G902" s="145"/>
      <c r="H902" s="144"/>
      <c r="I902" s="145"/>
      <c r="J902" s="146"/>
      <c r="K902" s="145"/>
      <c r="L902" s="146"/>
      <c r="M902" s="145"/>
      <c r="N902" s="146"/>
      <c r="O902" s="145"/>
      <c r="P902" s="146"/>
      <c r="Q902" s="145"/>
      <c r="R902" s="144"/>
      <c r="S902" s="145"/>
      <c r="T902" s="144"/>
      <c r="U902" s="145"/>
      <c r="V902" s="144"/>
      <c r="W902" s="145"/>
      <c r="X902" s="144"/>
      <c r="Y902" s="145"/>
      <c r="Z902" s="144"/>
      <c r="AA902" s="145"/>
      <c r="AB902" s="147"/>
      <c r="AC902" s="145"/>
      <c r="AD902" s="148"/>
      <c r="AE902" s="148"/>
      <c r="AF902" s="149"/>
      <c r="AG902" s="150"/>
    </row>
    <row r="903" spans="1:42" customHeight="1" ht="11.5" s="129" customFormat="1">
      <c r="A903" s="139"/>
      <c r="B903" s="140"/>
      <c r="C903" s="141"/>
      <c r="D903" s="142"/>
      <c r="E903" s="143"/>
      <c r="F903" s="144"/>
      <c r="G903" s="145"/>
      <c r="H903" s="144"/>
      <c r="I903" s="145"/>
      <c r="J903" s="146"/>
      <c r="K903" s="145"/>
      <c r="L903" s="146"/>
      <c r="M903" s="145"/>
      <c r="N903" s="146"/>
      <c r="O903" s="145"/>
      <c r="P903" s="146"/>
      <c r="Q903" s="145"/>
      <c r="R903" s="144"/>
      <c r="S903" s="145"/>
      <c r="T903" s="144"/>
      <c r="U903" s="145"/>
      <c r="V903" s="144"/>
      <c r="W903" s="145"/>
      <c r="X903" s="144"/>
      <c r="Y903" s="145"/>
      <c r="Z903" s="144"/>
      <c r="AA903" s="145"/>
      <c r="AB903" s="147"/>
      <c r="AC903" s="145"/>
      <c r="AD903" s="148"/>
      <c r="AE903" s="148"/>
      <c r="AF903" s="149"/>
      <c r="AG903" s="150"/>
    </row>
    <row r="904" spans="1:42" customHeight="1" ht="11.5" s="129" customFormat="1">
      <c r="A904" s="139"/>
      <c r="B904" s="140"/>
      <c r="C904" s="141"/>
      <c r="D904" s="142"/>
      <c r="E904" s="143"/>
      <c r="F904" s="144"/>
      <c r="G904" s="145"/>
      <c r="H904" s="144"/>
      <c r="I904" s="145"/>
      <c r="J904" s="146"/>
      <c r="K904" s="145"/>
      <c r="L904" s="146"/>
      <c r="M904" s="145"/>
      <c r="N904" s="146"/>
      <c r="O904" s="145"/>
      <c r="P904" s="146"/>
      <c r="Q904" s="145"/>
      <c r="R904" s="144"/>
      <c r="S904" s="145"/>
      <c r="T904" s="144"/>
      <c r="U904" s="145"/>
      <c r="V904" s="144"/>
      <c r="W904" s="145"/>
      <c r="X904" s="144"/>
      <c r="Y904" s="145"/>
      <c r="Z904" s="144"/>
      <c r="AA904" s="145"/>
      <c r="AB904" s="147"/>
      <c r="AC904" s="145"/>
      <c r="AD904" s="148"/>
      <c r="AE904" s="148"/>
      <c r="AF904" s="149"/>
      <c r="AG904" s="150"/>
    </row>
    <row r="905" spans="1:42" customHeight="1" ht="11.5" s="129" customFormat="1">
      <c r="A905" s="139"/>
      <c r="B905" s="140"/>
      <c r="C905" s="141"/>
      <c r="D905" s="142"/>
      <c r="E905" s="143"/>
      <c r="F905" s="144"/>
      <c r="G905" s="145"/>
      <c r="H905" s="144"/>
      <c r="I905" s="145"/>
      <c r="J905" s="146"/>
      <c r="K905" s="145"/>
      <c r="L905" s="146"/>
      <c r="M905" s="145"/>
      <c r="N905" s="146"/>
      <c r="O905" s="145"/>
      <c r="P905" s="146"/>
      <c r="Q905" s="145"/>
      <c r="R905" s="144"/>
      <c r="S905" s="145"/>
      <c r="T905" s="144"/>
      <c r="U905" s="145"/>
      <c r="V905" s="144"/>
      <c r="W905" s="145"/>
      <c r="X905" s="144"/>
      <c r="Y905" s="145"/>
      <c r="Z905" s="144"/>
      <c r="AA905" s="145"/>
      <c r="AB905" s="147"/>
      <c r="AC905" s="145"/>
      <c r="AD905" s="148"/>
      <c r="AE905" s="148"/>
      <c r="AF905" s="149"/>
      <c r="AG905" s="150"/>
    </row>
    <row r="906" spans="1:42" customHeight="1" ht="11.5" s="129" customFormat="1">
      <c r="A906" s="139"/>
      <c r="B906" s="140"/>
      <c r="C906" s="141"/>
      <c r="D906" s="142"/>
      <c r="E906" s="143"/>
      <c r="F906" s="144"/>
      <c r="G906" s="145"/>
      <c r="H906" s="144"/>
      <c r="I906" s="145"/>
      <c r="J906" s="146"/>
      <c r="K906" s="145"/>
      <c r="L906" s="146"/>
      <c r="M906" s="145"/>
      <c r="N906" s="146"/>
      <c r="O906" s="145"/>
      <c r="P906" s="146"/>
      <c r="Q906" s="145"/>
      <c r="R906" s="144"/>
      <c r="S906" s="145"/>
      <c r="T906" s="144"/>
      <c r="U906" s="145"/>
      <c r="V906" s="144"/>
      <c r="W906" s="145"/>
      <c r="X906" s="144"/>
      <c r="Y906" s="145"/>
      <c r="Z906" s="144"/>
      <c r="AA906" s="145"/>
      <c r="AB906" s="147"/>
      <c r="AC906" s="145"/>
      <c r="AD906" s="148"/>
      <c r="AE906" s="148"/>
      <c r="AF906" s="149"/>
      <c r="AG906" s="150"/>
    </row>
    <row r="907" spans="1:42" customHeight="1" ht="11.5" s="129" customFormat="1">
      <c r="A907" s="139"/>
      <c r="B907" s="140"/>
      <c r="C907" s="141"/>
      <c r="D907" s="142"/>
      <c r="E907" s="143"/>
      <c r="F907" s="144"/>
      <c r="G907" s="145"/>
      <c r="H907" s="144"/>
      <c r="I907" s="145"/>
      <c r="J907" s="146"/>
      <c r="K907" s="145"/>
      <c r="L907" s="146"/>
      <c r="M907" s="145"/>
      <c r="N907" s="146"/>
      <c r="O907" s="145"/>
      <c r="P907" s="146"/>
      <c r="Q907" s="145"/>
      <c r="R907" s="144"/>
      <c r="S907" s="145"/>
      <c r="T907" s="144"/>
      <c r="U907" s="145"/>
      <c r="V907" s="144"/>
      <c r="W907" s="145"/>
      <c r="X907" s="144"/>
      <c r="Y907" s="145"/>
      <c r="Z907" s="144"/>
      <c r="AA907" s="145"/>
      <c r="AB907" s="147"/>
      <c r="AC907" s="145"/>
      <c r="AD907" s="148"/>
      <c r="AE907" s="148"/>
      <c r="AF907" s="149"/>
      <c r="AG907" s="150"/>
    </row>
    <row r="908" spans="1:42" customHeight="1" ht="11.5" s="129" customFormat="1">
      <c r="A908" s="139"/>
      <c r="B908" s="140"/>
      <c r="C908" s="141"/>
      <c r="D908" s="142"/>
      <c r="E908" s="143"/>
      <c r="F908" s="144"/>
      <c r="G908" s="145"/>
      <c r="H908" s="144"/>
      <c r="I908" s="145"/>
      <c r="J908" s="146"/>
      <c r="K908" s="145"/>
      <c r="L908" s="146"/>
      <c r="M908" s="145"/>
      <c r="N908" s="146"/>
      <c r="O908" s="145"/>
      <c r="P908" s="146"/>
      <c r="Q908" s="145"/>
      <c r="R908" s="144"/>
      <c r="S908" s="145"/>
      <c r="T908" s="144"/>
      <c r="U908" s="145"/>
      <c r="V908" s="144"/>
      <c r="W908" s="145"/>
      <c r="X908" s="144"/>
      <c r="Y908" s="145"/>
      <c r="Z908" s="144"/>
      <c r="AA908" s="145"/>
      <c r="AB908" s="147"/>
      <c r="AC908" s="145"/>
      <c r="AD908" s="148"/>
      <c r="AE908" s="148"/>
      <c r="AF908" s="149"/>
      <c r="AG908" s="150"/>
    </row>
    <row r="909" spans="1:42" customHeight="1" ht="11.5" s="129" customFormat="1">
      <c r="A909" s="139"/>
      <c r="B909" s="140"/>
      <c r="C909" s="141"/>
      <c r="D909" s="142"/>
      <c r="E909" s="143"/>
      <c r="F909" s="144"/>
      <c r="G909" s="145"/>
      <c r="H909" s="144"/>
      <c r="I909" s="145"/>
      <c r="J909" s="146"/>
      <c r="K909" s="145"/>
      <c r="L909" s="146"/>
      <c r="M909" s="145"/>
      <c r="N909" s="146"/>
      <c r="O909" s="145"/>
      <c r="P909" s="146"/>
      <c r="Q909" s="145"/>
      <c r="R909" s="144"/>
      <c r="S909" s="145"/>
      <c r="T909" s="144"/>
      <c r="U909" s="145"/>
      <c r="V909" s="144"/>
      <c r="W909" s="145"/>
      <c r="X909" s="144"/>
      <c r="Y909" s="145"/>
      <c r="Z909" s="144"/>
      <c r="AA909" s="145"/>
      <c r="AB909" s="147"/>
      <c r="AC909" s="145"/>
      <c r="AD909" s="148"/>
      <c r="AE909" s="148"/>
      <c r="AF909" s="149"/>
      <c r="AG909" s="150"/>
    </row>
    <row r="910" spans="1:42" customHeight="1" ht="11.5" s="129" customFormat="1">
      <c r="A910" s="139"/>
      <c r="B910" s="140"/>
      <c r="C910" s="141"/>
      <c r="D910" s="142"/>
      <c r="E910" s="143"/>
      <c r="F910" s="144"/>
      <c r="G910" s="145"/>
      <c r="H910" s="144"/>
      <c r="I910" s="145"/>
      <c r="J910" s="146"/>
      <c r="K910" s="145"/>
      <c r="L910" s="146"/>
      <c r="M910" s="145"/>
      <c r="N910" s="146"/>
      <c r="O910" s="145"/>
      <c r="P910" s="146"/>
      <c r="Q910" s="145"/>
      <c r="R910" s="144"/>
      <c r="S910" s="145"/>
      <c r="T910" s="144"/>
      <c r="U910" s="145"/>
      <c r="V910" s="144"/>
      <c r="W910" s="145"/>
      <c r="X910" s="144"/>
      <c r="Y910" s="145"/>
      <c r="Z910" s="144"/>
      <c r="AA910" s="145"/>
      <c r="AB910" s="147"/>
      <c r="AC910" s="145"/>
      <c r="AD910" s="148"/>
      <c r="AE910" s="148"/>
      <c r="AF910" s="149"/>
      <c r="AG910" s="150"/>
    </row>
    <row r="911" spans="1:42" customHeight="1" ht="11.5" s="129" customFormat="1">
      <c r="A911" s="139"/>
      <c r="B911" s="140"/>
      <c r="C911" s="141"/>
      <c r="D911" s="142"/>
      <c r="E911" s="143"/>
      <c r="F911" s="144"/>
      <c r="G911" s="145"/>
      <c r="H911" s="144"/>
      <c r="I911" s="145"/>
      <c r="J911" s="146"/>
      <c r="K911" s="145"/>
      <c r="L911" s="146"/>
      <c r="M911" s="145"/>
      <c r="N911" s="146"/>
      <c r="O911" s="145"/>
      <c r="P911" s="146"/>
      <c r="Q911" s="145"/>
      <c r="R911" s="144"/>
      <c r="S911" s="145"/>
      <c r="T911" s="144"/>
      <c r="U911" s="145"/>
      <c r="V911" s="144"/>
      <c r="W911" s="145"/>
      <c r="X911" s="144"/>
      <c r="Y911" s="145"/>
      <c r="Z911" s="144"/>
      <c r="AA911" s="145"/>
      <c r="AB911" s="147"/>
      <c r="AC911" s="145"/>
      <c r="AD911" s="148"/>
      <c r="AE911" s="148"/>
      <c r="AF911" s="149"/>
      <c r="AG911" s="150"/>
    </row>
    <row r="912" spans="1:42" customHeight="1" ht="11.5" s="129" customFormat="1">
      <c r="A912" s="139"/>
      <c r="B912" s="140"/>
      <c r="C912" s="141"/>
      <c r="D912" s="142"/>
      <c r="E912" s="143"/>
      <c r="F912" s="144"/>
      <c r="G912" s="145"/>
      <c r="H912" s="144"/>
      <c r="I912" s="145"/>
      <c r="J912" s="146"/>
      <c r="K912" s="145"/>
      <c r="L912" s="146"/>
      <c r="M912" s="145"/>
      <c r="N912" s="146"/>
      <c r="O912" s="145"/>
      <c r="P912" s="146"/>
      <c r="Q912" s="145"/>
      <c r="R912" s="144"/>
      <c r="S912" s="145"/>
      <c r="T912" s="144"/>
      <c r="U912" s="145"/>
      <c r="V912" s="144"/>
      <c r="W912" s="145"/>
      <c r="X912" s="144"/>
      <c r="Y912" s="145"/>
      <c r="Z912" s="144"/>
      <c r="AA912" s="145"/>
      <c r="AB912" s="147"/>
      <c r="AC912" s="145"/>
      <c r="AD912" s="148"/>
      <c r="AE912" s="148"/>
      <c r="AF912" s="149"/>
      <c r="AG912" s="150"/>
    </row>
    <row r="913" spans="1:42" customHeight="1" ht="11.5" s="129" customFormat="1">
      <c r="A913" s="139"/>
      <c r="B913" s="140"/>
      <c r="C913" s="141"/>
      <c r="D913" s="142"/>
      <c r="E913" s="143"/>
      <c r="F913" s="144"/>
      <c r="G913" s="145"/>
      <c r="H913" s="144"/>
      <c r="I913" s="145"/>
      <c r="J913" s="146"/>
      <c r="K913" s="145"/>
      <c r="L913" s="146"/>
      <c r="M913" s="145"/>
      <c r="N913" s="146"/>
      <c r="O913" s="145"/>
      <c r="P913" s="146"/>
      <c r="Q913" s="145"/>
      <c r="R913" s="144"/>
      <c r="S913" s="145"/>
      <c r="T913" s="144"/>
      <c r="U913" s="145"/>
      <c r="V913" s="144"/>
      <c r="W913" s="145"/>
      <c r="X913" s="144"/>
      <c r="Y913" s="145"/>
      <c r="Z913" s="144"/>
      <c r="AA913" s="145"/>
      <c r="AB913" s="147"/>
      <c r="AC913" s="145"/>
      <c r="AD913" s="148"/>
      <c r="AE913" s="148"/>
      <c r="AF913" s="149"/>
      <c r="AG913" s="150"/>
    </row>
    <row r="914" spans="1:42" customHeight="1" ht="11.5" s="129" customFormat="1">
      <c r="A914" s="139"/>
      <c r="B914" s="140"/>
      <c r="C914" s="141"/>
      <c r="D914" s="142"/>
      <c r="E914" s="143"/>
      <c r="F914" s="144"/>
      <c r="G914" s="145"/>
      <c r="H914" s="144"/>
      <c r="I914" s="145"/>
      <c r="J914" s="146"/>
      <c r="K914" s="145"/>
      <c r="L914" s="146"/>
      <c r="M914" s="145"/>
      <c r="N914" s="146"/>
      <c r="O914" s="145"/>
      <c r="P914" s="146"/>
      <c r="Q914" s="145"/>
      <c r="R914" s="144"/>
      <c r="S914" s="145"/>
      <c r="T914" s="144"/>
      <c r="U914" s="145"/>
      <c r="V914" s="144"/>
      <c r="W914" s="145"/>
      <c r="X914" s="144"/>
      <c r="Y914" s="145"/>
      <c r="Z914" s="144"/>
      <c r="AA914" s="145"/>
      <c r="AB914" s="147"/>
      <c r="AC914" s="145"/>
      <c r="AD914" s="148"/>
      <c r="AE914" s="148"/>
      <c r="AF914" s="149"/>
      <c r="AG914" s="150"/>
    </row>
    <row r="915" spans="1:42" customHeight="1" ht="11.5" s="129" customFormat="1">
      <c r="A915" s="139"/>
      <c r="B915" s="140"/>
      <c r="C915" s="141"/>
      <c r="D915" s="142"/>
      <c r="E915" s="143"/>
      <c r="F915" s="144"/>
      <c r="G915" s="145"/>
      <c r="H915" s="144"/>
      <c r="I915" s="145"/>
      <c r="J915" s="146"/>
      <c r="K915" s="145"/>
      <c r="L915" s="146"/>
      <c r="M915" s="145"/>
      <c r="N915" s="146"/>
      <c r="O915" s="145"/>
      <c r="P915" s="146"/>
      <c r="Q915" s="145"/>
      <c r="R915" s="144"/>
      <c r="S915" s="145"/>
      <c r="T915" s="144"/>
      <c r="U915" s="145"/>
      <c r="V915" s="144"/>
      <c r="W915" s="145"/>
      <c r="X915" s="144"/>
      <c r="Y915" s="145"/>
      <c r="Z915" s="144"/>
      <c r="AA915" s="145"/>
      <c r="AB915" s="147"/>
      <c r="AC915" s="145"/>
      <c r="AD915" s="148"/>
      <c r="AE915" s="148"/>
      <c r="AF915" s="149"/>
      <c r="AG915" s="150"/>
    </row>
    <row r="916" spans="1:42" customHeight="1" ht="11.5" s="129" customFormat="1">
      <c r="A916" s="139"/>
      <c r="B916" s="140"/>
      <c r="C916" s="141"/>
      <c r="D916" s="142"/>
      <c r="E916" s="143"/>
      <c r="F916" s="144"/>
      <c r="G916" s="145"/>
      <c r="H916" s="144"/>
      <c r="I916" s="145"/>
      <c r="J916" s="146"/>
      <c r="K916" s="145"/>
      <c r="L916" s="146"/>
      <c r="M916" s="145"/>
      <c r="N916" s="146"/>
      <c r="O916" s="145"/>
      <c r="P916" s="146"/>
      <c r="Q916" s="145"/>
      <c r="R916" s="144"/>
      <c r="S916" s="145"/>
      <c r="T916" s="144"/>
      <c r="U916" s="145"/>
      <c r="V916" s="144"/>
      <c r="W916" s="145"/>
      <c r="X916" s="144"/>
      <c r="Y916" s="145"/>
      <c r="Z916" s="144"/>
      <c r="AA916" s="145"/>
      <c r="AB916" s="147"/>
      <c r="AC916" s="145"/>
      <c r="AD916" s="148"/>
      <c r="AE916" s="148"/>
      <c r="AF916" s="149"/>
      <c r="AG916" s="150"/>
    </row>
    <row r="917" spans="1:42" customHeight="1" ht="11.5" s="129" customFormat="1">
      <c r="A917" s="139"/>
      <c r="B917" s="140"/>
      <c r="C917" s="141"/>
      <c r="D917" s="142"/>
      <c r="E917" s="143"/>
      <c r="F917" s="144"/>
      <c r="G917" s="145"/>
      <c r="H917" s="144"/>
      <c r="I917" s="145"/>
      <c r="J917" s="146"/>
      <c r="K917" s="145"/>
      <c r="L917" s="146"/>
      <c r="M917" s="145"/>
      <c r="N917" s="146"/>
      <c r="O917" s="145"/>
      <c r="P917" s="146"/>
      <c r="Q917" s="145"/>
      <c r="R917" s="144"/>
      <c r="S917" s="145"/>
      <c r="T917" s="144"/>
      <c r="U917" s="145"/>
      <c r="V917" s="144"/>
      <c r="W917" s="145"/>
      <c r="X917" s="144"/>
      <c r="Y917" s="145"/>
      <c r="Z917" s="144"/>
      <c r="AA917" s="145"/>
      <c r="AB917" s="147"/>
      <c r="AC917" s="145"/>
      <c r="AD917" s="148"/>
      <c r="AE917" s="148"/>
      <c r="AF917" s="149"/>
      <c r="AG917" s="150"/>
    </row>
    <row r="918" spans="1:42" customHeight="1" ht="11.5" s="129" customFormat="1">
      <c r="A918" s="139"/>
      <c r="B918" s="140"/>
      <c r="C918" s="141"/>
      <c r="D918" s="142"/>
      <c r="E918" s="143"/>
      <c r="F918" s="144"/>
      <c r="G918" s="145"/>
      <c r="H918" s="144"/>
      <c r="I918" s="145"/>
      <c r="J918" s="146"/>
      <c r="K918" s="145"/>
      <c r="L918" s="146"/>
      <c r="M918" s="145"/>
      <c r="N918" s="146"/>
      <c r="O918" s="145"/>
      <c r="P918" s="146"/>
      <c r="Q918" s="145"/>
      <c r="R918" s="144"/>
      <c r="S918" s="145"/>
      <c r="T918" s="144"/>
      <c r="U918" s="145"/>
      <c r="V918" s="144"/>
      <c r="W918" s="145"/>
      <c r="X918" s="144"/>
      <c r="Y918" s="145"/>
      <c r="Z918" s="144"/>
      <c r="AA918" s="145"/>
      <c r="AB918" s="147"/>
      <c r="AC918" s="145"/>
      <c r="AD918" s="148"/>
      <c r="AE918" s="148"/>
      <c r="AF918" s="149"/>
      <c r="AG918" s="150"/>
    </row>
    <row r="919" spans="1:42" customHeight="1" ht="11.5" s="129" customFormat="1">
      <c r="A919" s="139"/>
      <c r="B919" s="140"/>
      <c r="C919" s="141"/>
      <c r="D919" s="142"/>
      <c r="E919" s="143"/>
      <c r="F919" s="144"/>
      <c r="G919" s="145"/>
      <c r="H919" s="144"/>
      <c r="I919" s="145"/>
      <c r="J919" s="146"/>
      <c r="K919" s="145"/>
      <c r="L919" s="146"/>
      <c r="M919" s="145"/>
      <c r="N919" s="146"/>
      <c r="O919" s="145"/>
      <c r="P919" s="146"/>
      <c r="Q919" s="145"/>
      <c r="R919" s="144"/>
      <c r="S919" s="145"/>
      <c r="T919" s="144"/>
      <c r="U919" s="145"/>
      <c r="V919" s="144"/>
      <c r="W919" s="145"/>
      <c r="X919" s="144"/>
      <c r="Y919" s="145"/>
      <c r="Z919" s="144"/>
      <c r="AA919" s="145"/>
      <c r="AB919" s="147"/>
      <c r="AC919" s="145"/>
      <c r="AD919" s="148"/>
      <c r="AE919" s="148"/>
      <c r="AF919" s="149"/>
      <c r="AG919" s="150"/>
    </row>
    <row r="920" spans="1:42" customHeight="1" ht="11.5" s="129" customFormat="1">
      <c r="A920" s="139"/>
      <c r="B920" s="140"/>
      <c r="C920" s="141"/>
      <c r="D920" s="142"/>
      <c r="E920" s="143"/>
      <c r="F920" s="144"/>
      <c r="G920" s="145"/>
      <c r="H920" s="144"/>
      <c r="I920" s="145"/>
      <c r="J920" s="146"/>
      <c r="K920" s="145"/>
      <c r="L920" s="146"/>
      <c r="M920" s="145"/>
      <c r="N920" s="146"/>
      <c r="O920" s="145"/>
      <c r="P920" s="146"/>
      <c r="Q920" s="145"/>
      <c r="R920" s="144"/>
      <c r="S920" s="145"/>
      <c r="T920" s="144"/>
      <c r="U920" s="145"/>
      <c r="V920" s="144"/>
      <c r="W920" s="145"/>
      <c r="X920" s="144"/>
      <c r="Y920" s="145"/>
      <c r="Z920" s="144"/>
      <c r="AA920" s="145"/>
      <c r="AB920" s="147"/>
      <c r="AC920" s="145"/>
      <c r="AD920" s="148"/>
      <c r="AE920" s="148"/>
      <c r="AF920" s="149"/>
      <c r="AG920" s="150"/>
    </row>
    <row r="921" spans="1:42" customHeight="1" ht="11.5" s="129" customFormat="1">
      <c r="A921" s="139"/>
      <c r="B921" s="140"/>
      <c r="C921" s="141"/>
      <c r="D921" s="142"/>
      <c r="E921" s="143"/>
      <c r="F921" s="144"/>
      <c r="G921" s="145"/>
      <c r="H921" s="144"/>
      <c r="I921" s="145"/>
      <c r="J921" s="146"/>
      <c r="K921" s="145"/>
      <c r="L921" s="146"/>
      <c r="M921" s="145"/>
      <c r="N921" s="146"/>
      <c r="O921" s="145"/>
      <c r="P921" s="146"/>
      <c r="Q921" s="145"/>
      <c r="R921" s="144"/>
      <c r="S921" s="145"/>
      <c r="T921" s="144"/>
      <c r="U921" s="145"/>
      <c r="V921" s="144"/>
      <c r="W921" s="145"/>
      <c r="X921" s="144"/>
      <c r="Y921" s="145"/>
      <c r="Z921" s="144"/>
      <c r="AA921" s="145"/>
      <c r="AB921" s="147"/>
      <c r="AC921" s="145"/>
      <c r="AD921" s="148"/>
      <c r="AE921" s="148"/>
      <c r="AF921" s="149"/>
      <c r="AG921" s="150"/>
    </row>
    <row r="922" spans="1:42" customHeight="1" ht="11.5" s="129" customFormat="1">
      <c r="A922" s="139"/>
      <c r="B922" s="140"/>
      <c r="C922" s="141"/>
      <c r="D922" s="142"/>
      <c r="E922" s="143"/>
      <c r="F922" s="144"/>
      <c r="G922" s="145"/>
      <c r="H922" s="144"/>
      <c r="I922" s="145"/>
      <c r="J922" s="146"/>
      <c r="K922" s="145"/>
      <c r="L922" s="146"/>
      <c r="M922" s="145"/>
      <c r="N922" s="146"/>
      <c r="O922" s="145"/>
      <c r="P922" s="146"/>
      <c r="Q922" s="145"/>
      <c r="R922" s="144"/>
      <c r="S922" s="145"/>
      <c r="T922" s="144"/>
      <c r="U922" s="145"/>
      <c r="V922" s="144"/>
      <c r="W922" s="145"/>
      <c r="X922" s="144"/>
      <c r="Y922" s="145"/>
      <c r="Z922" s="144"/>
      <c r="AA922" s="145"/>
      <c r="AB922" s="147"/>
      <c r="AC922" s="145"/>
      <c r="AD922" s="148"/>
      <c r="AE922" s="148"/>
      <c r="AF922" s="149"/>
      <c r="AG922" s="150"/>
    </row>
    <row r="923" spans="1:42" customHeight="1" ht="11.5" s="129" customFormat="1">
      <c r="A923" s="139"/>
      <c r="B923" s="140"/>
      <c r="C923" s="141"/>
      <c r="D923" s="142"/>
      <c r="E923" s="143"/>
      <c r="F923" s="144"/>
      <c r="G923" s="145"/>
      <c r="H923" s="144"/>
      <c r="I923" s="145"/>
      <c r="J923" s="146"/>
      <c r="K923" s="145"/>
      <c r="L923" s="146"/>
      <c r="M923" s="145"/>
      <c r="N923" s="146"/>
      <c r="O923" s="145"/>
      <c r="P923" s="146"/>
      <c r="Q923" s="145"/>
      <c r="R923" s="144"/>
      <c r="S923" s="145"/>
      <c r="T923" s="144"/>
      <c r="U923" s="145"/>
      <c r="V923" s="144"/>
      <c r="W923" s="145"/>
      <c r="X923" s="144"/>
      <c r="Y923" s="145"/>
      <c r="Z923" s="144"/>
      <c r="AA923" s="145"/>
      <c r="AB923" s="147"/>
      <c r="AC923" s="145"/>
      <c r="AD923" s="148"/>
      <c r="AE923" s="148"/>
      <c r="AF923" s="149"/>
      <c r="AG923" s="150"/>
    </row>
    <row r="924" spans="1:42" customHeight="1" ht="11.5" s="129" customFormat="1">
      <c r="A924" s="139"/>
      <c r="B924" s="140"/>
      <c r="C924" s="141"/>
      <c r="D924" s="142"/>
      <c r="E924" s="143"/>
      <c r="F924" s="144"/>
      <c r="G924" s="145"/>
      <c r="H924" s="144"/>
      <c r="I924" s="145"/>
      <c r="J924" s="146"/>
      <c r="K924" s="145"/>
      <c r="L924" s="146"/>
      <c r="M924" s="145"/>
      <c r="N924" s="146"/>
      <c r="O924" s="145"/>
      <c r="P924" s="146"/>
      <c r="Q924" s="145"/>
      <c r="R924" s="144"/>
      <c r="S924" s="145"/>
      <c r="T924" s="144"/>
      <c r="U924" s="145"/>
      <c r="V924" s="144"/>
      <c r="W924" s="145"/>
      <c r="X924" s="144"/>
      <c r="Y924" s="145"/>
      <c r="Z924" s="144"/>
      <c r="AA924" s="145"/>
      <c r="AB924" s="147"/>
      <c r="AC924" s="145"/>
      <c r="AD924" s="148"/>
      <c r="AE924" s="148"/>
      <c r="AF924" s="149"/>
      <c r="AG924" s="150"/>
    </row>
    <row r="925" spans="1:42" customHeight="1" ht="11.5" s="129" customFormat="1">
      <c r="A925" s="139"/>
      <c r="B925" s="140"/>
      <c r="C925" s="141"/>
      <c r="D925" s="142"/>
      <c r="E925" s="143"/>
      <c r="F925" s="144"/>
      <c r="G925" s="145"/>
      <c r="H925" s="144"/>
      <c r="I925" s="145"/>
      <c r="J925" s="146"/>
      <c r="K925" s="145"/>
      <c r="L925" s="146"/>
      <c r="M925" s="145"/>
      <c r="N925" s="146"/>
      <c r="O925" s="145"/>
      <c r="P925" s="146"/>
      <c r="Q925" s="145"/>
      <c r="R925" s="144"/>
      <c r="S925" s="145"/>
      <c r="T925" s="144"/>
      <c r="U925" s="145"/>
      <c r="V925" s="144"/>
      <c r="W925" s="145"/>
      <c r="X925" s="144"/>
      <c r="Y925" s="145"/>
      <c r="Z925" s="144"/>
      <c r="AA925" s="145"/>
      <c r="AB925" s="147"/>
      <c r="AC925" s="145"/>
      <c r="AD925" s="148"/>
      <c r="AE925" s="148"/>
      <c r="AF925" s="149"/>
      <c r="AG925" s="150"/>
    </row>
    <row r="926" spans="1:42" customHeight="1" ht="11.5" s="129" customFormat="1">
      <c r="A926" s="139"/>
      <c r="B926" s="140"/>
      <c r="C926" s="141"/>
      <c r="D926" s="142"/>
      <c r="E926" s="143"/>
      <c r="F926" s="144"/>
      <c r="G926" s="145"/>
      <c r="H926" s="144"/>
      <c r="I926" s="145"/>
      <c r="J926" s="146"/>
      <c r="K926" s="145"/>
      <c r="L926" s="146"/>
      <c r="M926" s="145"/>
      <c r="N926" s="146"/>
      <c r="O926" s="145"/>
      <c r="P926" s="146"/>
      <c r="Q926" s="145"/>
      <c r="R926" s="144"/>
      <c r="S926" s="145"/>
      <c r="T926" s="144"/>
      <c r="U926" s="145"/>
      <c r="V926" s="144"/>
      <c r="W926" s="145"/>
      <c r="X926" s="144"/>
      <c r="Y926" s="145"/>
      <c r="Z926" s="144"/>
      <c r="AA926" s="145"/>
      <c r="AB926" s="147"/>
      <c r="AC926" s="145"/>
      <c r="AD926" s="148"/>
      <c r="AE926" s="148"/>
      <c r="AF926" s="149"/>
      <c r="AG926" s="150"/>
    </row>
    <row r="927" spans="1:42" customHeight="1" ht="11.5" s="129" customFormat="1">
      <c r="A927" s="139"/>
      <c r="B927" s="140"/>
      <c r="C927" s="141"/>
      <c r="D927" s="142"/>
      <c r="E927" s="143"/>
      <c r="F927" s="144"/>
      <c r="G927" s="145"/>
      <c r="H927" s="144"/>
      <c r="I927" s="145"/>
      <c r="J927" s="146"/>
      <c r="K927" s="145"/>
      <c r="L927" s="146"/>
      <c r="M927" s="145"/>
      <c r="N927" s="146"/>
      <c r="O927" s="145"/>
      <c r="P927" s="146"/>
      <c r="Q927" s="145"/>
      <c r="R927" s="144"/>
      <c r="S927" s="145"/>
      <c r="T927" s="144"/>
      <c r="U927" s="145"/>
      <c r="V927" s="144"/>
      <c r="W927" s="145"/>
      <c r="X927" s="144"/>
      <c r="Y927" s="145"/>
      <c r="Z927" s="144"/>
      <c r="AA927" s="145"/>
      <c r="AB927" s="147"/>
      <c r="AC927" s="145"/>
      <c r="AD927" s="148"/>
      <c r="AE927" s="148"/>
      <c r="AF927" s="149"/>
      <c r="AG927" s="150"/>
    </row>
    <row r="928" spans="1:42" customHeight="1" ht="11.5" s="129" customFormat="1">
      <c r="A928" s="139"/>
      <c r="B928" s="140"/>
      <c r="C928" s="141"/>
      <c r="D928" s="142"/>
      <c r="E928" s="143"/>
      <c r="F928" s="144"/>
      <c r="G928" s="145"/>
      <c r="H928" s="144"/>
      <c r="I928" s="145"/>
      <c r="J928" s="146"/>
      <c r="K928" s="145"/>
      <c r="L928" s="146"/>
      <c r="M928" s="145"/>
      <c r="N928" s="146"/>
      <c r="O928" s="145"/>
      <c r="P928" s="146"/>
      <c r="Q928" s="145"/>
      <c r="R928" s="144"/>
      <c r="S928" s="145"/>
      <c r="T928" s="144"/>
      <c r="U928" s="145"/>
      <c r="V928" s="144"/>
      <c r="W928" s="145"/>
      <c r="X928" s="144"/>
      <c r="Y928" s="145"/>
      <c r="Z928" s="144"/>
      <c r="AA928" s="145"/>
      <c r="AB928" s="147"/>
      <c r="AC928" s="145"/>
      <c r="AD928" s="148"/>
      <c r="AE928" s="148"/>
      <c r="AF928" s="149"/>
      <c r="AG928" s="150"/>
    </row>
    <row r="929" spans="1:42" customHeight="1" ht="11.5" s="129" customFormat="1">
      <c r="A929" s="139"/>
      <c r="B929" s="140"/>
      <c r="C929" s="141"/>
      <c r="D929" s="142"/>
      <c r="E929" s="143"/>
      <c r="F929" s="144"/>
      <c r="G929" s="145"/>
      <c r="H929" s="144"/>
      <c r="I929" s="145"/>
      <c r="J929" s="146"/>
      <c r="K929" s="145"/>
      <c r="L929" s="146"/>
      <c r="M929" s="145"/>
      <c r="N929" s="146"/>
      <c r="O929" s="145"/>
      <c r="P929" s="146"/>
      <c r="Q929" s="145"/>
      <c r="R929" s="144"/>
      <c r="S929" s="145"/>
      <c r="T929" s="144"/>
      <c r="U929" s="145"/>
      <c r="V929" s="144"/>
      <c r="W929" s="145"/>
      <c r="X929" s="144"/>
      <c r="Y929" s="145"/>
      <c r="Z929" s="144"/>
      <c r="AA929" s="145"/>
      <c r="AB929" s="147"/>
      <c r="AC929" s="145"/>
      <c r="AD929" s="148"/>
      <c r="AE929" s="148"/>
      <c r="AF929" s="149"/>
      <c r="AG929" s="150"/>
    </row>
    <row r="930" spans="1:42" customHeight="1" ht="11.5" s="129" customFormat="1">
      <c r="A930" s="139"/>
      <c r="B930" s="140"/>
      <c r="C930" s="141"/>
      <c r="D930" s="142"/>
      <c r="E930" s="143"/>
      <c r="F930" s="144"/>
      <c r="G930" s="145"/>
      <c r="H930" s="144"/>
      <c r="I930" s="145"/>
      <c r="J930" s="146"/>
      <c r="K930" s="145"/>
      <c r="L930" s="146"/>
      <c r="M930" s="145"/>
      <c r="N930" s="146"/>
      <c r="O930" s="145"/>
      <c r="P930" s="146"/>
      <c r="Q930" s="145"/>
      <c r="R930" s="144"/>
      <c r="S930" s="145"/>
      <c r="T930" s="144"/>
      <c r="U930" s="145"/>
      <c r="V930" s="144"/>
      <c r="W930" s="145"/>
      <c r="X930" s="144"/>
      <c r="Y930" s="145"/>
      <c r="Z930" s="144"/>
      <c r="AA930" s="145"/>
      <c r="AB930" s="147"/>
      <c r="AC930" s="145"/>
      <c r="AD930" s="148"/>
      <c r="AE930" s="148"/>
      <c r="AF930" s="149"/>
      <c r="AG930" s="150"/>
    </row>
    <row r="931" spans="1:42" customHeight="1" ht="11.5" s="129" customFormat="1">
      <c r="A931" s="139"/>
      <c r="B931" s="140"/>
      <c r="C931" s="141"/>
      <c r="D931" s="142"/>
      <c r="E931" s="143"/>
      <c r="F931" s="144"/>
      <c r="G931" s="145"/>
      <c r="H931" s="144"/>
      <c r="I931" s="145"/>
      <c r="J931" s="146"/>
      <c r="K931" s="145"/>
      <c r="L931" s="146"/>
      <c r="M931" s="145"/>
      <c r="N931" s="146"/>
      <c r="O931" s="145"/>
      <c r="P931" s="146"/>
      <c r="Q931" s="145"/>
      <c r="R931" s="144"/>
      <c r="S931" s="145"/>
      <c r="T931" s="144"/>
      <c r="U931" s="145"/>
      <c r="V931" s="144"/>
      <c r="W931" s="145"/>
      <c r="X931" s="144"/>
      <c r="Y931" s="145"/>
      <c r="Z931" s="144"/>
      <c r="AA931" s="145"/>
      <c r="AB931" s="147"/>
      <c r="AC931" s="145"/>
      <c r="AD931" s="148"/>
      <c r="AE931" s="148"/>
      <c r="AF931" s="149"/>
      <c r="AG931" s="150"/>
    </row>
    <row r="932" spans="1:42" customHeight="1" ht="11.5" s="129" customFormat="1">
      <c r="A932" s="139"/>
      <c r="B932" s="140"/>
      <c r="C932" s="141"/>
      <c r="D932" s="142"/>
      <c r="E932" s="143"/>
      <c r="F932" s="144"/>
      <c r="G932" s="145"/>
      <c r="H932" s="144"/>
      <c r="I932" s="145"/>
      <c r="J932" s="146"/>
      <c r="K932" s="145"/>
      <c r="L932" s="146"/>
      <c r="M932" s="145"/>
      <c r="N932" s="146"/>
      <c r="O932" s="145"/>
      <c r="P932" s="146"/>
      <c r="Q932" s="145"/>
      <c r="R932" s="144"/>
      <c r="S932" s="145"/>
      <c r="T932" s="144"/>
      <c r="U932" s="145"/>
      <c r="V932" s="144"/>
      <c r="W932" s="145"/>
      <c r="X932" s="144"/>
      <c r="Y932" s="145"/>
      <c r="Z932" s="144"/>
      <c r="AA932" s="145"/>
      <c r="AB932" s="147"/>
      <c r="AC932" s="145"/>
      <c r="AD932" s="148"/>
      <c r="AE932" s="148"/>
      <c r="AF932" s="149"/>
      <c r="AG932" s="150"/>
    </row>
    <row r="933" spans="1:42" customHeight="1" ht="11.5" s="129" customFormat="1">
      <c r="A933" s="139"/>
      <c r="B933" s="140"/>
      <c r="C933" s="141"/>
      <c r="D933" s="142"/>
      <c r="E933" s="143"/>
      <c r="F933" s="144"/>
      <c r="G933" s="145"/>
      <c r="H933" s="144"/>
      <c r="I933" s="145"/>
      <c r="J933" s="146"/>
      <c r="K933" s="145"/>
      <c r="L933" s="146"/>
      <c r="M933" s="145"/>
      <c r="N933" s="146"/>
      <c r="O933" s="145"/>
      <c r="P933" s="146"/>
      <c r="Q933" s="145"/>
      <c r="R933" s="144"/>
      <c r="S933" s="145"/>
      <c r="T933" s="144"/>
      <c r="U933" s="145"/>
      <c r="V933" s="144"/>
      <c r="W933" s="145"/>
      <c r="X933" s="144"/>
      <c r="Y933" s="145"/>
      <c r="Z933" s="144"/>
      <c r="AA933" s="145"/>
      <c r="AB933" s="147"/>
      <c r="AC933" s="145"/>
      <c r="AD933" s="148"/>
      <c r="AE933" s="148"/>
      <c r="AF933" s="149"/>
      <c r="AG933" s="150"/>
    </row>
    <row r="934" spans="1:42" customHeight="1" ht="11.5" s="129" customFormat="1">
      <c r="A934" s="139"/>
      <c r="B934" s="140"/>
      <c r="C934" s="141"/>
      <c r="D934" s="142"/>
      <c r="E934" s="143"/>
      <c r="F934" s="144"/>
      <c r="G934" s="145"/>
      <c r="H934" s="144"/>
      <c r="I934" s="145"/>
      <c r="J934" s="146"/>
      <c r="K934" s="145"/>
      <c r="L934" s="146"/>
      <c r="M934" s="145"/>
      <c r="N934" s="146"/>
      <c r="O934" s="145"/>
      <c r="P934" s="146"/>
      <c r="Q934" s="145"/>
      <c r="R934" s="144"/>
      <c r="S934" s="145"/>
      <c r="T934" s="144"/>
      <c r="U934" s="145"/>
      <c r="V934" s="144"/>
      <c r="W934" s="145"/>
      <c r="X934" s="144"/>
      <c r="Y934" s="145"/>
      <c r="Z934" s="144"/>
      <c r="AA934" s="145"/>
      <c r="AB934" s="147"/>
      <c r="AC934" s="145"/>
      <c r="AD934" s="148"/>
      <c r="AE934" s="148"/>
      <c r="AF934" s="149"/>
      <c r="AG934" s="150"/>
    </row>
    <row r="935" spans="1:42" customHeight="1" ht="11.5" s="129" customFormat="1">
      <c r="A935" s="139"/>
      <c r="B935" s="140"/>
      <c r="C935" s="141"/>
      <c r="D935" s="142"/>
      <c r="E935" s="143"/>
      <c r="F935" s="144"/>
      <c r="G935" s="145"/>
      <c r="H935" s="144"/>
      <c r="I935" s="145"/>
      <c r="J935" s="146"/>
      <c r="K935" s="145"/>
      <c r="L935" s="146"/>
      <c r="M935" s="145"/>
      <c r="N935" s="146"/>
      <c r="O935" s="145"/>
      <c r="P935" s="146"/>
      <c r="Q935" s="145"/>
      <c r="R935" s="144"/>
      <c r="S935" s="145"/>
      <c r="T935" s="144"/>
      <c r="U935" s="145"/>
      <c r="V935" s="144"/>
      <c r="W935" s="145"/>
      <c r="X935" s="144"/>
      <c r="Y935" s="145"/>
      <c r="Z935" s="144"/>
      <c r="AA935" s="145"/>
      <c r="AB935" s="147"/>
      <c r="AC935" s="145"/>
      <c r="AD935" s="148"/>
      <c r="AE935" s="148"/>
      <c r="AF935" s="149"/>
      <c r="AG935" s="150"/>
    </row>
    <row r="936" spans="1:42" customHeight="1" ht="11.5" s="129" customFormat="1">
      <c r="A936" s="139"/>
      <c r="B936" s="140"/>
      <c r="C936" s="141"/>
      <c r="D936" s="142"/>
      <c r="E936" s="143"/>
      <c r="F936" s="144"/>
      <c r="G936" s="145"/>
      <c r="H936" s="144"/>
      <c r="I936" s="145"/>
      <c r="J936" s="146"/>
      <c r="K936" s="145"/>
      <c r="L936" s="146"/>
      <c r="M936" s="145"/>
      <c r="N936" s="146"/>
      <c r="O936" s="145"/>
      <c r="P936" s="146"/>
      <c r="Q936" s="145"/>
      <c r="R936" s="144"/>
      <c r="S936" s="145"/>
      <c r="T936" s="144"/>
      <c r="U936" s="145"/>
      <c r="V936" s="144"/>
      <c r="W936" s="145"/>
      <c r="X936" s="144"/>
      <c r="Y936" s="145"/>
      <c r="Z936" s="144"/>
      <c r="AA936" s="145"/>
      <c r="AB936" s="147"/>
      <c r="AC936" s="145"/>
      <c r="AD936" s="148"/>
      <c r="AE936" s="148"/>
      <c r="AF936" s="149"/>
      <c r="AG936" s="150"/>
    </row>
    <row r="937" spans="1:42" customHeight="1" ht="11.5" s="129" customFormat="1">
      <c r="A937" s="139"/>
      <c r="B937" s="140"/>
      <c r="C937" s="141"/>
      <c r="D937" s="142"/>
      <c r="E937" s="143"/>
      <c r="F937" s="144"/>
      <c r="G937" s="145"/>
      <c r="H937" s="144"/>
      <c r="I937" s="145"/>
      <c r="J937" s="146"/>
      <c r="K937" s="145"/>
      <c r="L937" s="146"/>
      <c r="M937" s="145"/>
      <c r="N937" s="146"/>
      <c r="O937" s="145"/>
      <c r="P937" s="146"/>
      <c r="Q937" s="145"/>
      <c r="R937" s="144"/>
      <c r="S937" s="145"/>
      <c r="T937" s="144"/>
      <c r="U937" s="145"/>
      <c r="V937" s="144"/>
      <c r="W937" s="145"/>
      <c r="X937" s="144"/>
      <c r="Y937" s="145"/>
      <c r="Z937" s="144"/>
      <c r="AA937" s="145"/>
      <c r="AB937" s="147"/>
      <c r="AC937" s="145"/>
      <c r="AD937" s="148"/>
      <c r="AE937" s="148"/>
      <c r="AF937" s="149"/>
      <c r="AG937" s="150"/>
    </row>
    <row r="938" spans="1:42" customHeight="1" ht="11.5" s="129" customFormat="1">
      <c r="A938" s="139"/>
      <c r="B938" s="140"/>
      <c r="C938" s="141"/>
      <c r="D938" s="142"/>
      <c r="E938" s="143"/>
      <c r="F938" s="144"/>
      <c r="G938" s="145"/>
      <c r="H938" s="144"/>
      <c r="I938" s="145"/>
      <c r="J938" s="146"/>
      <c r="K938" s="145"/>
      <c r="L938" s="146"/>
      <c r="M938" s="145"/>
      <c r="N938" s="146"/>
      <c r="O938" s="145"/>
      <c r="P938" s="146"/>
      <c r="Q938" s="145"/>
      <c r="R938" s="144"/>
      <c r="S938" s="145"/>
      <c r="T938" s="144"/>
      <c r="U938" s="145"/>
      <c r="V938" s="144"/>
      <c r="W938" s="145"/>
      <c r="X938" s="144"/>
      <c r="Y938" s="145"/>
      <c r="Z938" s="144"/>
      <c r="AA938" s="145"/>
      <c r="AB938" s="147"/>
      <c r="AC938" s="145"/>
      <c r="AD938" s="148"/>
      <c r="AE938" s="148"/>
      <c r="AF938" s="149"/>
      <c r="AG938" s="150"/>
    </row>
    <row r="939" spans="1:42" customHeight="1" ht="11.5" s="129" customFormat="1">
      <c r="A939" s="139"/>
      <c r="B939" s="140"/>
      <c r="C939" s="141"/>
      <c r="D939" s="142"/>
      <c r="E939" s="143"/>
      <c r="F939" s="144"/>
      <c r="G939" s="145"/>
      <c r="H939" s="144"/>
      <c r="I939" s="145"/>
      <c r="J939" s="146"/>
      <c r="K939" s="145"/>
      <c r="L939" s="146"/>
      <c r="M939" s="145"/>
      <c r="N939" s="146"/>
      <c r="O939" s="145"/>
      <c r="P939" s="146"/>
      <c r="Q939" s="145"/>
      <c r="R939" s="144"/>
      <c r="S939" s="145"/>
      <c r="T939" s="144"/>
      <c r="U939" s="145"/>
      <c r="V939" s="144"/>
      <c r="W939" s="145"/>
      <c r="X939" s="144"/>
      <c r="Y939" s="145"/>
      <c r="Z939" s="144"/>
      <c r="AA939" s="145"/>
      <c r="AB939" s="147"/>
      <c r="AC939" s="145"/>
      <c r="AD939" s="148"/>
      <c r="AE939" s="148"/>
      <c r="AF939" s="149"/>
      <c r="AG939" s="150"/>
    </row>
    <row r="940" spans="1:42" customHeight="1" ht="11.5" s="129" customFormat="1">
      <c r="A940" s="139"/>
      <c r="B940" s="140"/>
      <c r="C940" s="141"/>
      <c r="D940" s="142"/>
      <c r="E940" s="143"/>
      <c r="F940" s="144"/>
      <c r="G940" s="145"/>
      <c r="H940" s="144"/>
      <c r="I940" s="145"/>
      <c r="J940" s="146"/>
      <c r="K940" s="145"/>
      <c r="L940" s="146"/>
      <c r="M940" s="145"/>
      <c r="N940" s="146"/>
      <c r="O940" s="145"/>
      <c r="P940" s="146"/>
      <c r="Q940" s="145"/>
      <c r="R940" s="144"/>
      <c r="S940" s="145"/>
      <c r="T940" s="144"/>
      <c r="U940" s="145"/>
      <c r="V940" s="144"/>
      <c r="W940" s="145"/>
      <c r="X940" s="144"/>
      <c r="Y940" s="145"/>
      <c r="Z940" s="144"/>
      <c r="AA940" s="145"/>
      <c r="AB940" s="147"/>
      <c r="AC940" s="145"/>
      <c r="AD940" s="148"/>
      <c r="AE940" s="148"/>
      <c r="AF940" s="149"/>
      <c r="AG940" s="150"/>
    </row>
    <row r="941" spans="1:42" customHeight="1" ht="11.5" s="129" customFormat="1">
      <c r="A941" s="139"/>
      <c r="B941" s="140"/>
      <c r="C941" s="141"/>
      <c r="D941" s="142"/>
      <c r="E941" s="143"/>
      <c r="F941" s="144"/>
      <c r="G941" s="145"/>
      <c r="H941" s="144"/>
      <c r="I941" s="145"/>
      <c r="J941" s="146"/>
      <c r="K941" s="145"/>
      <c r="L941" s="146"/>
      <c r="M941" s="145"/>
      <c r="N941" s="146"/>
      <c r="O941" s="145"/>
      <c r="P941" s="146"/>
      <c r="Q941" s="145"/>
      <c r="R941" s="144"/>
      <c r="S941" s="145"/>
      <c r="T941" s="144"/>
      <c r="U941" s="145"/>
      <c r="V941" s="144"/>
      <c r="W941" s="145"/>
      <c r="X941" s="144"/>
      <c r="Y941" s="145"/>
      <c r="Z941" s="144"/>
      <c r="AA941" s="145"/>
      <c r="AB941" s="147"/>
      <c r="AC941" s="145"/>
      <c r="AD941" s="148"/>
      <c r="AE941" s="148"/>
      <c r="AF941" s="149"/>
      <c r="AG941" s="150"/>
    </row>
    <row r="942" spans="1:42" customHeight="1" ht="11.5" s="129" customFormat="1">
      <c r="A942" s="139"/>
      <c r="B942" s="140"/>
      <c r="C942" s="141"/>
      <c r="D942" s="142"/>
      <c r="E942" s="143"/>
      <c r="F942" s="144"/>
      <c r="G942" s="145"/>
      <c r="H942" s="144"/>
      <c r="I942" s="145"/>
      <c r="J942" s="146"/>
      <c r="K942" s="145"/>
      <c r="L942" s="146"/>
      <c r="M942" s="145"/>
      <c r="N942" s="146"/>
      <c r="O942" s="145"/>
      <c r="P942" s="146"/>
      <c r="Q942" s="145"/>
      <c r="R942" s="144"/>
      <c r="S942" s="145"/>
      <c r="T942" s="144"/>
      <c r="U942" s="145"/>
      <c r="V942" s="144"/>
      <c r="W942" s="145"/>
      <c r="X942" s="144"/>
      <c r="Y942" s="145"/>
      <c r="Z942" s="144"/>
      <c r="AA942" s="145"/>
      <c r="AB942" s="147"/>
      <c r="AC942" s="145"/>
      <c r="AD942" s="148"/>
      <c r="AE942" s="148"/>
      <c r="AF942" s="149"/>
      <c r="AG942" s="150"/>
    </row>
    <row r="943" spans="1:42" customHeight="1" ht="11.5" s="129" customFormat="1">
      <c r="A943" s="139"/>
      <c r="B943" s="140"/>
      <c r="C943" s="141"/>
      <c r="D943" s="142"/>
      <c r="E943" s="143"/>
      <c r="F943" s="144"/>
      <c r="G943" s="145"/>
      <c r="H943" s="144"/>
      <c r="I943" s="145"/>
      <c r="J943" s="146"/>
      <c r="K943" s="145"/>
      <c r="L943" s="146"/>
      <c r="M943" s="145"/>
      <c r="N943" s="146"/>
      <c r="O943" s="145"/>
      <c r="P943" s="146"/>
      <c r="Q943" s="145"/>
      <c r="R943" s="144"/>
      <c r="S943" s="145"/>
      <c r="T943" s="144"/>
      <c r="U943" s="145"/>
      <c r="V943" s="144"/>
      <c r="W943" s="145"/>
      <c r="X943" s="144"/>
      <c r="Y943" s="145"/>
      <c r="Z943" s="144"/>
      <c r="AA943" s="145"/>
      <c r="AB943" s="147"/>
      <c r="AC943" s="145"/>
      <c r="AD943" s="148"/>
      <c r="AE943" s="148"/>
      <c r="AF943" s="149"/>
      <c r="AG943" s="150"/>
    </row>
    <row r="944" spans="1:42" customHeight="1" ht="11.5" s="129" customFormat="1">
      <c r="A944" s="139"/>
      <c r="B944" s="140"/>
      <c r="C944" s="141"/>
      <c r="D944" s="142"/>
      <c r="E944" s="143"/>
      <c r="F944" s="144"/>
      <c r="G944" s="145"/>
      <c r="H944" s="144"/>
      <c r="I944" s="145"/>
      <c r="J944" s="146"/>
      <c r="K944" s="145"/>
      <c r="L944" s="146"/>
      <c r="M944" s="145"/>
      <c r="N944" s="146"/>
      <c r="O944" s="145"/>
      <c r="P944" s="146"/>
      <c r="Q944" s="145"/>
      <c r="R944" s="144"/>
      <c r="S944" s="145"/>
      <c r="T944" s="144"/>
      <c r="U944" s="145"/>
      <c r="V944" s="144"/>
      <c r="W944" s="145"/>
      <c r="X944" s="144"/>
      <c r="Y944" s="145"/>
      <c r="Z944" s="144"/>
      <c r="AA944" s="145"/>
      <c r="AB944" s="147"/>
      <c r="AC944" s="145"/>
      <c r="AD944" s="148"/>
      <c r="AE944" s="148"/>
      <c r="AF944" s="149"/>
      <c r="AG944" s="150"/>
    </row>
    <row r="945" spans="1:42" customHeight="1" ht="11.5" s="129" customFormat="1">
      <c r="A945" s="139"/>
      <c r="B945" s="140"/>
      <c r="C945" s="141"/>
      <c r="D945" s="142"/>
      <c r="E945" s="143"/>
      <c r="F945" s="144"/>
      <c r="G945" s="145"/>
      <c r="H945" s="144"/>
      <c r="I945" s="145"/>
      <c r="J945" s="146"/>
      <c r="K945" s="145"/>
      <c r="L945" s="146"/>
      <c r="M945" s="145"/>
      <c r="N945" s="146"/>
      <c r="O945" s="145"/>
      <c r="P945" s="146"/>
      <c r="Q945" s="145"/>
      <c r="R945" s="144"/>
      <c r="S945" s="145"/>
      <c r="T945" s="144"/>
      <c r="U945" s="145"/>
      <c r="V945" s="144"/>
      <c r="W945" s="145"/>
      <c r="X945" s="144"/>
      <c r="Y945" s="145"/>
      <c r="Z945" s="144"/>
      <c r="AA945" s="145"/>
      <c r="AB945" s="147"/>
      <c r="AC945" s="145"/>
      <c r="AD945" s="148"/>
      <c r="AE945" s="148"/>
      <c r="AF945" s="149"/>
      <c r="AG945" s="150"/>
    </row>
    <row r="946" spans="1:42" customHeight="1" ht="11.5" s="129" customFormat="1">
      <c r="A946" s="139"/>
      <c r="B946" s="140"/>
      <c r="C946" s="141"/>
      <c r="D946" s="142"/>
      <c r="E946" s="143"/>
      <c r="F946" s="144"/>
      <c r="G946" s="145"/>
      <c r="H946" s="144"/>
      <c r="I946" s="145"/>
      <c r="J946" s="146"/>
      <c r="K946" s="145"/>
      <c r="L946" s="146"/>
      <c r="M946" s="145"/>
      <c r="N946" s="146"/>
      <c r="O946" s="145"/>
      <c r="P946" s="146"/>
      <c r="Q946" s="145"/>
      <c r="R946" s="144"/>
      <c r="S946" s="145"/>
      <c r="T946" s="144"/>
      <c r="U946" s="145"/>
      <c r="V946" s="144"/>
      <c r="W946" s="145"/>
      <c r="X946" s="144"/>
      <c r="Y946" s="145"/>
      <c r="Z946" s="144"/>
      <c r="AA946" s="145"/>
      <c r="AB946" s="147"/>
      <c r="AC946" s="145"/>
      <c r="AD946" s="148"/>
      <c r="AE946" s="148"/>
      <c r="AF946" s="149"/>
      <c r="AG946" s="150"/>
    </row>
    <row r="947" spans="1:42" customHeight="1" ht="11.5" s="129" customFormat="1">
      <c r="A947" s="139"/>
      <c r="B947" s="140"/>
      <c r="C947" s="141"/>
      <c r="D947" s="142"/>
      <c r="E947" s="143"/>
      <c r="F947" s="144"/>
      <c r="G947" s="145"/>
      <c r="H947" s="144"/>
      <c r="I947" s="145"/>
      <c r="J947" s="146"/>
      <c r="K947" s="145"/>
      <c r="L947" s="146"/>
      <c r="M947" s="145"/>
      <c r="N947" s="146"/>
      <c r="O947" s="145"/>
      <c r="P947" s="146"/>
      <c r="Q947" s="145"/>
      <c r="R947" s="144"/>
      <c r="S947" s="145"/>
      <c r="T947" s="144"/>
      <c r="U947" s="145"/>
      <c r="V947" s="144"/>
      <c r="W947" s="145"/>
      <c r="X947" s="144"/>
      <c r="Y947" s="145"/>
      <c r="Z947" s="144"/>
      <c r="AA947" s="145"/>
      <c r="AB947" s="147"/>
      <c r="AC947" s="145"/>
      <c r="AD947" s="148"/>
      <c r="AE947" s="148"/>
      <c r="AF947" s="149"/>
      <c r="AG947" s="150"/>
    </row>
    <row r="948" spans="1:42" customHeight="1" ht="11.5" s="129" customFormat="1">
      <c r="A948" s="139"/>
      <c r="B948" s="140"/>
      <c r="C948" s="141"/>
      <c r="D948" s="142"/>
      <c r="E948" s="143"/>
      <c r="F948" s="144"/>
      <c r="G948" s="145"/>
      <c r="H948" s="144"/>
      <c r="I948" s="145"/>
      <c r="J948" s="146"/>
      <c r="K948" s="145"/>
      <c r="L948" s="146"/>
      <c r="M948" s="145"/>
      <c r="N948" s="146"/>
      <c r="O948" s="145"/>
      <c r="P948" s="146"/>
      <c r="Q948" s="145"/>
      <c r="R948" s="144"/>
      <c r="S948" s="145"/>
      <c r="T948" s="144"/>
      <c r="U948" s="145"/>
      <c r="V948" s="144"/>
      <c r="W948" s="145"/>
      <c r="X948" s="144"/>
      <c r="Y948" s="145"/>
      <c r="Z948" s="144"/>
      <c r="AA948" s="145"/>
      <c r="AB948" s="147"/>
      <c r="AC948" s="145"/>
      <c r="AD948" s="148"/>
      <c r="AE948" s="148"/>
      <c r="AF948" s="149"/>
      <c r="AG948" s="150"/>
    </row>
    <row r="949" spans="1:42" customHeight="1" ht="11.5" s="129" customFormat="1">
      <c r="A949" s="139"/>
      <c r="B949" s="140"/>
      <c r="C949" s="141"/>
      <c r="D949" s="142"/>
      <c r="E949" s="143"/>
      <c r="F949" s="144"/>
      <c r="G949" s="145"/>
      <c r="H949" s="144"/>
      <c r="I949" s="145"/>
      <c r="J949" s="146"/>
      <c r="K949" s="145"/>
      <c r="L949" s="146"/>
      <c r="M949" s="145"/>
      <c r="N949" s="146"/>
      <c r="O949" s="145"/>
      <c r="P949" s="146"/>
      <c r="Q949" s="145"/>
      <c r="R949" s="144"/>
      <c r="S949" s="145"/>
      <c r="T949" s="144"/>
      <c r="U949" s="145"/>
      <c r="V949" s="144"/>
      <c r="W949" s="145"/>
      <c r="X949" s="144"/>
      <c r="Y949" s="145"/>
      <c r="Z949" s="144"/>
      <c r="AA949" s="145"/>
      <c r="AB949" s="147"/>
      <c r="AC949" s="145"/>
      <c r="AD949" s="148"/>
      <c r="AE949" s="148"/>
      <c r="AF949" s="149"/>
      <c r="AG949" s="150"/>
    </row>
    <row r="950" spans="1:42" customHeight="1" ht="11.5" s="129" customFormat="1">
      <c r="A950" s="139"/>
      <c r="B950" s="140"/>
      <c r="C950" s="141"/>
      <c r="D950" s="142"/>
      <c r="E950" s="143"/>
      <c r="F950" s="144"/>
      <c r="G950" s="145"/>
      <c r="H950" s="144"/>
      <c r="I950" s="145"/>
      <c r="J950" s="146"/>
      <c r="K950" s="145"/>
      <c r="L950" s="146"/>
      <c r="M950" s="145"/>
      <c r="N950" s="146"/>
      <c r="O950" s="145"/>
      <c r="P950" s="146"/>
      <c r="Q950" s="145"/>
      <c r="R950" s="144"/>
      <c r="S950" s="145"/>
      <c r="T950" s="144"/>
      <c r="U950" s="145"/>
      <c r="V950" s="144"/>
      <c r="W950" s="145"/>
      <c r="X950" s="144"/>
      <c r="Y950" s="145"/>
      <c r="Z950" s="144"/>
      <c r="AA950" s="145"/>
      <c r="AB950" s="147"/>
      <c r="AC950" s="145"/>
      <c r="AD950" s="148"/>
      <c r="AE950" s="148"/>
      <c r="AF950" s="149"/>
      <c r="AG950" s="150"/>
    </row>
    <row r="951" spans="1:42" customHeight="1" ht="11.5" s="129" customFormat="1">
      <c r="A951" s="139"/>
      <c r="B951" s="140"/>
      <c r="C951" s="141"/>
      <c r="D951" s="142"/>
      <c r="E951" s="143"/>
      <c r="F951" s="144"/>
      <c r="G951" s="145"/>
      <c r="H951" s="144"/>
      <c r="I951" s="145"/>
      <c r="J951" s="146"/>
      <c r="K951" s="145"/>
      <c r="L951" s="146"/>
      <c r="M951" s="145"/>
      <c r="N951" s="146"/>
      <c r="O951" s="145"/>
      <c r="P951" s="146"/>
      <c r="Q951" s="145"/>
      <c r="R951" s="144"/>
      <c r="S951" s="145"/>
      <c r="T951" s="144"/>
      <c r="U951" s="145"/>
      <c r="V951" s="144"/>
      <c r="W951" s="145"/>
      <c r="X951" s="144"/>
      <c r="Y951" s="145"/>
      <c r="Z951" s="144"/>
      <c r="AA951" s="145"/>
      <c r="AB951" s="147"/>
      <c r="AC951" s="145"/>
      <c r="AD951" s="148"/>
      <c r="AE951" s="148"/>
      <c r="AF951" s="149"/>
      <c r="AG951" s="150"/>
    </row>
    <row r="952" spans="1:42" customHeight="1" ht="11.5" s="129" customFormat="1">
      <c r="A952" s="139"/>
      <c r="B952" s="140"/>
      <c r="C952" s="141"/>
      <c r="D952" s="142"/>
      <c r="E952" s="143"/>
      <c r="F952" s="144"/>
      <c r="G952" s="145"/>
      <c r="H952" s="144"/>
      <c r="I952" s="145"/>
      <c r="J952" s="146"/>
      <c r="K952" s="145"/>
      <c r="L952" s="146"/>
      <c r="M952" s="145"/>
      <c r="N952" s="146"/>
      <c r="O952" s="145"/>
      <c r="P952" s="146"/>
      <c r="Q952" s="145"/>
      <c r="R952" s="144"/>
      <c r="S952" s="145"/>
      <c r="T952" s="144"/>
      <c r="U952" s="145"/>
      <c r="V952" s="144"/>
      <c r="W952" s="145"/>
      <c r="X952" s="144"/>
      <c r="Y952" s="145"/>
      <c r="Z952" s="144"/>
      <c r="AA952" s="145"/>
      <c r="AB952" s="147"/>
      <c r="AC952" s="145"/>
      <c r="AD952" s="148"/>
      <c r="AE952" s="148"/>
      <c r="AF952" s="149"/>
      <c r="AG952" s="150"/>
    </row>
    <row r="953" spans="1:42" customHeight="1" ht="11.5" s="129" customFormat="1">
      <c r="A953" s="139"/>
      <c r="B953" s="140"/>
      <c r="C953" s="141"/>
      <c r="D953" s="142"/>
      <c r="E953" s="143"/>
      <c r="F953" s="144"/>
      <c r="G953" s="145"/>
      <c r="H953" s="144"/>
      <c r="I953" s="145"/>
      <c r="J953" s="146"/>
      <c r="K953" s="145"/>
      <c r="L953" s="146"/>
      <c r="M953" s="145"/>
      <c r="N953" s="146"/>
      <c r="O953" s="145"/>
      <c r="P953" s="146"/>
      <c r="Q953" s="145"/>
      <c r="R953" s="144"/>
      <c r="S953" s="145"/>
      <c r="T953" s="144"/>
      <c r="U953" s="145"/>
      <c r="V953" s="144"/>
      <c r="W953" s="145"/>
      <c r="X953" s="144"/>
      <c r="Y953" s="145"/>
      <c r="Z953" s="144"/>
      <c r="AA953" s="145"/>
      <c r="AB953" s="147"/>
      <c r="AC953" s="145"/>
      <c r="AD953" s="148"/>
      <c r="AE953" s="148"/>
      <c r="AF953" s="149"/>
      <c r="AG953" s="150"/>
    </row>
    <row r="954" spans="1:42" customHeight="1" ht="11.5" s="129" customFormat="1">
      <c r="A954" s="139"/>
      <c r="B954" s="140"/>
      <c r="C954" s="141"/>
      <c r="D954" s="142"/>
      <c r="E954" s="143"/>
      <c r="F954" s="144"/>
      <c r="G954" s="145"/>
      <c r="H954" s="144"/>
      <c r="I954" s="145"/>
      <c r="J954" s="146"/>
      <c r="K954" s="145"/>
      <c r="L954" s="146"/>
      <c r="M954" s="145"/>
      <c r="N954" s="146"/>
      <c r="O954" s="145"/>
      <c r="P954" s="146"/>
      <c r="Q954" s="145"/>
      <c r="R954" s="144"/>
      <c r="S954" s="145"/>
      <c r="T954" s="144"/>
      <c r="U954" s="145"/>
      <c r="V954" s="144"/>
      <c r="W954" s="145"/>
      <c r="X954" s="144"/>
      <c r="Y954" s="145"/>
      <c r="Z954" s="144"/>
      <c r="AA954" s="145"/>
      <c r="AB954" s="147"/>
      <c r="AC954" s="145"/>
      <c r="AD954" s="148"/>
      <c r="AE954" s="148"/>
      <c r="AF954" s="149"/>
      <c r="AG954" s="150"/>
    </row>
    <row r="955" spans="1:42" customHeight="1" ht="11.5" s="129" customFormat="1">
      <c r="A955" s="139"/>
      <c r="B955" s="140"/>
      <c r="C955" s="141"/>
      <c r="D955" s="142"/>
      <c r="E955" s="143"/>
      <c r="F955" s="144"/>
      <c r="G955" s="145"/>
      <c r="H955" s="144"/>
      <c r="I955" s="145"/>
      <c r="J955" s="146"/>
      <c r="K955" s="145"/>
      <c r="L955" s="146"/>
      <c r="M955" s="145"/>
      <c r="N955" s="146"/>
      <c r="O955" s="145"/>
      <c r="P955" s="146"/>
      <c r="Q955" s="145"/>
      <c r="R955" s="144"/>
      <c r="S955" s="145"/>
      <c r="T955" s="144"/>
      <c r="U955" s="145"/>
      <c r="V955" s="144"/>
      <c r="W955" s="145"/>
      <c r="X955" s="144"/>
      <c r="Y955" s="145"/>
      <c r="Z955" s="144"/>
      <c r="AA955" s="145"/>
      <c r="AB955" s="147"/>
      <c r="AC955" s="145"/>
      <c r="AD955" s="148"/>
      <c r="AE955" s="148"/>
      <c r="AF955" s="149"/>
      <c r="AG955" s="150"/>
    </row>
    <row r="956" spans="1:42" customHeight="1" ht="11.5" s="129" customFormat="1">
      <c r="A956" s="139"/>
      <c r="B956" s="140"/>
      <c r="C956" s="141"/>
      <c r="D956" s="142"/>
      <c r="E956" s="143"/>
      <c r="F956" s="144"/>
      <c r="G956" s="145"/>
      <c r="H956" s="144"/>
      <c r="I956" s="145"/>
      <c r="J956" s="146"/>
      <c r="K956" s="145"/>
      <c r="L956" s="146"/>
      <c r="M956" s="145"/>
      <c r="N956" s="146"/>
      <c r="O956" s="145"/>
      <c r="P956" s="146"/>
      <c r="Q956" s="145"/>
      <c r="R956" s="144"/>
      <c r="S956" s="145"/>
      <c r="T956" s="144"/>
      <c r="U956" s="145"/>
      <c r="V956" s="144"/>
      <c r="W956" s="145"/>
      <c r="X956" s="144"/>
      <c r="Y956" s="145"/>
      <c r="Z956" s="144"/>
      <c r="AA956" s="145"/>
      <c r="AB956" s="147"/>
      <c r="AC956" s="145"/>
      <c r="AD956" s="148"/>
      <c r="AE956" s="148"/>
      <c r="AF956" s="149"/>
      <c r="AG956" s="150"/>
    </row>
    <row r="957" spans="1:42" customHeight="1" ht="11.5" s="129" customFormat="1">
      <c r="A957" s="139"/>
      <c r="B957" s="140"/>
      <c r="C957" s="141"/>
      <c r="D957" s="142"/>
      <c r="E957" s="143"/>
      <c r="F957" s="144"/>
      <c r="G957" s="145"/>
      <c r="H957" s="144"/>
      <c r="I957" s="145"/>
      <c r="J957" s="146"/>
      <c r="K957" s="145"/>
      <c r="L957" s="146"/>
      <c r="M957" s="145"/>
      <c r="N957" s="146"/>
      <c r="O957" s="145"/>
      <c r="P957" s="146"/>
      <c r="Q957" s="145"/>
      <c r="R957" s="144"/>
      <c r="S957" s="145"/>
      <c r="T957" s="144"/>
      <c r="U957" s="145"/>
      <c r="V957" s="144"/>
      <c r="W957" s="145"/>
      <c r="X957" s="144"/>
      <c r="Y957" s="145"/>
      <c r="Z957" s="144"/>
      <c r="AA957" s="145"/>
      <c r="AB957" s="147"/>
      <c r="AC957" s="145"/>
      <c r="AD957" s="148"/>
      <c r="AE957" s="148"/>
      <c r="AF957" s="149"/>
      <c r="AG957" s="150"/>
    </row>
    <row r="958" spans="1:42" customHeight="1" ht="11.5" s="129" customFormat="1">
      <c r="A958" s="139"/>
      <c r="B958" s="140"/>
      <c r="C958" s="141"/>
      <c r="D958" s="142"/>
      <c r="E958" s="143"/>
      <c r="F958" s="144"/>
      <c r="G958" s="145"/>
      <c r="H958" s="144"/>
      <c r="I958" s="145"/>
      <c r="J958" s="146"/>
      <c r="K958" s="145"/>
      <c r="L958" s="146"/>
      <c r="M958" s="145"/>
      <c r="N958" s="146"/>
      <c r="O958" s="145"/>
      <c r="P958" s="146"/>
      <c r="Q958" s="145"/>
      <c r="R958" s="144"/>
      <c r="S958" s="145"/>
      <c r="T958" s="144"/>
      <c r="U958" s="145"/>
      <c r="V958" s="144"/>
      <c r="W958" s="145"/>
      <c r="X958" s="144"/>
      <c r="Y958" s="145"/>
      <c r="Z958" s="144"/>
      <c r="AA958" s="145"/>
      <c r="AB958" s="147"/>
      <c r="AC958" s="145"/>
      <c r="AD958" s="148"/>
      <c r="AE958" s="148"/>
      <c r="AF958" s="149"/>
      <c r="AG958" s="150"/>
    </row>
    <row r="959" spans="1:42" customHeight="1" ht="11.5" s="129" customFormat="1">
      <c r="A959" s="139"/>
      <c r="B959" s="140"/>
      <c r="C959" s="141"/>
      <c r="D959" s="142"/>
      <c r="E959" s="143"/>
      <c r="F959" s="144"/>
      <c r="G959" s="145"/>
      <c r="H959" s="144"/>
      <c r="I959" s="145"/>
      <c r="J959" s="146"/>
      <c r="K959" s="145"/>
      <c r="L959" s="146"/>
      <c r="M959" s="145"/>
      <c r="N959" s="146"/>
      <c r="O959" s="145"/>
      <c r="P959" s="146"/>
      <c r="Q959" s="145"/>
      <c r="R959" s="144"/>
      <c r="S959" s="145"/>
      <c r="T959" s="144"/>
      <c r="U959" s="145"/>
      <c r="V959" s="144"/>
      <c r="W959" s="145"/>
      <c r="X959" s="144"/>
      <c r="Y959" s="145"/>
      <c r="Z959" s="144"/>
      <c r="AA959" s="145"/>
      <c r="AB959" s="147"/>
      <c r="AC959" s="145"/>
      <c r="AD959" s="148"/>
      <c r="AE959" s="148"/>
      <c r="AF959" s="149"/>
      <c r="AG959" s="150"/>
    </row>
    <row r="960" spans="1:42" customHeight="1" ht="11.5" s="129" customFormat="1">
      <c r="A960" s="139"/>
      <c r="B960" s="140"/>
      <c r="C960" s="141"/>
      <c r="D960" s="142"/>
      <c r="E960" s="143"/>
      <c r="F960" s="144"/>
      <c r="G960" s="145"/>
      <c r="H960" s="144"/>
      <c r="I960" s="145"/>
      <c r="J960" s="146"/>
      <c r="K960" s="145"/>
      <c r="L960" s="146"/>
      <c r="M960" s="145"/>
      <c r="N960" s="146"/>
      <c r="O960" s="145"/>
      <c r="P960" s="146"/>
      <c r="Q960" s="145"/>
      <c r="R960" s="144"/>
      <c r="S960" s="145"/>
      <c r="T960" s="144"/>
      <c r="U960" s="145"/>
      <c r="V960" s="144"/>
      <c r="W960" s="145"/>
      <c r="X960" s="144"/>
      <c r="Y960" s="145"/>
      <c r="Z960" s="144"/>
      <c r="AA960" s="145"/>
      <c r="AB960" s="147"/>
      <c r="AC960" s="145"/>
      <c r="AD960" s="148"/>
      <c r="AE960" s="148"/>
      <c r="AF960" s="149"/>
      <c r="AG960" s="150"/>
    </row>
    <row r="961" spans="1:42" customHeight="1" ht="11.5" s="129" customFormat="1">
      <c r="A961" s="139"/>
      <c r="B961" s="140"/>
      <c r="C961" s="141"/>
      <c r="D961" s="142"/>
      <c r="E961" s="143"/>
      <c r="F961" s="144"/>
      <c r="G961" s="145"/>
      <c r="H961" s="144"/>
      <c r="I961" s="145"/>
      <c r="J961" s="146"/>
      <c r="K961" s="145"/>
      <c r="L961" s="146"/>
      <c r="M961" s="145"/>
      <c r="N961" s="146"/>
      <c r="O961" s="145"/>
      <c r="P961" s="146"/>
      <c r="Q961" s="145"/>
      <c r="R961" s="144"/>
      <c r="S961" s="145"/>
      <c r="T961" s="144"/>
      <c r="U961" s="145"/>
      <c r="V961" s="144"/>
      <c r="W961" s="145"/>
      <c r="X961" s="144"/>
      <c r="Y961" s="145"/>
      <c r="Z961" s="144"/>
      <c r="AA961" s="145"/>
      <c r="AB961" s="147"/>
      <c r="AC961" s="145"/>
      <c r="AD961" s="148"/>
      <c r="AE961" s="148"/>
      <c r="AF961" s="149"/>
      <c r="AG961" s="150"/>
    </row>
    <row r="962" spans="1:42" customHeight="1" ht="11.5" s="129" customFormat="1">
      <c r="A962" s="139"/>
      <c r="B962" s="140"/>
      <c r="C962" s="141"/>
      <c r="D962" s="142"/>
      <c r="E962" s="143"/>
      <c r="F962" s="144"/>
      <c r="G962" s="145"/>
      <c r="H962" s="144"/>
      <c r="I962" s="145"/>
      <c r="J962" s="146"/>
      <c r="K962" s="145"/>
      <c r="L962" s="146"/>
      <c r="M962" s="145"/>
      <c r="N962" s="146"/>
      <c r="O962" s="145"/>
      <c r="P962" s="146"/>
      <c r="Q962" s="145"/>
      <c r="R962" s="144"/>
      <c r="S962" s="145"/>
      <c r="T962" s="144"/>
      <c r="U962" s="145"/>
      <c r="V962" s="144"/>
      <c r="W962" s="145"/>
      <c r="X962" s="144"/>
      <c r="Y962" s="145"/>
      <c r="Z962" s="144"/>
      <c r="AA962" s="145"/>
      <c r="AB962" s="147"/>
      <c r="AC962" s="145"/>
      <c r="AD962" s="148"/>
      <c r="AE962" s="148"/>
      <c r="AF962" s="149"/>
      <c r="AG962" s="150"/>
    </row>
    <row r="963" spans="1:42" customHeight="1" ht="11.5" s="129" customFormat="1">
      <c r="A963" s="139"/>
      <c r="B963" s="140"/>
      <c r="C963" s="141"/>
      <c r="D963" s="142"/>
      <c r="E963" s="143"/>
      <c r="F963" s="144"/>
      <c r="G963" s="145"/>
      <c r="H963" s="144"/>
      <c r="I963" s="145"/>
      <c r="J963" s="146"/>
      <c r="K963" s="145"/>
      <c r="L963" s="146"/>
      <c r="M963" s="145"/>
      <c r="N963" s="146"/>
      <c r="O963" s="145"/>
      <c r="P963" s="146"/>
      <c r="Q963" s="145"/>
      <c r="R963" s="144"/>
      <c r="S963" s="145"/>
      <c r="T963" s="144"/>
      <c r="U963" s="145"/>
      <c r="V963" s="144"/>
      <c r="W963" s="145"/>
      <c r="X963" s="144"/>
      <c r="Y963" s="145"/>
      <c r="Z963" s="144"/>
      <c r="AA963" s="145"/>
      <c r="AB963" s="147"/>
      <c r="AC963" s="145"/>
      <c r="AD963" s="148"/>
      <c r="AE963" s="148"/>
      <c r="AF963" s="149"/>
      <c r="AG963" s="150"/>
    </row>
    <row r="964" spans="1:42" customHeight="1" ht="11.5" s="129" customFormat="1">
      <c r="A964" s="139"/>
      <c r="B964" s="140"/>
      <c r="C964" s="141"/>
      <c r="D964" s="142"/>
      <c r="E964" s="143"/>
      <c r="F964" s="144"/>
      <c r="G964" s="145"/>
      <c r="H964" s="144"/>
      <c r="I964" s="145"/>
      <c r="J964" s="146"/>
      <c r="K964" s="145"/>
      <c r="L964" s="146"/>
      <c r="M964" s="145"/>
      <c r="N964" s="146"/>
      <c r="O964" s="145"/>
      <c r="P964" s="146"/>
      <c r="Q964" s="145"/>
      <c r="R964" s="144"/>
      <c r="S964" s="145"/>
      <c r="T964" s="144"/>
      <c r="U964" s="145"/>
      <c r="V964" s="144"/>
      <c r="W964" s="145"/>
      <c r="X964" s="144"/>
      <c r="Y964" s="145"/>
      <c r="Z964" s="144"/>
      <c r="AA964" s="145"/>
      <c r="AB964" s="147"/>
      <c r="AC964" s="145"/>
      <c r="AD964" s="148"/>
      <c r="AE964" s="148"/>
      <c r="AF964" s="149"/>
      <c r="AG964" s="150"/>
    </row>
    <row r="965" spans="1:42" customHeight="1" ht="11.5" s="129" customFormat="1">
      <c r="A965" s="139"/>
      <c r="B965" s="140"/>
      <c r="C965" s="141"/>
      <c r="D965" s="142"/>
      <c r="E965" s="143"/>
      <c r="F965" s="144"/>
      <c r="G965" s="145"/>
      <c r="H965" s="144"/>
      <c r="I965" s="145"/>
      <c r="J965" s="146"/>
      <c r="K965" s="145"/>
      <c r="L965" s="146"/>
      <c r="M965" s="145"/>
      <c r="N965" s="146"/>
      <c r="O965" s="145"/>
      <c r="P965" s="146"/>
      <c r="Q965" s="145"/>
      <c r="R965" s="144"/>
      <c r="S965" s="145"/>
      <c r="T965" s="144"/>
      <c r="U965" s="145"/>
      <c r="V965" s="144"/>
      <c r="W965" s="145"/>
      <c r="X965" s="144"/>
      <c r="Y965" s="145"/>
      <c r="Z965" s="144"/>
      <c r="AA965" s="145"/>
      <c r="AB965" s="147"/>
      <c r="AC965" s="145"/>
      <c r="AD965" s="148"/>
      <c r="AE965" s="148"/>
      <c r="AF965" s="149"/>
      <c r="AG965" s="150"/>
    </row>
    <row r="966" spans="1:42" customHeight="1" ht="11.5" s="129" customFormat="1">
      <c r="A966" s="139"/>
      <c r="B966" s="140"/>
      <c r="C966" s="141"/>
      <c r="D966" s="142"/>
      <c r="E966" s="143"/>
      <c r="F966" s="144"/>
      <c r="G966" s="145"/>
      <c r="H966" s="144"/>
      <c r="I966" s="145"/>
      <c r="J966" s="146"/>
      <c r="K966" s="145"/>
      <c r="L966" s="146"/>
      <c r="M966" s="145"/>
      <c r="N966" s="146"/>
      <c r="O966" s="145"/>
      <c r="P966" s="146"/>
      <c r="Q966" s="145"/>
      <c r="R966" s="144"/>
      <c r="S966" s="145"/>
      <c r="T966" s="144"/>
      <c r="U966" s="145"/>
      <c r="V966" s="144"/>
      <c r="W966" s="145"/>
      <c r="X966" s="144"/>
      <c r="Y966" s="145"/>
      <c r="Z966" s="144"/>
      <c r="AA966" s="145"/>
      <c r="AB966" s="147"/>
      <c r="AC966" s="145"/>
      <c r="AD966" s="148"/>
      <c r="AE966" s="148"/>
      <c r="AF966" s="149"/>
      <c r="AG966" s="150"/>
    </row>
    <row r="967" spans="1:42" customHeight="1" ht="11.5" s="129" customFormat="1">
      <c r="B967" s="136"/>
      <c r="E967" s="154"/>
      <c r="F967" s="155"/>
      <c r="G967" s="156"/>
      <c r="H967" s="155"/>
      <c r="I967" s="156"/>
      <c r="J967" s="155"/>
      <c r="K967" s="156"/>
      <c r="L967" s="155"/>
      <c r="M967" s="156"/>
      <c r="N967" s="155"/>
      <c r="O967" s="156"/>
      <c r="P967" s="155"/>
      <c r="Q967" s="156"/>
      <c r="R967" s="155"/>
      <c r="S967" s="156"/>
      <c r="T967" s="155"/>
      <c r="U967" s="156"/>
      <c r="V967" s="155"/>
      <c r="W967" s="156"/>
      <c r="X967" s="155"/>
      <c r="Y967" s="156"/>
      <c r="Z967" s="155"/>
      <c r="AA967" s="156"/>
      <c r="AB967" s="155"/>
      <c r="AC967" s="156"/>
      <c r="AD967" s="157"/>
      <c r="AE967" s="157"/>
      <c r="AF967" s="158"/>
      <c r="AG967" s="157"/>
    </row>
    <row r="968" spans="1:42" customHeight="1" ht="11.5" s="129" customFormat="1">
      <c r="B968" s="136"/>
      <c r="F968" s="135"/>
      <c r="G968" s="131"/>
      <c r="H968" s="135"/>
      <c r="I968" s="131"/>
      <c r="J968" s="137"/>
      <c r="K968" s="131"/>
      <c r="L968" s="137"/>
      <c r="M968" s="131"/>
      <c r="N968" s="137"/>
      <c r="O968" s="131"/>
      <c r="P968" s="137"/>
      <c r="Q968" s="131"/>
      <c r="R968" s="137"/>
      <c r="S968" s="131"/>
      <c r="T968" s="137"/>
      <c r="U968" s="137"/>
      <c r="V968" s="131"/>
      <c r="W968" s="131"/>
      <c r="X968" s="131"/>
      <c r="Y968" s="131"/>
      <c r="Z968" s="131"/>
      <c r="AA968" s="131"/>
      <c r="AB968" s="132"/>
      <c r="AC968" s="131"/>
      <c r="AD968" s="131"/>
    </row>
    <row r="969" spans="1:42" customHeight="1" ht="11.5" s="129" customFormat="1">
      <c r="B969" s="136"/>
      <c r="F969" s="135"/>
      <c r="H969" s="135"/>
      <c r="I969" s="131"/>
      <c r="J969" s="137"/>
      <c r="K969" s="131"/>
      <c r="L969" s="137"/>
      <c r="M969" s="131"/>
      <c r="N969" s="137"/>
      <c r="P969" s="137"/>
      <c r="R969" s="135"/>
      <c r="T969" s="135"/>
      <c r="U969" s="137"/>
      <c r="V969" s="131"/>
      <c r="X969" s="131"/>
      <c r="Z969" s="131"/>
      <c r="AA969" s="138"/>
      <c r="AB969" s="132"/>
      <c r="AC969" s="131"/>
      <c r="AD969" s="131"/>
    </row>
    <row r="970" spans="1:42" customHeight="1" ht="12" s="129" customFormat="1">
      <c r="B970" s="130"/>
      <c r="I970" s="131"/>
      <c r="J970" s="132"/>
      <c r="K970" s="131"/>
      <c r="L970" s="131"/>
      <c r="N970" s="131"/>
      <c r="P970" s="131"/>
      <c r="R970" s="131"/>
      <c r="U970" s="131"/>
      <c r="V970" s="131"/>
      <c r="X970" s="131"/>
      <c r="Y970" s="131"/>
      <c r="Z970" s="131"/>
      <c r="AA970" s="131"/>
      <c r="AB970" s="131"/>
      <c r="AC970" s="131"/>
      <c r="AD970" s="131"/>
      <c r="AE970" s="133"/>
      <c r="AF970" s="133"/>
      <c r="AG970" s="133"/>
    </row>
    <row r="971" spans="1:42" customHeight="1" ht="11.5" s="129" customFormat="1">
      <c r="B971" s="130"/>
      <c r="D971" s="134"/>
      <c r="I971" s="131"/>
      <c r="J971" s="132"/>
      <c r="K971" s="131"/>
      <c r="L971" s="131"/>
      <c r="N971" s="131"/>
      <c r="O971" s="131"/>
      <c r="P971" s="131"/>
      <c r="Q971" s="131"/>
      <c r="R971" s="131"/>
      <c r="S971" s="131"/>
      <c r="T971" s="131"/>
      <c r="U971" s="131"/>
      <c r="V971" s="131"/>
      <c r="X971" s="131"/>
      <c r="Y971" s="131"/>
      <c r="Z971" s="131"/>
      <c r="AA971" s="131"/>
      <c r="AB971" s="131"/>
      <c r="AC971" s="131"/>
    </row>
    <row r="972" spans="1:42" customHeight="1" ht="11.5" s="129" customFormat="1">
      <c r="C972" s="159"/>
      <c r="F972" s="135"/>
      <c r="H972" s="131"/>
      <c r="J972" s="131"/>
      <c r="L972" s="131"/>
      <c r="M972" s="131"/>
      <c r="O972" s="131"/>
      <c r="P972" s="131"/>
      <c r="R972" s="131"/>
      <c r="T972" s="131"/>
      <c r="W972" s="131"/>
      <c r="X972" s="131"/>
      <c r="Y972" s="131"/>
      <c r="Z972" s="131"/>
      <c r="AA972" s="131"/>
      <c r="AB972" s="131"/>
      <c r="AC972" s="131"/>
    </row>
    <row r="973" spans="1:42" customHeight="1" ht="11.5" s="93" customFormat="1">
      <c r="C973" s="100"/>
      <c r="H973" s="101" t="s">
        <v>124</v>
      </c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3"/>
      <c r="Z973" s="102"/>
      <c r="AA973" s="102"/>
      <c r="AB973" s="102"/>
      <c r="AC973" s="102"/>
      <c r="AD973" s="99"/>
      <c r="AE973" s="104"/>
      <c r="AG973" s="99"/>
    </row>
    <row r="974" spans="1:42" customHeight="1" ht="11.5" s="93" customFormat="1">
      <c r="B974" s="102"/>
      <c r="H974" s="101"/>
      <c r="J974" s="160"/>
      <c r="L974" s="160"/>
      <c r="N974" s="160"/>
      <c r="P974" s="160"/>
      <c r="Z974" s="99"/>
      <c r="AD974" s="161"/>
    </row>
    <row r="975" spans="1:42" customHeight="1" ht="11.5" s="93" customFormat="1">
      <c r="B975" s="102"/>
      <c r="H975" s="99"/>
      <c r="J975" s="160"/>
      <c r="L975" s="160"/>
      <c r="N975" s="160"/>
      <c r="P975" s="160"/>
      <c r="T975" s="99"/>
      <c r="V975" s="162"/>
      <c r="X975" s="99"/>
      <c r="AD975" s="163"/>
      <c r="AG975" s="164"/>
    </row>
    <row r="976" spans="1:42" customHeight="1" ht="11.5" s="93" customFormat="1">
      <c r="B976" s="102"/>
      <c r="F976" s="101"/>
      <c r="H976" s="99" t="s">
        <v>124</v>
      </c>
      <c r="J976" s="160"/>
      <c r="L976" s="160"/>
      <c r="N976" s="160"/>
      <c r="P976" s="160"/>
      <c r="Q976" s="99"/>
      <c r="T976" s="99"/>
      <c r="W976" s="99"/>
      <c r="AA976" s="99"/>
      <c r="AG976" s="164"/>
    </row>
    <row r="977" spans="1:42" customHeight="1" ht="11.5">
      <c r="Q977" s="97"/>
      <c r="X977" s="98"/>
    </row>
    <row r="979" spans="1:42" customHeight="1" ht="11.5">
      <c r="G979" s="97"/>
      <c r="S979" s="97"/>
    </row>
    <row r="980" spans="1:42" customHeight="1" ht="11.5">
      <c r="R980" s="98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C4:G4"/>
    <mergeCell ref="R6:S7"/>
    <mergeCell ref="T6:U7"/>
    <mergeCell ref="AF6:AF8"/>
    <mergeCell ref="AG6:AG8"/>
    <mergeCell ref="V6:W7"/>
    <mergeCell ref="X6:Y7"/>
    <mergeCell ref="Z6:AA7"/>
    <mergeCell ref="AB6:AC7"/>
    <mergeCell ref="AD6:AD7"/>
    <mergeCell ref="A6:A8"/>
    <mergeCell ref="B6:B8"/>
    <mergeCell ref="C6:C8"/>
    <mergeCell ref="D6:D8"/>
    <mergeCell ref="E6:E8"/>
    <mergeCell ref="F6:G7"/>
    <mergeCell ref="AF5:AG5"/>
    <mergeCell ref="AD5:AE5"/>
    <mergeCell ref="F5:AC5"/>
    <mergeCell ref="C3:D3"/>
    <mergeCell ref="J6:K7"/>
    <mergeCell ref="L6:M7"/>
    <mergeCell ref="N6:O7"/>
    <mergeCell ref="AE6:AE7"/>
    <mergeCell ref="P6:Q7"/>
    <mergeCell ref="H6:I7"/>
  </mergeCells>
  <conditionalFormatting sqref="B694:B735">
    <cfRule type="expression" dxfId="0" priority="1">
      <formula>AND(COUNTIF($B$694:$B$735, A1)+COUNTIF($B$743:$B$65536, A1)&gt;1,NOT(ISBLANK(A1)))</formula>
    </cfRule>
    <cfRule type="expression" dxfId="0" priority="2">
      <formula>AND(COUNTIF($B$694:$B$735, A1)+COUNTIF($B$743:$B$65536, A1)&gt;1,NOT(ISBLANK(A1)))</formula>
    </cfRule>
  </conditionalFormatting>
  <conditionalFormatting sqref="B743:B65536">
    <cfRule type="expression" dxfId="0" priority="3">
      <formula>AND(COUNTIF($B$694:$B$735, A1)+COUNTIF($B$743:$B$65536, A1)&gt;1,NOT(ISBLANK(A1)))</formula>
    </cfRule>
    <cfRule type="expression" dxfId="0" priority="4">
      <formula>AND(COUNTIF($B$694:$B$735, A1)+COUNTIF($B$743:$B$65536, A1)&gt;1,NOT(ISBLANK(A1)))</formula>
    </cfRule>
  </conditionalFormatting>
  <conditionalFormatting sqref="B575:B693">
    <cfRule type="expression" dxfId="1" priority="5">
      <formula>AND(COUNTIF($B$575:$B$693, A1)&gt;1,NOT(ISBLANK(A1)))</formula>
    </cfRule>
    <cfRule type="expression" dxfId="1" priority="6">
      <formula>AND(COUNTIF($B$575:$B$693, A1)&gt;1,NOT(ISBLANK(A1)))</formula>
    </cfRule>
  </conditionalFormatting>
  <conditionalFormatting sqref="B736:B742">
    <cfRule type="expression" dxfId="2" priority="7">
      <formula>AND(COUNTIF($B$736:$B$742, A1)&gt;1,NOT(ISBLANK(A1)))</formula>
    </cfRule>
    <cfRule type="expression" dxfId="2" priority="8">
      <formula>AND(COUNTIF($B$736:$B$742, A1)&gt;1,NOT(ISBLANK(A1)))</formula>
    </cfRule>
  </conditionalFormatting>
  <conditionalFormatting sqref="B9:B275">
    <cfRule type="expression" dxfId="3" priority="9">
      <formula>AND(COUNTIF($B$9:$B$275, A1)&gt;1,NOT(ISBLANK(A1)))</formula>
    </cfRule>
  </conditionalFormatting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3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61"/>
    <col min="2" max="2" width="3.26953125" customWidth="true" style="15"/>
    <col min="3" max="3" width="8.1796875" customWidth="true" style="64"/>
    <col min="4" max="4" width="15" customWidth="true" style="64"/>
    <col min="5" max="5" width="15" customWidth="true" style="42"/>
    <col min="6" max="6" width="10.453125" customWidth="true" style="42"/>
    <col min="7" max="7" width="8" customWidth="true" style="42"/>
    <col min="8" max="8" width="24.54296875" customWidth="true" style="42"/>
    <col min="9" max="9" width="25.453125" customWidth="true" style="42"/>
    <col min="10" max="10" width="10.26953125" customWidth="true" style="42"/>
    <col min="11" max="11" width="10.26953125" customWidth="true" style="6"/>
    <col min="12" max="12" width="18.1796875" customWidth="true" style="6"/>
    <col min="13" max="13" width="9.1796875" style="1"/>
    <col min="14" max="14" width="9.1796875" style="1"/>
    <col min="15" max="15" width="9.1796875" style="1"/>
    <col min="16" max="16" width="9.1796875" style="1"/>
    <col min="17" max="17" width="9.1796875" style="1"/>
    <col min="18" max="18" width="9.1796875" style="1"/>
    <col min="19" max="19" width="9.1796875" style="1"/>
    <col min="20" max="20" width="9.1796875" style="1"/>
    <col min="21" max="21" width="9.1796875" style="1"/>
    <col min="22" max="22" width="9.1796875" style="1"/>
  </cols>
  <sheetData>
    <row r="1" spans="1:22" customHeight="1" ht="30.75" s="12" customFormat="1">
      <c r="A1" s="207" t="s">
        <v>129</v>
      </c>
      <c r="B1" s="207"/>
      <c r="C1" s="207"/>
      <c r="D1" s="207"/>
      <c r="E1" s="207"/>
      <c r="F1" s="207"/>
      <c r="G1" s="207"/>
      <c r="H1" s="207"/>
      <c r="I1" s="207"/>
      <c r="J1" s="50"/>
      <c r="K1" s="49">
        <f>SUM(J119:J148)</f>
        <v>0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customHeight="1" ht="34.5" s="12" customFormat="1">
      <c r="A2" s="18" t="s">
        <v>130</v>
      </c>
      <c r="B2" s="54" t="s">
        <v>131</v>
      </c>
      <c r="C2" s="19" t="s">
        <v>132</v>
      </c>
      <c r="D2" s="37" t="s">
        <v>133</v>
      </c>
      <c r="E2" s="37" t="s">
        <v>134</v>
      </c>
      <c r="F2" s="65" t="s">
        <v>135</v>
      </c>
      <c r="G2" s="37" t="s">
        <v>136</v>
      </c>
      <c r="H2" s="13" t="s">
        <v>137</v>
      </c>
      <c r="I2" s="43" t="s">
        <v>138</v>
      </c>
      <c r="J2" s="48" t="s">
        <v>139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customHeight="1" ht="11.5" s="12" customFormat="1">
      <c r="A3" s="22" t="s">
        <v>140</v>
      </c>
      <c r="B3" s="55"/>
      <c r="C3" s="23" t="s">
        <v>4</v>
      </c>
      <c r="D3" s="38" t="s">
        <v>141</v>
      </c>
      <c r="E3" s="38" t="s">
        <v>142</v>
      </c>
      <c r="F3" s="38" t="s">
        <v>140</v>
      </c>
      <c r="G3" s="38">
        <v>1</v>
      </c>
      <c r="H3" s="24" t="s">
        <v>87</v>
      </c>
      <c r="I3" s="44" t="s">
        <v>41</v>
      </c>
      <c r="J3" s="44">
        <v>2000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customHeight="1" ht="11.5" s="12" customFormat="1">
      <c r="A4" s="22" t="s">
        <v>140</v>
      </c>
      <c r="B4" s="55"/>
      <c r="C4" s="23" t="s">
        <v>4</v>
      </c>
      <c r="D4" s="38" t="s">
        <v>141</v>
      </c>
      <c r="E4" s="38" t="s">
        <v>142</v>
      </c>
      <c r="F4" s="38" t="s">
        <v>140</v>
      </c>
      <c r="G4" s="38">
        <v>2</v>
      </c>
      <c r="H4" s="24" t="s">
        <v>55</v>
      </c>
      <c r="I4" s="44" t="s">
        <v>41</v>
      </c>
      <c r="J4" s="44">
        <v>72579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customHeight="1" ht="11.5" s="12" customFormat="1">
      <c r="A5" s="22" t="s">
        <v>140</v>
      </c>
      <c r="B5" s="55"/>
      <c r="C5" s="23" t="s">
        <v>4</v>
      </c>
      <c r="D5" s="38" t="s">
        <v>141</v>
      </c>
      <c r="E5" s="38" t="s">
        <v>142</v>
      </c>
      <c r="F5" s="38" t="s">
        <v>140</v>
      </c>
      <c r="G5" s="38">
        <v>3</v>
      </c>
      <c r="H5" s="24" t="s">
        <v>67</v>
      </c>
      <c r="I5" s="44" t="s">
        <v>41</v>
      </c>
      <c r="J5" s="44">
        <v>1000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customHeight="1" ht="11.5" s="12" customFormat="1">
      <c r="A6" s="22" t="s">
        <v>140</v>
      </c>
      <c r="B6" s="55"/>
      <c r="C6" s="23" t="s">
        <v>4</v>
      </c>
      <c r="D6" s="38" t="s">
        <v>141</v>
      </c>
      <c r="E6" s="38" t="s">
        <v>142</v>
      </c>
      <c r="F6" s="38" t="s">
        <v>140</v>
      </c>
      <c r="G6" s="38">
        <v>4</v>
      </c>
      <c r="H6" s="24" t="s">
        <v>59</v>
      </c>
      <c r="I6" s="44" t="s">
        <v>41</v>
      </c>
      <c r="J6" s="44">
        <v>21000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customHeight="1" ht="11.5" s="12" customFormat="1">
      <c r="A7" s="22" t="s">
        <v>140</v>
      </c>
      <c r="B7" s="55"/>
      <c r="C7" s="23" t="s">
        <v>4</v>
      </c>
      <c r="D7" s="38" t="s">
        <v>141</v>
      </c>
      <c r="E7" s="38" t="s">
        <v>142</v>
      </c>
      <c r="F7" s="38" t="s">
        <v>140</v>
      </c>
      <c r="G7" s="38">
        <v>5</v>
      </c>
      <c r="H7" s="24" t="s">
        <v>63</v>
      </c>
      <c r="I7" s="44" t="s">
        <v>41</v>
      </c>
      <c r="J7" s="44">
        <v>18000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customHeight="1" ht="11.5" s="12" customFormat="1">
      <c r="A8" s="22" t="s">
        <v>140</v>
      </c>
      <c r="B8" s="55"/>
      <c r="C8" s="23" t="s">
        <v>4</v>
      </c>
      <c r="D8" s="38" t="s">
        <v>141</v>
      </c>
      <c r="E8" s="38" t="s">
        <v>142</v>
      </c>
      <c r="F8" s="38" t="s">
        <v>140</v>
      </c>
      <c r="G8" s="38">
        <v>6</v>
      </c>
      <c r="H8" s="24" t="s">
        <v>89</v>
      </c>
      <c r="I8" s="44" t="s">
        <v>41</v>
      </c>
      <c r="J8" s="44">
        <v>6000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customHeight="1" ht="11.5" s="12" customFormat="1">
      <c r="A9" s="26" t="s">
        <v>140</v>
      </c>
      <c r="B9" s="56"/>
      <c r="C9" s="27" t="s">
        <v>4</v>
      </c>
      <c r="D9" s="39" t="s">
        <v>141</v>
      </c>
      <c r="E9" s="39" t="s">
        <v>142</v>
      </c>
      <c r="F9" s="39" t="s">
        <v>140</v>
      </c>
      <c r="G9" s="39">
        <v>7</v>
      </c>
      <c r="H9" s="28" t="s">
        <v>93</v>
      </c>
      <c r="I9" s="45" t="s">
        <v>41</v>
      </c>
      <c r="J9" s="45">
        <v>40000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customHeight="1" ht="11.5" s="12" customFormat="1">
      <c r="A10" s="26" t="s">
        <v>140</v>
      </c>
      <c r="B10" s="56"/>
      <c r="C10" s="27" t="s">
        <v>4</v>
      </c>
      <c r="D10" s="39" t="s">
        <v>141</v>
      </c>
      <c r="E10" s="39" t="s">
        <v>142</v>
      </c>
      <c r="F10" s="39" t="s">
        <v>140</v>
      </c>
      <c r="G10" s="39">
        <v>8</v>
      </c>
      <c r="H10" s="28" t="s">
        <v>118</v>
      </c>
      <c r="I10" s="45" t="s">
        <v>41</v>
      </c>
      <c r="J10" s="45">
        <v>62000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customHeight="1" ht="11.5" s="12" customFormat="1">
      <c r="A11" s="26" t="s">
        <v>140</v>
      </c>
      <c r="B11" s="56"/>
      <c r="C11" s="27" t="s">
        <v>4</v>
      </c>
      <c r="D11" s="39" t="s">
        <v>141</v>
      </c>
      <c r="E11" s="39" t="s">
        <v>142</v>
      </c>
      <c r="F11" s="39" t="s">
        <v>140</v>
      </c>
      <c r="G11" s="39">
        <v>9</v>
      </c>
      <c r="H11" s="28" t="s">
        <v>79</v>
      </c>
      <c r="I11" s="45" t="s">
        <v>143</v>
      </c>
      <c r="J11" s="45">
        <v>27000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customHeight="1" ht="11.5" s="12" customFormat="1">
      <c r="A12" s="26" t="s">
        <v>140</v>
      </c>
      <c r="B12" s="56"/>
      <c r="C12" s="27" t="s">
        <v>4</v>
      </c>
      <c r="D12" s="39" t="s">
        <v>141</v>
      </c>
      <c r="E12" s="39" t="s">
        <v>142</v>
      </c>
      <c r="F12" s="39" t="s">
        <v>140</v>
      </c>
      <c r="G12" s="39">
        <v>10</v>
      </c>
      <c r="H12" s="28" t="s">
        <v>83</v>
      </c>
      <c r="I12" s="45" t="s">
        <v>143</v>
      </c>
      <c r="J12" s="45">
        <v>1000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customHeight="1" ht="11.5" s="12" customFormat="1">
      <c r="A13" s="26" t="s">
        <v>140</v>
      </c>
      <c r="B13" s="56"/>
      <c r="C13" s="27" t="s">
        <v>4</v>
      </c>
      <c r="D13" s="39" t="s">
        <v>141</v>
      </c>
      <c r="E13" s="39" t="s">
        <v>142</v>
      </c>
      <c r="F13" s="39" t="s">
        <v>140</v>
      </c>
      <c r="G13" s="39">
        <v>11</v>
      </c>
      <c r="H13" s="28" t="s">
        <v>71</v>
      </c>
      <c r="I13" s="45" t="s">
        <v>65</v>
      </c>
      <c r="J13" s="45">
        <v>13400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customHeight="1" ht="11.5" s="12" customFormat="1">
      <c r="A14" s="26" t="s">
        <v>140</v>
      </c>
      <c r="B14" s="56"/>
      <c r="C14" s="27" t="s">
        <v>4</v>
      </c>
      <c r="D14" s="39" t="s">
        <v>141</v>
      </c>
      <c r="E14" s="39" t="s">
        <v>142</v>
      </c>
      <c r="F14" s="39" t="s">
        <v>140</v>
      </c>
      <c r="G14" s="39">
        <v>12</v>
      </c>
      <c r="H14" s="28" t="s">
        <v>81</v>
      </c>
      <c r="I14" s="45" t="s">
        <v>102</v>
      </c>
      <c r="J14" s="45">
        <v>3870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customHeight="1" ht="11.5" s="12" customFormat="1">
      <c r="A15" s="35" t="s">
        <v>140</v>
      </c>
      <c r="B15" s="32"/>
      <c r="C15" s="36" t="s">
        <v>4</v>
      </c>
      <c r="D15" s="36" t="s">
        <v>141</v>
      </c>
      <c r="E15" s="36" t="s">
        <v>142</v>
      </c>
      <c r="F15" s="36" t="s">
        <v>140</v>
      </c>
      <c r="G15" s="36">
        <v>13</v>
      </c>
      <c r="H15" s="31" t="s">
        <v>120</v>
      </c>
      <c r="I15" s="46" t="s">
        <v>110</v>
      </c>
      <c r="J15" s="46">
        <v>23129</v>
      </c>
      <c r="K15" s="3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customHeight="1" ht="11.5" s="12" customFormat="1">
      <c r="A16" s="35" t="s">
        <v>140</v>
      </c>
      <c r="B16" s="32"/>
      <c r="C16" s="36" t="s">
        <v>4</v>
      </c>
      <c r="D16" s="36" t="s">
        <v>141</v>
      </c>
      <c r="E16" s="36" t="s">
        <v>144</v>
      </c>
      <c r="F16" s="36" t="s">
        <v>140</v>
      </c>
      <c r="G16" s="36">
        <v>1</v>
      </c>
      <c r="H16" s="31" t="s">
        <v>104</v>
      </c>
      <c r="I16" s="46" t="s">
        <v>65</v>
      </c>
      <c r="J16" s="46">
        <v>200</v>
      </c>
      <c r="K16" s="3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customHeight="1" ht="11.5" s="12" customFormat="1">
      <c r="A17" s="29" t="s">
        <v>145</v>
      </c>
      <c r="B17" s="57"/>
      <c r="C17" s="30" t="s">
        <v>4</v>
      </c>
      <c r="D17" s="36" t="s">
        <v>141</v>
      </c>
      <c r="E17" s="36" t="s">
        <v>146</v>
      </c>
      <c r="F17" s="36" t="s">
        <v>145</v>
      </c>
      <c r="G17" s="36">
        <v>1</v>
      </c>
      <c r="H17" s="31" t="s">
        <v>55</v>
      </c>
      <c r="I17" s="46" t="s">
        <v>41</v>
      </c>
      <c r="J17" s="46">
        <v>63000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customHeight="1" ht="11.5" s="12" customFormat="1">
      <c r="A18" s="26" t="s">
        <v>145</v>
      </c>
      <c r="B18" s="56"/>
      <c r="C18" s="27" t="s">
        <v>4</v>
      </c>
      <c r="D18" s="39" t="s">
        <v>141</v>
      </c>
      <c r="E18" s="39" t="s">
        <v>146</v>
      </c>
      <c r="F18" s="39" t="s">
        <v>145</v>
      </c>
      <c r="G18" s="39">
        <v>2</v>
      </c>
      <c r="H18" s="28" t="s">
        <v>67</v>
      </c>
      <c r="I18" s="45" t="s">
        <v>41</v>
      </c>
      <c r="J18" s="45">
        <v>5000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customHeight="1" ht="11.5" s="12" customFormat="1">
      <c r="A19" s="26" t="s">
        <v>145</v>
      </c>
      <c r="B19" s="56"/>
      <c r="C19" s="27" t="s">
        <v>4</v>
      </c>
      <c r="D19" s="39" t="s">
        <v>141</v>
      </c>
      <c r="E19" s="39" t="s">
        <v>146</v>
      </c>
      <c r="F19" s="39" t="s">
        <v>145</v>
      </c>
      <c r="G19" s="39">
        <v>3</v>
      </c>
      <c r="H19" s="28" t="s">
        <v>59</v>
      </c>
      <c r="I19" s="45" t="s">
        <v>41</v>
      </c>
      <c r="J19" s="45">
        <v>8000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customHeight="1" ht="11.5" s="12" customFormat="1">
      <c r="A20" s="26" t="s">
        <v>145</v>
      </c>
      <c r="B20" s="56"/>
      <c r="C20" s="27" t="s">
        <v>4</v>
      </c>
      <c r="D20" s="39" t="s">
        <v>141</v>
      </c>
      <c r="E20" s="39" t="s">
        <v>146</v>
      </c>
      <c r="F20" s="39" t="s">
        <v>145</v>
      </c>
      <c r="G20" s="39">
        <v>4</v>
      </c>
      <c r="H20" s="28" t="s">
        <v>63</v>
      </c>
      <c r="I20" s="45" t="s">
        <v>41</v>
      </c>
      <c r="J20" s="45">
        <v>24000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customHeight="1" ht="11.5" s="12" customFormat="1">
      <c r="A21" s="26" t="s">
        <v>145</v>
      </c>
      <c r="B21" s="56"/>
      <c r="C21" s="27" t="s">
        <v>4</v>
      </c>
      <c r="D21" s="39" t="s">
        <v>141</v>
      </c>
      <c r="E21" s="39" t="s">
        <v>146</v>
      </c>
      <c r="F21" s="39" t="s">
        <v>145</v>
      </c>
      <c r="G21" s="39">
        <v>5</v>
      </c>
      <c r="H21" s="28" t="s">
        <v>73</v>
      </c>
      <c r="I21" s="45" t="s">
        <v>41</v>
      </c>
      <c r="J21" s="45">
        <v>7000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customHeight="1" ht="11.5" s="12" customFormat="1">
      <c r="A22" s="26" t="s">
        <v>145</v>
      </c>
      <c r="B22" s="56"/>
      <c r="C22" s="27" t="s">
        <v>4</v>
      </c>
      <c r="D22" s="39" t="s">
        <v>141</v>
      </c>
      <c r="E22" s="39" t="s">
        <v>146</v>
      </c>
      <c r="F22" s="39" t="s">
        <v>145</v>
      </c>
      <c r="G22" s="39">
        <v>6</v>
      </c>
      <c r="H22" s="28" t="s">
        <v>61</v>
      </c>
      <c r="I22" s="45" t="s">
        <v>41</v>
      </c>
      <c r="J22" s="45">
        <v>47000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customHeight="1" ht="11.5" s="12" customFormat="1">
      <c r="A23" s="26" t="s">
        <v>145</v>
      </c>
      <c r="B23" s="56"/>
      <c r="C23" s="27" t="s">
        <v>4</v>
      </c>
      <c r="D23" s="39" t="s">
        <v>141</v>
      </c>
      <c r="E23" s="39" t="s">
        <v>146</v>
      </c>
      <c r="F23" s="39" t="s">
        <v>145</v>
      </c>
      <c r="G23" s="39">
        <v>7</v>
      </c>
      <c r="H23" s="28" t="s">
        <v>77</v>
      </c>
      <c r="I23" s="45" t="s">
        <v>41</v>
      </c>
      <c r="J23" s="45">
        <v>10000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customHeight="1" ht="11.5" s="12" customFormat="1">
      <c r="A24" s="26" t="s">
        <v>145</v>
      </c>
      <c r="B24" s="56"/>
      <c r="C24" s="27" t="s">
        <v>4</v>
      </c>
      <c r="D24" s="39" t="s">
        <v>141</v>
      </c>
      <c r="E24" s="39" t="s">
        <v>146</v>
      </c>
      <c r="F24" s="39" t="s">
        <v>145</v>
      </c>
      <c r="G24" s="39">
        <v>8</v>
      </c>
      <c r="H24" s="28" t="s">
        <v>93</v>
      </c>
      <c r="I24" s="45" t="s">
        <v>41</v>
      </c>
      <c r="J24" s="45">
        <v>50000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customHeight="1" ht="11.5" s="12" customFormat="1">
      <c r="A25" s="26" t="s">
        <v>145</v>
      </c>
      <c r="B25" s="56"/>
      <c r="C25" s="27" t="s">
        <v>4</v>
      </c>
      <c r="D25" s="39" t="s">
        <v>141</v>
      </c>
      <c r="E25" s="39" t="s">
        <v>146</v>
      </c>
      <c r="F25" s="39" t="s">
        <v>145</v>
      </c>
      <c r="G25" s="39">
        <v>9</v>
      </c>
      <c r="H25" s="28" t="s">
        <v>79</v>
      </c>
      <c r="I25" s="45" t="s">
        <v>143</v>
      </c>
      <c r="J25" s="45">
        <v>11000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customHeight="1" ht="11.5" s="12" customFormat="1">
      <c r="A26" s="26" t="s">
        <v>145</v>
      </c>
      <c r="B26" s="56"/>
      <c r="C26" s="27" t="s">
        <v>4</v>
      </c>
      <c r="D26" s="39" t="s">
        <v>141</v>
      </c>
      <c r="E26" s="39" t="s">
        <v>146</v>
      </c>
      <c r="F26" s="39" t="s">
        <v>145</v>
      </c>
      <c r="G26" s="39">
        <v>10</v>
      </c>
      <c r="H26" s="28" t="s">
        <v>83</v>
      </c>
      <c r="I26" s="45" t="s">
        <v>143</v>
      </c>
      <c r="J26" s="45">
        <v>400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customHeight="1" ht="11.5" s="12" customFormat="1">
      <c r="A27" s="26" t="s">
        <v>145</v>
      </c>
      <c r="B27" s="56"/>
      <c r="C27" s="27" t="s">
        <v>4</v>
      </c>
      <c r="D27" s="39" t="s">
        <v>141</v>
      </c>
      <c r="E27" s="39" t="s">
        <v>146</v>
      </c>
      <c r="F27" s="39" t="s">
        <v>145</v>
      </c>
      <c r="G27" s="39">
        <v>11</v>
      </c>
      <c r="H27" s="28" t="s">
        <v>122</v>
      </c>
      <c r="I27" s="45" t="s">
        <v>49</v>
      </c>
      <c r="J27" s="45">
        <v>5325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customHeight="1" ht="11.5" s="12" customFormat="1">
      <c r="A28" s="26" t="s">
        <v>145</v>
      </c>
      <c r="B28" s="56"/>
      <c r="C28" s="27" t="s">
        <v>4</v>
      </c>
      <c r="D28" s="39" t="s">
        <v>141</v>
      </c>
      <c r="E28" s="39" t="s">
        <v>146</v>
      </c>
      <c r="F28" s="39" t="s">
        <v>145</v>
      </c>
      <c r="G28" s="39">
        <v>12</v>
      </c>
      <c r="H28" s="28" t="s">
        <v>71</v>
      </c>
      <c r="I28" s="45" t="s">
        <v>65</v>
      </c>
      <c r="J28" s="45">
        <v>5440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customHeight="1" ht="11.5" s="12" customFormat="1">
      <c r="A29" s="26" t="s">
        <v>145</v>
      </c>
      <c r="B29" s="56"/>
      <c r="C29" s="27" t="s">
        <v>4</v>
      </c>
      <c r="D29" s="39" t="s">
        <v>141</v>
      </c>
      <c r="E29" s="39" t="s">
        <v>146</v>
      </c>
      <c r="F29" s="39" t="s">
        <v>145</v>
      </c>
      <c r="G29" s="39">
        <v>13</v>
      </c>
      <c r="H29" s="28" t="s">
        <v>120</v>
      </c>
      <c r="I29" s="45" t="s">
        <v>110</v>
      </c>
      <c r="J29" s="45">
        <v>16240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customHeight="1" ht="11.5" s="12" customFormat="1">
      <c r="A30" s="35" t="s">
        <v>145</v>
      </c>
      <c r="B30" s="32"/>
      <c r="C30" s="36" t="s">
        <v>4</v>
      </c>
      <c r="D30" s="36" t="s">
        <v>141</v>
      </c>
      <c r="E30" s="36" t="s">
        <v>146</v>
      </c>
      <c r="F30" s="36" t="s">
        <v>145</v>
      </c>
      <c r="G30" s="36">
        <v>14</v>
      </c>
      <c r="H30" s="31" t="s">
        <v>108</v>
      </c>
      <c r="I30" s="46" t="s">
        <v>110</v>
      </c>
      <c r="J30" s="46">
        <v>800</v>
      </c>
      <c r="K30" s="3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customHeight="1" ht="11.5" s="12" customFormat="1">
      <c r="A31" s="52" t="s">
        <v>147</v>
      </c>
      <c r="B31" s="53"/>
      <c r="C31" s="30" t="s">
        <v>4</v>
      </c>
      <c r="D31" s="36" t="s">
        <v>141</v>
      </c>
      <c r="E31" s="36" t="s">
        <v>148</v>
      </c>
      <c r="F31" s="36" t="s">
        <v>147</v>
      </c>
      <c r="G31" s="36">
        <v>1</v>
      </c>
      <c r="H31" s="31" t="s">
        <v>53</v>
      </c>
      <c r="I31" s="46" t="s">
        <v>49</v>
      </c>
      <c r="J31" s="46">
        <v>3260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customHeight="1" ht="11.5" s="12" customFormat="1">
      <c r="A32" s="26" t="s">
        <v>147</v>
      </c>
      <c r="B32" s="58"/>
      <c r="C32" s="27" t="s">
        <v>4</v>
      </c>
      <c r="D32" s="39" t="s">
        <v>141</v>
      </c>
      <c r="E32" s="39" t="s">
        <v>148</v>
      </c>
      <c r="F32" s="39" t="s">
        <v>147</v>
      </c>
      <c r="G32" s="39">
        <v>2</v>
      </c>
      <c r="H32" s="28" t="s">
        <v>71</v>
      </c>
      <c r="I32" s="45" t="s">
        <v>65</v>
      </c>
      <c r="J32" s="45">
        <v>4800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customHeight="1" ht="11.5" s="12" customFormat="1">
      <c r="A33" s="26" t="s">
        <v>147</v>
      </c>
      <c r="B33" s="58"/>
      <c r="C33" s="27" t="s">
        <v>4</v>
      </c>
      <c r="D33" s="39" t="s">
        <v>141</v>
      </c>
      <c r="E33" s="39" t="s">
        <v>148</v>
      </c>
      <c r="F33" s="39" t="s">
        <v>147</v>
      </c>
      <c r="G33" s="39">
        <v>3</v>
      </c>
      <c r="H33" s="28" t="s">
        <v>81</v>
      </c>
      <c r="I33" s="45" t="s">
        <v>102</v>
      </c>
      <c r="J33" s="45">
        <v>850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customHeight="1" ht="11.5" s="12" customFormat="1">
      <c r="A34" s="26" t="s">
        <v>147</v>
      </c>
      <c r="B34" s="58"/>
      <c r="C34" s="27" t="s">
        <v>4</v>
      </c>
      <c r="D34" s="39" t="s">
        <v>141</v>
      </c>
      <c r="E34" s="39" t="s">
        <v>148</v>
      </c>
      <c r="F34" s="39" t="s">
        <v>147</v>
      </c>
      <c r="G34" s="39">
        <v>4</v>
      </c>
      <c r="H34" s="28" t="s">
        <v>108</v>
      </c>
      <c r="I34" s="45" t="s">
        <v>110</v>
      </c>
      <c r="J34" s="45">
        <v>4150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customHeight="1" ht="11.5" s="12" customFormat="1">
      <c r="A35" s="26" t="s">
        <v>149</v>
      </c>
      <c r="B35" s="56"/>
      <c r="C35" s="27" t="s">
        <v>4</v>
      </c>
      <c r="D35" s="39" t="s">
        <v>141</v>
      </c>
      <c r="E35" s="39" t="s">
        <v>150</v>
      </c>
      <c r="F35" s="39" t="s">
        <v>149</v>
      </c>
      <c r="G35" s="39">
        <v>1</v>
      </c>
      <c r="H35" s="28" t="s">
        <v>55</v>
      </c>
      <c r="I35" s="45" t="s">
        <v>41</v>
      </c>
      <c r="J35" s="45">
        <v>59000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customHeight="1" ht="11.5" s="12" customFormat="1">
      <c r="A36" s="35" t="s">
        <v>149</v>
      </c>
      <c r="B36" s="32"/>
      <c r="C36" s="36" t="s">
        <v>4</v>
      </c>
      <c r="D36" s="36" t="s">
        <v>141</v>
      </c>
      <c r="E36" s="36" t="s">
        <v>150</v>
      </c>
      <c r="F36" s="36" t="s">
        <v>149</v>
      </c>
      <c r="G36" s="36">
        <v>2</v>
      </c>
      <c r="H36" s="31" t="s">
        <v>67</v>
      </c>
      <c r="I36" s="46" t="s">
        <v>41</v>
      </c>
      <c r="J36" s="46">
        <v>19000</v>
      </c>
      <c r="K36" s="3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customHeight="1" ht="11.5" s="12" customFormat="1">
      <c r="A37" s="29" t="s">
        <v>149</v>
      </c>
      <c r="B37" s="57"/>
      <c r="C37" s="30" t="s">
        <v>4</v>
      </c>
      <c r="D37" s="36" t="s">
        <v>141</v>
      </c>
      <c r="E37" s="36" t="s">
        <v>150</v>
      </c>
      <c r="F37" s="36" t="s">
        <v>149</v>
      </c>
      <c r="G37" s="36">
        <v>3</v>
      </c>
      <c r="H37" s="31" t="s">
        <v>57</v>
      </c>
      <c r="I37" s="46" t="s">
        <v>41</v>
      </c>
      <c r="J37" s="46">
        <v>500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customHeight="1" ht="11.5" s="12" customFormat="1">
      <c r="A38" s="26" t="s">
        <v>149</v>
      </c>
      <c r="B38" s="56"/>
      <c r="C38" s="27" t="s">
        <v>4</v>
      </c>
      <c r="D38" s="39" t="s">
        <v>141</v>
      </c>
      <c r="E38" s="39" t="s">
        <v>150</v>
      </c>
      <c r="F38" s="39" t="s">
        <v>149</v>
      </c>
      <c r="G38" s="39">
        <v>4</v>
      </c>
      <c r="H38" s="28" t="s">
        <v>59</v>
      </c>
      <c r="I38" s="45" t="s">
        <v>41</v>
      </c>
      <c r="J38" s="45">
        <v>8000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customHeight="1" ht="11.5" s="12" customFormat="1">
      <c r="A39" s="26" t="s">
        <v>149</v>
      </c>
      <c r="B39" s="56"/>
      <c r="C39" s="27" t="s">
        <v>4</v>
      </c>
      <c r="D39" s="39" t="s">
        <v>141</v>
      </c>
      <c r="E39" s="39" t="s">
        <v>150</v>
      </c>
      <c r="F39" s="39" t="s">
        <v>149</v>
      </c>
      <c r="G39" s="39">
        <v>5</v>
      </c>
      <c r="H39" s="28" t="s">
        <v>63</v>
      </c>
      <c r="I39" s="45" t="s">
        <v>41</v>
      </c>
      <c r="J39" s="45">
        <v>18000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customHeight="1" ht="11.5" s="12" customFormat="1">
      <c r="A40" s="26" t="s">
        <v>149</v>
      </c>
      <c r="B40" s="56"/>
      <c r="C40" s="27" t="s">
        <v>4</v>
      </c>
      <c r="D40" s="39" t="s">
        <v>141</v>
      </c>
      <c r="E40" s="39" t="s">
        <v>150</v>
      </c>
      <c r="F40" s="39" t="s">
        <v>149</v>
      </c>
      <c r="G40" s="39">
        <v>6</v>
      </c>
      <c r="H40" s="28" t="s">
        <v>73</v>
      </c>
      <c r="I40" s="45" t="s">
        <v>41</v>
      </c>
      <c r="J40" s="45">
        <v>7000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customHeight="1" ht="11.5" s="12" customFormat="1">
      <c r="A41" s="26" t="s">
        <v>149</v>
      </c>
      <c r="B41" s="56"/>
      <c r="C41" s="27" t="s">
        <v>4</v>
      </c>
      <c r="D41" s="39" t="s">
        <v>141</v>
      </c>
      <c r="E41" s="39" t="s">
        <v>150</v>
      </c>
      <c r="F41" s="39" t="s">
        <v>149</v>
      </c>
      <c r="G41" s="39">
        <v>7</v>
      </c>
      <c r="H41" s="28" t="s">
        <v>61</v>
      </c>
      <c r="I41" s="45" t="s">
        <v>41</v>
      </c>
      <c r="J41" s="45">
        <v>27000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customHeight="1" ht="11.5" s="12" customFormat="1">
      <c r="A42" s="26" t="s">
        <v>149</v>
      </c>
      <c r="B42" s="56"/>
      <c r="C42" s="27" t="s">
        <v>4</v>
      </c>
      <c r="D42" s="39" t="s">
        <v>141</v>
      </c>
      <c r="E42" s="39" t="s">
        <v>150</v>
      </c>
      <c r="F42" s="39" t="s">
        <v>149</v>
      </c>
      <c r="G42" s="39">
        <v>8</v>
      </c>
      <c r="H42" s="28" t="s">
        <v>75</v>
      </c>
      <c r="I42" s="45" t="s">
        <v>41</v>
      </c>
      <c r="J42" s="45">
        <v>3400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customHeight="1" ht="11.5" s="12" customFormat="1">
      <c r="A43" s="26" t="s">
        <v>149</v>
      </c>
      <c r="B43" s="56"/>
      <c r="C43" s="27" t="s">
        <v>4</v>
      </c>
      <c r="D43" s="39" t="s">
        <v>141</v>
      </c>
      <c r="E43" s="39" t="s">
        <v>150</v>
      </c>
      <c r="F43" s="39" t="s">
        <v>149</v>
      </c>
      <c r="G43" s="39">
        <v>9</v>
      </c>
      <c r="H43" s="28" t="s">
        <v>77</v>
      </c>
      <c r="I43" s="45" t="s">
        <v>41</v>
      </c>
      <c r="J43" s="45">
        <v>20000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customHeight="1" ht="11.5" s="12" customFormat="1">
      <c r="A44" s="26" t="s">
        <v>149</v>
      </c>
      <c r="B44" s="56"/>
      <c r="C44" s="27" t="s">
        <v>4</v>
      </c>
      <c r="D44" s="39" t="s">
        <v>141</v>
      </c>
      <c r="E44" s="39" t="s">
        <v>150</v>
      </c>
      <c r="F44" s="39" t="s">
        <v>149</v>
      </c>
      <c r="G44" s="39">
        <v>10</v>
      </c>
      <c r="H44" s="28" t="s">
        <v>89</v>
      </c>
      <c r="I44" s="45" t="s">
        <v>41</v>
      </c>
      <c r="J44" s="45">
        <v>6000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customHeight="1" ht="11.5" s="12" customFormat="1">
      <c r="A45" s="26" t="s">
        <v>149</v>
      </c>
      <c r="B45" s="56"/>
      <c r="C45" s="27" t="s">
        <v>4</v>
      </c>
      <c r="D45" s="39" t="s">
        <v>141</v>
      </c>
      <c r="E45" s="39" t="s">
        <v>150</v>
      </c>
      <c r="F45" s="39" t="s">
        <v>149</v>
      </c>
      <c r="G45" s="39">
        <v>11</v>
      </c>
      <c r="H45" s="28" t="s">
        <v>93</v>
      </c>
      <c r="I45" s="45" t="s">
        <v>41</v>
      </c>
      <c r="J45" s="45">
        <v>30953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customHeight="1" ht="11.5" s="12" customFormat="1">
      <c r="A46" s="26" t="s">
        <v>149</v>
      </c>
      <c r="B46" s="56"/>
      <c r="C46" s="27" t="s">
        <v>4</v>
      </c>
      <c r="D46" s="39" t="s">
        <v>141</v>
      </c>
      <c r="E46" s="39" t="s">
        <v>150</v>
      </c>
      <c r="F46" s="39" t="s">
        <v>149</v>
      </c>
      <c r="G46" s="39">
        <v>12</v>
      </c>
      <c r="H46" s="28" t="s">
        <v>112</v>
      </c>
      <c r="I46" s="45" t="s">
        <v>41</v>
      </c>
      <c r="J46" s="45">
        <v>1000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customHeight="1" ht="11.5" s="12" customFormat="1">
      <c r="A47" s="26" t="s">
        <v>149</v>
      </c>
      <c r="B47" s="56"/>
      <c r="C47" s="27" t="s">
        <v>4</v>
      </c>
      <c r="D47" s="39" t="s">
        <v>141</v>
      </c>
      <c r="E47" s="39" t="s">
        <v>150</v>
      </c>
      <c r="F47" s="39" t="s">
        <v>149</v>
      </c>
      <c r="G47" s="39">
        <v>13</v>
      </c>
      <c r="H47" s="28" t="s">
        <v>53</v>
      </c>
      <c r="I47" s="45" t="s">
        <v>49</v>
      </c>
      <c r="J47" s="45">
        <v>11650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customHeight="1" ht="11.5" s="12" customFormat="1">
      <c r="A48" s="26" t="s">
        <v>149</v>
      </c>
      <c r="B48" s="56"/>
      <c r="C48" s="27" t="s">
        <v>4</v>
      </c>
      <c r="D48" s="39" t="s">
        <v>141</v>
      </c>
      <c r="E48" s="39" t="s">
        <v>150</v>
      </c>
      <c r="F48" s="39" t="s">
        <v>149</v>
      </c>
      <c r="G48" s="39">
        <v>14</v>
      </c>
      <c r="H48" s="28" t="s">
        <v>71</v>
      </c>
      <c r="I48" s="45" t="s">
        <v>65</v>
      </c>
      <c r="J48" s="45">
        <v>8040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customHeight="1" ht="11.5" s="12" customFormat="1">
      <c r="A49" s="26" t="s">
        <v>149</v>
      </c>
      <c r="B49" s="56"/>
      <c r="C49" s="27" t="s">
        <v>4</v>
      </c>
      <c r="D49" s="39" t="s">
        <v>141</v>
      </c>
      <c r="E49" s="39" t="s">
        <v>150</v>
      </c>
      <c r="F49" s="39" t="s">
        <v>149</v>
      </c>
      <c r="G49" s="39">
        <v>15</v>
      </c>
      <c r="H49" s="28" t="s">
        <v>81</v>
      </c>
      <c r="I49" s="45" t="s">
        <v>102</v>
      </c>
      <c r="J49" s="45">
        <v>5150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customHeight="1" ht="11.5" s="12" customFormat="1">
      <c r="A50" s="26" t="s">
        <v>149</v>
      </c>
      <c r="B50" s="56"/>
      <c r="C50" s="27" t="s">
        <v>4</v>
      </c>
      <c r="D50" s="39" t="s">
        <v>141</v>
      </c>
      <c r="E50" s="39" t="s">
        <v>150</v>
      </c>
      <c r="F50" s="39" t="s">
        <v>149</v>
      </c>
      <c r="G50" s="39">
        <v>16</v>
      </c>
      <c r="H50" s="28" t="s">
        <v>120</v>
      </c>
      <c r="I50" s="45" t="s">
        <v>110</v>
      </c>
      <c r="J50" s="45">
        <v>24190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customHeight="1" ht="11.5" s="12" customFormat="1">
      <c r="A51" s="26" t="s">
        <v>151</v>
      </c>
      <c r="B51" s="56"/>
      <c r="C51" s="27" t="s">
        <v>4</v>
      </c>
      <c r="D51" s="39" t="s">
        <v>141</v>
      </c>
      <c r="E51" s="39" t="s">
        <v>152</v>
      </c>
      <c r="F51" s="39" t="s">
        <v>151</v>
      </c>
      <c r="G51" s="39">
        <v>1</v>
      </c>
      <c r="H51" s="28" t="s">
        <v>77</v>
      </c>
      <c r="I51" s="45" t="s">
        <v>41</v>
      </c>
      <c r="J51" s="45">
        <v>118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customHeight="1" ht="11.5" s="12" customFormat="1">
      <c r="A52" s="35" t="s">
        <v>151</v>
      </c>
      <c r="B52" s="32"/>
      <c r="C52" s="36" t="s">
        <v>4</v>
      </c>
      <c r="D52" s="36" t="s">
        <v>141</v>
      </c>
      <c r="E52" s="36" t="s">
        <v>152</v>
      </c>
      <c r="F52" s="36" t="s">
        <v>151</v>
      </c>
      <c r="G52" s="36">
        <v>2</v>
      </c>
      <c r="H52" s="31" t="s">
        <v>77</v>
      </c>
      <c r="I52" s="46" t="s">
        <v>41</v>
      </c>
      <c r="J52" s="46">
        <v>200</v>
      </c>
      <c r="K52" s="3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customHeight="1" ht="11.5" s="12" customFormat="1">
      <c r="A53" s="29" t="s">
        <v>151</v>
      </c>
      <c r="B53" s="57"/>
      <c r="C53" s="30" t="s">
        <v>4</v>
      </c>
      <c r="D53" s="36" t="s">
        <v>141</v>
      </c>
      <c r="E53" s="36" t="s">
        <v>152</v>
      </c>
      <c r="F53" s="36" t="s">
        <v>151</v>
      </c>
      <c r="G53" s="36">
        <v>3</v>
      </c>
      <c r="H53" s="31" t="s">
        <v>83</v>
      </c>
      <c r="I53" s="46" t="s">
        <v>143</v>
      </c>
      <c r="J53" s="46">
        <v>20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customHeight="1" ht="11.5" s="12" customFormat="1">
      <c r="A54" s="26" t="s">
        <v>151</v>
      </c>
      <c r="B54" s="56"/>
      <c r="C54" s="27" t="s">
        <v>4</v>
      </c>
      <c r="D54" s="39" t="s">
        <v>141</v>
      </c>
      <c r="E54" s="39" t="s">
        <v>152</v>
      </c>
      <c r="F54" s="39" t="s">
        <v>151</v>
      </c>
      <c r="G54" s="39">
        <v>4</v>
      </c>
      <c r="H54" s="28" t="s">
        <v>53</v>
      </c>
      <c r="I54" s="45" t="s">
        <v>49</v>
      </c>
      <c r="J54" s="45">
        <v>50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customHeight="1" ht="11.5" s="12" customFormat="1">
      <c r="A55" s="26" t="s">
        <v>151</v>
      </c>
      <c r="B55" s="56"/>
      <c r="C55" s="27" t="s">
        <v>4</v>
      </c>
      <c r="D55" s="39" t="s">
        <v>141</v>
      </c>
      <c r="E55" s="39" t="s">
        <v>152</v>
      </c>
      <c r="F55" s="39" t="s">
        <v>151</v>
      </c>
      <c r="G55" s="39">
        <v>5</v>
      </c>
      <c r="H55" s="28" t="s">
        <v>53</v>
      </c>
      <c r="I55" s="45" t="s">
        <v>49</v>
      </c>
      <c r="J55" s="45">
        <v>50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customHeight="1" ht="11.5" s="12" customFormat="1">
      <c r="A56" s="26"/>
      <c r="B56" s="56"/>
      <c r="C56" s="27"/>
      <c r="D56" s="39"/>
      <c r="E56" s="39"/>
      <c r="F56" s="39"/>
      <c r="G56" s="39"/>
      <c r="H56" s="28"/>
      <c r="I56" s="45"/>
      <c r="J56" s="4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customHeight="1" ht="11.5" s="12" customFormat="1">
      <c r="A57" s="26"/>
      <c r="B57" s="56"/>
      <c r="C57" s="27"/>
      <c r="D57" s="39"/>
      <c r="E57" s="39"/>
      <c r="F57" s="39"/>
      <c r="G57" s="39"/>
      <c r="H57" s="28"/>
      <c r="I57" s="45"/>
      <c r="J57" s="4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customHeight="1" ht="11.5" s="12" customFormat="1">
      <c r="A58" s="26"/>
      <c r="B58" s="56"/>
      <c r="C58" s="27"/>
      <c r="D58" s="39"/>
      <c r="E58" s="39"/>
      <c r="F58" s="39"/>
      <c r="G58" s="39"/>
      <c r="H58" s="28"/>
      <c r="I58" s="45"/>
      <c r="J58" s="4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customHeight="1" ht="11.5" s="12" customFormat="1">
      <c r="A59" s="26"/>
      <c r="B59" s="56"/>
      <c r="C59" s="27"/>
      <c r="D59" s="39"/>
      <c r="E59" s="39"/>
      <c r="F59" s="39"/>
      <c r="G59" s="39"/>
      <c r="H59" s="28"/>
      <c r="I59" s="45"/>
      <c r="J59" s="4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customHeight="1" ht="11.5" s="12" customFormat="1">
      <c r="A60" s="26"/>
      <c r="B60" s="56"/>
      <c r="C60" s="27"/>
      <c r="D60" s="39"/>
      <c r="E60" s="39"/>
      <c r="F60" s="39"/>
      <c r="G60" s="39"/>
      <c r="H60" s="28"/>
      <c r="I60" s="45"/>
      <c r="J60" s="4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customHeight="1" ht="11.5" s="12" customFormat="1">
      <c r="A61" s="26"/>
      <c r="B61" s="56"/>
      <c r="C61" s="27"/>
      <c r="D61" s="39"/>
      <c r="E61" s="39"/>
      <c r="F61" s="39"/>
      <c r="G61" s="39"/>
      <c r="H61" s="28"/>
      <c r="I61" s="45"/>
      <c r="J61" s="4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customHeight="1" ht="11.5" s="12" customFormat="1">
      <c r="A62" s="26"/>
      <c r="B62" s="56"/>
      <c r="C62" s="27"/>
      <c r="D62" s="39"/>
      <c r="E62" s="39"/>
      <c r="F62" s="39"/>
      <c r="G62" s="39"/>
      <c r="H62" s="28"/>
      <c r="I62" s="45"/>
      <c r="J62" s="4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customHeight="1" ht="11.5" s="12" customFormat="1">
      <c r="A63" s="26"/>
      <c r="B63" s="56"/>
      <c r="C63" s="27"/>
      <c r="D63" s="39"/>
      <c r="E63" s="39"/>
      <c r="F63" s="39"/>
      <c r="G63" s="39"/>
      <c r="H63" s="28"/>
      <c r="I63" s="45"/>
      <c r="J63" s="4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customHeight="1" ht="11.5" s="12" customFormat="1">
      <c r="A64" s="26"/>
      <c r="B64" s="56"/>
      <c r="C64" s="27"/>
      <c r="D64" s="39"/>
      <c r="E64" s="39"/>
      <c r="F64" s="39"/>
      <c r="G64" s="39"/>
      <c r="H64" s="28"/>
      <c r="I64" s="45"/>
      <c r="J64" s="4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customHeight="1" ht="11.5" s="12" customFormat="1">
      <c r="A65" s="26"/>
      <c r="B65" s="56"/>
      <c r="C65" s="27"/>
      <c r="D65" s="39"/>
      <c r="E65" s="39"/>
      <c r="F65" s="39"/>
      <c r="G65" s="39"/>
      <c r="H65" s="28"/>
      <c r="I65" s="45"/>
      <c r="J65" s="4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customHeight="1" ht="11.5" s="12" customFormat="1">
      <c r="A66" s="26"/>
      <c r="B66" s="56"/>
      <c r="C66" s="27"/>
      <c r="D66" s="39"/>
      <c r="E66" s="39"/>
      <c r="F66" s="39"/>
      <c r="G66" s="39"/>
      <c r="H66" s="28"/>
      <c r="I66" s="45"/>
      <c r="J66" s="4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customHeight="1" ht="11.5" s="12" customFormat="1">
      <c r="A67" s="35"/>
      <c r="B67" s="32"/>
      <c r="C67" s="36"/>
      <c r="D67" s="36"/>
      <c r="E67" s="36"/>
      <c r="F67" s="36"/>
      <c r="G67" s="36"/>
      <c r="H67" s="31"/>
      <c r="I67" s="46"/>
      <c r="J67" s="46"/>
      <c r="K67" s="3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customHeight="1" ht="11.5" s="12" customFormat="1">
      <c r="A68" s="29"/>
      <c r="B68" s="57"/>
      <c r="C68" s="30"/>
      <c r="D68" s="36"/>
      <c r="E68" s="36"/>
      <c r="F68" s="36"/>
      <c r="G68" s="36"/>
      <c r="H68" s="31"/>
      <c r="I68" s="46"/>
      <c r="J68" s="4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customHeight="1" ht="11.5" s="12" customFormat="1">
      <c r="A69" s="26"/>
      <c r="B69" s="56"/>
      <c r="C69" s="27"/>
      <c r="D69" s="39"/>
      <c r="E69" s="39"/>
      <c r="F69" s="39"/>
      <c r="G69" s="39"/>
      <c r="H69" s="28"/>
      <c r="I69" s="45"/>
      <c r="J69" s="4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customHeight="1" ht="11.5" s="12" customFormat="1">
      <c r="A70" s="26"/>
      <c r="B70" s="56"/>
      <c r="C70" s="27"/>
      <c r="D70" s="39"/>
      <c r="E70" s="39"/>
      <c r="F70" s="39"/>
      <c r="G70" s="39"/>
      <c r="H70" s="28"/>
      <c r="I70" s="45"/>
      <c r="J70" s="4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customHeight="1" ht="11.5" s="12" customFormat="1">
      <c r="A71" s="26"/>
      <c r="B71" s="56"/>
      <c r="C71" s="27"/>
      <c r="D71" s="39"/>
      <c r="E71" s="39"/>
      <c r="F71" s="39"/>
      <c r="G71" s="39"/>
      <c r="H71" s="28"/>
      <c r="I71" s="45"/>
      <c r="J71" s="4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customHeight="1" ht="11.5" s="12" customFormat="1">
      <c r="A72" s="26"/>
      <c r="B72" s="56"/>
      <c r="C72" s="27"/>
      <c r="D72" s="39"/>
      <c r="E72" s="39"/>
      <c r="F72" s="39"/>
      <c r="G72" s="39"/>
      <c r="H72" s="28"/>
      <c r="I72" s="45"/>
      <c r="J72" s="4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customHeight="1" ht="11.5" s="12" customFormat="1">
      <c r="A73" s="26"/>
      <c r="B73" s="56"/>
      <c r="C73" s="27"/>
      <c r="D73" s="39"/>
      <c r="E73" s="39"/>
      <c r="F73" s="39"/>
      <c r="G73" s="39"/>
      <c r="H73" s="28"/>
      <c r="I73" s="45"/>
      <c r="J73" s="4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customHeight="1" ht="11.5" s="12" customFormat="1">
      <c r="A74" s="26"/>
      <c r="B74" s="56"/>
      <c r="C74" s="27"/>
      <c r="D74" s="39"/>
      <c r="E74" s="39"/>
      <c r="F74" s="39"/>
      <c r="G74" s="39"/>
      <c r="H74" s="28"/>
      <c r="I74" s="45"/>
      <c r="J74" s="4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customHeight="1" ht="11.5" s="12" customFormat="1">
      <c r="A75" s="26"/>
      <c r="B75" s="56"/>
      <c r="C75" s="27"/>
      <c r="D75" s="39"/>
      <c r="E75" s="39"/>
      <c r="F75" s="39"/>
      <c r="G75" s="39"/>
      <c r="H75" s="28"/>
      <c r="I75" s="45"/>
      <c r="J75" s="4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customHeight="1" ht="11.5" s="12" customFormat="1">
      <c r="A76" s="26"/>
      <c r="B76" s="56"/>
      <c r="C76" s="27"/>
      <c r="D76" s="39"/>
      <c r="E76" s="39"/>
      <c r="F76" s="39"/>
      <c r="G76" s="39"/>
      <c r="H76" s="28"/>
      <c r="I76" s="45"/>
      <c r="J76" s="4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customHeight="1" ht="11.5" s="12" customFormat="1">
      <c r="A77" s="26"/>
      <c r="B77" s="56"/>
      <c r="C77" s="27"/>
      <c r="D77" s="39"/>
      <c r="E77" s="39"/>
      <c r="F77" s="39"/>
      <c r="G77" s="39"/>
      <c r="H77" s="28"/>
      <c r="I77" s="45"/>
      <c r="J77" s="4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customHeight="1" ht="11.5" s="12" customFormat="1">
      <c r="A78" s="26"/>
      <c r="B78" s="56"/>
      <c r="C78" s="27"/>
      <c r="D78" s="39"/>
      <c r="E78" s="39"/>
      <c r="F78" s="39"/>
      <c r="G78" s="39"/>
      <c r="H78" s="28"/>
      <c r="I78" s="45"/>
      <c r="J78" s="4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customHeight="1" ht="11.5" s="12" customFormat="1">
      <c r="A79" s="26"/>
      <c r="B79" s="56"/>
      <c r="C79" s="27"/>
      <c r="D79" s="39"/>
      <c r="E79" s="39"/>
      <c r="F79" s="39"/>
      <c r="G79" s="39"/>
      <c r="H79" s="28"/>
      <c r="I79" s="45"/>
      <c r="J79" s="4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customHeight="1" ht="11.5" s="12" customFormat="1">
      <c r="A80" s="26"/>
      <c r="B80" s="56"/>
      <c r="C80" s="27"/>
      <c r="D80" s="39"/>
      <c r="E80" s="39"/>
      <c r="F80" s="39"/>
      <c r="G80" s="39"/>
      <c r="H80" s="28"/>
      <c r="I80" s="45"/>
      <c r="J80" s="4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customHeight="1" ht="11.5" s="12" customFormat="1">
      <c r="A81" s="26"/>
      <c r="B81" s="56"/>
      <c r="C81" s="27"/>
      <c r="D81" s="39"/>
      <c r="E81" s="39"/>
      <c r="F81" s="39"/>
      <c r="G81" s="39"/>
      <c r="H81" s="28"/>
      <c r="I81" s="45"/>
      <c r="J81" s="4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customHeight="1" ht="11.5" s="12" customFormat="1">
      <c r="A82" s="35"/>
      <c r="B82" s="32"/>
      <c r="C82" s="36"/>
      <c r="D82" s="36"/>
      <c r="E82" s="36"/>
      <c r="F82" s="36"/>
      <c r="G82" s="36"/>
      <c r="H82" s="31"/>
      <c r="I82" s="46"/>
      <c r="J82" s="46"/>
      <c r="K82" s="3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customHeight="1" ht="11.5" s="12" customFormat="1">
      <c r="A83" s="29"/>
      <c r="B83" s="57"/>
      <c r="C83" s="30"/>
      <c r="D83" s="36"/>
      <c r="E83" s="36"/>
      <c r="F83" s="36"/>
      <c r="G83" s="36"/>
      <c r="H83" s="31"/>
      <c r="I83" s="46"/>
      <c r="J83" s="4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customHeight="1" ht="11.5" s="12" customFormat="1">
      <c r="A84" s="26"/>
      <c r="B84" s="56"/>
      <c r="C84" s="27"/>
      <c r="D84" s="39"/>
      <c r="E84" s="39"/>
      <c r="F84" s="39"/>
      <c r="G84" s="39"/>
      <c r="H84" s="28"/>
      <c r="I84" s="45"/>
      <c r="J84" s="4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customHeight="1" ht="11.5" s="12" customFormat="1">
      <c r="A85" s="26"/>
      <c r="B85" s="56"/>
      <c r="C85" s="27"/>
      <c r="D85" s="39"/>
      <c r="E85" s="39"/>
      <c r="F85" s="39"/>
      <c r="G85" s="39"/>
      <c r="H85" s="28"/>
      <c r="I85" s="45"/>
      <c r="J85" s="4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customHeight="1" ht="11.5" s="12" customFormat="1">
      <c r="A86" s="26"/>
      <c r="B86" s="56"/>
      <c r="C86" s="27"/>
      <c r="D86" s="39"/>
      <c r="E86" s="39"/>
      <c r="F86" s="39"/>
      <c r="G86" s="39"/>
      <c r="H86" s="28"/>
      <c r="I86" s="45"/>
      <c r="J86" s="4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customHeight="1" ht="11.5" s="12" customFormat="1">
      <c r="A87" s="26"/>
      <c r="B87" s="56"/>
      <c r="C87" s="27"/>
      <c r="D87" s="39"/>
      <c r="E87" s="39"/>
      <c r="F87" s="39"/>
      <c r="G87" s="39"/>
      <c r="H87" s="28"/>
      <c r="I87" s="45"/>
      <c r="J87" s="4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customHeight="1" ht="11.5" s="12" customFormat="1">
      <c r="A88" s="26"/>
      <c r="B88" s="56"/>
      <c r="C88" s="27"/>
      <c r="D88" s="39"/>
      <c r="E88" s="39"/>
      <c r="F88" s="39"/>
      <c r="G88" s="39"/>
      <c r="H88" s="28"/>
      <c r="I88" s="45"/>
      <c r="J88" s="4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customHeight="1" ht="11.5" s="12" customFormat="1">
      <c r="A89" s="26"/>
      <c r="B89" s="56"/>
      <c r="C89" s="27"/>
      <c r="D89" s="39"/>
      <c r="E89" s="39"/>
      <c r="F89" s="39"/>
      <c r="G89" s="39"/>
      <c r="H89" s="28"/>
      <c r="I89" s="45"/>
      <c r="J89" s="4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customHeight="1" ht="11.5" s="12" customFormat="1">
      <c r="A90" s="26"/>
      <c r="B90" s="56"/>
      <c r="C90" s="27"/>
      <c r="D90" s="39"/>
      <c r="E90" s="39"/>
      <c r="F90" s="39"/>
      <c r="G90" s="39"/>
      <c r="H90" s="28"/>
      <c r="I90" s="45"/>
      <c r="J90" s="4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customHeight="1" ht="11.5" s="12" customFormat="1">
      <c r="A91" s="26"/>
      <c r="B91" s="56"/>
      <c r="C91" s="27"/>
      <c r="D91" s="39"/>
      <c r="E91" s="39"/>
      <c r="F91" s="39"/>
      <c r="G91" s="39"/>
      <c r="H91" s="28"/>
      <c r="I91" s="45"/>
      <c r="J91" s="4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customHeight="1" ht="11.5" s="12" customFormat="1">
      <c r="A92" s="26"/>
      <c r="B92" s="56"/>
      <c r="C92" s="27"/>
      <c r="D92" s="39"/>
      <c r="E92" s="39"/>
      <c r="F92" s="39"/>
      <c r="G92" s="39"/>
      <c r="H92" s="28"/>
      <c r="I92" s="45"/>
      <c r="J92" s="4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customHeight="1" ht="11.5" s="12" customFormat="1">
      <c r="A93" s="26"/>
      <c r="B93" s="56"/>
      <c r="C93" s="27"/>
      <c r="D93" s="39"/>
      <c r="E93" s="39"/>
      <c r="F93" s="39"/>
      <c r="G93" s="39"/>
      <c r="H93" s="28"/>
      <c r="I93" s="45"/>
      <c r="J93" s="4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customHeight="1" ht="11.5" s="12" customFormat="1">
      <c r="A94" s="26"/>
      <c r="B94" s="56"/>
      <c r="C94" s="27"/>
      <c r="D94" s="39"/>
      <c r="E94" s="39"/>
      <c r="F94" s="39"/>
      <c r="G94" s="39"/>
      <c r="H94" s="28"/>
      <c r="I94" s="45"/>
      <c r="J94" s="4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customHeight="1" ht="11.5" s="12" customFormat="1">
      <c r="A95" s="26"/>
      <c r="B95" s="56"/>
      <c r="C95" s="27"/>
      <c r="D95" s="39"/>
      <c r="E95" s="39"/>
      <c r="F95" s="39"/>
      <c r="G95" s="39"/>
      <c r="H95" s="28"/>
      <c r="I95" s="45"/>
      <c r="J95" s="4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customHeight="1" ht="11.5" s="12" customFormat="1">
      <c r="A96" s="26"/>
      <c r="B96" s="56"/>
      <c r="C96" s="27"/>
      <c r="D96" s="39"/>
      <c r="E96" s="39"/>
      <c r="F96" s="39"/>
      <c r="G96" s="39"/>
      <c r="H96" s="28"/>
      <c r="I96" s="45"/>
      <c r="J96" s="4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customHeight="1" ht="11.5" s="12" customFormat="1">
      <c r="A97" s="26"/>
      <c r="B97" s="56"/>
      <c r="C97" s="27"/>
      <c r="D97" s="39"/>
      <c r="E97" s="39"/>
      <c r="F97" s="39"/>
      <c r="G97" s="39"/>
      <c r="H97" s="28"/>
      <c r="I97" s="45"/>
      <c r="J97" s="4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customHeight="1" ht="11.5" s="12" customFormat="1">
      <c r="A98" s="26"/>
      <c r="B98" s="56"/>
      <c r="C98" s="27"/>
      <c r="D98" s="39"/>
      <c r="E98" s="39"/>
      <c r="F98" s="39"/>
      <c r="G98" s="39"/>
      <c r="H98" s="28"/>
      <c r="I98" s="45"/>
      <c r="J98" s="4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customHeight="1" ht="11.5" s="12" customFormat="1">
      <c r="A99" s="26"/>
      <c r="B99" s="56"/>
      <c r="C99" s="27"/>
      <c r="D99" s="39"/>
      <c r="E99" s="39"/>
      <c r="F99" s="39"/>
      <c r="G99" s="39"/>
      <c r="H99" s="28"/>
      <c r="I99" s="45"/>
      <c r="J99" s="4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customHeight="1" ht="11.5" s="12" customFormat="1">
      <c r="A100" s="26"/>
      <c r="B100" s="56"/>
      <c r="C100" s="27"/>
      <c r="D100" s="39"/>
      <c r="E100" s="39"/>
      <c r="F100" s="39"/>
      <c r="G100" s="39"/>
      <c r="H100" s="28"/>
      <c r="I100" s="45"/>
      <c r="J100" s="4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customHeight="1" ht="11.5" s="12" customFormat="1">
      <c r="A101" s="35"/>
      <c r="B101" s="32"/>
      <c r="C101" s="36"/>
      <c r="D101" s="36"/>
      <c r="E101" s="36"/>
      <c r="F101" s="36"/>
      <c r="G101" s="36"/>
      <c r="H101" s="31"/>
      <c r="I101" s="46"/>
      <c r="J101" s="46"/>
      <c r="K101" s="3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customHeight="1" ht="11.5" s="12" customFormat="1">
      <c r="A102" s="29"/>
      <c r="B102" s="57"/>
      <c r="C102" s="30"/>
      <c r="D102" s="36"/>
      <c r="E102" s="36"/>
      <c r="F102" s="36"/>
      <c r="G102" s="36"/>
      <c r="H102" s="31"/>
      <c r="I102" s="46"/>
      <c r="J102" s="4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customHeight="1" ht="11.5" s="12" customFormat="1">
      <c r="A103" s="26"/>
      <c r="B103" s="56"/>
      <c r="C103" s="27"/>
      <c r="D103" s="39"/>
      <c r="E103" s="39"/>
      <c r="F103" s="39"/>
      <c r="G103" s="39"/>
      <c r="H103" s="28"/>
      <c r="I103" s="45"/>
      <c r="J103" s="4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customHeight="1" ht="11.5" s="12" customFormat="1">
      <c r="A104" s="26"/>
      <c r="B104" s="56"/>
      <c r="C104" s="27"/>
      <c r="D104" s="39"/>
      <c r="E104" s="39"/>
      <c r="F104" s="39"/>
      <c r="G104" s="39"/>
      <c r="H104" s="28"/>
      <c r="I104" s="45"/>
      <c r="J104" s="4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customHeight="1" ht="11.5" s="12" customFormat="1">
      <c r="A105" s="26"/>
      <c r="B105" s="56"/>
      <c r="C105" s="27"/>
      <c r="D105" s="39"/>
      <c r="E105" s="39"/>
      <c r="F105" s="39"/>
      <c r="G105" s="39"/>
      <c r="H105" s="28"/>
      <c r="I105" s="45"/>
      <c r="J105" s="4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customHeight="1" ht="11.5" s="12" customFormat="1">
      <c r="A106" s="26"/>
      <c r="B106" s="56"/>
      <c r="C106" s="27"/>
      <c r="D106" s="39"/>
      <c r="E106" s="39"/>
      <c r="F106" s="39"/>
      <c r="G106" s="39"/>
      <c r="H106" s="28"/>
      <c r="I106" s="45"/>
      <c r="J106" s="4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customHeight="1" ht="11.5" s="12" customFormat="1">
      <c r="A107" s="26"/>
      <c r="B107" s="56"/>
      <c r="C107" s="27"/>
      <c r="D107" s="39"/>
      <c r="E107" s="39"/>
      <c r="F107" s="39"/>
      <c r="G107" s="39"/>
      <c r="H107" s="28"/>
      <c r="I107" s="45"/>
      <c r="J107" s="4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customHeight="1" ht="11.5" s="12" customFormat="1">
      <c r="A108" s="26"/>
      <c r="B108" s="56"/>
      <c r="C108" s="27"/>
      <c r="D108" s="39"/>
      <c r="E108" s="39"/>
      <c r="F108" s="39"/>
      <c r="G108" s="39"/>
      <c r="H108" s="28"/>
      <c r="I108" s="45"/>
      <c r="J108" s="4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customHeight="1" ht="11.5" s="12" customFormat="1">
      <c r="A109" s="26"/>
      <c r="B109" s="56"/>
      <c r="C109" s="27"/>
      <c r="D109" s="39"/>
      <c r="E109" s="39"/>
      <c r="F109" s="39"/>
      <c r="G109" s="39"/>
      <c r="H109" s="28"/>
      <c r="I109" s="45"/>
      <c r="J109" s="4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customHeight="1" ht="11.5" s="12" customFormat="1">
      <c r="A110" s="26"/>
      <c r="B110" s="56"/>
      <c r="C110" s="27"/>
      <c r="D110" s="39"/>
      <c r="E110" s="39"/>
      <c r="F110" s="39"/>
      <c r="G110" s="39"/>
      <c r="H110" s="28"/>
      <c r="I110" s="45"/>
      <c r="J110" s="4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customHeight="1" ht="11.5" s="12" customFormat="1">
      <c r="A111" s="26"/>
      <c r="B111" s="56"/>
      <c r="C111" s="27"/>
      <c r="D111" s="39"/>
      <c r="E111" s="39"/>
      <c r="F111" s="39"/>
      <c r="G111" s="39"/>
      <c r="H111" s="28"/>
      <c r="I111" s="45"/>
      <c r="J111" s="4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customHeight="1" ht="11.5" s="12" customFormat="1">
      <c r="A112" s="26"/>
      <c r="B112" s="56"/>
      <c r="C112" s="27"/>
      <c r="D112" s="39"/>
      <c r="E112" s="39"/>
      <c r="F112" s="39"/>
      <c r="G112" s="39"/>
      <c r="H112" s="28"/>
      <c r="I112" s="45"/>
      <c r="J112" s="4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customHeight="1" ht="11.5" s="12" customFormat="1">
      <c r="A113" s="26"/>
      <c r="B113" s="56"/>
      <c r="C113" s="27"/>
      <c r="D113" s="39"/>
      <c r="E113" s="39"/>
      <c r="F113" s="39"/>
      <c r="G113" s="39"/>
      <c r="H113" s="28"/>
      <c r="I113" s="45"/>
      <c r="J113" s="4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customHeight="1" ht="11.5" s="12" customFormat="1">
      <c r="A114" s="26"/>
      <c r="B114" s="56"/>
      <c r="C114" s="27"/>
      <c r="D114" s="39"/>
      <c r="E114" s="39"/>
      <c r="F114" s="39"/>
      <c r="G114" s="39"/>
      <c r="H114" s="28"/>
      <c r="I114" s="45"/>
      <c r="J114" s="4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customHeight="1" ht="11.5" s="12" customFormat="1">
      <c r="A115" s="26"/>
      <c r="B115" s="56"/>
      <c r="C115" s="27"/>
      <c r="D115" s="39"/>
      <c r="E115" s="39"/>
      <c r="F115" s="39"/>
      <c r="G115" s="39"/>
      <c r="H115" s="28"/>
      <c r="I115" s="45"/>
      <c r="J115" s="4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customHeight="1" ht="11.5" s="12" customFormat="1">
      <c r="A116" s="26"/>
      <c r="B116" s="56"/>
      <c r="C116" s="27"/>
      <c r="D116" s="39"/>
      <c r="E116" s="39"/>
      <c r="F116" s="39"/>
      <c r="G116" s="39"/>
      <c r="H116" s="28"/>
      <c r="I116" s="45"/>
      <c r="J116" s="4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customHeight="1" ht="11.5" s="12" customFormat="1">
      <c r="A117" s="26"/>
      <c r="B117" s="56"/>
      <c r="C117" s="27"/>
      <c r="D117" s="39"/>
      <c r="E117" s="39"/>
      <c r="F117" s="39"/>
      <c r="G117" s="39"/>
      <c r="H117" s="28"/>
      <c r="I117" s="45"/>
      <c r="J117" s="4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customHeight="1" ht="11.5" s="12" customFormat="1">
      <c r="A118" s="26"/>
      <c r="B118" s="56"/>
      <c r="C118" s="27"/>
      <c r="D118" s="39"/>
      <c r="E118" s="39"/>
      <c r="F118" s="39"/>
      <c r="G118" s="39"/>
      <c r="H118" s="28"/>
      <c r="I118" s="45"/>
      <c r="J118" s="4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customHeight="1" ht="11.5">
      <c r="A119" s="14"/>
      <c r="B119" s="59"/>
      <c r="C119" s="20"/>
      <c r="D119" s="62"/>
      <c r="E119" s="40"/>
      <c r="F119" s="66"/>
      <c r="G119" s="40"/>
      <c r="H119" s="40"/>
      <c r="I119" s="47"/>
      <c r="J119" s="47"/>
      <c r="K119" s="17"/>
    </row>
    <row r="120" spans="1:22" customHeight="1" ht="11.5">
      <c r="A120" s="14"/>
      <c r="B120" s="59"/>
      <c r="C120" s="20"/>
      <c r="D120" s="62"/>
      <c r="E120" s="40"/>
      <c r="F120" s="66"/>
      <c r="G120" s="40"/>
      <c r="H120" s="40"/>
      <c r="I120" s="47"/>
      <c r="J120" s="47"/>
      <c r="K120" s="17"/>
    </row>
    <row r="121" spans="1:22" customHeight="1" ht="11.5">
      <c r="A121" s="14"/>
      <c r="B121" s="59"/>
      <c r="C121" s="20"/>
      <c r="D121" s="62"/>
      <c r="E121" s="40"/>
      <c r="F121" s="66"/>
      <c r="G121" s="40"/>
      <c r="H121" s="40"/>
      <c r="I121" s="47"/>
      <c r="J121" s="47"/>
      <c r="K121" s="17"/>
    </row>
    <row r="122" spans="1:22" customHeight="1" ht="11.5">
      <c r="A122" s="14"/>
      <c r="B122" s="59"/>
      <c r="C122" s="20"/>
      <c r="D122" s="62"/>
      <c r="E122" s="40"/>
      <c r="F122" s="66"/>
      <c r="G122" s="40"/>
      <c r="H122" s="40"/>
      <c r="I122" s="47"/>
      <c r="J122" s="47"/>
      <c r="K122" s="17"/>
    </row>
    <row r="123" spans="1:22" customHeight="1" ht="11.5">
      <c r="A123" s="14"/>
      <c r="B123" s="59"/>
      <c r="C123" s="20"/>
      <c r="D123" s="62"/>
      <c r="E123" s="40"/>
      <c r="F123" s="66"/>
      <c r="G123" s="40"/>
      <c r="H123" s="40"/>
      <c r="I123" s="47"/>
      <c r="J123" s="47"/>
      <c r="K123" s="17"/>
    </row>
    <row r="124" spans="1:22" customHeight="1" ht="11.5">
      <c r="A124" s="14"/>
      <c r="B124" s="59"/>
      <c r="C124" s="20"/>
      <c r="D124" s="62"/>
      <c r="E124" s="40"/>
      <c r="F124" s="66"/>
      <c r="G124" s="40"/>
      <c r="H124" s="40"/>
      <c r="I124" s="47"/>
      <c r="J124" s="47"/>
      <c r="K124" s="17"/>
    </row>
    <row r="125" spans="1:22" customHeight="1" ht="11.5">
      <c r="A125" s="14"/>
      <c r="B125" s="59"/>
      <c r="C125" s="20"/>
      <c r="D125" s="62"/>
      <c r="E125" s="40"/>
      <c r="F125" s="66"/>
      <c r="G125" s="40"/>
      <c r="H125" s="40"/>
      <c r="I125" s="47"/>
      <c r="J125" s="47"/>
      <c r="K125" s="17"/>
    </row>
    <row r="126" spans="1:22" customHeight="1" ht="11.5">
      <c r="A126" s="14"/>
      <c r="B126" s="59"/>
      <c r="C126" s="20"/>
      <c r="D126" s="62"/>
      <c r="E126" s="40"/>
      <c r="F126" s="66"/>
      <c r="G126" s="40"/>
      <c r="H126" s="40"/>
      <c r="I126" s="47"/>
      <c r="J126" s="47"/>
      <c r="K126" s="17"/>
    </row>
    <row r="127" spans="1:22" customHeight="1" ht="11.5">
      <c r="A127" s="14"/>
      <c r="B127" s="59"/>
      <c r="C127" s="20"/>
      <c r="D127" s="62"/>
      <c r="E127" s="40"/>
      <c r="F127" s="66"/>
      <c r="G127" s="40"/>
      <c r="H127" s="40"/>
      <c r="I127" s="47"/>
      <c r="J127" s="47"/>
      <c r="K127" s="17"/>
    </row>
    <row r="128" spans="1:22" customHeight="1" ht="11.5">
      <c r="A128" s="14"/>
      <c r="B128" s="59"/>
      <c r="C128" s="20"/>
      <c r="D128" s="62"/>
      <c r="E128" s="40"/>
      <c r="F128" s="66"/>
      <c r="G128" s="40"/>
      <c r="H128" s="40"/>
      <c r="I128" s="47"/>
      <c r="J128" s="47"/>
      <c r="K128" s="17"/>
    </row>
    <row r="129" spans="1:22" customHeight="1" ht="11.5">
      <c r="A129" s="14"/>
      <c r="B129" s="59"/>
      <c r="C129" s="20"/>
      <c r="D129" s="62"/>
      <c r="E129" s="40"/>
      <c r="F129" s="66"/>
      <c r="G129" s="40"/>
      <c r="H129" s="40"/>
      <c r="I129" s="47"/>
      <c r="J129" s="47"/>
      <c r="K129" s="17"/>
    </row>
    <row r="130" spans="1:22" customHeight="1" ht="11.5">
      <c r="A130" s="14"/>
      <c r="B130" s="59"/>
      <c r="C130" s="20"/>
      <c r="D130" s="62"/>
      <c r="E130" s="40"/>
      <c r="F130" s="66"/>
      <c r="G130" s="40"/>
      <c r="H130" s="40"/>
      <c r="I130" s="47"/>
      <c r="J130" s="47"/>
      <c r="K130" s="17"/>
    </row>
    <row r="131" spans="1:22" customHeight="1" ht="11.5">
      <c r="A131" s="14"/>
      <c r="B131" s="59"/>
      <c r="C131" s="20"/>
      <c r="D131" s="62"/>
      <c r="E131" s="40"/>
      <c r="F131" s="66"/>
      <c r="G131" s="40"/>
      <c r="H131" s="40"/>
      <c r="I131" s="47"/>
      <c r="J131" s="47"/>
      <c r="K131" s="17"/>
    </row>
    <row r="132" spans="1:22" customHeight="1" ht="11.5">
      <c r="A132" s="14"/>
      <c r="B132" s="59"/>
      <c r="C132" s="20"/>
      <c r="D132" s="62"/>
      <c r="E132" s="40"/>
      <c r="F132" s="66"/>
      <c r="G132" s="40"/>
      <c r="H132" s="40"/>
      <c r="I132" s="47"/>
      <c r="J132" s="47"/>
      <c r="K132" s="17"/>
    </row>
    <row r="133" spans="1:22" customHeight="1" ht="11.5">
      <c r="A133" s="14"/>
      <c r="B133" s="59"/>
      <c r="C133" s="20"/>
      <c r="D133" s="62"/>
      <c r="E133" s="40"/>
      <c r="F133" s="66"/>
      <c r="G133" s="40"/>
      <c r="H133" s="40"/>
      <c r="I133" s="47"/>
      <c r="J133" s="47"/>
      <c r="K133" s="17"/>
    </row>
    <row r="134" spans="1:22" customHeight="1" ht="11.5">
      <c r="A134" s="14"/>
      <c r="B134" s="59"/>
      <c r="C134" s="20"/>
      <c r="D134" s="62"/>
      <c r="E134" s="40"/>
      <c r="F134" s="66"/>
      <c r="G134" s="40"/>
      <c r="H134" s="40"/>
      <c r="I134" s="47"/>
      <c r="J134" s="47"/>
      <c r="K134" s="17"/>
    </row>
    <row r="135" spans="1:22" customHeight="1" ht="11.5">
      <c r="A135" s="14"/>
      <c r="B135" s="59"/>
      <c r="C135" s="20"/>
      <c r="D135" s="62"/>
      <c r="E135" s="40"/>
      <c r="F135" s="66"/>
      <c r="G135" s="40"/>
      <c r="H135" s="40"/>
      <c r="I135" s="47"/>
      <c r="J135" s="47"/>
      <c r="K135" s="17"/>
    </row>
    <row r="136" spans="1:22" customHeight="1" ht="11.5">
      <c r="A136" s="14"/>
      <c r="B136" s="59"/>
      <c r="C136" s="20"/>
      <c r="D136" s="62"/>
      <c r="E136" s="40"/>
      <c r="F136" s="66"/>
      <c r="G136" s="40"/>
      <c r="H136" s="40"/>
      <c r="I136" s="47"/>
      <c r="J136" s="47"/>
      <c r="K136" s="17"/>
    </row>
    <row r="137" spans="1:22" customHeight="1" ht="11.5">
      <c r="A137" s="14"/>
      <c r="B137" s="59"/>
      <c r="C137" s="20"/>
      <c r="D137" s="62"/>
      <c r="E137" s="40"/>
      <c r="F137" s="66"/>
      <c r="G137" s="40"/>
      <c r="H137" s="40"/>
      <c r="I137" s="47"/>
      <c r="J137" s="47"/>
      <c r="K137" s="17"/>
    </row>
    <row r="138" spans="1:22" customHeight="1" ht="11.5">
      <c r="A138" s="14"/>
      <c r="B138" s="59"/>
      <c r="C138" s="20"/>
      <c r="D138" s="62"/>
      <c r="E138" s="40"/>
      <c r="F138" s="66"/>
      <c r="G138" s="40"/>
      <c r="H138" s="40"/>
      <c r="I138" s="47"/>
      <c r="J138" s="47"/>
      <c r="K138" s="17"/>
    </row>
    <row r="139" spans="1:22" customHeight="1" ht="11.5">
      <c r="A139" s="14"/>
      <c r="B139" s="59"/>
      <c r="C139" s="20"/>
      <c r="D139" s="62"/>
      <c r="E139" s="40"/>
      <c r="F139" s="66"/>
      <c r="G139" s="40"/>
      <c r="H139" s="40"/>
      <c r="I139" s="47"/>
      <c r="J139" s="47"/>
      <c r="K139" s="17"/>
    </row>
    <row r="140" spans="1:22" customHeight="1" ht="11.5">
      <c r="A140" s="14"/>
      <c r="B140" s="59"/>
      <c r="C140" s="20"/>
      <c r="D140" s="62"/>
      <c r="E140" s="40"/>
      <c r="F140" s="66"/>
      <c r="G140" s="40"/>
      <c r="H140" s="40"/>
      <c r="I140" s="47"/>
      <c r="J140" s="47"/>
      <c r="K140" s="17"/>
    </row>
    <row r="141" spans="1:22" customHeight="1" ht="11.5">
      <c r="A141" s="14"/>
      <c r="B141" s="59"/>
      <c r="C141" s="20"/>
      <c r="D141" s="62"/>
      <c r="E141" s="40"/>
      <c r="F141" s="66"/>
      <c r="G141" s="40"/>
      <c r="H141" s="40"/>
      <c r="I141" s="47"/>
      <c r="J141" s="47"/>
      <c r="K141" s="17"/>
    </row>
    <row r="142" spans="1:22" customHeight="1" ht="11.5">
      <c r="A142" s="14"/>
      <c r="B142" s="59"/>
      <c r="C142" s="20"/>
      <c r="D142" s="62"/>
      <c r="E142" s="40"/>
      <c r="F142" s="66"/>
      <c r="G142" s="40"/>
      <c r="H142" s="40"/>
      <c r="I142" s="47"/>
      <c r="J142" s="47"/>
      <c r="K142" s="17"/>
    </row>
    <row r="143" spans="1:22" customHeight="1" ht="11.5">
      <c r="A143" s="14"/>
      <c r="B143" s="59"/>
      <c r="C143" s="20"/>
      <c r="D143" s="62"/>
      <c r="E143" s="40"/>
      <c r="F143" s="66"/>
      <c r="G143" s="40"/>
      <c r="H143" s="40"/>
      <c r="I143" s="47"/>
      <c r="J143" s="47"/>
      <c r="K143" s="17"/>
    </row>
    <row r="144" spans="1:22" customHeight="1" ht="11.5">
      <c r="A144" s="14"/>
      <c r="B144" s="59"/>
      <c r="C144" s="20"/>
      <c r="D144" s="62"/>
      <c r="E144" s="40"/>
      <c r="F144" s="66"/>
      <c r="G144" s="40"/>
      <c r="H144" s="40"/>
      <c r="I144" s="47"/>
      <c r="J144" s="47"/>
      <c r="K144" s="17"/>
    </row>
    <row r="145" spans="1:22" customHeight="1" ht="11.5">
      <c r="A145" s="14"/>
      <c r="B145" s="59"/>
      <c r="C145" s="20"/>
      <c r="D145" s="62"/>
      <c r="E145" s="40"/>
      <c r="F145" s="66"/>
      <c r="G145" s="40"/>
      <c r="H145" s="40"/>
      <c r="I145" s="47"/>
      <c r="J145" s="47"/>
      <c r="K145" s="17"/>
    </row>
    <row r="146" spans="1:22" customHeight="1" ht="11.5">
      <c r="A146" s="14"/>
      <c r="B146" s="59"/>
      <c r="C146" s="20"/>
      <c r="D146" s="62"/>
      <c r="E146" s="40"/>
      <c r="F146" s="66"/>
      <c r="G146" s="40"/>
      <c r="H146" s="40"/>
      <c r="I146" s="47"/>
      <c r="J146" s="47"/>
      <c r="K146" s="17"/>
    </row>
    <row r="147" spans="1:22" customHeight="1" ht="11.5">
      <c r="A147" s="14"/>
      <c r="B147" s="59"/>
      <c r="C147" s="20"/>
      <c r="D147" s="62"/>
      <c r="E147" s="40"/>
      <c r="F147" s="66"/>
      <c r="G147" s="40"/>
      <c r="H147" s="40"/>
      <c r="I147" s="47"/>
      <c r="J147" s="47"/>
      <c r="K147" s="17"/>
    </row>
    <row r="148" spans="1:22" customHeight="1" ht="11.5">
      <c r="A148" s="3"/>
      <c r="B148" s="60"/>
      <c r="C148" s="21"/>
      <c r="D148" s="63"/>
      <c r="E148" s="41"/>
      <c r="F148" s="67"/>
      <c r="G148" s="41"/>
      <c r="H148" s="41"/>
      <c r="I148" s="41"/>
      <c r="J148" s="41"/>
      <c r="K148" s="17"/>
    </row>
    <row r="149" spans="1:22" customHeight="1" ht="11.5">
      <c r="J149" s="51">
        <f>SUM(K1)</f>
        <v>0</v>
      </c>
      <c r="K149" s="17"/>
    </row>
    <row r="150" spans="1:22" customHeight="1" ht="11.5">
      <c r="K150" s="17"/>
    </row>
    <row r="151" spans="1:22" customHeight="1" ht="11.5">
      <c r="K151" s="17"/>
    </row>
    <row r="152" spans="1:22" customHeight="1" ht="11.5">
      <c r="K152" s="17"/>
    </row>
    <row r="153" spans="1:22" customHeight="1" ht="11.5">
      <c r="K153" s="17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207" t="s">
        <v>153</v>
      </c>
      <c r="B1" s="207"/>
      <c r="C1" s="207"/>
      <c r="D1" s="50"/>
      <c r="E1" s="50"/>
    </row>
    <row r="2" spans="1:5" customHeight="1" ht="12.5">
      <c r="A2" s="18" t="s">
        <v>154</v>
      </c>
      <c r="B2" s="19" t="s">
        <v>132</v>
      </c>
      <c r="C2" s="37" t="s">
        <v>155</v>
      </c>
      <c r="D2" s="48" t="s">
        <v>139</v>
      </c>
      <c r="E2" s="48" t="s">
        <v>156</v>
      </c>
    </row>
    <row r="3" spans="1:5" customHeight="1" ht="12.5">
      <c r="A3" s="22"/>
      <c r="B3" s="23"/>
      <c r="C3" s="38"/>
      <c r="D3" s="44"/>
      <c r="E3" s="44"/>
    </row>
    <row r="4" spans="1:5" customHeight="1" ht="12.5">
      <c r="A4" s="22"/>
      <c r="B4" s="23"/>
      <c r="C4" s="38"/>
      <c r="D4" s="44"/>
      <c r="E4" s="44"/>
    </row>
    <row r="5" spans="1:5" customHeight="1" ht="12.5">
      <c r="A5" s="22"/>
      <c r="B5" s="23"/>
      <c r="C5" s="38"/>
      <c r="D5" s="44"/>
      <c r="E5" s="44"/>
    </row>
    <row r="6" spans="1:5" customHeight="1" ht="12.5">
      <c r="A6" s="22"/>
      <c r="B6" s="23"/>
      <c r="C6" s="38"/>
      <c r="D6" s="44"/>
      <c r="E6" s="44"/>
    </row>
    <row r="7" spans="1:5" customHeight="1" ht="12.5">
      <c r="A7" s="22"/>
      <c r="B7" s="23"/>
      <c r="C7" s="38"/>
      <c r="D7" s="44"/>
      <c r="E7" s="44"/>
    </row>
    <row r="8" spans="1:5" customHeight="1" ht="12.5">
      <c r="A8" s="22"/>
      <c r="B8" s="23"/>
      <c r="C8" s="38"/>
      <c r="D8" s="44"/>
      <c r="E8" s="44"/>
    </row>
    <row r="9" spans="1:5" customHeight="1" ht="12.5">
      <c r="A9" s="26"/>
      <c r="B9" s="27"/>
      <c r="C9" s="39"/>
      <c r="D9" s="45"/>
      <c r="E9" s="45"/>
    </row>
    <row r="10" spans="1:5" customHeight="1" ht="12.5">
      <c r="A10" s="26"/>
      <c r="B10" s="27"/>
      <c r="C10" s="39"/>
      <c r="D10" s="45"/>
      <c r="E10" s="45"/>
    </row>
    <row r="11" spans="1:5" customHeight="1" ht="12.5">
      <c r="A11" s="26"/>
      <c r="B11" s="27"/>
      <c r="C11" s="39"/>
      <c r="D11" s="45"/>
      <c r="E11" s="45"/>
    </row>
    <row r="12" spans="1:5" customHeight="1" ht="12.5">
      <c r="A12" s="26"/>
      <c r="B12" s="27"/>
      <c r="C12" s="39"/>
      <c r="D12" s="45"/>
      <c r="E12" s="45"/>
    </row>
    <row r="13" spans="1:5" customHeight="1" ht="12.5">
      <c r="A13" s="26"/>
      <c r="B13" s="27"/>
      <c r="C13" s="39"/>
      <c r="D13" s="45"/>
      <c r="E13" s="45"/>
    </row>
    <row r="14" spans="1:5" customHeight="1" ht="12.5">
      <c r="A14" s="26"/>
      <c r="B14" s="27"/>
      <c r="C14" s="39"/>
      <c r="D14" s="45"/>
      <c r="E14" s="45"/>
    </row>
    <row r="15" spans="1:5" customHeight="1" ht="12.5">
      <c r="A15" s="35"/>
      <c r="B15" s="36"/>
      <c r="C15" s="36"/>
      <c r="D15" s="46"/>
      <c r="E15" s="46"/>
    </row>
    <row r="16" spans="1:5" customHeight="1" ht="12.5">
      <c r="A16" s="35"/>
      <c r="B16" s="36"/>
      <c r="C16" s="36"/>
      <c r="D16" s="46"/>
      <c r="E16" s="46"/>
    </row>
    <row r="17" spans="1:5" customHeight="1" ht="12.5">
      <c r="A17" s="29"/>
      <c r="B17" s="30"/>
      <c r="C17" s="36"/>
      <c r="D17" s="46"/>
      <c r="E17" s="46"/>
    </row>
    <row r="18" spans="1:5" customHeight="1" ht="12.5">
      <c r="A18" s="26"/>
      <c r="B18" s="27"/>
      <c r="C18" s="39"/>
      <c r="D18" s="45"/>
      <c r="E18" s="45"/>
    </row>
    <row r="19" spans="1:5" customHeight="1" ht="12.5">
      <c r="A19" s="26"/>
      <c r="B19" s="27"/>
      <c r="C19" s="39"/>
      <c r="D19" s="45"/>
      <c r="E19" s="45"/>
    </row>
    <row r="20" spans="1:5" customHeight="1" ht="12.5">
      <c r="A20" s="26"/>
      <c r="B20" s="27"/>
      <c r="C20" s="39"/>
      <c r="D20" s="45"/>
      <c r="E20" s="45"/>
    </row>
    <row r="21" spans="1:5" customHeight="1" ht="12.5">
      <c r="A21" s="26"/>
      <c r="B21" s="27"/>
      <c r="C21" s="39"/>
      <c r="D21" s="45"/>
      <c r="E21" s="45"/>
    </row>
    <row r="22" spans="1:5" customHeight="1" ht="12.5">
      <c r="A22" s="26"/>
      <c r="B22" s="27"/>
      <c r="C22" s="39"/>
      <c r="D22" s="45"/>
      <c r="E22" s="45"/>
    </row>
    <row r="23" spans="1:5" customHeight="1" ht="12.5">
      <c r="A23" s="26"/>
      <c r="B23" s="27"/>
      <c r="C23" s="39"/>
      <c r="D23" s="45"/>
      <c r="E23" s="45"/>
    </row>
    <row r="24" spans="1:5" customHeight="1" ht="12.5">
      <c r="A24" s="26"/>
      <c r="B24" s="27"/>
      <c r="C24" s="39"/>
      <c r="D24" s="45"/>
      <c r="E24" s="45"/>
    </row>
    <row r="25" spans="1:5" customHeight="1" ht="12.5">
      <c r="A25" s="26"/>
      <c r="B25" s="27"/>
      <c r="C25" s="39"/>
      <c r="D25" s="45"/>
      <c r="E25" s="45"/>
    </row>
    <row r="26" spans="1:5" customHeight="1" ht="12.5">
      <c r="A26" s="26"/>
      <c r="B26" s="27"/>
      <c r="C26" s="39"/>
      <c r="D26" s="45"/>
      <c r="E26" s="45"/>
    </row>
    <row r="27" spans="1:5" customHeight="1" ht="12.5">
      <c r="A27" s="26"/>
      <c r="B27" s="27"/>
      <c r="C27" s="39"/>
      <c r="D27" s="45"/>
      <c r="E27" s="45"/>
    </row>
    <row r="28" spans="1:5" customHeight="1" ht="12">
      <c r="A28" s="26"/>
      <c r="B28" s="27"/>
      <c r="C28" s="39"/>
      <c r="D28" s="45"/>
      <c r="E28" s="45"/>
    </row>
    <row r="29" spans="1:5" customHeight="1" ht="12.5">
      <c r="A29" s="26"/>
      <c r="B29" s="27"/>
      <c r="C29" s="39"/>
      <c r="D29" s="45"/>
      <c r="E29" s="45"/>
    </row>
    <row r="30" spans="1:5" customHeight="1" ht="12.5">
      <c r="A30" s="35"/>
      <c r="B30" s="36"/>
      <c r="C30" s="36"/>
      <c r="D30" s="46"/>
      <c r="E30" s="46"/>
    </row>
    <row r="31" spans="1:5" customHeight="1" ht="12.5">
      <c r="A31" s="52"/>
      <c r="B31" s="30"/>
      <c r="C31" s="36"/>
      <c r="D31" s="46"/>
      <c r="E31" s="46"/>
    </row>
    <row r="32" spans="1:5" customHeight="1" ht="12.5">
      <c r="A32" s="26"/>
      <c r="B32" s="27"/>
      <c r="C32" s="39"/>
      <c r="D32" s="45"/>
      <c r="E32" s="45"/>
    </row>
    <row r="33" spans="1:5" customHeight="1" ht="12.5">
      <c r="A33" s="26"/>
      <c r="B33" s="27"/>
      <c r="C33" s="39"/>
      <c r="D33" s="45"/>
      <c r="E33" s="45"/>
    </row>
    <row r="34" spans="1:5" customHeight="1" ht="12.5">
      <c r="A34" s="26"/>
      <c r="B34" s="27"/>
      <c r="C34" s="39"/>
      <c r="D34" s="45"/>
      <c r="E34" s="45"/>
    </row>
    <row r="35" spans="1:5" customHeight="1" ht="12.5">
      <c r="A35" s="26"/>
      <c r="B35" s="27"/>
      <c r="C35" s="39"/>
      <c r="D35" s="45"/>
      <c r="E35" s="45"/>
    </row>
    <row r="36" spans="1:5" customHeight="1" ht="12.5">
      <c r="A36" s="35"/>
      <c r="B36" s="36"/>
      <c r="C36" s="36"/>
      <c r="D36" s="46"/>
      <c r="E36" s="46"/>
    </row>
    <row r="37" spans="1:5" customHeight="1" ht="12.5">
      <c r="A37" s="29"/>
      <c r="B37" s="30"/>
      <c r="C37" s="36"/>
      <c r="D37" s="46"/>
      <c r="E37" s="46"/>
    </row>
    <row r="38" spans="1:5" customHeight="1" ht="12.5">
      <c r="A38" s="26"/>
      <c r="B38" s="27"/>
      <c r="C38" s="39"/>
      <c r="D38" s="45"/>
      <c r="E38" s="45"/>
    </row>
    <row r="39" spans="1:5" customHeight="1" ht="12.5">
      <c r="A39" s="26"/>
      <c r="B39" s="27"/>
      <c r="C39" s="39"/>
      <c r="D39" s="45"/>
      <c r="E39" s="45"/>
    </row>
    <row r="40" spans="1:5" customHeight="1" ht="12.5">
      <c r="A40" s="26"/>
      <c r="B40" s="27"/>
      <c r="C40" s="39"/>
      <c r="D40" s="45"/>
      <c r="E40" s="45"/>
    </row>
    <row r="41" spans="1:5" customHeight="1" ht="12.5">
      <c r="A41" s="26"/>
      <c r="B41" s="27"/>
      <c r="C41" s="39"/>
      <c r="D41" s="45"/>
      <c r="E41" s="45"/>
    </row>
    <row r="42" spans="1:5" customHeight="1" ht="12.5">
      <c r="A42" s="26"/>
      <c r="B42" s="27"/>
      <c r="C42" s="39"/>
      <c r="D42" s="45"/>
      <c r="E42" s="45"/>
    </row>
    <row r="43" spans="1:5" customHeight="1" ht="12.5">
      <c r="A43" s="26"/>
      <c r="B43" s="27"/>
      <c r="C43" s="39"/>
      <c r="D43" s="45"/>
      <c r="E43" s="45"/>
    </row>
    <row r="44" spans="1:5" customHeight="1" ht="12.5">
      <c r="A44" s="26"/>
      <c r="B44" s="27"/>
      <c r="C44" s="39"/>
      <c r="D44" s="45"/>
      <c r="E44" s="45"/>
    </row>
    <row r="45" spans="1:5" customHeight="1" ht="12.5">
      <c r="A45" s="26"/>
      <c r="B45" s="27"/>
      <c r="C45" s="39"/>
      <c r="D45" s="45"/>
      <c r="E45" s="45"/>
    </row>
    <row r="46" spans="1:5" customHeight="1" ht="12.5">
      <c r="A46" s="26"/>
      <c r="B46" s="27"/>
      <c r="C46" s="39"/>
      <c r="D46" s="45"/>
      <c r="E46" s="45"/>
    </row>
    <row r="47" spans="1:5" customHeight="1" ht="12.5">
      <c r="A47" s="26"/>
      <c r="B47" s="27"/>
      <c r="C47" s="39"/>
      <c r="D47" s="45"/>
      <c r="E47" s="45"/>
    </row>
    <row r="48" spans="1:5" customHeight="1" ht="12.5">
      <c r="A48" s="26"/>
      <c r="B48" s="27"/>
      <c r="C48" s="39"/>
      <c r="D48" s="45"/>
      <c r="E48" s="45"/>
    </row>
    <row r="49" spans="1:5" customHeight="1" ht="12.5">
      <c r="A49" s="26"/>
      <c r="B49" s="27"/>
      <c r="C49" s="39"/>
      <c r="D49" s="45"/>
      <c r="E49" s="45"/>
    </row>
    <row r="50" spans="1:5" customHeight="1" ht="12.5">
      <c r="A50" s="26"/>
      <c r="B50" s="27"/>
      <c r="C50" s="39"/>
      <c r="D50" s="45"/>
      <c r="E50" s="45"/>
    </row>
    <row r="51" spans="1:5" customHeight="1" ht="12.5">
      <c r="A51" s="26"/>
      <c r="B51" s="27"/>
      <c r="C51" s="39"/>
      <c r="D51" s="45"/>
      <c r="E51" s="45"/>
    </row>
    <row r="52" spans="1:5" customHeight="1" ht="12.5">
      <c r="A52" s="35"/>
      <c r="B52" s="36"/>
      <c r="C52" s="36"/>
      <c r="D52" s="46"/>
      <c r="E52" s="46"/>
    </row>
    <row r="53" spans="1:5" customHeight="1" ht="12.5">
      <c r="A53" s="29"/>
      <c r="B53" s="30"/>
      <c r="C53" s="36"/>
      <c r="D53" s="46"/>
      <c r="E53" s="46"/>
    </row>
    <row r="54" spans="1:5" customHeight="1" ht="12.5">
      <c r="A54" s="26"/>
      <c r="B54" s="27"/>
      <c r="C54" s="39"/>
      <c r="D54" s="45"/>
      <c r="E54" s="45"/>
    </row>
    <row r="55" spans="1:5" customHeight="1" ht="12.5">
      <c r="A55" s="26"/>
      <c r="B55" s="27"/>
      <c r="C55" s="39"/>
      <c r="D55" s="45"/>
      <c r="E55" s="45"/>
    </row>
    <row r="56" spans="1:5" customHeight="1" ht="12.5">
      <c r="A56" s="26"/>
      <c r="B56" s="27"/>
      <c r="C56" s="39"/>
      <c r="D56" s="45"/>
      <c r="E56" s="45"/>
    </row>
    <row r="57" spans="1:5" customHeight="1" ht="12.5">
      <c r="A57" s="26"/>
      <c r="B57" s="27"/>
      <c r="C57" s="39"/>
      <c r="D57" s="45"/>
      <c r="E57" s="45"/>
    </row>
    <row r="58" spans="1:5" customHeight="1" ht="12.5">
      <c r="A58" s="26"/>
      <c r="B58" s="27"/>
      <c r="C58" s="39"/>
      <c r="D58" s="45"/>
      <c r="E58" s="45"/>
    </row>
    <row r="59" spans="1:5" customHeight="1" ht="12.5">
      <c r="A59" s="26"/>
      <c r="B59" s="27"/>
      <c r="C59" s="39"/>
      <c r="D59" s="45"/>
      <c r="E59" s="45"/>
    </row>
    <row r="60" spans="1:5" customHeight="1" ht="12.5">
      <c r="A60" s="26"/>
      <c r="B60" s="27"/>
      <c r="C60" s="39"/>
      <c r="D60" s="45"/>
      <c r="E60" s="45"/>
    </row>
    <row r="61" spans="1:5" customHeight="1" ht="12.5">
      <c r="A61" s="26"/>
      <c r="B61" s="27"/>
      <c r="C61" s="39"/>
      <c r="D61" s="45"/>
      <c r="E61" s="45"/>
    </row>
    <row r="62" spans="1:5" customHeight="1" ht="12.5">
      <c r="A62" s="26"/>
      <c r="B62" s="27"/>
      <c r="C62" s="39"/>
      <c r="D62" s="45"/>
      <c r="E62" s="45"/>
    </row>
    <row r="63" spans="1:5" customHeight="1" ht="12.5">
      <c r="A63" s="26"/>
      <c r="B63" s="27"/>
      <c r="C63" s="39"/>
      <c r="D63" s="45"/>
      <c r="E63" s="45"/>
    </row>
    <row r="64" spans="1:5" customHeight="1" ht="12.5">
      <c r="A64" s="26"/>
      <c r="B64" s="27"/>
      <c r="C64" s="39"/>
      <c r="D64" s="45"/>
      <c r="E64" s="45"/>
    </row>
    <row r="65" spans="1:5" customHeight="1" ht="12.5">
      <c r="A65" s="26"/>
      <c r="B65" s="27"/>
      <c r="C65" s="39"/>
      <c r="D65" s="45"/>
      <c r="E65" s="45"/>
    </row>
    <row r="66" spans="1:5" customHeight="1" ht="12.5">
      <c r="A66" s="26"/>
      <c r="B66" s="27"/>
      <c r="C66" s="39"/>
      <c r="D66" s="45"/>
      <c r="E66" s="45"/>
    </row>
    <row r="67" spans="1:5" customHeight="1" ht="12.5">
      <c r="A67" s="35"/>
      <c r="B67" s="36"/>
      <c r="C67" s="36"/>
      <c r="D67" s="46"/>
      <c r="E67" s="46"/>
    </row>
    <row r="68" spans="1:5" customHeight="1" ht="12.5">
      <c r="A68" s="29"/>
      <c r="B68" s="30"/>
      <c r="C68" s="36"/>
      <c r="D68" s="46"/>
      <c r="E68" s="46"/>
    </row>
    <row r="69" spans="1:5" customHeight="1" ht="12.5">
      <c r="A69" s="26"/>
      <c r="B69" s="27"/>
      <c r="C69" s="39"/>
      <c r="D69" s="45"/>
      <c r="E69" s="45"/>
    </row>
    <row r="70" spans="1:5" customHeight="1" ht="12.5">
      <c r="A70" s="26"/>
      <c r="B70" s="27"/>
      <c r="C70" s="39"/>
      <c r="D70" s="45"/>
      <c r="E70" s="45"/>
    </row>
    <row r="71" spans="1:5" customHeight="1" ht="12.5">
      <c r="A71" s="26"/>
      <c r="B71" s="27"/>
      <c r="C71" s="39"/>
      <c r="D71" s="45"/>
      <c r="E71" s="45"/>
    </row>
    <row r="72" spans="1:5" customHeight="1" ht="12.5">
      <c r="A72" s="26"/>
      <c r="B72" s="27"/>
      <c r="C72" s="39"/>
      <c r="D72" s="45"/>
      <c r="E72" s="45"/>
    </row>
    <row r="73" spans="1:5" customHeight="1" ht="12.5">
      <c r="A73" s="26"/>
      <c r="B73" s="27"/>
      <c r="C73" s="39"/>
      <c r="D73" s="45"/>
      <c r="E73" s="45"/>
    </row>
    <row r="74" spans="1:5" customHeight="1" ht="12.5">
      <c r="A74" s="26"/>
      <c r="B74" s="27"/>
      <c r="C74" s="39"/>
      <c r="D74" s="45"/>
      <c r="E74" s="45"/>
    </row>
    <row r="75" spans="1:5" customHeight="1" ht="12.5">
      <c r="A75" s="26"/>
      <c r="B75" s="27"/>
      <c r="C75" s="39"/>
      <c r="D75" s="45"/>
      <c r="E75" s="45"/>
    </row>
    <row r="76" spans="1:5" customHeight="1" ht="12.5">
      <c r="A76" s="26"/>
      <c r="B76" s="27"/>
      <c r="C76" s="39"/>
      <c r="D76" s="45"/>
      <c r="E76" s="45"/>
    </row>
    <row r="77" spans="1:5" customHeight="1" ht="12.5">
      <c r="A77" s="26"/>
      <c r="B77" s="27"/>
      <c r="C77" s="39"/>
      <c r="D77" s="45"/>
      <c r="E77" s="45"/>
    </row>
    <row r="78" spans="1:5" customHeight="1" ht="12.5">
      <c r="A78" s="26"/>
      <c r="B78" s="27"/>
      <c r="C78" s="39"/>
      <c r="D78" s="45"/>
      <c r="E78" s="45"/>
    </row>
    <row r="79" spans="1:5" customHeight="1" ht="12.5">
      <c r="A79" s="26"/>
      <c r="B79" s="27"/>
      <c r="C79" s="39"/>
      <c r="D79" s="45"/>
      <c r="E79" s="45"/>
    </row>
    <row r="80" spans="1:5" customHeight="1" ht="12.5">
      <c r="A80" s="26"/>
      <c r="B80" s="27"/>
      <c r="C80" s="39"/>
      <c r="D80" s="45"/>
      <c r="E80" s="45"/>
    </row>
    <row r="81" spans="1:5" customHeight="1" ht="12.5">
      <c r="A81" s="26"/>
      <c r="B81" s="27"/>
      <c r="C81" s="39"/>
      <c r="D81" s="45"/>
      <c r="E81" s="45"/>
    </row>
    <row r="82" spans="1:5" customHeight="1" ht="12.5">
      <c r="A82" s="35"/>
      <c r="B82" s="36"/>
      <c r="C82" s="36"/>
      <c r="D82" s="46"/>
      <c r="E82" s="46"/>
    </row>
    <row r="83" spans="1:5" customHeight="1" ht="12.5">
      <c r="A83" s="29"/>
      <c r="B83" s="30"/>
      <c r="C83" s="36"/>
      <c r="D83" s="46"/>
      <c r="E83" s="46"/>
    </row>
    <row r="84" spans="1:5" customHeight="1" ht="12.5">
      <c r="A84" s="26"/>
      <c r="B84" s="27"/>
      <c r="C84" s="39"/>
      <c r="D84" s="45"/>
      <c r="E84" s="45"/>
    </row>
    <row r="85" spans="1:5" customHeight="1" ht="12.5">
      <c r="A85" s="26"/>
      <c r="B85" s="27"/>
      <c r="C85" s="39"/>
      <c r="D85" s="45"/>
      <c r="E85" s="45"/>
    </row>
    <row r="86" spans="1:5" customHeight="1" ht="12.5">
      <c r="A86" s="26"/>
      <c r="B86" s="27"/>
      <c r="C86" s="39"/>
      <c r="D86" s="45"/>
      <c r="E86" s="45"/>
    </row>
    <row r="87" spans="1:5" customHeight="1" ht="12.5">
      <c r="A87" s="26"/>
      <c r="B87" s="27"/>
      <c r="C87" s="39"/>
      <c r="D87" s="45"/>
      <c r="E87" s="45"/>
    </row>
    <row r="88" spans="1:5" customHeight="1" ht="12.5">
      <c r="A88" s="26"/>
      <c r="B88" s="27"/>
      <c r="C88" s="39"/>
      <c r="D88" s="45"/>
      <c r="E88" s="45"/>
    </row>
    <row r="89" spans="1:5" customHeight="1" ht="12.5">
      <c r="A89" s="26"/>
      <c r="B89" s="27"/>
      <c r="C89" s="39"/>
      <c r="D89" s="45"/>
      <c r="E89" s="45"/>
    </row>
    <row r="90" spans="1:5" customHeight="1" ht="12.5">
      <c r="A90" s="26"/>
      <c r="B90" s="27"/>
      <c r="C90" s="39"/>
      <c r="D90" s="45"/>
      <c r="E90" s="45"/>
    </row>
    <row r="91" spans="1:5" customHeight="1" ht="12.5">
      <c r="A91" s="26"/>
      <c r="B91" s="27"/>
      <c r="C91" s="39"/>
      <c r="D91" s="45"/>
      <c r="E91" s="45"/>
    </row>
    <row r="92" spans="1:5" customHeight="1" ht="12.5">
      <c r="A92" s="26"/>
      <c r="B92" s="27"/>
      <c r="C92" s="39"/>
      <c r="D92" s="45"/>
      <c r="E92" s="45"/>
    </row>
    <row r="93" spans="1:5" customHeight="1" ht="12.5">
      <c r="A93" s="26"/>
      <c r="B93" s="27"/>
      <c r="C93" s="39"/>
      <c r="D93" s="45"/>
      <c r="E93" s="45"/>
    </row>
    <row r="94" spans="1:5" customHeight="1" ht="12.5">
      <c r="A94" s="26"/>
      <c r="B94" s="27"/>
      <c r="C94" s="39"/>
      <c r="D94" s="45"/>
      <c r="E94" s="45"/>
    </row>
    <row r="95" spans="1:5" customHeight="1" ht="12.5">
      <c r="A95" s="26"/>
      <c r="B95" s="27"/>
      <c r="C95" s="39"/>
      <c r="D95" s="45"/>
      <c r="E95" s="45"/>
    </row>
    <row r="96" spans="1:5" customHeight="1" ht="12.5">
      <c r="A96" s="26"/>
      <c r="B96" s="27"/>
      <c r="C96" s="39"/>
      <c r="D96" s="45"/>
      <c r="E96" s="45"/>
    </row>
    <row r="97" spans="1:5" customHeight="1" ht="12.5">
      <c r="A97" s="26"/>
      <c r="B97" s="27"/>
      <c r="C97" s="39"/>
      <c r="D97" s="45"/>
      <c r="E97" s="45"/>
    </row>
    <row r="98" spans="1:5" customHeight="1" ht="12.5">
      <c r="A98" s="26"/>
      <c r="B98" s="27"/>
      <c r="C98" s="39"/>
      <c r="D98" s="45"/>
      <c r="E98" s="45"/>
    </row>
    <row r="99" spans="1:5" customHeight="1" ht="12.5">
      <c r="A99" s="26"/>
      <c r="B99" s="27"/>
      <c r="C99" s="39"/>
      <c r="D99" s="45"/>
      <c r="E99" s="45"/>
    </row>
    <row r="100" spans="1:5" customHeight="1" ht="12.5">
      <c r="A100" s="26"/>
      <c r="B100" s="27"/>
      <c r="C100" s="39"/>
      <c r="D100" s="45"/>
      <c r="E100" s="45"/>
    </row>
    <row r="101" spans="1:5" customHeight="1" ht="12.5">
      <c r="A101" s="35"/>
      <c r="B101" s="36"/>
      <c r="C101" s="36"/>
      <c r="D101" s="46"/>
      <c r="E101" s="46"/>
    </row>
    <row r="102" spans="1:5" customHeight="1" ht="12.5">
      <c r="A102" s="29"/>
      <c r="B102" s="30"/>
      <c r="C102" s="36"/>
      <c r="D102" s="46"/>
      <c r="E102" s="46"/>
    </row>
    <row r="103" spans="1:5" customHeight="1" ht="12.5">
      <c r="A103" s="26"/>
      <c r="B103" s="27"/>
      <c r="C103" s="39"/>
      <c r="D103" s="45"/>
      <c r="E103" s="45"/>
    </row>
    <row r="104" spans="1:5" customHeight="1" ht="12.5">
      <c r="A104" s="26"/>
      <c r="B104" s="27"/>
      <c r="C104" s="39"/>
      <c r="D104" s="45"/>
      <c r="E104" s="45"/>
    </row>
    <row r="105" spans="1:5" customHeight="1" ht="12.5">
      <c r="A105" s="26"/>
      <c r="B105" s="27"/>
      <c r="C105" s="39"/>
      <c r="D105" s="45"/>
      <c r="E105" s="45"/>
    </row>
    <row r="106" spans="1:5" customHeight="1" ht="12.5">
      <c r="A106" s="26"/>
      <c r="B106" s="27"/>
      <c r="C106" s="39"/>
      <c r="D106" s="45"/>
      <c r="E106" s="45"/>
    </row>
    <row r="107" spans="1:5" customHeight="1" ht="12.5">
      <c r="A107" s="26"/>
      <c r="B107" s="27"/>
      <c r="C107" s="39"/>
      <c r="D107" s="45"/>
      <c r="E107" s="45"/>
    </row>
    <row r="108" spans="1:5" customHeight="1" ht="12.5">
      <c r="A108" s="26"/>
      <c r="B108" s="27"/>
      <c r="C108" s="39"/>
      <c r="D108" s="45"/>
      <c r="E108" s="45"/>
    </row>
    <row r="109" spans="1:5" customHeight="1" ht="12.5">
      <c r="A109" s="26"/>
      <c r="B109" s="27"/>
      <c r="C109" s="39"/>
      <c r="D109" s="45"/>
      <c r="E109" s="45"/>
    </row>
    <row r="110" spans="1:5" customHeight="1" ht="12.5">
      <c r="A110" s="26"/>
      <c r="B110" s="27"/>
      <c r="C110" s="39"/>
      <c r="D110" s="45"/>
      <c r="E110" s="45"/>
    </row>
    <row r="111" spans="1:5" customHeight="1" ht="12.5">
      <c r="A111" s="26"/>
      <c r="B111" s="27"/>
      <c r="C111" s="39"/>
      <c r="D111" s="45"/>
      <c r="E111" s="45"/>
    </row>
    <row r="112" spans="1:5" customHeight="1" ht="12.5">
      <c r="A112" s="26"/>
      <c r="B112" s="27"/>
      <c r="C112" s="39"/>
      <c r="D112" s="45"/>
      <c r="E112" s="45"/>
    </row>
    <row r="113" spans="1:5" customHeight="1" ht="12.5">
      <c r="A113" s="26"/>
      <c r="B113" s="27"/>
      <c r="C113" s="39"/>
      <c r="D113" s="45"/>
      <c r="E113" s="45"/>
    </row>
    <row r="114" spans="1:5" customHeight="1" ht="12.5">
      <c r="A114" s="26"/>
      <c r="B114" s="27"/>
      <c r="C114" s="39"/>
      <c r="D114" s="45"/>
      <c r="E114" s="45"/>
    </row>
    <row r="115" spans="1:5" customHeight="1" ht="12.5">
      <c r="A115" s="26"/>
      <c r="B115" s="27"/>
      <c r="C115" s="39"/>
      <c r="D115" s="45"/>
      <c r="E115" s="45"/>
    </row>
    <row r="116" spans="1:5" customHeight="1" ht="12.5">
      <c r="A116" s="26"/>
      <c r="B116" s="27"/>
      <c r="C116" s="39"/>
      <c r="D116" s="45"/>
      <c r="E116" s="45"/>
    </row>
    <row r="117" spans="1:5" customHeight="1" ht="12.5">
      <c r="A117" s="26"/>
      <c r="B117" s="27"/>
      <c r="C117" s="39"/>
      <c r="D117" s="45"/>
      <c r="E117" s="45"/>
    </row>
    <row r="118" spans="1:5" customHeight="1" ht="12.5">
      <c r="A118" s="26"/>
      <c r="B118" s="27"/>
      <c r="C118" s="39"/>
      <c r="D118" s="45"/>
      <c r="E118" s="45"/>
    </row>
    <row r="119" spans="1:5" customHeight="1" ht="12.5">
      <c r="A119" s="14"/>
      <c r="B119" s="20"/>
      <c r="C119" s="62"/>
      <c r="D119" s="47"/>
      <c r="E119" s="47"/>
    </row>
    <row r="120" spans="1:5" customHeight="1" ht="12.5">
      <c r="A120" s="14"/>
      <c r="B120" s="20"/>
      <c r="C120" s="62"/>
      <c r="D120" s="47"/>
      <c r="E120" s="47"/>
    </row>
    <row r="121" spans="1:5" customHeight="1" ht="12.5">
      <c r="A121" s="14"/>
      <c r="B121" s="20"/>
      <c r="C121" s="62"/>
      <c r="D121" s="47"/>
      <c r="E121" s="47"/>
    </row>
    <row r="122" spans="1:5" customHeight="1" ht="12.5">
      <c r="A122" s="14"/>
      <c r="B122" s="20"/>
      <c r="C122" s="62"/>
      <c r="D122" s="47"/>
      <c r="E122" s="47"/>
    </row>
    <row r="123" spans="1:5" customHeight="1" ht="12.5">
      <c r="A123" s="14"/>
      <c r="B123" s="20"/>
      <c r="C123" s="62"/>
      <c r="D123" s="47"/>
      <c r="E123" s="47"/>
    </row>
    <row r="124" spans="1:5" customHeight="1" ht="12.5">
      <c r="A124" s="14"/>
      <c r="B124" s="20"/>
      <c r="C124" s="62"/>
      <c r="D124" s="47"/>
      <c r="E124" s="47"/>
    </row>
    <row r="125" spans="1:5" customHeight="1" ht="12.5">
      <c r="A125" s="14"/>
      <c r="B125" s="20"/>
      <c r="C125" s="62"/>
      <c r="D125" s="47"/>
      <c r="E125" s="47"/>
    </row>
    <row r="126" spans="1:5" customHeight="1" ht="12.5">
      <c r="A126" s="14"/>
      <c r="B126" s="20"/>
      <c r="C126" s="62"/>
      <c r="D126" s="47"/>
      <c r="E126" s="47"/>
    </row>
    <row r="127" spans="1:5" customHeight="1" ht="12.5">
      <c r="A127" s="14"/>
      <c r="B127" s="20"/>
      <c r="C127" s="62"/>
      <c r="D127" s="47"/>
      <c r="E127" s="47"/>
    </row>
    <row r="128" spans="1:5" customHeight="1" ht="12.5">
      <c r="A128" s="14"/>
      <c r="B128" s="20"/>
      <c r="C128" s="62"/>
      <c r="D128" s="47"/>
      <c r="E128" s="47"/>
    </row>
    <row r="129" spans="1:5" customHeight="1" ht="12.5">
      <c r="A129" s="14"/>
      <c r="B129" s="20"/>
      <c r="C129" s="62"/>
      <c r="D129" s="47"/>
      <c r="E129" s="47"/>
    </row>
    <row r="130" spans="1:5" customHeight="1" ht="12.5">
      <c r="A130" s="14"/>
      <c r="B130" s="20"/>
      <c r="C130" s="62"/>
      <c r="D130" s="47"/>
      <c r="E130" s="47"/>
    </row>
    <row r="131" spans="1:5" customHeight="1" ht="12.5">
      <c r="A131" s="14"/>
      <c r="B131" s="20"/>
      <c r="C131" s="62"/>
      <c r="D131" s="47"/>
      <c r="E131" s="47"/>
    </row>
    <row r="132" spans="1:5" customHeight="1" ht="12.5">
      <c r="A132" s="14"/>
      <c r="B132" s="20"/>
      <c r="C132" s="62"/>
      <c r="D132" s="47"/>
      <c r="E132" s="47"/>
    </row>
    <row r="133" spans="1:5" customHeight="1" ht="12.5">
      <c r="A133" s="14"/>
      <c r="B133" s="20"/>
      <c r="C133" s="62"/>
      <c r="D133" s="47"/>
      <c r="E133" s="47"/>
    </row>
    <row r="134" spans="1:5" customHeight="1" ht="12.5">
      <c r="A134" s="14"/>
      <c r="B134" s="20"/>
      <c r="C134" s="62"/>
      <c r="D134" s="47"/>
      <c r="E134" s="47"/>
    </row>
    <row r="135" spans="1:5" customHeight="1" ht="12.5">
      <c r="A135" s="14"/>
      <c r="B135" s="20"/>
      <c r="C135" s="62"/>
      <c r="D135" s="47"/>
      <c r="E135" s="47"/>
    </row>
    <row r="136" spans="1:5" customHeight="1" ht="12.5">
      <c r="A136" s="14"/>
      <c r="B136" s="20"/>
      <c r="C136" s="62"/>
      <c r="D136" s="47"/>
      <c r="E136" s="47"/>
    </row>
    <row r="137" spans="1:5" customHeight="1" ht="12.5">
      <c r="A137" s="14"/>
      <c r="B137" s="20"/>
      <c r="C137" s="62"/>
      <c r="D137" s="47"/>
      <c r="E137" s="47"/>
    </row>
    <row r="138" spans="1:5" customHeight="1" ht="12.5">
      <c r="A138" s="14"/>
      <c r="B138" s="20"/>
      <c r="C138" s="62"/>
      <c r="D138" s="47"/>
      <c r="E138" s="47"/>
    </row>
    <row r="139" spans="1:5" customHeight="1" ht="12.5">
      <c r="A139" s="14"/>
      <c r="B139" s="20"/>
      <c r="C139" s="62"/>
      <c r="D139" s="47"/>
      <c r="E139" s="47"/>
    </row>
    <row r="140" spans="1:5" customHeight="1" ht="12.5">
      <c r="A140" s="14"/>
      <c r="B140" s="20"/>
      <c r="C140" s="62"/>
      <c r="D140" s="47"/>
      <c r="E140" s="47"/>
    </row>
    <row r="141" spans="1:5" customHeight="1" ht="12.5">
      <c r="A141" s="14"/>
      <c r="B141" s="20"/>
      <c r="C141" s="62"/>
      <c r="D141" s="47"/>
      <c r="E141" s="47"/>
    </row>
    <row r="142" spans="1:5" customHeight="1" ht="12.5">
      <c r="A142" s="14"/>
      <c r="B142" s="20"/>
      <c r="C142" s="62"/>
      <c r="D142" s="47"/>
      <c r="E142" s="47"/>
    </row>
    <row r="143" spans="1:5" customHeight="1" ht="12.5">
      <c r="A143" s="14"/>
      <c r="B143" s="20"/>
      <c r="C143" s="62"/>
      <c r="D143" s="47"/>
      <c r="E143" s="47"/>
    </row>
    <row r="144" spans="1:5" customHeight="1" ht="12.5">
      <c r="A144" s="14"/>
      <c r="B144" s="20"/>
      <c r="C144" s="62"/>
      <c r="D144" s="47"/>
      <c r="E144" s="47"/>
    </row>
    <row r="145" spans="1:5" customHeight="1" ht="12.5">
      <c r="A145" s="14"/>
      <c r="B145" s="20"/>
      <c r="C145" s="62"/>
      <c r="D145" s="47"/>
      <c r="E145" s="47"/>
    </row>
    <row r="146" spans="1:5" customHeight="1" ht="12.5">
      <c r="A146" s="14"/>
      <c r="B146" s="20"/>
      <c r="C146" s="62"/>
      <c r="D146" s="47"/>
      <c r="E146" s="47"/>
    </row>
    <row r="147" spans="1:5" customHeight="1" ht="12.5">
      <c r="A147" s="14"/>
      <c r="B147" s="20"/>
      <c r="C147" s="62"/>
      <c r="D147" s="47"/>
      <c r="E147" s="47"/>
    </row>
    <row r="148" spans="1:5" customHeight="1" ht="12.5">
      <c r="A148" s="3"/>
      <c r="B148" s="21"/>
      <c r="C148" s="63"/>
      <c r="D148" s="41"/>
      <c r="E148" s="4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2024-07-11T18:43:31+00:00</dcterms:modified>
  <dc:title>Untitled Spreadsheet</dc:title>
  <dc:description/>
  <dc:subject/>
  <cp:keywords/>
  <cp:category/>
</cp:coreProperties>
</file>