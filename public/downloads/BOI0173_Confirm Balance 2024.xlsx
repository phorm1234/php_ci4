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BL" sheetId="1" r:id="rId4"/>
    <sheet name="RTN" sheetId="2" r:id="rId5"/>
    <sheet name="NGREPORT" sheetId="3" r:id="rId6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tbt21</author>
  </authors>
  <commentList>
    <comment ref="E6" authorId="0">
      <text>
        <r>
          <t xml:space="preserve">B/F =Brought forword (ยอดยกมา)
</t>
        </r>
      </text>
    </comment>
    <comment ref="D26" authorId="0">
      <text>
        <r>
          <t xml:space="preserve">tbt21:
Wait เพิ่มชื่อรอง</t>
        </r>
      </text>
    </comment>
  </commentList>
</comments>
</file>

<file path=xl/sharedStrings.xml><?xml version="1.0" encoding="utf-8"?>
<sst xmlns="http://schemas.openxmlformats.org/spreadsheetml/2006/main" uniqueCount="1801">
  <si>
    <t>TOKYO BYOKANE (THAILAND) CO.,LTD.</t>
  </si>
  <si>
    <t>(TAX ID : ) 0105536131043</t>
  </si>
  <si>
    <t>BOI CUSTOMER OUTSTANDING BALANCE</t>
  </si>
  <si>
    <t>CUSTOMER CODE    :</t>
  </si>
  <si>
    <t>BOI0173</t>
  </si>
  <si>
    <t>CUSTOMER NAME   :</t>
  </si>
  <si>
    <t>NIKON (THAILAND) CO., LTD.</t>
  </si>
  <si>
    <t>Unit (PCS.)</t>
  </si>
  <si>
    <t>ACTUAL SALE QUANTITY YEAR'2024</t>
  </si>
  <si>
    <t>SALE</t>
  </si>
  <si>
    <t>BALANCE</t>
  </si>
  <si>
    <t>PRI_CRDATE</t>
  </si>
  <si>
    <t>STATUS</t>
  </si>
  <si>
    <t>No.</t>
  </si>
  <si>
    <t>VENDOR MODEL / VENDOR PRODUCT CODE</t>
  </si>
  <si>
    <t>Group</t>
  </si>
  <si>
    <t>VENDOR NAME / VENDOR ENGLISH DESC</t>
  </si>
  <si>
    <t>Customer B/F Stock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</si>
  <si>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</si>
  <si>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</si>
  <si>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</si>
  <si>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</si>
  <si>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</si>
  <si>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</si>
  <si>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</si>
  <si>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</si>
  <si>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</si>
  <si>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</si>
  <si>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</si>
  <si>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</si>
  <si>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</si>
  <si>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Return stock</t>
  </si>
  <si>
    <t>Grand Total</t>
  </si>
  <si>
    <t>Sale</t>
  </si>
  <si>
    <t>RTN</t>
  </si>
  <si>
    <t>10D36-A00G04</t>
  </si>
  <si>
    <t>000032</t>
  </si>
  <si>
    <t>SCREW</t>
  </si>
  <si>
    <t>2015-01-08 12:03:56.000</t>
  </si>
  <si>
    <t>10H9V-A012L1</t>
  </si>
  <si>
    <t>110EN-A01TL3</t>
  </si>
  <si>
    <t>110H2-A01NYC</t>
  </si>
  <si>
    <t>112YD-A01TL3</t>
  </si>
  <si>
    <t>113DW-A01NYS</t>
  </si>
  <si>
    <t>113G2-A01PNF</t>
  </si>
  <si>
    <t>113G4-A029N8</t>
  </si>
  <si>
    <t>113G8-A029N9</t>
  </si>
  <si>
    <t>113G9-A029NA</t>
  </si>
  <si>
    <t>116MN-A02S8R-P</t>
  </si>
  <si>
    <t>116CX-A031Z9</t>
  </si>
  <si>
    <t>116CZ-A031Z9</t>
  </si>
  <si>
    <t>116N8-A02S3V</t>
  </si>
  <si>
    <t>1K001-489-P</t>
  </si>
  <si>
    <t>1K001-490</t>
  </si>
  <si>
    <t>1K001-491</t>
  </si>
  <si>
    <t>1K001-538</t>
  </si>
  <si>
    <t>1K001-538-P</t>
  </si>
  <si>
    <t>1K010-097</t>
  </si>
  <si>
    <t>1K010-239</t>
  </si>
  <si>
    <t>1K010-263</t>
  </si>
  <si>
    <t>1K010-458</t>
  </si>
  <si>
    <t>1K010-458-P</t>
  </si>
  <si>
    <t>1K010-592</t>
  </si>
  <si>
    <t>1K010-495</t>
  </si>
  <si>
    <t>1K010-595</t>
  </si>
  <si>
    <t>1K010-628</t>
  </si>
  <si>
    <t>1K010-638</t>
  </si>
  <si>
    <t>1K010-858</t>
  </si>
  <si>
    <t>1K010-927</t>
  </si>
  <si>
    <t>1K010-928</t>
  </si>
  <si>
    <t>1K010-949</t>
  </si>
  <si>
    <t>1K010-953</t>
  </si>
  <si>
    <t>1K010-953-P</t>
  </si>
  <si>
    <t>1K011-023</t>
  </si>
  <si>
    <t>1K011-028</t>
  </si>
  <si>
    <t>1K010-975-P</t>
  </si>
  <si>
    <t>1K011-061-P</t>
  </si>
  <si>
    <t>1K011-062</t>
  </si>
  <si>
    <t>1K011-096</t>
  </si>
  <si>
    <t>1K011-098</t>
  </si>
  <si>
    <t>1K011-099</t>
  </si>
  <si>
    <t>1K011-100</t>
  </si>
  <si>
    <t>1K011-102</t>
  </si>
  <si>
    <t>1K014-030-1</t>
  </si>
  <si>
    <t>1K014-047</t>
  </si>
  <si>
    <t>1K014-085</t>
  </si>
  <si>
    <t>1K014-103</t>
  </si>
  <si>
    <t>1K014-104</t>
  </si>
  <si>
    <t>1K014-124</t>
  </si>
  <si>
    <t>1K020-019</t>
  </si>
  <si>
    <t>1K050-465-3</t>
  </si>
  <si>
    <t>000043</t>
  </si>
  <si>
    <t>WASHER</t>
  </si>
  <si>
    <t>1K050-474-2</t>
  </si>
  <si>
    <t>1K051-037-1</t>
  </si>
  <si>
    <t>1K051-038-1</t>
  </si>
  <si>
    <t>1K051-039-1</t>
  </si>
  <si>
    <t>1K051-202</t>
  </si>
  <si>
    <t>1K051-035-1</t>
  </si>
  <si>
    <t>1K051-036-1</t>
  </si>
  <si>
    <t>1K060-003-1</t>
  </si>
  <si>
    <t>000029</t>
  </si>
  <si>
    <t>RING</t>
  </si>
  <si>
    <t>1K060-048-P</t>
  </si>
  <si>
    <t>1K078-011</t>
  </si>
  <si>
    <t>000003</t>
  </si>
  <si>
    <t>BALL</t>
  </si>
  <si>
    <t>1K078-011-P</t>
  </si>
  <si>
    <t>1K100-035-1</t>
  </si>
  <si>
    <t>000037</t>
  </si>
  <si>
    <t>SPRING,MICRO-SPRINGS</t>
  </si>
  <si>
    <t>1K106-340</t>
  </si>
  <si>
    <t>000024</t>
  </si>
  <si>
    <t>PIN</t>
  </si>
  <si>
    <t>1K111-492</t>
  </si>
  <si>
    <t>1K111-492-P</t>
  </si>
  <si>
    <t>1K120-012</t>
  </si>
  <si>
    <t>1K120-017-1</t>
  </si>
  <si>
    <t>1K120-363</t>
  </si>
  <si>
    <t>1K120-397</t>
  </si>
  <si>
    <t>1K120-472-1</t>
  </si>
  <si>
    <t>1K120-496</t>
  </si>
  <si>
    <t>1K120-576</t>
  </si>
  <si>
    <t>1K120-577</t>
  </si>
  <si>
    <t>1K120-613</t>
  </si>
  <si>
    <t>1K130-813</t>
  </si>
  <si>
    <t>1K130-814</t>
  </si>
  <si>
    <t>1K130-855-P</t>
  </si>
  <si>
    <t>1K130-859</t>
  </si>
  <si>
    <t>1K133-006</t>
  </si>
  <si>
    <t>1K360-575</t>
  </si>
  <si>
    <t>1K360-705</t>
  </si>
  <si>
    <t>000033</t>
  </si>
  <si>
    <t>SHAFT</t>
  </si>
  <si>
    <t>1K220-689</t>
  </si>
  <si>
    <t>1K360-536-1</t>
  </si>
  <si>
    <t>1K360-810</t>
  </si>
  <si>
    <t>1K360-834</t>
  </si>
  <si>
    <t>1K604-029</t>
  </si>
  <si>
    <t>1K604-030</t>
  </si>
  <si>
    <t>1K604-031</t>
  </si>
  <si>
    <t>1K604-032</t>
  </si>
  <si>
    <t>1K604-033</t>
  </si>
  <si>
    <t>6K640-162</t>
  </si>
  <si>
    <t>A1-17030FB</t>
  </si>
  <si>
    <t>A2-14025FC</t>
  </si>
  <si>
    <t>B1-17045FB</t>
  </si>
  <si>
    <t>B1-20035FD2</t>
  </si>
  <si>
    <t>G1-14030FB</t>
  </si>
  <si>
    <t>G1-17030FS</t>
  </si>
  <si>
    <t>H1-14030FB</t>
  </si>
  <si>
    <t>H1-14035FB</t>
  </si>
  <si>
    <t>H1-17030FB</t>
  </si>
  <si>
    <t>H1-17040FB</t>
  </si>
  <si>
    <t>H1-17080FB</t>
  </si>
  <si>
    <t>H2-17035FB</t>
  </si>
  <si>
    <t>N3-04000FA</t>
  </si>
  <si>
    <t>000022</t>
  </si>
  <si>
    <t>NUT</t>
  </si>
  <si>
    <t>P5-10030SX</t>
  </si>
  <si>
    <t>P5-10030SX-P</t>
  </si>
  <si>
    <t>P5-10040SX</t>
  </si>
  <si>
    <t>P5-10050SX</t>
  </si>
  <si>
    <t>P5-12160SX</t>
  </si>
  <si>
    <t>P5-12180SX</t>
  </si>
  <si>
    <t>P5-15040SX</t>
  </si>
  <si>
    <t>P1-10030SX</t>
  </si>
  <si>
    <t>P5-15050SX</t>
  </si>
  <si>
    <t>P5-15080SX</t>
  </si>
  <si>
    <t>S1-00800SX</t>
  </si>
  <si>
    <t>R5-02000FA</t>
  </si>
  <si>
    <t>S1-01200SX</t>
  </si>
  <si>
    <t>S1-01200SX-P</t>
  </si>
  <si>
    <t>S1-01500SX</t>
  </si>
  <si>
    <t>S1-01500SX-P</t>
  </si>
  <si>
    <t>T1-01205SX1</t>
  </si>
  <si>
    <t>T1-01500SX</t>
  </si>
  <si>
    <t>1K010-601-1</t>
  </si>
  <si>
    <t>2015-02-03 09:26:30.403</t>
  </si>
  <si>
    <t>1K001-489</t>
  </si>
  <si>
    <t>2015-02-17 13:14:05.810</t>
  </si>
  <si>
    <t>H1-17060FB</t>
  </si>
  <si>
    <t>2015-03-02 16:10:16.357</t>
  </si>
  <si>
    <t>118ZK-A03APW</t>
  </si>
  <si>
    <t>2015-03-30 15:19:16.733</t>
  </si>
  <si>
    <t>1191Z-A03APW</t>
  </si>
  <si>
    <t>2015-03-30 15:22:55.060</t>
  </si>
  <si>
    <t>1K060-048</t>
  </si>
  <si>
    <t>2015-04-20 11:07:16.233</t>
  </si>
  <si>
    <t>1K010-858-P</t>
  </si>
  <si>
    <t>2015-08-27 11:51:20.980</t>
  </si>
  <si>
    <t>1K060-047-1</t>
  </si>
  <si>
    <t>2015-10-14 14:49:34.430</t>
  </si>
  <si>
    <t>119R6-A0435A</t>
  </si>
  <si>
    <t>2015-10-14 15:00:23.730</t>
  </si>
  <si>
    <t>T2-02300SX1</t>
  </si>
  <si>
    <t>2015-10-16 14:23:19.720</t>
  </si>
  <si>
    <t>S1-00800SX-P</t>
  </si>
  <si>
    <t>2015-10-22 16:35:39.597</t>
  </si>
  <si>
    <t>11G1B-A04PTP</t>
  </si>
  <si>
    <t>2015-11-10 11:45:10.117</t>
  </si>
  <si>
    <t>11K75-A04PP6</t>
  </si>
  <si>
    <t>2015-11-10 11:47:24.053</t>
  </si>
  <si>
    <t>11P7Z-A04PNZ</t>
  </si>
  <si>
    <t>2015-11-10 11:49:48.553</t>
  </si>
  <si>
    <t>11G25-A04PVR</t>
  </si>
  <si>
    <t>2015-11-10 11:55:45.447</t>
  </si>
  <si>
    <t>11G19-A04PPA</t>
  </si>
  <si>
    <t>2015-11-10 11:59:49.633</t>
  </si>
  <si>
    <t>11B0S-A02DP0</t>
  </si>
  <si>
    <t>2015-12-22 14:55:00.447</t>
  </si>
  <si>
    <t>116MV-A02RK9-P</t>
  </si>
  <si>
    <t>2015-12-29 13:54:07.447</t>
  </si>
  <si>
    <t>11T49-A05NR5</t>
  </si>
  <si>
    <t>2016-08-08 14:32:26.817</t>
  </si>
  <si>
    <t>116N2-A05Y9Z</t>
  </si>
  <si>
    <t>2017-01-09 14:59:37.747</t>
  </si>
  <si>
    <t>P5-10080SX</t>
  </si>
  <si>
    <t>2017-01-11 14:55:45.230</t>
  </si>
  <si>
    <t>A2-14025FC2</t>
  </si>
  <si>
    <t>2017-02-07 13:39:40.387</t>
  </si>
  <si>
    <t>G1-14030FC2</t>
  </si>
  <si>
    <t>2017-02-08 11:04:36.350</t>
  </si>
  <si>
    <t>1215W-A06NU1</t>
  </si>
  <si>
    <t>2017-02-20 14:07:25.217</t>
  </si>
  <si>
    <t>116YN-A032D9</t>
  </si>
  <si>
    <t>2017-03-02 16:00:02.917</t>
  </si>
  <si>
    <t>123UJ-A06W93</t>
  </si>
  <si>
    <t>2017-03-10 15:32:33.170</t>
  </si>
  <si>
    <t>122D1-A06X78</t>
  </si>
  <si>
    <t>2017-03-10 15:36:40.370</t>
  </si>
  <si>
    <t>1229S-A06X8J</t>
  </si>
  <si>
    <t>2017-03-13 10:08:14.327</t>
  </si>
  <si>
    <t>1234B-A06ZGJ</t>
  </si>
  <si>
    <t>2017-03-13 10:22:31.170</t>
  </si>
  <si>
    <t>H1-17040FR</t>
  </si>
  <si>
    <t>2017-03-23 16:06:12.010</t>
  </si>
  <si>
    <t>G1-14025FC2</t>
  </si>
  <si>
    <t>2017-03-23 16:07:22.430</t>
  </si>
  <si>
    <t>125YV-A07038</t>
  </si>
  <si>
    <t>2017-04-10 16:36:01.217</t>
  </si>
  <si>
    <t>G1-17050FS</t>
  </si>
  <si>
    <t>2017-04-25 10:16:20.873</t>
  </si>
  <si>
    <t>A1-17040FS</t>
  </si>
  <si>
    <t>2017-04-25 11:12:16.357</t>
  </si>
  <si>
    <t>A1-17030FS</t>
  </si>
  <si>
    <t>2017-04-27 14:18:43.890</t>
  </si>
  <si>
    <t>A1-17060FS</t>
  </si>
  <si>
    <t>2017-04-27 14:21:40.730</t>
  </si>
  <si>
    <t>6A-14030FB</t>
  </si>
  <si>
    <t>2017-04-27 14:22:28.357</t>
  </si>
  <si>
    <t>A1-17070FS</t>
  </si>
  <si>
    <t>2017-04-27 14:23:21.403</t>
  </si>
  <si>
    <t>1H-17030FB</t>
  </si>
  <si>
    <t>2017-04-27 14:23:33.747</t>
  </si>
  <si>
    <t>1K001-402-1</t>
  </si>
  <si>
    <t>2017-04-27 17:03:18.587</t>
  </si>
  <si>
    <t>1K130-852</t>
  </si>
  <si>
    <t>2017-04-28 08:06:54.853</t>
  </si>
  <si>
    <t>1K130-857</t>
  </si>
  <si>
    <t>2017-04-28 08:08:32.557</t>
  </si>
  <si>
    <t>6A-17035FS</t>
  </si>
  <si>
    <t>2017-04-28 08:12:07.770</t>
  </si>
  <si>
    <t>6A-17050FS</t>
  </si>
  <si>
    <t>2017-04-28 08:14:37.050</t>
  </si>
  <si>
    <t>A1-17050FS</t>
  </si>
  <si>
    <t>2017-04-29 17:06:48.847</t>
  </si>
  <si>
    <t>1A-17030FS</t>
  </si>
  <si>
    <t>2017-05-08 11:38:58.673</t>
  </si>
  <si>
    <t>1A-17060FS</t>
  </si>
  <si>
    <t>2017-05-08 11:41:18.360</t>
  </si>
  <si>
    <t>1K051-203</t>
  </si>
  <si>
    <t>2017-05-11 13:58:13.150</t>
  </si>
  <si>
    <t>122HF-A07C14</t>
  </si>
  <si>
    <t>2017-05-12 13:43:24.650</t>
  </si>
  <si>
    <t>125P5-A07C14</t>
  </si>
  <si>
    <t>2017-05-15 11:12:30.360</t>
  </si>
  <si>
    <t>125P6-A07C14</t>
  </si>
  <si>
    <t>2017-05-15 11:18:10.983</t>
  </si>
  <si>
    <t>11L5F-A07C0W</t>
  </si>
  <si>
    <t>2017-05-15 11:33:46.020</t>
  </si>
  <si>
    <t>122CV-A07C0Y</t>
  </si>
  <si>
    <t>2017-05-15 11:36:10.007</t>
  </si>
  <si>
    <t>1A-17025FB</t>
  </si>
  <si>
    <t>2017-05-19 11:15:24.800</t>
  </si>
  <si>
    <t>11L13-A07C19</t>
  </si>
  <si>
    <t>2017-05-30 08:16:15.063</t>
  </si>
  <si>
    <t>12B2W-A07C17</t>
  </si>
  <si>
    <t>2017-06-12 17:06:09.957</t>
  </si>
  <si>
    <t>12B2X-A07C17</t>
  </si>
  <si>
    <t>2017-06-13 13:15:52.633</t>
  </si>
  <si>
    <t>1269E-A07C1J</t>
  </si>
  <si>
    <t>2017-07-11 15:10:45.683</t>
  </si>
  <si>
    <t>11L12-A07RMN</t>
  </si>
  <si>
    <t>2017-07-21 16:37:02.877</t>
  </si>
  <si>
    <t>129G3-A07FLP</t>
  </si>
  <si>
    <t>2017-07-26 14:55:59.793</t>
  </si>
  <si>
    <t>H1-17050FB/XV1</t>
  </si>
  <si>
    <t>2017-08-25 11:53:34.843</t>
  </si>
  <si>
    <t>6A-17035FB</t>
  </si>
  <si>
    <t>2017-11-03 14:57:14.297</t>
  </si>
  <si>
    <t>H1-16030FA</t>
  </si>
  <si>
    <t>2017-12-08 10:20:25.840</t>
  </si>
  <si>
    <t>120YW-A04LL0</t>
  </si>
  <si>
    <t>2017-12-15 10:33:31.203</t>
  </si>
  <si>
    <t>1K111-483</t>
  </si>
  <si>
    <t>2017-12-15 10:33:31.343</t>
  </si>
  <si>
    <t>6C-17050FS</t>
  </si>
  <si>
    <t>2017-12-15 10:33:31.547</t>
  </si>
  <si>
    <t>1C-17060FS</t>
  </si>
  <si>
    <t>2017-12-15 10:33:31.563</t>
  </si>
  <si>
    <t>121A2-A07ZED</t>
  </si>
  <si>
    <t>2017-12-15 10:33:31.580</t>
  </si>
  <si>
    <t>6C-17040FS</t>
  </si>
  <si>
    <t>2017-12-15 10:33:31.657</t>
  </si>
  <si>
    <t>1C-17035FS</t>
  </si>
  <si>
    <t>2017-12-15 10:33:31.797</t>
  </si>
  <si>
    <t>1K360-773V01</t>
  </si>
  <si>
    <t>2017-12-16 16:33:15.770</t>
  </si>
  <si>
    <t>12F5P-A087F7</t>
  </si>
  <si>
    <t>2018-02-05 14:35:39.880</t>
  </si>
  <si>
    <t>12F5R-A087F8</t>
  </si>
  <si>
    <t>2018-02-05 14:39:08.490</t>
  </si>
  <si>
    <t>6A-17040FB</t>
  </si>
  <si>
    <t>2018-02-28 13:20:20.390</t>
  </si>
  <si>
    <t>127GT-A08A2N</t>
  </si>
  <si>
    <t>2018-02-28 13:21:39.093</t>
  </si>
  <si>
    <t>127HK-A08A2N</t>
  </si>
  <si>
    <t>2018-03-22 16:46:39.837</t>
  </si>
  <si>
    <t>S1-00800SX/XV1</t>
  </si>
  <si>
    <t>2018-05-02 13:37:45.313</t>
  </si>
  <si>
    <t>T2-02300SX1-P</t>
  </si>
  <si>
    <t>2018-05-02 13:39:51.190</t>
  </si>
  <si>
    <t>11B0P-A02R51</t>
  </si>
  <si>
    <t>2018-05-16 11:10:10.783</t>
  </si>
  <si>
    <t>1K011-028-P</t>
  </si>
  <si>
    <t>2018-05-28 13:35:47.250</t>
  </si>
  <si>
    <t>119KA-A0901F</t>
  </si>
  <si>
    <t>2018-05-30 09:05:09.453</t>
  </si>
  <si>
    <t>120YV-A04LKZ-P</t>
  </si>
  <si>
    <t>2018-06-07 10:37:20.233</t>
  </si>
  <si>
    <t>A2-14025FC/XV1-P</t>
  </si>
  <si>
    <t>2018-06-07 10:41:02.170</t>
  </si>
  <si>
    <t>H1-17035FB-P</t>
  </si>
  <si>
    <t>2018-06-08 08:26:57.663</t>
  </si>
  <si>
    <t>120YW-A04LL0-P</t>
  </si>
  <si>
    <t>2018-06-11 11:14:16.600</t>
  </si>
  <si>
    <t>1K106-346-P</t>
  </si>
  <si>
    <t>2018-06-11 11:41:45.000</t>
  </si>
  <si>
    <t>11Z8V-A044LL-P</t>
  </si>
  <si>
    <t>2018-06-11 11:52:12.530</t>
  </si>
  <si>
    <t>11Z8W-A044LL-P</t>
  </si>
  <si>
    <t>2018-06-11 11:56:22.670</t>
  </si>
  <si>
    <t>10M85/XV1-A005N7-P</t>
  </si>
  <si>
    <t>2018-06-11 13:10:01.487</t>
  </si>
  <si>
    <t>10M8F/XV1-A005N7-P</t>
  </si>
  <si>
    <t>2018-06-11 13:13:07.063</t>
  </si>
  <si>
    <t>10M8H/XV1-A005N7-P</t>
  </si>
  <si>
    <t>2018-06-11 13:16:03.300</t>
  </si>
  <si>
    <t>1K130-815/XV1-P</t>
  </si>
  <si>
    <t>2018-06-13 08:57:07.770</t>
  </si>
  <si>
    <t>1C-14025FB</t>
  </si>
  <si>
    <t>2018-06-14 08:26:35.040</t>
  </si>
  <si>
    <t>11R7D-A08A9E</t>
  </si>
  <si>
    <t>2018-06-14 10:41:01.610</t>
  </si>
  <si>
    <t>120SR-A04E0N-P</t>
  </si>
  <si>
    <t>2018-06-14 13:12:08.467</t>
  </si>
  <si>
    <t>117BN-A01UFK-P</t>
  </si>
  <si>
    <t>2018-06-14 13:14:22.340</t>
  </si>
  <si>
    <t>G1-17030FB/XV1-P</t>
  </si>
  <si>
    <t>2018-06-15 11:23:49.430</t>
  </si>
  <si>
    <t>6H-17035FB</t>
  </si>
  <si>
    <t>2018-06-15 16:34:20.460</t>
  </si>
  <si>
    <t>120P5/XV1-A04DHF-P</t>
  </si>
  <si>
    <t>2018-06-15 16:36:33.597</t>
  </si>
  <si>
    <t>120SK-A04E3Y-P</t>
  </si>
  <si>
    <t>2018-06-15 16:46:43.890</t>
  </si>
  <si>
    <t>6C-17040FB</t>
  </si>
  <si>
    <t>2018-06-28 15:14:28.353</t>
  </si>
  <si>
    <t>127KK-A089T4</t>
  </si>
  <si>
    <t>2018-06-28 15:18:54.480</t>
  </si>
  <si>
    <t>12D2C-A097ZZ</t>
  </si>
  <si>
    <t>2018-07-02 09:12:39.920</t>
  </si>
  <si>
    <t>127HL-A089T4</t>
  </si>
  <si>
    <t>2018-07-03 09:37:35.410</t>
  </si>
  <si>
    <t>12D2X-A097TP</t>
  </si>
  <si>
    <t>2018-07-09 13:23:29.583</t>
  </si>
  <si>
    <t>127FB-A089SS</t>
  </si>
  <si>
    <t>2018-08-24 11:44:43.157</t>
  </si>
  <si>
    <t>11G1F-A04PPB-P</t>
  </si>
  <si>
    <t>2018-11-20 15:22:14.710</t>
  </si>
  <si>
    <t>121BT-A06WLW-P</t>
  </si>
  <si>
    <t>2018-11-22 10:16:11.730</t>
  </si>
  <si>
    <t>122D4-A06X8Z-P</t>
  </si>
  <si>
    <t>2018-11-22 15:16:12.970</t>
  </si>
  <si>
    <t>123UJ-A06W93-P</t>
  </si>
  <si>
    <t>2018-11-22 15:18:18.360</t>
  </si>
  <si>
    <t>1K014-115-P</t>
  </si>
  <si>
    <t>2018-11-22 15:20:35.347</t>
  </si>
  <si>
    <t>P5-12040SX-P</t>
  </si>
  <si>
    <t>2018-11-23 09:28:31.373</t>
  </si>
  <si>
    <t>P5-20080SX-P</t>
  </si>
  <si>
    <t>2018-11-23 09:31:01.530</t>
  </si>
  <si>
    <t>1K010-949-P</t>
  </si>
  <si>
    <t>2018-11-29 13:47:57.603</t>
  </si>
  <si>
    <t>1K360-536-1-P</t>
  </si>
  <si>
    <t>2018-11-29 13:50:09.900</t>
  </si>
  <si>
    <t>116PP-A02S7U-P</t>
  </si>
  <si>
    <t>2018-11-29 13:55:42.560</t>
  </si>
  <si>
    <t>1K360-891-P</t>
  </si>
  <si>
    <t>2018-12-03 09:49:10.780</t>
  </si>
  <si>
    <t>113F5-A01PNF-P</t>
  </si>
  <si>
    <t>2018-12-03 09:52:06.280</t>
  </si>
  <si>
    <t>11R7D-A08A9E-P</t>
  </si>
  <si>
    <t>2018-12-18 15:19:10.340</t>
  </si>
  <si>
    <t>1C-17055FS-P</t>
  </si>
  <si>
    <t>2019-02-06 10:55:09.627</t>
  </si>
  <si>
    <t>G1-14030FA-P</t>
  </si>
  <si>
    <t>2019-02-23 09:50:57.943</t>
  </si>
  <si>
    <t>12J96-A0B50J</t>
  </si>
  <si>
    <t>2019-03-11 14:00:23.283</t>
  </si>
  <si>
    <t>12J97-A0B50J</t>
  </si>
  <si>
    <t>2019-03-11 14:05:18.813</t>
  </si>
  <si>
    <t>12K10-A0B50J</t>
  </si>
  <si>
    <t>2019-03-11 14:10:38.923</t>
  </si>
  <si>
    <t>12K1R-A0B50J</t>
  </si>
  <si>
    <t>2019-03-11 14:15:51.470</t>
  </si>
  <si>
    <t>12K1S-A0B50J</t>
  </si>
  <si>
    <t>2019-03-11 14:19:29.097</t>
  </si>
  <si>
    <t>12K1T-A0B50J</t>
  </si>
  <si>
    <t>2019-03-11 14:23:26.000</t>
  </si>
  <si>
    <t>12L6R-A0B50J</t>
  </si>
  <si>
    <t>2019-03-11 14:26:56.250</t>
  </si>
  <si>
    <t>12L6S-A0B50J</t>
  </si>
  <si>
    <t>2019-03-11 14:30:19.783</t>
  </si>
  <si>
    <t>12K4V-A0C0VW</t>
  </si>
  <si>
    <t>2019-03-25 10:10:29.000</t>
  </si>
  <si>
    <t>6A-14025FB</t>
  </si>
  <si>
    <t>2019-03-25 10:24:12.763</t>
  </si>
  <si>
    <t>1K011-149</t>
  </si>
  <si>
    <t>2019-03-25 10:28:35.450</t>
  </si>
  <si>
    <t>12K45-A0C0VW</t>
  </si>
  <si>
    <t>2019-03-25 11:24:53.467</t>
  </si>
  <si>
    <t>12K46-A0C0VW</t>
  </si>
  <si>
    <t>2019-03-25 11:28:50.950</t>
  </si>
  <si>
    <t>12K4X-A0C0VW</t>
  </si>
  <si>
    <t>2019-03-26 10:44:44.710</t>
  </si>
  <si>
    <t>12X0J-A0C7N0</t>
  </si>
  <si>
    <t>2019-04-19 11:21:18.823</t>
  </si>
  <si>
    <t>123T6-A07MGE</t>
  </si>
  <si>
    <t>2019-04-20 11:55:34.500</t>
  </si>
  <si>
    <t>123T5-A08X5E</t>
  </si>
  <si>
    <t>2019-04-20 13:08:44.483</t>
  </si>
  <si>
    <t>T1-02000SX1</t>
  </si>
  <si>
    <t>2019-04-22 13:33:42.377</t>
  </si>
  <si>
    <t>T1-01500SX1</t>
  </si>
  <si>
    <t>2019-04-22 13:37:54.640</t>
  </si>
  <si>
    <t>123TF-A0A5T9</t>
  </si>
  <si>
    <t>2019-05-09 14:35:18.387</t>
  </si>
  <si>
    <t>1E-17020FS</t>
  </si>
  <si>
    <t>2019-05-29 09:11:26.180</t>
  </si>
  <si>
    <t>12H4B-A0A3SM</t>
  </si>
  <si>
    <t>2019-05-31 10:49:50.330</t>
  </si>
  <si>
    <t>127LX-A08VP3</t>
  </si>
  <si>
    <t>000018</t>
  </si>
  <si>
    <t>RUBBER</t>
  </si>
  <si>
    <t>2019-06-10 11:56:09.860</t>
  </si>
  <si>
    <t>129LB-A08VEZ</t>
  </si>
  <si>
    <t>2019-06-10 11:58:09.003</t>
  </si>
  <si>
    <t>1K011-045</t>
  </si>
  <si>
    <t>2019-06-12 14:03:03.720</t>
  </si>
  <si>
    <t>1K011-071</t>
  </si>
  <si>
    <t>2019-06-12 14:06:52.313</t>
  </si>
  <si>
    <t>1E-14020FD2</t>
  </si>
  <si>
    <t>2019-06-12 14:10:23.843</t>
  </si>
  <si>
    <t>127M2-A08WR4</t>
  </si>
  <si>
    <t>2019-06-24 10:45:38.007</t>
  </si>
  <si>
    <t>127LU-A08VP0</t>
  </si>
  <si>
    <t>2019-06-24 10:47:46.380</t>
  </si>
  <si>
    <t>127A4-A0A1RA</t>
  </si>
  <si>
    <t>2019-06-24 11:57:57.287</t>
  </si>
  <si>
    <t>12D5H-A08VR9</t>
  </si>
  <si>
    <t>2019-06-24 11:59:29.723</t>
  </si>
  <si>
    <t>12H46-A0A0UF</t>
  </si>
  <si>
    <t>2019-06-24 12:02:28.397</t>
  </si>
  <si>
    <t>12H47-A0A152</t>
  </si>
  <si>
    <t>2019-06-24 12:03:54.070</t>
  </si>
  <si>
    <t>12H49-A0A3S0</t>
  </si>
  <si>
    <t>2019-06-24 12:05:15.693</t>
  </si>
  <si>
    <t>12H4D-A0A3TC</t>
  </si>
  <si>
    <t>2019-06-24 13:01:02.927</t>
  </si>
  <si>
    <t>12R17-A0A3TN</t>
  </si>
  <si>
    <t>2019-06-24 13:02:24.473</t>
  </si>
  <si>
    <t>1E-17040FD2</t>
  </si>
  <si>
    <t>2019-06-24 13:05:04.690</t>
  </si>
  <si>
    <t>6A-17040FD2</t>
  </si>
  <si>
    <t>2019-06-24 13:06:18.503</t>
  </si>
  <si>
    <t>H1-17060FD2</t>
  </si>
  <si>
    <t>2019-06-24 13:09:11.910</t>
  </si>
  <si>
    <t>1K010-478</t>
  </si>
  <si>
    <t>2019-06-24 13:10:21.113</t>
  </si>
  <si>
    <t>1K011-072</t>
  </si>
  <si>
    <t>2019-06-26 11:33:05.310</t>
  </si>
  <si>
    <t>6E-17020FA</t>
  </si>
  <si>
    <t>2019-06-26 11:36:59.557</t>
  </si>
  <si>
    <t>6E-17035FA</t>
  </si>
  <si>
    <t>2019-06-26 11:42:28.570</t>
  </si>
  <si>
    <t>6F-14035FA</t>
  </si>
  <si>
    <t>2019-06-26 11:43:47.523</t>
  </si>
  <si>
    <t>G1-17080FB</t>
  </si>
  <si>
    <t>2019-06-26 11:46:45.537</t>
  </si>
  <si>
    <t>12S5G-A0E4MH</t>
  </si>
  <si>
    <t>2019-08-06 11:19:32.413</t>
  </si>
  <si>
    <t>12S0P-A0E4MH</t>
  </si>
  <si>
    <t>2019-08-06 11:22:45.210</t>
  </si>
  <si>
    <t>12S07-A0E4ML</t>
  </si>
  <si>
    <t>2019-08-06 11:24:59.083</t>
  </si>
  <si>
    <t>12R7B-A0E6RA</t>
  </si>
  <si>
    <t>2019-08-06 11:26:25.033</t>
  </si>
  <si>
    <t>12R78-A0E6RA</t>
  </si>
  <si>
    <t>2019-08-06 11:30:41.753</t>
  </si>
  <si>
    <t>12S09-A0E4MH</t>
  </si>
  <si>
    <t>2019-08-06 11:34:03.563</t>
  </si>
  <si>
    <t>1319H-A0E80N</t>
  </si>
  <si>
    <t>2019-08-14 09:29:05.793</t>
  </si>
  <si>
    <t>A2-25060FD2</t>
  </si>
  <si>
    <t>2019-08-22 13:53:03.953</t>
  </si>
  <si>
    <t>12S2T-A0E9F9</t>
  </si>
  <si>
    <t>2019-08-23 13:02:08.697</t>
  </si>
  <si>
    <t>1K120-012-P</t>
  </si>
  <si>
    <t>2019-09-02 11:23:03.630</t>
  </si>
  <si>
    <t>1C-20040FS</t>
  </si>
  <si>
    <t>2019-09-04 18:31:34.623</t>
  </si>
  <si>
    <t>6C-14040FS</t>
  </si>
  <si>
    <t>2019-09-04 18:35:49.810</t>
  </si>
  <si>
    <t>U2-06310SX</t>
  </si>
  <si>
    <t>2019-09-04 18:41:46.590</t>
  </si>
  <si>
    <t>131R2-A0D9CF</t>
  </si>
  <si>
    <t>2019-09-05 10:48:01.683</t>
  </si>
  <si>
    <t>131R2-A0D9CF-P</t>
  </si>
  <si>
    <t>2019-09-05 10:49:55.997</t>
  </si>
  <si>
    <t>12Z01-A0E1JJ</t>
  </si>
  <si>
    <t>2019-09-10 10:00:46.100</t>
  </si>
  <si>
    <t>12W3S-A0E1JJ</t>
  </si>
  <si>
    <t>2019-09-10 10:08:16.410</t>
  </si>
  <si>
    <t>12Y9V-A0E1JJ</t>
  </si>
  <si>
    <t>2019-09-10 10:11:21.630</t>
  </si>
  <si>
    <t>12W9T-A0E1JH</t>
  </si>
  <si>
    <t>2019-09-10 10:18:07.160</t>
  </si>
  <si>
    <t>12W3M-A0E1JJ</t>
  </si>
  <si>
    <t>2019-09-10 10:23:06.537</t>
  </si>
  <si>
    <t>12W3L-A0E1JJ</t>
  </si>
  <si>
    <t>2019-09-10 10:28:16.957</t>
  </si>
  <si>
    <t>12W20-A0E1JJ</t>
  </si>
  <si>
    <t>2019-09-10 10:32:13.690</t>
  </si>
  <si>
    <t>P5-15180SX</t>
  </si>
  <si>
    <t>2019-09-12 13:46:09.317</t>
  </si>
  <si>
    <t>130FY-A0F3LC</t>
  </si>
  <si>
    <t>2019-09-13 09:49:18.960</t>
  </si>
  <si>
    <t>131XS-A0E7BS</t>
  </si>
  <si>
    <t>2019-09-19 12:06:31.283</t>
  </si>
  <si>
    <t>12H45-A0E9TT</t>
  </si>
  <si>
    <t>2019-09-30 17:15:41.397</t>
  </si>
  <si>
    <t>130KK-A0F3AV</t>
  </si>
  <si>
    <t>2019-09-30 17:19:21.957</t>
  </si>
  <si>
    <t>12H4C-A0E9SL</t>
  </si>
  <si>
    <t>2019-09-30 17:27:49.883</t>
  </si>
  <si>
    <t>12H48-A0A3RL</t>
  </si>
  <si>
    <t>2019-09-30 17:43:08.633</t>
  </si>
  <si>
    <t>12R71-A0F9YE</t>
  </si>
  <si>
    <t>2019-10-04 13:19:20.063</t>
  </si>
  <si>
    <t>127U9-A088U8-P</t>
  </si>
  <si>
    <t>2019-10-14 15:47:17.240</t>
  </si>
  <si>
    <t>123C8-A06L4H-P</t>
  </si>
  <si>
    <t>2019-10-14 15:56:46.783</t>
  </si>
  <si>
    <t>128XL-A088U8-P</t>
  </si>
  <si>
    <t>2019-10-14 16:01:42.703</t>
  </si>
  <si>
    <t>6A-14030FB-P</t>
  </si>
  <si>
    <t>2019-10-14 16:05:09.313</t>
  </si>
  <si>
    <t>1K010-788-P</t>
  </si>
  <si>
    <t>2019-10-14 16:07:58.547</t>
  </si>
  <si>
    <t>127VD-A088U8-P</t>
  </si>
  <si>
    <t>2019-10-14 16:11:01.367</t>
  </si>
  <si>
    <t>H1-17055FB-P</t>
  </si>
  <si>
    <t>2019-10-14 16:14:15.337</t>
  </si>
  <si>
    <t>6A-17040FB-P</t>
  </si>
  <si>
    <t>2019-10-14 16:16:54.037</t>
  </si>
  <si>
    <t>127HK-A08A2N-P</t>
  </si>
  <si>
    <t>2019-10-14 16:20:32.677</t>
  </si>
  <si>
    <t>127GT-A08A2N-P</t>
  </si>
  <si>
    <t>2019-10-14 16:29:51.657</t>
  </si>
  <si>
    <t>127V9-A088U8-P</t>
  </si>
  <si>
    <t>2019-10-15 09:32:08.043</t>
  </si>
  <si>
    <t>1K010-820V01</t>
  </si>
  <si>
    <t>2019-10-22 08:12:14.083</t>
  </si>
  <si>
    <t>1K010-964V01</t>
  </si>
  <si>
    <t>2019-10-28 17:36:58.063</t>
  </si>
  <si>
    <t>12U6M-A0E6G6</t>
  </si>
  <si>
    <t>2019-10-29 08:05:04.430</t>
  </si>
  <si>
    <t>12U6N-A0E6G6</t>
  </si>
  <si>
    <t>2019-10-29 08:09:13.353</t>
  </si>
  <si>
    <t>12U6P-A0F19H</t>
  </si>
  <si>
    <t>2019-10-29 08:13:20.900</t>
  </si>
  <si>
    <t>12A06-A0F0W9</t>
  </si>
  <si>
    <t>2019-10-29 08:26:10.117</t>
  </si>
  <si>
    <t>12A6L-A0F0U5</t>
  </si>
  <si>
    <t>2019-10-29 08:28:31.040</t>
  </si>
  <si>
    <t>130K0-A0F1PP</t>
  </si>
  <si>
    <t>2019-10-29 08:30:51.963</t>
  </si>
  <si>
    <t>1K010-820V01-P</t>
  </si>
  <si>
    <t>2019-11-14 16:29:14.803</t>
  </si>
  <si>
    <t>12Z48-A0G2V5</t>
  </si>
  <si>
    <t>2019-11-19 13:26:17.220</t>
  </si>
  <si>
    <t>1305H-A0G2V5</t>
  </si>
  <si>
    <t>2019-11-19 13:49:03.093</t>
  </si>
  <si>
    <t>130KT-A0G2VG</t>
  </si>
  <si>
    <t>2019-11-19 14:33:44.543</t>
  </si>
  <si>
    <t>H1-17050FR</t>
  </si>
  <si>
    <t>2019-11-19 15:52:43.487</t>
  </si>
  <si>
    <t>1K010-693V01</t>
  </si>
  <si>
    <t>2019-12-16 10:40:34.877</t>
  </si>
  <si>
    <t>1K010-002V01</t>
  </si>
  <si>
    <t>2019-12-16 10:43:23.707</t>
  </si>
  <si>
    <t>1K120-061V01</t>
  </si>
  <si>
    <t>2019-12-16 10:45:51.533</t>
  </si>
  <si>
    <t>130K0-A0F1PP-P</t>
  </si>
  <si>
    <t>2019-12-27 08:29:27.927</t>
  </si>
  <si>
    <t>12H4B-A0A3SM-P</t>
  </si>
  <si>
    <t>2019-12-27 08:35:20.863</t>
  </si>
  <si>
    <t>12A6L-A0F0U5-P</t>
  </si>
  <si>
    <t>2019-12-27 08:40:51.600</t>
  </si>
  <si>
    <t>12U6U-A0E6G8-P</t>
  </si>
  <si>
    <t>2019-12-27 08:44:36.583</t>
  </si>
  <si>
    <t>12U6W-A0E6G8-P</t>
  </si>
  <si>
    <t>2019-12-27 08:54:51.290</t>
  </si>
  <si>
    <t>T1-01500SX1-P</t>
  </si>
  <si>
    <t>2019-12-27 08:57:59.120</t>
  </si>
  <si>
    <t>12Z9V-A0E78A-P</t>
  </si>
  <si>
    <t>2020-02-12 09:28:16.697</t>
  </si>
  <si>
    <t>1K010-592-P</t>
  </si>
  <si>
    <t>2020-02-12 09:33:37.293</t>
  </si>
  <si>
    <t>1K011-072-P</t>
  </si>
  <si>
    <t>2020-02-12 09:40:40.997</t>
  </si>
  <si>
    <t>1K120-548-P</t>
  </si>
  <si>
    <t>2020-02-12 09:45:52.130</t>
  </si>
  <si>
    <t>1K120-422</t>
  </si>
  <si>
    <t>2020-02-12 09:48:59.257</t>
  </si>
  <si>
    <t>12R77-A0E6RA-P</t>
  </si>
  <si>
    <t>2020-03-02 16:16:02.587</t>
  </si>
  <si>
    <t>12R78-A0E6RA-P</t>
  </si>
  <si>
    <t>2020-03-02 16:19:38.993</t>
  </si>
  <si>
    <t>12R79-A0E6RA-P</t>
  </si>
  <si>
    <t>2020-03-03 09:09:07.823</t>
  </si>
  <si>
    <t>12R7A-A0E6RA-P</t>
  </si>
  <si>
    <t>2020-03-03 09:16:27.320</t>
  </si>
  <si>
    <t>6E-17035FA-P</t>
  </si>
  <si>
    <t>2020-03-03 09:19:24.633</t>
  </si>
  <si>
    <t>12M34-A0A3GV</t>
  </si>
  <si>
    <t>2020-03-11 09:05:06.193</t>
  </si>
  <si>
    <t>1331C-A0J9SA</t>
  </si>
  <si>
    <t>2020-03-30 11:37:59.923</t>
  </si>
  <si>
    <t>131JP-A0J2A7</t>
  </si>
  <si>
    <t>2020-03-31 15:25:34.333</t>
  </si>
  <si>
    <t>131HZ-A0J2A7</t>
  </si>
  <si>
    <t>2020-03-31 15:55:02.320</t>
  </si>
  <si>
    <t>131HX-A0J2A7</t>
  </si>
  <si>
    <t>2020-03-31 16:05:35.747</t>
  </si>
  <si>
    <t>130Y7-A0J2A7</t>
  </si>
  <si>
    <t>2020-03-31 16:31:37.717</t>
  </si>
  <si>
    <t>130Y8-A0J2A7</t>
  </si>
  <si>
    <t>2020-03-31 16:44:59.720</t>
  </si>
  <si>
    <t>130ZN-A0J2A7</t>
  </si>
  <si>
    <t>2020-04-06 11:40:12.963</t>
  </si>
  <si>
    <t>12U6X-A0F9VN</t>
  </si>
  <si>
    <t>2020-04-25 16:35:36.790</t>
  </si>
  <si>
    <t>133D1-A0J2CR</t>
  </si>
  <si>
    <t>2020-04-25 16:48:39.250</t>
  </si>
  <si>
    <t>131FB-A0K1S7</t>
  </si>
  <si>
    <t>2020-06-08 08:41:00.250</t>
  </si>
  <si>
    <t>131FJ-A0K1S7</t>
  </si>
  <si>
    <t>2020-06-08 08:47:40.283</t>
  </si>
  <si>
    <t>131FS-A0K1S7</t>
  </si>
  <si>
    <t>2020-06-08 08:52:36.590</t>
  </si>
  <si>
    <t>134PH-A0K94A</t>
  </si>
  <si>
    <t>2020-06-12 15:43:36.047</t>
  </si>
  <si>
    <t>1K120-495V02</t>
  </si>
  <si>
    <t>2020-06-18 15:03:16.063</t>
  </si>
  <si>
    <t>1K050-835/XV1</t>
  </si>
  <si>
    <t>2020-08-17 10:31:33.827</t>
  </si>
  <si>
    <t>P3-16100SX</t>
  </si>
  <si>
    <t>2020-08-24 09:18:06.417</t>
  </si>
  <si>
    <t>116JR-A0490N</t>
  </si>
  <si>
    <t>2020-08-26 14:19:52.620</t>
  </si>
  <si>
    <t>12Y6W-A0G7JW</t>
  </si>
  <si>
    <t>2020-09-15 15:47:57.053</t>
  </si>
  <si>
    <t>1K010-593</t>
  </si>
  <si>
    <t>2020-09-15 16:48:22.640</t>
  </si>
  <si>
    <t>1E-17020FD2</t>
  </si>
  <si>
    <t>2020-09-15 17:37:29.720</t>
  </si>
  <si>
    <t>1K078-012</t>
  </si>
  <si>
    <t>2020-09-16 13:43:49.680</t>
  </si>
  <si>
    <t>A1-20020FA</t>
  </si>
  <si>
    <t>2020-09-16 15:48:15.753</t>
  </si>
  <si>
    <t>126H2-A07C1J-P</t>
  </si>
  <si>
    <t>2020-10-05 14:40:34.907</t>
  </si>
  <si>
    <t>12H4D-A0A3TC-P</t>
  </si>
  <si>
    <t>2020-10-05 14:52:04.007</t>
  </si>
  <si>
    <t>12U6V-A0E6G4-P</t>
  </si>
  <si>
    <t>2020-10-05 14:54:46.020</t>
  </si>
  <si>
    <t>1K011-045-P</t>
  </si>
  <si>
    <t>2020-10-05 15:00:25.060</t>
  </si>
  <si>
    <t>127TC-A07RH9</t>
  </si>
  <si>
    <t>2020-10-12 15:21:10.760</t>
  </si>
  <si>
    <t>1K078-012V01</t>
  </si>
  <si>
    <t>2020-10-20 17:48:35.200</t>
  </si>
  <si>
    <t>12S25-A0E6RA-P</t>
  </si>
  <si>
    <t>2020-10-26 17:53:45.187</t>
  </si>
  <si>
    <t>1340C-A0M3R7</t>
  </si>
  <si>
    <t>2020-10-26 18:03:57.617</t>
  </si>
  <si>
    <t>1352T-A0M3R7</t>
  </si>
  <si>
    <t>2020-10-26 18:07:45.177</t>
  </si>
  <si>
    <t>134GR-A0M3R7</t>
  </si>
  <si>
    <t>2020-10-26 18:13:18.223</t>
  </si>
  <si>
    <t>12Y54-A0E4MH-P</t>
  </si>
  <si>
    <t>2020-10-27 09:02:35.180</t>
  </si>
  <si>
    <t>6A-20045FA-P</t>
  </si>
  <si>
    <t>2020-10-27 09:08:32.290</t>
  </si>
  <si>
    <t>T1-01500SX-P</t>
  </si>
  <si>
    <t>2020-10-27 09:13:25.763</t>
  </si>
  <si>
    <t>133YW-A0M3R7</t>
  </si>
  <si>
    <t>2020-10-27 09:26:16.970</t>
  </si>
  <si>
    <t>133S1-A0M9NJ</t>
  </si>
  <si>
    <t>2020-12-15 17:24:03.250</t>
  </si>
  <si>
    <t>129LB-A08VEZ-P</t>
  </si>
  <si>
    <t>2021-02-17 10:25:41.600</t>
  </si>
  <si>
    <t>12H49-A0A3S0-P</t>
  </si>
  <si>
    <t>2021-02-17 10:29:45.240</t>
  </si>
  <si>
    <t>P5-15050SX-P</t>
  </si>
  <si>
    <t>2021-02-17 10:42:45.210</t>
  </si>
  <si>
    <t>127A4-A0A1RA-P</t>
  </si>
  <si>
    <t>2021-03-18 16:01:17.577</t>
  </si>
  <si>
    <t>12H4A-A0A1R8-P</t>
  </si>
  <si>
    <t>2021-03-18 16:04:47.903</t>
  </si>
  <si>
    <t>1343G-A0R359</t>
  </si>
  <si>
    <t>2021-04-20 14:59:53.980</t>
  </si>
  <si>
    <t>1343H-A0R359</t>
  </si>
  <si>
    <t>2021-04-20 15:04:25.953</t>
  </si>
  <si>
    <t>1343J-A0R41U</t>
  </si>
  <si>
    <t>2021-04-20 15:07:29.733</t>
  </si>
  <si>
    <t>134BG-A0R3UY</t>
  </si>
  <si>
    <t>2021-04-20 15:11:08.523</t>
  </si>
  <si>
    <t>134BH-A0R3UY</t>
  </si>
  <si>
    <t>2021-04-20 15:14:43.880</t>
  </si>
  <si>
    <t>134BL-A0R2YW</t>
  </si>
  <si>
    <t>2021-04-20 15:20:27.093</t>
  </si>
  <si>
    <t>6E-17040FA</t>
  </si>
  <si>
    <t>2021-05-14 10:45:39.353</t>
  </si>
  <si>
    <t>6A-17040FD2-P</t>
  </si>
  <si>
    <t>2021-05-19 13:42:09.640</t>
  </si>
  <si>
    <t>130N2-A0K0W0-P</t>
  </si>
  <si>
    <t>2021-05-19 13:51:48.073</t>
  </si>
  <si>
    <t>138KM-A0S2KL</t>
  </si>
  <si>
    <t>2021-06-10 14:46:34.407</t>
  </si>
  <si>
    <t>1365U-A0R35D</t>
  </si>
  <si>
    <t>2021-06-11 14:57:07.420</t>
  </si>
  <si>
    <t>135EU-A0R35D</t>
  </si>
  <si>
    <t>2021-06-11 15:10:52.953</t>
  </si>
  <si>
    <t>135EV-A0R35D</t>
  </si>
  <si>
    <t>2021-06-11 15:14:45.400</t>
  </si>
  <si>
    <t>137G6-A0R05L</t>
  </si>
  <si>
    <t>2021-07-14 15:08:00.767</t>
  </si>
  <si>
    <t>P5-10150SX</t>
  </si>
  <si>
    <t>2021-07-20 15:35:36.710</t>
  </si>
  <si>
    <t>1K011-070</t>
  </si>
  <si>
    <t>2021-07-22 16:10:49.317</t>
  </si>
  <si>
    <t>1K130-710-1</t>
  </si>
  <si>
    <t>2021-07-22 16:19:15.303</t>
  </si>
  <si>
    <t>1K130-797</t>
  </si>
  <si>
    <t>2021-07-22 16:22:53.530</t>
  </si>
  <si>
    <t>6K050-082</t>
  </si>
  <si>
    <t>2021-07-22 16:26:50.143</t>
  </si>
  <si>
    <t>6A-17040FS</t>
  </si>
  <si>
    <t>2021-07-22 16:30:41.070</t>
  </si>
  <si>
    <t>6F-17030FA</t>
  </si>
  <si>
    <t>2021-07-22 16:37:52.320</t>
  </si>
  <si>
    <t>A1-14020FB</t>
  </si>
  <si>
    <t>2021-07-22 16:41:54.663</t>
  </si>
  <si>
    <t>A1-17040FD2</t>
  </si>
  <si>
    <t>2021-07-22 16:45:32.333</t>
  </si>
  <si>
    <t>G1-17020FD2</t>
  </si>
  <si>
    <t>2021-07-22 16:48:52.727</t>
  </si>
  <si>
    <t>A1-20030FD2</t>
  </si>
  <si>
    <t>2021-07-22 16:52:28.763</t>
  </si>
  <si>
    <t>A2-17030FD2</t>
  </si>
  <si>
    <t>2021-07-22 16:56:21.900</t>
  </si>
  <si>
    <t>H1-17035FD2</t>
  </si>
  <si>
    <t>2021-07-22 16:58:34.297</t>
  </si>
  <si>
    <t>133TG-A0S627</t>
  </si>
  <si>
    <t>2021-07-26 13:59:09.170</t>
  </si>
  <si>
    <t>133TY-A0S627</t>
  </si>
  <si>
    <t>2021-07-26 14:03:25.543</t>
  </si>
  <si>
    <t>1331C-A0J9SA-P</t>
  </si>
  <si>
    <t>2021-07-26 14:20:31.140</t>
  </si>
  <si>
    <t>1K010-478-P</t>
  </si>
  <si>
    <t>2021-07-26 14:22:32.547</t>
  </si>
  <si>
    <t>1K011-071-P</t>
  </si>
  <si>
    <t>2021-07-26 14:25:03.453</t>
  </si>
  <si>
    <t>T1-02000SX1-P</t>
  </si>
  <si>
    <t>2021-07-26 14:28:15.727</t>
  </si>
  <si>
    <t>133U9-A0S84B</t>
  </si>
  <si>
    <t>2021-07-26 14:42:22.940</t>
  </si>
  <si>
    <t>1382W-A0S89X</t>
  </si>
  <si>
    <t>2021-07-29 18:37:58.963</t>
  </si>
  <si>
    <t>132BX-A0S6MU</t>
  </si>
  <si>
    <t>2021-08-05 15:35:52.023</t>
  </si>
  <si>
    <t>11A9P-A0430J</t>
  </si>
  <si>
    <t>2021-08-17 10:59:08.900</t>
  </si>
  <si>
    <t>11B46-A052VN</t>
  </si>
  <si>
    <t>2021-08-17 10:59:08.930</t>
  </si>
  <si>
    <t>11B9T-A03Z8S</t>
  </si>
  <si>
    <t>000052</t>
  </si>
  <si>
    <t>COLLAR</t>
  </si>
  <si>
    <t>2021-08-17 10:59:08.960</t>
  </si>
  <si>
    <t>12M89-A0G03Z</t>
  </si>
  <si>
    <t>2021-08-17 10:59:08.993</t>
  </si>
  <si>
    <t>12P4V-A0F9H8</t>
  </si>
  <si>
    <t>2021-08-17 10:59:09.070</t>
  </si>
  <si>
    <t>12P51-A0J231</t>
  </si>
  <si>
    <t>2021-08-17 10:59:09.100</t>
  </si>
  <si>
    <t>12R0W-A0J237</t>
  </si>
  <si>
    <t>2021-08-17 10:59:09.133</t>
  </si>
  <si>
    <t>12U93-A0F39S</t>
  </si>
  <si>
    <t>2021-08-17 10:59:09.163</t>
  </si>
  <si>
    <t>12U94-A0F39S</t>
  </si>
  <si>
    <t>2021-08-17 10:59:09.197</t>
  </si>
  <si>
    <t>12U96-A0F39S</t>
  </si>
  <si>
    <t>2021-08-17 10:59:09.227</t>
  </si>
  <si>
    <t>12U98-A0F39S</t>
  </si>
  <si>
    <t>2021-08-17 10:59:09.257</t>
  </si>
  <si>
    <t>12U99-A0F39S</t>
  </si>
  <si>
    <t>2021-08-17 10:59:09.290</t>
  </si>
  <si>
    <t>12U9A-A0F39S</t>
  </si>
  <si>
    <t>2021-08-17 10:59:09.337</t>
  </si>
  <si>
    <t>12U9B-A0F39S</t>
  </si>
  <si>
    <t>2021-08-17 10:59:09.367</t>
  </si>
  <si>
    <t>12Y6S-A0F2VW</t>
  </si>
  <si>
    <t>2021-08-17 10:59:09.383</t>
  </si>
  <si>
    <t>12Y6T-A0F9DC</t>
  </si>
  <si>
    <t>2021-08-17 10:59:09.413</t>
  </si>
  <si>
    <t>12Y6U-A0F2VW</t>
  </si>
  <si>
    <t>2021-08-17 10:59:09.447</t>
  </si>
  <si>
    <t>12Y6V-A0F2VW</t>
  </si>
  <si>
    <t>2021-08-17 10:59:09.477</t>
  </si>
  <si>
    <t>130BX-A0F2VW</t>
  </si>
  <si>
    <t>2021-08-17 10:59:09.507</t>
  </si>
  <si>
    <t>130BY-A0F2VW</t>
  </si>
  <si>
    <t>2021-08-17 10:59:09.523</t>
  </si>
  <si>
    <t>130C0-A0F9F0</t>
  </si>
  <si>
    <t>2021-08-17 10:59:09.553</t>
  </si>
  <si>
    <t>130C1-A0F9F0</t>
  </si>
  <si>
    <t>2021-08-17 10:59:09.587</t>
  </si>
  <si>
    <t>1K001-343</t>
  </si>
  <si>
    <t>2021-08-17 10:59:09.617</t>
  </si>
  <si>
    <t>1K001-353</t>
  </si>
  <si>
    <t>2021-08-17 10:59:09.650</t>
  </si>
  <si>
    <t>1K010-542</t>
  </si>
  <si>
    <t>2021-08-17 10:59:09.680</t>
  </si>
  <si>
    <t>1K011-069</t>
  </si>
  <si>
    <t>2021-08-17 10:59:09.693</t>
  </si>
  <si>
    <t>1K120-544</t>
  </si>
  <si>
    <t>2021-08-17 10:59:09.727</t>
  </si>
  <si>
    <t>1K120-619</t>
  </si>
  <si>
    <t>2021-08-17 10:59:09.757</t>
  </si>
  <si>
    <t>1K130-749</t>
  </si>
  <si>
    <t>2021-08-17 10:59:09.803</t>
  </si>
  <si>
    <t>1K360-809</t>
  </si>
  <si>
    <t>2021-08-17 10:59:09.837</t>
  </si>
  <si>
    <t>6K050-081</t>
  </si>
  <si>
    <t>2021-08-17 10:59:09.867</t>
  </si>
  <si>
    <t>1A-14025FD2</t>
  </si>
  <si>
    <t>2021-08-17 10:59:09.883</t>
  </si>
  <si>
    <t>1A-20035FD2</t>
  </si>
  <si>
    <t>2021-08-17 10:59:09.913</t>
  </si>
  <si>
    <t>1A-20040FD2</t>
  </si>
  <si>
    <t>2021-08-17 10:59:09.943</t>
  </si>
  <si>
    <t>1A-20045FD2</t>
  </si>
  <si>
    <t>2021-08-17 10:59:09.960</t>
  </si>
  <si>
    <t>A1-20080FA</t>
  </si>
  <si>
    <t>2021-08-17 10:59:09.990</t>
  </si>
  <si>
    <t>B1-20080FD2</t>
  </si>
  <si>
    <t>2021-08-17 10:59:10.040</t>
  </si>
  <si>
    <t>H1-17050FD2</t>
  </si>
  <si>
    <t>2021-08-17 10:59:10.070</t>
  </si>
  <si>
    <t>133VJ-A0S88D</t>
  </si>
  <si>
    <t>2021-08-24 11:29:17.197</t>
  </si>
  <si>
    <t>10E06-A001BN-P</t>
  </si>
  <si>
    <t>2021-09-14 15:04:16.007</t>
  </si>
  <si>
    <t>1144W-A08H05-P</t>
  </si>
  <si>
    <t>2021-09-14 15:08:00.930</t>
  </si>
  <si>
    <t>126TF-A07ZDF-P</t>
  </si>
  <si>
    <t>2021-09-14 15:11:00.533</t>
  </si>
  <si>
    <t>1K051-036-1/XV1</t>
  </si>
  <si>
    <t>2021-12-17 20:00:01.207</t>
  </si>
  <si>
    <t>6C-17060FB</t>
  </si>
  <si>
    <t>2021-12-20 13:37:37.087</t>
  </si>
  <si>
    <t>1K001-123-1</t>
  </si>
  <si>
    <t>2021-12-20 13:45:34.390</t>
  </si>
  <si>
    <t>135N1-A0T7RM</t>
  </si>
  <si>
    <t>2021-12-22 19:42:54.373</t>
  </si>
  <si>
    <t>135T5-A0T7RM</t>
  </si>
  <si>
    <t>2021-12-22 19:46:07.590</t>
  </si>
  <si>
    <t>135T6-A0T7RM</t>
  </si>
  <si>
    <t>2021-12-22 19:49:04.700</t>
  </si>
  <si>
    <t>135T7-A0T7RM</t>
  </si>
  <si>
    <t>2021-12-22 19:52:05.430</t>
  </si>
  <si>
    <t>135TF-A0T7RM</t>
  </si>
  <si>
    <t>2021-12-22 19:54:26.787</t>
  </si>
  <si>
    <t>135TG-A0T7RM</t>
  </si>
  <si>
    <t>2021-12-22 19:56:48.493</t>
  </si>
  <si>
    <t>138KM-A0U7W9</t>
  </si>
  <si>
    <t>2022-01-14 14:44:34.127</t>
  </si>
  <si>
    <t>12U6N-A0E6G6-P</t>
  </si>
  <si>
    <t>2022-01-27 17:13:27.180</t>
  </si>
  <si>
    <t>134BJ-A0R2UP-P</t>
  </si>
  <si>
    <t>2022-01-27 17:13:27.227</t>
  </si>
  <si>
    <t>134BL-A0R2YW-P</t>
  </si>
  <si>
    <t>2022-01-27 17:13:27.243</t>
  </si>
  <si>
    <t>138KR-A0U7TY-P</t>
  </si>
  <si>
    <t>2022-01-27 17:13:27.257</t>
  </si>
  <si>
    <t>P5-15040SX-P</t>
  </si>
  <si>
    <t>2022-01-27 17:13:27.400</t>
  </si>
  <si>
    <t>P5-15080SX-P</t>
  </si>
  <si>
    <t>2022-01-27 17:13:27.413</t>
  </si>
  <si>
    <t>12P52-A0F39S</t>
  </si>
  <si>
    <t>2022-02-15 13:53:23.190</t>
  </si>
  <si>
    <t>12U95-A0F39S</t>
  </si>
  <si>
    <t>2022-02-15 13:59:25.567</t>
  </si>
  <si>
    <t>125R5-A075C0-P</t>
  </si>
  <si>
    <t>2022-03-17 10:12:33.460</t>
  </si>
  <si>
    <t>125R6-A075C0-P</t>
  </si>
  <si>
    <t>121A2-A07ZED-P</t>
  </si>
  <si>
    <t>113G2-A01PNF-P</t>
  </si>
  <si>
    <t>125R7-A075C8-P</t>
  </si>
  <si>
    <t>2022-03-17 10:12:33.477</t>
  </si>
  <si>
    <t>125VG-A0753N-P</t>
  </si>
  <si>
    <t>126F5-A077NW-P</t>
  </si>
  <si>
    <t>12V8U-A0F2AS-P</t>
  </si>
  <si>
    <t>133TY-A0S627-P</t>
  </si>
  <si>
    <t>1H-17025FS-P</t>
  </si>
  <si>
    <t>2022-03-17 10:12:33.490</t>
  </si>
  <si>
    <t>1E-17020FD2-P</t>
  </si>
  <si>
    <t>1E-17020FS-P</t>
  </si>
  <si>
    <t>6C-17040FS-P</t>
  </si>
  <si>
    <t>2022-03-17 10:12:33.507</t>
  </si>
  <si>
    <t>P3-16100SX-P</t>
  </si>
  <si>
    <t>2022-03-17 10:12:33.523</t>
  </si>
  <si>
    <t>N3-04000FA-P</t>
  </si>
  <si>
    <t>13G8Z-A0V7FV</t>
  </si>
  <si>
    <t>2022-03-28 13:32:51.807</t>
  </si>
  <si>
    <t>13F3C-A0V0P7</t>
  </si>
  <si>
    <t>2022-05-03 15:01:47.287</t>
  </si>
  <si>
    <t>1382U-A0W1VV</t>
  </si>
  <si>
    <t>2022-05-05 14:15:10.410</t>
  </si>
  <si>
    <t>13D9U-A0W1RY</t>
  </si>
  <si>
    <t>2022-05-05 14:22:52.600</t>
  </si>
  <si>
    <t>13G71-A0W0SD</t>
  </si>
  <si>
    <t>2022-05-10 11:09:29.120</t>
  </si>
  <si>
    <t>1358K-A0R8MF</t>
  </si>
  <si>
    <t>2022-05-17 15:24:05.920</t>
  </si>
  <si>
    <t>1K011-180</t>
  </si>
  <si>
    <t>2022-05-17 15:26:31.287</t>
  </si>
  <si>
    <t>135W4-A0T2BT</t>
  </si>
  <si>
    <t>2022-05-17 15:28:45.380</t>
  </si>
  <si>
    <t>S1-01200FA</t>
  </si>
  <si>
    <t>2022-05-17 15:31:34.060</t>
  </si>
  <si>
    <t>136Z5-A0R8MF</t>
  </si>
  <si>
    <t>2022-05-17 15:34:32.100</t>
  </si>
  <si>
    <t>132EW-A0R8M4</t>
  </si>
  <si>
    <t>2022-05-17 15:39:29.230</t>
  </si>
  <si>
    <t>132EX-A0R8M4</t>
  </si>
  <si>
    <t>2022-05-17 15:41:31.270</t>
  </si>
  <si>
    <t>132EY-A0R8M4</t>
  </si>
  <si>
    <t>2022-05-17 15:43:11.130</t>
  </si>
  <si>
    <t>6C-17050FB</t>
  </si>
  <si>
    <t>2022-05-17 15:45:36.387</t>
  </si>
  <si>
    <t>113G8-A029N9-RP-P</t>
  </si>
  <si>
    <t>2022-05-24 08:58:14.323</t>
  </si>
  <si>
    <t>113G4-A029N8-RP-P</t>
  </si>
  <si>
    <t>10D36-A00G04-RP-P</t>
  </si>
  <si>
    <t>116MV-A02RK9-RP-P</t>
  </si>
  <si>
    <t>2022-05-24 08:58:14.340</t>
  </si>
  <si>
    <t>116N2-A05Y9Z-RP-P</t>
  </si>
  <si>
    <t>116N8-A02S3V-RP-P</t>
  </si>
  <si>
    <t>1191Z-A03APW-RP-P</t>
  </si>
  <si>
    <t>2022-05-24 08:58:14.357</t>
  </si>
  <si>
    <t>127GT-A08A2N-RP-P</t>
  </si>
  <si>
    <t>127LU-A08VP0-RP-P</t>
  </si>
  <si>
    <t>122D1-A06X78-RP-P</t>
  </si>
  <si>
    <t>12H46-A0A0UF-RP-P</t>
  </si>
  <si>
    <t>12D2X-A097TP-RP-P</t>
  </si>
  <si>
    <t>12H47-A0A152-RP-P</t>
  </si>
  <si>
    <t>2022-05-24 08:58:14.370</t>
  </si>
  <si>
    <t>12K4V-A0C0VW-RP-P</t>
  </si>
  <si>
    <t>12H4C-A0E9SL-RP-P</t>
  </si>
  <si>
    <t>12K10-A0B50J-RP-P</t>
  </si>
  <si>
    <t>12U6W-A0E6G8-RP-P</t>
  </si>
  <si>
    <t>2022-05-24 08:58:14.387</t>
  </si>
  <si>
    <t>12U6N-A0E6G6-RP-P</t>
  </si>
  <si>
    <t>12R78-A0E6RA-RP-P</t>
  </si>
  <si>
    <t>12S07-A0E4ML-RP-P</t>
  </si>
  <si>
    <t>1331C-A0J9SA-RP-P</t>
  </si>
  <si>
    <t>2022-05-24 08:58:14.403</t>
  </si>
  <si>
    <t>133VJ-A0S88D-RP-P</t>
  </si>
  <si>
    <t>131FJ-A0K1S7-RP-P</t>
  </si>
  <si>
    <t>131FB-A0K1S7-RP-P</t>
  </si>
  <si>
    <t>135T7-A0S1V2-RP-P</t>
  </si>
  <si>
    <t>135T5-A0S1V2-RP-P</t>
  </si>
  <si>
    <t>1C-20040FS-RP-P</t>
  </si>
  <si>
    <t>2022-05-24 08:58:14.417</t>
  </si>
  <si>
    <t>1A-17060FS-RP-P</t>
  </si>
  <si>
    <t>1C-17035FS-RP-P</t>
  </si>
  <si>
    <t>1A-17030FS-RP-P</t>
  </si>
  <si>
    <t>1K014-103-RP-P</t>
  </si>
  <si>
    <t>1K060-048-RP-P</t>
  </si>
  <si>
    <t>1K078-011-RP-P</t>
  </si>
  <si>
    <t>1K100-035-1-RP-P</t>
  </si>
  <si>
    <t>1K120-012-RP-P</t>
  </si>
  <si>
    <t>1K120-363-RP-P</t>
  </si>
  <si>
    <t>1K130-813-RP-P</t>
  </si>
  <si>
    <t>1K120-481-RP-P</t>
  </si>
  <si>
    <t>1K120-472-1-RP-P</t>
  </si>
  <si>
    <t>1K130-815-RP-P</t>
  </si>
  <si>
    <t>6A-17050FS-RP-P</t>
  </si>
  <si>
    <t>6A-17035FS-RP-P</t>
  </si>
  <si>
    <t>6C-17040FB-RP-P</t>
  </si>
  <si>
    <t>A2-25060FD2-RP-P</t>
  </si>
  <si>
    <t>A2-14025FC2-RP-P</t>
  </si>
  <si>
    <t>A1-17050FS-RP-P</t>
  </si>
  <si>
    <t>A1-17040FS-RP-P</t>
  </si>
  <si>
    <t>H1-17060FD2-RP-P</t>
  </si>
  <si>
    <t>G1-14030FC2-RP-P</t>
  </si>
  <si>
    <t>G1-17050FS-RP-P</t>
  </si>
  <si>
    <t>G1-14025FC2-RP-P</t>
  </si>
  <si>
    <t>T1-02000SX1-RP-P</t>
  </si>
  <si>
    <t>1K001-435-RP-P</t>
  </si>
  <si>
    <t>13E6M-A0W13M</t>
  </si>
  <si>
    <t>12D5H-A08VR9-RP-P</t>
  </si>
  <si>
    <t>127M2-A08WR4-RP-P</t>
  </si>
  <si>
    <t>12H45-A0E9TT-RP-P</t>
  </si>
  <si>
    <t>12H4D-A0A3TC-RP-P</t>
  </si>
  <si>
    <t>12H4A-A0A1R8-RP-P</t>
  </si>
  <si>
    <t>12H4B-A0A3SM-RP-P</t>
  </si>
  <si>
    <t>12R17-A0A3TN-RP-P</t>
  </si>
  <si>
    <t>12S5G-A0E4MH-RP-P</t>
  </si>
  <si>
    <t>138KR-A0U7TY-RP-P</t>
  </si>
  <si>
    <t>138KM-A0U7W9-RP-P</t>
  </si>
  <si>
    <t>1C-14025FB-RP-P</t>
  </si>
  <si>
    <t>1E-17040FD2-RP-P</t>
  </si>
  <si>
    <t>1K010-953-RP-P</t>
  </si>
  <si>
    <t>A1-17030FS-RP-P</t>
  </si>
  <si>
    <t>A1-17060FS-RP-P</t>
  </si>
  <si>
    <t>T1-01500SX1-RP-P</t>
  </si>
  <si>
    <t>S1-01200SX-RP-P</t>
  </si>
  <si>
    <t>12U6P-A0F19H-P</t>
  </si>
  <si>
    <t>133U9-A0S84B-P</t>
  </si>
  <si>
    <t>139R9-A0X01J</t>
  </si>
  <si>
    <t>13E5Z-A0X07S</t>
  </si>
  <si>
    <t>13G8Z-A0V7FV-P</t>
  </si>
  <si>
    <t>119KA-A0901F-RP-P</t>
  </si>
  <si>
    <t>1229S-A06X8J-RP-P</t>
  </si>
  <si>
    <t>122CV-A07C0Y-RP-P</t>
  </si>
  <si>
    <t>123C8-A06L4H-RP-P</t>
  </si>
  <si>
    <t>125P5-A07C14-RP-P</t>
  </si>
  <si>
    <t>125P6-A07C14-RP-P</t>
  </si>
  <si>
    <t>125YV-A07038-RP-P</t>
  </si>
  <si>
    <t>1269E-A07C1J-RP-P</t>
  </si>
  <si>
    <t>127A4-A0A1RA-RP-P</t>
  </si>
  <si>
    <t>127HK-A08A2N-RP-P</t>
  </si>
  <si>
    <t>12A6L-A0F0U5-RP-P</t>
  </si>
  <si>
    <t>127TC-A07RH9-RP-P</t>
  </si>
  <si>
    <t>12H49-A0A3S0-RP-P</t>
  </si>
  <si>
    <t>12L6S-A0B50J-RP-P</t>
  </si>
  <si>
    <t>12R7B-A0E6RA-RP-P</t>
  </si>
  <si>
    <t>12S2T-A0E9F9-RP-P</t>
  </si>
  <si>
    <t>12U6X-A0F9VN-RP-P</t>
  </si>
  <si>
    <t>12W3M-A0E1JJ-RP-P</t>
  </si>
  <si>
    <t>12Y9V-A0E1JJ-RP-P</t>
  </si>
  <si>
    <t>12Z01-A0E1JJ-RP-P</t>
  </si>
  <si>
    <t>130K0-A0F1PP-RP-P</t>
  </si>
  <si>
    <t>130N2-A0K0W0-RP-P</t>
  </si>
  <si>
    <t>131JP-A0J2A7-RP-P</t>
  </si>
  <si>
    <t>131XS-A0E7BS-RP-P</t>
  </si>
  <si>
    <t>133U9-A0S84B-RP-P</t>
  </si>
  <si>
    <t>133D1-A0J2CR-RP-P</t>
  </si>
  <si>
    <t>133TY-A0S627-RP-P</t>
  </si>
  <si>
    <t>133TG-A0S627-RP-P</t>
  </si>
  <si>
    <t>1343G-A0R359-RP-P</t>
  </si>
  <si>
    <t>1340C-A0M3R7-RP-P</t>
  </si>
  <si>
    <t>134BG-A0R3UY-RP-P</t>
  </si>
  <si>
    <t>1343J-A0R41U-RP-P</t>
  </si>
  <si>
    <t>1343H-A0R359-RP-P</t>
  </si>
  <si>
    <t>134BH-A0R3UY-RP-P</t>
  </si>
  <si>
    <t>134BJ-A0R2UP-RP-P</t>
  </si>
  <si>
    <t>1352T-A0M3R7-RP-P</t>
  </si>
  <si>
    <t>135T6-A0S1V2-RP-P</t>
  </si>
  <si>
    <t>135N1-A0S1V2-RP-P</t>
  </si>
  <si>
    <t>135TF-A0S1V2-RP-P</t>
  </si>
  <si>
    <t>1365U-A0R35D-RP-P</t>
  </si>
  <si>
    <t>1A-17025FB-RP-P</t>
  </si>
  <si>
    <t>1K001-489-RP-P</t>
  </si>
  <si>
    <t>1K001-538-RP-P</t>
  </si>
  <si>
    <t>1K014-085-RP-P</t>
  </si>
  <si>
    <t>1K010-858-RP-P</t>
  </si>
  <si>
    <t>1K120-397-RP-P</t>
  </si>
  <si>
    <t>1K130-814-RP-P</t>
  </si>
  <si>
    <t>6A-17040FD2-RP-P</t>
  </si>
  <si>
    <t>6C-17040FS-RP-P</t>
  </si>
  <si>
    <t>6C-17050FS-RP-P</t>
  </si>
  <si>
    <t>6E-17020FA-RP-P</t>
  </si>
  <si>
    <t>6H-17035FB-RP-P</t>
  </si>
  <si>
    <t>H1-14035FB-RP-P</t>
  </si>
  <si>
    <t>132BH-A0W9J7</t>
  </si>
  <si>
    <t>13G71-A0X5Z9</t>
  </si>
  <si>
    <t>P5-20100SX</t>
  </si>
  <si>
    <t>1K010-830</t>
  </si>
  <si>
    <t>13K3R-A0X6KW</t>
  </si>
  <si>
    <t>1K011-098-RP-P</t>
  </si>
  <si>
    <t>R5-02000FA-RP-P</t>
  </si>
  <si>
    <t>139W7-A0Y26P</t>
  </si>
  <si>
    <t>139W8-A0X7RC</t>
  </si>
  <si>
    <t>1K604-030-RP-P</t>
  </si>
  <si>
    <t>1C-17060FS-RP-P</t>
  </si>
  <si>
    <t>131HZ-A0J2A7-P</t>
  </si>
  <si>
    <t>135W4-A0T2BT-P</t>
  </si>
  <si>
    <t>136Z5-A0R8MF-P</t>
  </si>
  <si>
    <t>11T49-A05NR5-RP-P</t>
  </si>
  <si>
    <t>1K010-002V01-RP-P</t>
  </si>
  <si>
    <t>11G1B-A04PTP-RP-P</t>
  </si>
  <si>
    <t>1234B-A06ZGJ-RP-P</t>
  </si>
  <si>
    <t>12H48-A0A3RL-RP-P</t>
  </si>
  <si>
    <t>127VD-A088U8-RP-P</t>
  </si>
  <si>
    <t>135TF-A0T7RM-RP-P</t>
  </si>
  <si>
    <t>1K010-593-RP-P</t>
  </si>
  <si>
    <t>1K010-928-RP-P</t>
  </si>
  <si>
    <t>1K010-975-RP-P</t>
  </si>
  <si>
    <t>1K011-096-RP-P</t>
  </si>
  <si>
    <t>1K011-102-RP-P</t>
  </si>
  <si>
    <t>1K060-003-1-RP-P</t>
  </si>
  <si>
    <t>1K120-061V01-RP-P</t>
  </si>
  <si>
    <t>1K120-548-RP-P</t>
  </si>
  <si>
    <t>1K604-031-RP-P</t>
  </si>
  <si>
    <t>1K133-006-RP-P</t>
  </si>
  <si>
    <t>1K604-029-RP-P</t>
  </si>
  <si>
    <t>1K604-033-RP-P</t>
  </si>
  <si>
    <t>6K050-081-RP-P</t>
  </si>
  <si>
    <t>A1-20030FD2-RP-P</t>
  </si>
  <si>
    <t>H1-17055FB-RP-P</t>
  </si>
  <si>
    <t>C1-30060FA</t>
  </si>
  <si>
    <t>C1-40060FA</t>
  </si>
  <si>
    <t>C4-40080FA</t>
  </si>
  <si>
    <t>C4-40100FA</t>
  </si>
  <si>
    <t>2K113-094</t>
  </si>
  <si>
    <t>2K113-457</t>
  </si>
  <si>
    <t>M1-03012FA</t>
  </si>
  <si>
    <t>M1-04012FA</t>
  </si>
  <si>
    <t>M1-04025FA</t>
  </si>
  <si>
    <t>2K070-389-1</t>
  </si>
  <si>
    <t>000004</t>
  </si>
  <si>
    <t>BEARING</t>
  </si>
  <si>
    <t>2K070-403</t>
  </si>
  <si>
    <t>2K021-285</t>
  </si>
  <si>
    <t>2K070-404</t>
  </si>
  <si>
    <t>2K110-697</t>
  </si>
  <si>
    <t>2K110-849</t>
  </si>
  <si>
    <t>000021</t>
  </si>
  <si>
    <t>MAGNET</t>
  </si>
  <si>
    <t>2K111-001-1</t>
  </si>
  <si>
    <t>2K172-288</t>
  </si>
  <si>
    <t>L3-30080FA1</t>
  </si>
  <si>
    <t>L3-40040FB1</t>
  </si>
  <si>
    <t>C2-30060FA</t>
  </si>
  <si>
    <t>C4-40060FA</t>
  </si>
  <si>
    <t>L2-40060FB1</t>
  </si>
  <si>
    <t>L3-25080FA1</t>
  </si>
  <si>
    <t>M1-04030FA</t>
  </si>
  <si>
    <t>M1-04008FA</t>
  </si>
  <si>
    <t>M1-03006FA</t>
  </si>
  <si>
    <t>M1-03008FB</t>
  </si>
  <si>
    <t>M1-03010FA</t>
  </si>
  <si>
    <t>M1-03010FB</t>
  </si>
  <si>
    <t>M1-05010FB</t>
  </si>
  <si>
    <t>M1-08025FB</t>
  </si>
  <si>
    <t>M1-10025FA</t>
  </si>
  <si>
    <t>M2-20060FA</t>
  </si>
  <si>
    <t>M2-20120FA</t>
  </si>
  <si>
    <t>M2-25060FB</t>
  </si>
  <si>
    <t>N1-04000FA</t>
  </si>
  <si>
    <t>N1-08000FB</t>
  </si>
  <si>
    <t>R1-10000FA1</t>
  </si>
  <si>
    <t>13H19-A0Y2GT</t>
  </si>
  <si>
    <t>2K113-093</t>
  </si>
  <si>
    <t>000026</t>
  </si>
  <si>
    <t>PLASTIC FLIM</t>
  </si>
  <si>
    <t>2K113-097</t>
  </si>
  <si>
    <t>2K170-242</t>
  </si>
  <si>
    <t>2K172-151</t>
  </si>
  <si>
    <t>2K172-162</t>
  </si>
  <si>
    <t>2S740-059</t>
  </si>
  <si>
    <t>2K070-191</t>
  </si>
  <si>
    <t>L3-30040FB1</t>
  </si>
  <si>
    <t>139UY-A0X7RB</t>
  </si>
  <si>
    <t>R5-03000FA</t>
  </si>
  <si>
    <t>13G71-A0X5Z9-RP-P</t>
  </si>
  <si>
    <t>A2-14025FC-RP-P</t>
  </si>
  <si>
    <t>13A4L-A0Y48G</t>
  </si>
  <si>
    <t>13B0M-A0Y48G</t>
  </si>
  <si>
    <t>125VG-A0753N-RP-P</t>
  </si>
  <si>
    <t>116YN-A032D9-RP-P</t>
  </si>
  <si>
    <t>119R6-A0435A-RP-P</t>
  </si>
  <si>
    <t>113G9-A029NA-RP-P</t>
  </si>
  <si>
    <t>10H9V-A012L1-RP-P</t>
  </si>
  <si>
    <t>126TF-A07ZDF-RP-P</t>
  </si>
  <si>
    <t>12F5R-A087F8-RP-P</t>
  </si>
  <si>
    <t>12F5P-A087F7-RP-P</t>
  </si>
  <si>
    <t>12K1S-A0B50J-RP-P</t>
  </si>
  <si>
    <t>12K1R-A0B50J-RP-P</t>
  </si>
  <si>
    <t>12L6R-A0B50J-RP-P</t>
  </si>
  <si>
    <t>12K4X-A0C0VW-RP-P</t>
  </si>
  <si>
    <t>12K1T-A0B50J-RP-P</t>
  </si>
  <si>
    <t>12U6U-A0E6G8-RP-P</t>
  </si>
  <si>
    <t>12S09-A0E4MH-RP-P</t>
  </si>
  <si>
    <t>12S0P-A0E4MH-RP-P</t>
  </si>
  <si>
    <t>131HZ-A0J2A7-RP-P</t>
  </si>
  <si>
    <t>131HX-A0J2A7-RP-P</t>
  </si>
  <si>
    <t>1319H-A0E80N-RP-P</t>
  </si>
  <si>
    <t>130KK-A0F3AV-RP-P</t>
  </si>
  <si>
    <t>130ZN-A0J2A7-RP-P</t>
  </si>
  <si>
    <t>137G6-A0R05L-RP-P</t>
  </si>
  <si>
    <t>1C-17055FS-RP-P</t>
  </si>
  <si>
    <t>1E-17020FS-RP-P</t>
  </si>
  <si>
    <t>1H-17030FB-RP-P</t>
  </si>
  <si>
    <t>1K010-458-RP-P</t>
  </si>
  <si>
    <t>1K011-099-RP-P</t>
  </si>
  <si>
    <t>1K011-028-RP-P</t>
  </si>
  <si>
    <t>1K020-019-RP-P</t>
  </si>
  <si>
    <t>1K051-203-RP-P</t>
  </si>
  <si>
    <t>1K130-857-RP-P</t>
  </si>
  <si>
    <t>1K130-852-RP-P</t>
  </si>
  <si>
    <t>6A-17040FB-RP-P</t>
  </si>
  <si>
    <t>6A-14030FB-RP-P</t>
  </si>
  <si>
    <t>6C-14040FS-RP-P</t>
  </si>
  <si>
    <t>H1-17050FR-RP-P</t>
  </si>
  <si>
    <t>119KA-A0901F-P</t>
  </si>
  <si>
    <t>132G4-A0M9LR-P</t>
  </si>
  <si>
    <t>10M85-A005N7-RP-P</t>
  </si>
  <si>
    <t>12Y6S-A0F2VW-RP-P</t>
  </si>
  <si>
    <t>12Y6U-A0F2VW-RP-P</t>
  </si>
  <si>
    <t>130BX-A0F2VW-RP-P</t>
  </si>
  <si>
    <t>130C0-A0F9F0-RP-P</t>
  </si>
  <si>
    <t>130C1-A0F9F0-RP-P</t>
  </si>
  <si>
    <t>H1-17040FR-RP-P</t>
  </si>
  <si>
    <t>13D9U-A0W1RY-P</t>
  </si>
  <si>
    <t>13K5L-A0Z37Y</t>
  </si>
  <si>
    <t>M1-03004FA</t>
  </si>
  <si>
    <t>C1-40060FB</t>
  </si>
  <si>
    <t>116PP-A02S7U-RP-P</t>
  </si>
  <si>
    <t>L3-40100FB1</t>
  </si>
  <si>
    <t>13J35-A100CX</t>
  </si>
  <si>
    <t>13J46-A100CX</t>
  </si>
  <si>
    <t>P5-20050SX</t>
  </si>
  <si>
    <t>12R0W-A0J237-RP-P</t>
  </si>
  <si>
    <t>132BH-A0W9J7-RP-P</t>
  </si>
  <si>
    <t>1382U-A0W1VV-RP-P</t>
  </si>
  <si>
    <t>13B3W-A104V3</t>
  </si>
  <si>
    <t>13B87-A104MZ</t>
  </si>
  <si>
    <t>13E2A-A104PH</t>
  </si>
  <si>
    <t>13K5L-A0Z37Y-RP-P</t>
  </si>
  <si>
    <t>1K011-071-RP-P</t>
  </si>
  <si>
    <t>138KM-A0U7W9-P</t>
  </si>
  <si>
    <t>12S07-A0E4ML-P</t>
  </si>
  <si>
    <t>12S2T-A0E9F9-P</t>
  </si>
  <si>
    <t>11P7Z-A04PNZ-RP-P</t>
  </si>
  <si>
    <t>1215W-A06NU1-RP-P</t>
  </si>
  <si>
    <t>13K5L-A0Z37Y-P</t>
  </si>
  <si>
    <t>13C4F-A104J2</t>
  </si>
  <si>
    <t>13L5W-A104J2</t>
  </si>
  <si>
    <t>1K010-954-RP-P</t>
  </si>
  <si>
    <t>P5-20100SX-P</t>
  </si>
  <si>
    <t>T2-02300SX1-RP-P</t>
  </si>
  <si>
    <t>13B5F-A104ZV</t>
  </si>
  <si>
    <t>13K3R-A10AU0</t>
  </si>
  <si>
    <t>6C-17060FA</t>
  </si>
  <si>
    <t>6C-17035FB</t>
  </si>
  <si>
    <t>B1-17040FA</t>
  </si>
  <si>
    <t>1C-17016FA</t>
  </si>
  <si>
    <t>1A-20045FD2-P</t>
  </si>
  <si>
    <t>11B46-A052VN-4M</t>
  </si>
  <si>
    <t>123C7-A06L4H-RP-P</t>
  </si>
  <si>
    <t>127M1-A08VP3-4M</t>
  </si>
  <si>
    <t>139J0-A0V75W-4M</t>
  </si>
  <si>
    <t>138R9-A0Y7XG-4M</t>
  </si>
  <si>
    <t>13B3W-A104V3-RP-P</t>
  </si>
  <si>
    <t>13B87-A104MZ-RP-P</t>
  </si>
  <si>
    <t>13K3R-A10AU0-RP-P</t>
  </si>
  <si>
    <t>13C4F-A104J2-RP-P</t>
  </si>
  <si>
    <t>13L5W-A104J2-RP-P</t>
  </si>
  <si>
    <t>13P2W-A104V9-4M</t>
  </si>
  <si>
    <t>13S2P-A104V9-4M</t>
  </si>
  <si>
    <t>1C-17050FS-RP-P</t>
  </si>
  <si>
    <t>1K001-401-1-4M</t>
  </si>
  <si>
    <t>1K011-095-RP-P</t>
  </si>
  <si>
    <t>1K010-693V01-RP-P</t>
  </si>
  <si>
    <t>1K120-619-4M</t>
  </si>
  <si>
    <t>13K9W-A107ZW</t>
  </si>
  <si>
    <t>13U30-A10DAZ</t>
  </si>
  <si>
    <t>13S2R-A0Z0SG-4M</t>
  </si>
  <si>
    <t>13S2R-A10GZS</t>
  </si>
  <si>
    <t>131FS-A0K1S7-RP-P</t>
  </si>
  <si>
    <t>139J0-A10K7C</t>
  </si>
  <si>
    <t>139J0-A10K7C-P</t>
  </si>
  <si>
    <t>139J0-A10K7C-RP-P</t>
  </si>
  <si>
    <t>13Y64-A10JCH</t>
  </si>
  <si>
    <t>13P2W-A10KXC</t>
  </si>
  <si>
    <t>13B5F-A10B53</t>
  </si>
  <si>
    <t>13C2C-A10L0J</t>
  </si>
  <si>
    <t>13R3Z-A10L6G</t>
  </si>
  <si>
    <t>13S2P-A10KXD</t>
  </si>
  <si>
    <t>1K001-368-A10M6W</t>
  </si>
  <si>
    <t>1K001-401V01</t>
  </si>
  <si>
    <t>1K014-124V01</t>
  </si>
  <si>
    <t>1K120-422V01</t>
  </si>
  <si>
    <t>138R9-A10PBB</t>
  </si>
  <si>
    <t>138R9-A10PBB-RP-P</t>
  </si>
  <si>
    <t>13S2R-A10L0U</t>
  </si>
  <si>
    <t>1C-17016FA-RP-P</t>
  </si>
  <si>
    <t>13K9W-A107ZW-RP-P</t>
  </si>
  <si>
    <t>6C-17060FA-RP-P</t>
  </si>
  <si>
    <t>13P2W-A10KXC-RP-P</t>
  </si>
  <si>
    <t>13C2C-A10L0J-RP-P</t>
  </si>
  <si>
    <t>13S2P-A10KXD-RP-P</t>
  </si>
  <si>
    <t>13R3Z-A10L6G-RP-P</t>
  </si>
  <si>
    <t>126H2-A10P8Y-P</t>
  </si>
  <si>
    <t>127M1-A10MPW-P</t>
  </si>
  <si>
    <t>1K001-401V01-P</t>
  </si>
  <si>
    <t>126H2-A10P8Y-RP-P</t>
  </si>
  <si>
    <t>1K001-401V01-RP-P</t>
  </si>
  <si>
    <t>1K014-124V01-RP-P</t>
  </si>
  <si>
    <t>1K120-422V01-RP-P</t>
  </si>
  <si>
    <t>1K001-402V01</t>
  </si>
  <si>
    <t>1K001-368V01</t>
  </si>
  <si>
    <t>11G19-A04PPA-RP-P</t>
  </si>
  <si>
    <t>13S2R-A10L0U-RP-P</t>
  </si>
  <si>
    <t>L3-40100FB1-P</t>
  </si>
  <si>
    <t>N3-04000FA-RP-P</t>
  </si>
  <si>
    <t>1K001-368V01-RP-P</t>
  </si>
  <si>
    <t>7_13K4W-A10D7W</t>
  </si>
  <si>
    <t>1K001-368V01-P</t>
  </si>
  <si>
    <t>127M1-A10MPW-4M</t>
  </si>
  <si>
    <t>1K010-949-RP-P</t>
  </si>
  <si>
    <t>13C2C-A10L0J-P</t>
  </si>
  <si>
    <t>140YX-A11083</t>
  </si>
  <si>
    <t>140YX-A11083-S</t>
  </si>
  <si>
    <t>1K133-006-4M-MATL</t>
  </si>
  <si>
    <t>12W20-A0E1JJ-4M-MATL</t>
  </si>
  <si>
    <t>12W3L-A0E1JJ-4M-MATL</t>
  </si>
  <si>
    <t>12W3M-A0E1JJ-4M-MATL</t>
  </si>
  <si>
    <t>139R9-A111HG</t>
  </si>
  <si>
    <t>13H19-A111CJ</t>
  </si>
  <si>
    <t>13Y64-A1115E</t>
  </si>
  <si>
    <t>13E5Z-A1118K</t>
  </si>
  <si>
    <t>1K133-006-4M</t>
  </si>
  <si>
    <t>12W20-A0E1JJ-4M</t>
  </si>
  <si>
    <t>12W3L-A0E1JJ-4M</t>
  </si>
  <si>
    <t>12W3M-A0E1JJ-4M</t>
  </si>
  <si>
    <t>13B5F-A10B53-P</t>
  </si>
  <si>
    <t>134GR-A0M3R7-4M</t>
  </si>
  <si>
    <t>12Y9V-A0E1JJ-4M</t>
  </si>
  <si>
    <t>11Z8V-A044LL-4M</t>
  </si>
  <si>
    <t>11Z8W-A044LL-4M</t>
  </si>
  <si>
    <t>1K106-346-4M</t>
  </si>
  <si>
    <t>120SR-A04E0N-4M</t>
  </si>
  <si>
    <t>13Y59-A113L2</t>
  </si>
  <si>
    <t>140JT-A113L0</t>
  </si>
  <si>
    <t>140JG-A113L1</t>
  </si>
  <si>
    <t>13T5F-A113WW</t>
  </si>
  <si>
    <t>1K360-834-4M</t>
  </si>
  <si>
    <t>142C1-A1187N</t>
  </si>
  <si>
    <t>142FW-A118CW</t>
  </si>
  <si>
    <t>142FW-A118JZ</t>
  </si>
  <si>
    <t>13K3R-A11625</t>
  </si>
  <si>
    <t>13K3R-A11625-RP-P</t>
  </si>
  <si>
    <t>127M1-A10MPW</t>
  </si>
  <si>
    <t>140YX-A11DPW</t>
  </si>
  <si>
    <t>1A-17060FS/XV2</t>
  </si>
  <si>
    <t>1A-17060FS/XV1</t>
  </si>
  <si>
    <t>13E5Z-A1118K-RP-P</t>
  </si>
  <si>
    <t>13H19-A111CJ-RP-P</t>
  </si>
  <si>
    <t>13Y64-A1115E-RP-P</t>
  </si>
  <si>
    <t>1427U-A1166U</t>
  </si>
  <si>
    <t>140JT-A116HW</t>
  </si>
  <si>
    <t>13Y59-A119BF</t>
  </si>
  <si>
    <t>1426J-A11DCH-P</t>
  </si>
  <si>
    <t>1426H-A11DCG-P</t>
  </si>
  <si>
    <t>7_143L6</t>
  </si>
  <si>
    <t>142U0-A11H26</t>
  </si>
  <si>
    <t>141CE-A11G6X</t>
  </si>
  <si>
    <t>1412H-A11GC5</t>
  </si>
  <si>
    <t>141CF-A11G6W</t>
  </si>
  <si>
    <t>7_116N8</t>
  </si>
  <si>
    <t>7_1429Z</t>
  </si>
  <si>
    <t>143L6-A11KEC</t>
  </si>
  <si>
    <t>2K070-389-1-P</t>
  </si>
  <si>
    <t>2K070-404-P</t>
  </si>
  <si>
    <t>1K120-422V02</t>
  </si>
  <si>
    <t>13B5F-A10B53-RP-P</t>
  </si>
  <si>
    <t>1427U-A1166U-RP-P</t>
  </si>
  <si>
    <t>140KF-A11KN1</t>
  </si>
  <si>
    <t>143S9-A11KJ3</t>
  </si>
  <si>
    <t>7_140YX</t>
  </si>
  <si>
    <t>13T5F-A11CWX</t>
  </si>
  <si>
    <t>140JT-A11J42</t>
  </si>
  <si>
    <t>140JT-A11JV7</t>
  </si>
  <si>
    <t>143VK-A11PUG</t>
  </si>
  <si>
    <t>143VL-A11PUE</t>
  </si>
  <si>
    <t>B2-20035FB</t>
  </si>
  <si>
    <t>143SC-A11KM8</t>
  </si>
  <si>
    <t>143SF-A11KMB</t>
  </si>
  <si>
    <t>143SH-A11KMD</t>
  </si>
  <si>
    <t>143SJ-A11KME</t>
  </si>
  <si>
    <t>143SE-A11PGC</t>
  </si>
  <si>
    <t>116MZ-A02S8R-RP-P</t>
  </si>
  <si>
    <t>140K8-A11PWT</t>
  </si>
  <si>
    <t>141ES-A11N1D</t>
  </si>
  <si>
    <t>1K010-595-RP-P</t>
  </si>
  <si>
    <t>1K120-480-RP-P</t>
  </si>
  <si>
    <t>1K010-830-RP-P</t>
  </si>
  <si>
    <t>140YX-A11KZC</t>
  </si>
  <si>
    <t>1A-20055FD2</t>
  </si>
  <si>
    <t>B1-20080FA</t>
  </si>
  <si>
    <t>B1-17060FD2</t>
  </si>
  <si>
    <t>7_1449V</t>
  </si>
  <si>
    <t>7_1449W</t>
  </si>
  <si>
    <t>7_1449X</t>
  </si>
  <si>
    <t>7_1449Z</t>
  </si>
  <si>
    <t>7_144C5</t>
  </si>
  <si>
    <t>7_144C0</t>
  </si>
  <si>
    <t>7_144C1</t>
  </si>
  <si>
    <t>7_144C2</t>
  </si>
  <si>
    <t>7_144C3</t>
  </si>
  <si>
    <t>7_144C4</t>
  </si>
  <si>
    <t>7_1449Y</t>
  </si>
  <si>
    <t>1429Z-A11WRX</t>
  </si>
  <si>
    <t>143L6-A11VGM</t>
  </si>
  <si>
    <t>140YX-A11VD2</t>
  </si>
  <si>
    <t>143S9-A11VET</t>
  </si>
  <si>
    <t>13U30-A11VK2</t>
  </si>
  <si>
    <t>13P2W-A104V9</t>
  </si>
  <si>
    <t>13B5F-A104ZV-4M</t>
  </si>
  <si>
    <t>127M1-A08VP3-P</t>
  </si>
  <si>
    <t>2022-05-24 08:58:14.450</t>
  </si>
  <si>
    <t>2022-05-24 08:58:14.463</t>
  </si>
  <si>
    <t>2022-05-24 08:58:14.480</t>
  </si>
  <si>
    <t>2022-05-24 08:58:14.497</t>
  </si>
  <si>
    <t>2022-05-24 08:58:14.510</t>
  </si>
  <si>
    <t>2022-05-24 08:58:14.527</t>
  </si>
  <si>
    <t>2022-05-25 09:56:17.363</t>
  </si>
  <si>
    <t>2022-06-14 15:47:15.047</t>
  </si>
  <si>
    <t>2022-06-25 16:34:38.940</t>
  </si>
  <si>
    <t>2022-06-25 16:34:38.957</t>
  </si>
  <si>
    <t>2022-06-25 16:34:38.970</t>
  </si>
  <si>
    <t>2022-06-25 16:34:38.987</t>
  </si>
  <si>
    <t>2022-06-25 16:34:39.003</t>
  </si>
  <si>
    <t>2022-06-25 16:34:39.020</t>
  </si>
  <si>
    <t>2022-06-25 16:34:39.033</t>
  </si>
  <si>
    <t>2022-07-01 10:31:29.563</t>
  </si>
  <si>
    <t>2022-07-01 10:34:09.830</t>
  </si>
  <si>
    <t>2022-07-11 11:42:08.067</t>
  </si>
  <si>
    <t>2022-07-29 09:35:59.690</t>
  </si>
  <si>
    <t>2022-07-29 09:44:47.640</t>
  </si>
  <si>
    <t>2022-08-11 09:24:32.713</t>
  </si>
  <si>
    <t>2022-08-11 09:24:32.730</t>
  </si>
  <si>
    <t>2022-08-11 09:24:32.743</t>
  </si>
  <si>
    <t>2022-08-11 09:24:32.760</t>
  </si>
  <si>
    <t>2022-08-11 09:24:32.773</t>
  </si>
  <si>
    <t>2022-08-11 09:24:32.790</t>
  </si>
  <si>
    <t>2022-08-11 09:24:32.807</t>
  </si>
  <si>
    <t>2022-08-11 09:24:32.820</t>
  </si>
  <si>
    <t>2022-08-11 09:24:32.837</t>
  </si>
  <si>
    <t>2022-08-11 09:24:32.853</t>
  </si>
  <si>
    <t>2022-08-11 09:24:32.870</t>
  </si>
  <si>
    <t>2022-08-11 09:24:32.883</t>
  </si>
  <si>
    <t>2022-08-11 09:24:32.917</t>
  </si>
  <si>
    <t>2022-08-11 09:24:32.930</t>
  </si>
  <si>
    <t>2022-08-11 09:24:32.947</t>
  </si>
  <si>
    <t>2022-08-11 09:24:32.977</t>
  </si>
  <si>
    <t>2022-08-11 09:24:32.993</t>
  </si>
  <si>
    <t>2022-08-11 09:24:33.010</t>
  </si>
  <si>
    <t>2022-08-11 09:24:33.040</t>
  </si>
  <si>
    <t>2022-08-22 14:37:54.167</t>
  </si>
  <si>
    <t>2022-08-26 13:45:29.183</t>
  </si>
  <si>
    <t>2022-09-01 09:35:42.360</t>
  </si>
  <si>
    <t>2022-09-01 09:49:52.733</t>
  </si>
  <si>
    <t>2022-09-15 11:48:43.047</t>
  </si>
  <si>
    <t>2022-09-20 14:05:45.933</t>
  </si>
  <si>
    <t>2022-09-20 14:08:13.230</t>
  </si>
  <si>
    <t>2022-10-05 10:50:59.347</t>
  </si>
  <si>
    <t>2022-10-05 10:52:58.423</t>
  </si>
  <si>
    <t>2022-10-05 11:21:35.310</t>
  </si>
  <si>
    <t>2022-10-05 11:25:39.640</t>
  </si>
  <si>
    <t>2022-10-11 11:40:26.310</t>
  </si>
  <si>
    <t>2022-10-11 11:41:36.500</t>
  </si>
  <si>
    <t>2022-10-11 11:43:05.390</t>
  </si>
  <si>
    <t>2022-10-19 11:35:22.367</t>
  </si>
  <si>
    <t>2022-10-19 11:37:20.763</t>
  </si>
  <si>
    <t>2022-10-20 17:16:14.970</t>
  </si>
  <si>
    <t>2022-10-20 17:16:14.983</t>
  </si>
  <si>
    <t>2022-10-20 17:16:15.000</t>
  </si>
  <si>
    <t>2022-10-20 17:16:15.017</t>
  </si>
  <si>
    <t>2022-10-20 17:16:15.030</t>
  </si>
  <si>
    <t>2022-10-20 17:16:15.047</t>
  </si>
  <si>
    <t>2022-10-27 14:15:08.230</t>
  </si>
  <si>
    <t>2022-10-27 14:16:15.830</t>
  </si>
  <si>
    <t>2022-10-27 14:17:22.457</t>
  </si>
  <si>
    <t>2022-10-27 14:18:38.923</t>
  </si>
  <si>
    <t>2022-10-27 15:13:52.777</t>
  </si>
  <si>
    <t>2022-10-27 15:15:23.893</t>
  </si>
  <si>
    <t>2022-10-27 15:17:19.067</t>
  </si>
  <si>
    <t>2022-10-27 15:20:25.737</t>
  </si>
  <si>
    <t>2022-10-27 15:22:18.960</t>
  </si>
  <si>
    <t>2022-10-28 16:37:12.183</t>
  </si>
  <si>
    <t>2022-10-28 16:37:12.200</t>
  </si>
  <si>
    <t>2022-10-28 16:37:12.213</t>
  </si>
  <si>
    <t>2022-10-28 16:37:12.230</t>
  </si>
  <si>
    <t>2022-10-28 16:37:12.247</t>
  </si>
  <si>
    <t>2022-10-28 16:37:12.260</t>
  </si>
  <si>
    <t>2022-10-31 15:18:17.173</t>
  </si>
  <si>
    <t>2022-10-31 16:21:46.147</t>
  </si>
  <si>
    <t>2022-10-31 16:23:30.930</t>
  </si>
  <si>
    <t>2022-10-31 16:26:59.780</t>
  </si>
  <si>
    <t>2022-10-31 16:28:11.503</t>
  </si>
  <si>
    <t>2022-11-02 11:59:16.603</t>
  </si>
  <si>
    <t>2022-11-02 12:01:13.960</t>
  </si>
  <si>
    <t>2022-11-02 12:03:56.387</t>
  </si>
  <si>
    <t>2022-11-02 12:05:59.697</t>
  </si>
  <si>
    <t>2022-11-02 12:06:42.573</t>
  </si>
  <si>
    <t>2022-11-02 12:12:05.140</t>
  </si>
  <si>
    <t>2022-11-03 16:00:37.553</t>
  </si>
  <si>
    <t>2022-11-08 15:28:59.840</t>
  </si>
  <si>
    <t>2022-11-17 16:28:35.703</t>
  </si>
  <si>
    <t>2022-11-17 16:29:52.343</t>
  </si>
  <si>
    <t>2022-11-21 11:02:45.543</t>
  </si>
  <si>
    <t>2022-11-21 11:02:45.560</t>
  </si>
  <si>
    <t>2022-11-21 11:02:45.573</t>
  </si>
  <si>
    <t>2022-11-21 11:02:45.590</t>
  </si>
  <si>
    <t>2022-11-21 11:02:45.607</t>
  </si>
  <si>
    <t>2022-11-21 11:02:45.620</t>
  </si>
  <si>
    <t>2022-11-21 11:02:45.637</t>
  </si>
  <si>
    <t>2022-11-21 11:02:45.653</t>
  </si>
  <si>
    <t>2022-11-21 11:02:45.670</t>
  </si>
  <si>
    <t>2022-11-26 13:40:26.073</t>
  </si>
  <si>
    <t>2022-11-26 13:44:56.900</t>
  </si>
  <si>
    <t>2022-11-26 13:53:58.960</t>
  </si>
  <si>
    <t>2022-11-26 13:57:17.457</t>
  </si>
  <si>
    <t>2022-11-26 14:04:31.010</t>
  </si>
  <si>
    <t>2022-11-26 14:06:08.630</t>
  </si>
  <si>
    <t>2022-11-26 14:08:19.347</t>
  </si>
  <si>
    <t>2022-11-26 14:10:07.213</t>
  </si>
  <si>
    <t>2022-12-01 11:27:13.440</t>
  </si>
  <si>
    <t>2022-12-15 15:45:45.207</t>
  </si>
  <si>
    <t>2023-01-06 15:58:39.197</t>
  </si>
  <si>
    <t>2023-01-10 10:32:47.770</t>
  </si>
  <si>
    <t>2023-02-03 14:51:02.533</t>
  </si>
  <si>
    <t>2023-02-03 14:53:34.133</t>
  </si>
  <si>
    <t>2023-02-16 14:44:44.633</t>
  </si>
  <si>
    <t>2023-03-30 14:05:26.703</t>
  </si>
  <si>
    <t>2023-03-30 14:10:16.677</t>
  </si>
  <si>
    <t>2023-03-31 17:00:48.390</t>
  </si>
  <si>
    <t>2023-04-07 13:53:37.507</t>
  </si>
  <si>
    <t>2023-04-07 13:53:37.553</t>
  </si>
  <si>
    <t>2023-04-07 13:53:37.617</t>
  </si>
  <si>
    <t>2023-04-07 13:53:37.630</t>
  </si>
  <si>
    <t>2023-04-07 13:53:37.740</t>
  </si>
  <si>
    <t>2023-04-07 13:53:37.820</t>
  </si>
  <si>
    <t>2023-05-02 08:26:04.857</t>
  </si>
  <si>
    <t>2023-05-02 08:26:04.873</t>
  </si>
  <si>
    <t>2023-05-02 08:26:04.890</t>
  </si>
  <si>
    <t>2023-05-02 08:26:04.903</t>
  </si>
  <si>
    <t>2023-05-02 08:26:04.920</t>
  </si>
  <si>
    <t>2023-05-05 15:05:32.897</t>
  </si>
  <si>
    <t>2023-05-22 13:49:00.540</t>
  </si>
  <si>
    <t>2023-05-26 14:47:47.957</t>
  </si>
  <si>
    <t>2023-05-26 14:50:19.350</t>
  </si>
  <si>
    <t>2023-06-08 09:09:15.910</t>
  </si>
  <si>
    <t>2023-06-09 11:10:56.450</t>
  </si>
  <si>
    <t>2023-06-14 16:22:24.560</t>
  </si>
  <si>
    <t>2023-06-26 08:36:45.013</t>
  </si>
  <si>
    <t>2023-06-26 08:36:45.107</t>
  </si>
  <si>
    <t>2023-06-26 08:36:45.123</t>
  </si>
  <si>
    <t>2023-06-26 08:36:45.140</t>
  </si>
  <si>
    <t>2023-06-26 08:36:45.153</t>
  </si>
  <si>
    <t>2023-06-26 08:36:45.170</t>
  </si>
  <si>
    <t>2023-06-26 08:36:45.187</t>
  </si>
  <si>
    <t>2023-06-28 10:38:43.733</t>
  </si>
  <si>
    <t>2023-06-28 10:44:08.830</t>
  </si>
  <si>
    <t>2023-07-05 11:27:25.930</t>
  </si>
  <si>
    <t>2023-07-24 09:21:30.503</t>
  </si>
  <si>
    <t>2023-08-04 15:03:49.610</t>
  </si>
  <si>
    <t>2023-08-11 09:47:13.787</t>
  </si>
  <si>
    <t>2023-08-11 09:50:34.310</t>
  </si>
  <si>
    <t>2023-08-11 09:57:13.230</t>
  </si>
  <si>
    <t>2023-08-15 10:36:14.290</t>
  </si>
  <si>
    <t>2023-08-30 11:16:40.790</t>
  </si>
  <si>
    <t>2023-08-30 11:19:35.023</t>
  </si>
  <si>
    <t>2023-08-30 11:22:03.590</t>
  </si>
  <si>
    <t>2023-08-30 11:24:53.310</t>
  </si>
  <si>
    <t>2023-08-30 11:30:11.763</t>
  </si>
  <si>
    <t>2023-09-01 14:14:34.080</t>
  </si>
  <si>
    <t>2023-09-08 13:35:02.430</t>
  </si>
  <si>
    <t>2023-09-08 13:36:37.053</t>
  </si>
  <si>
    <t>2023-09-08 13:38:19.410</t>
  </si>
  <si>
    <t>2023-09-14 13:08:20.350</t>
  </si>
  <si>
    <t>2023-09-14 13:10:15.063</t>
  </si>
  <si>
    <t>2023-09-16 08:42:25.073</t>
  </si>
  <si>
    <t>2023-09-16 08:46:49.990</t>
  </si>
  <si>
    <t>2023-09-16 08:51:34.260</t>
  </si>
  <si>
    <t>2023-09-16 08:55:37.207</t>
  </si>
  <si>
    <t>2023-09-20 16:39:57.633</t>
  </si>
  <si>
    <t>2023-09-20 16:42:05.437</t>
  </si>
  <si>
    <t>2023-09-20 16:44:03.577</t>
  </si>
  <si>
    <t>2023-09-20 16:46:08.443</t>
  </si>
  <si>
    <t>2023-09-20 16:48:59.430</t>
  </si>
  <si>
    <t>2023-09-20 16:50:46.787</t>
  </si>
  <si>
    <t>2023-09-20 16:52:39.937</t>
  </si>
  <si>
    <t>2023-09-20 16:55:53.700</t>
  </si>
  <si>
    <t>2023-09-20 16:57:48.507</t>
  </si>
  <si>
    <t>2023-09-20 16:59:50.033</t>
  </si>
  <si>
    <t>2023-09-20 17:02:26.910</t>
  </si>
  <si>
    <t>2023-09-20 17:04:51.647</t>
  </si>
  <si>
    <t>2023-09-27 14:27:01.097</t>
  </si>
  <si>
    <t>2023-09-29 11:44:56.683</t>
  </si>
  <si>
    <t>2023-09-29 11:47:21.567</t>
  </si>
  <si>
    <t>2023-09-29 11:54:36.630</t>
  </si>
  <si>
    <t>2023-10-03 14:34:39.350</t>
  </si>
  <si>
    <t>2023-10-03 14:37:39.950</t>
  </si>
  <si>
    <t>2023-10-26 13:19:30.123</t>
  </si>
  <si>
    <t>2023-10-30 10:54:00.697</t>
  </si>
  <si>
    <t>2023-11-06 12:04:09.937</t>
  </si>
  <si>
    <t>2023-11-17 16:41:33.023</t>
  </si>
  <si>
    <t>2023-11-24 14:23:54.820</t>
  </si>
  <si>
    <t>2023-12-01 11:59:54.073</t>
  </si>
  <si>
    <t>2023-12-11 13:57:46.887</t>
  </si>
  <si>
    <t>2023-12-15 15:53:08.440</t>
  </si>
  <si>
    <t>2023-12-15 15:55:19.250</t>
  </si>
  <si>
    <t>2023-12-15 15:57:14.803</t>
  </si>
  <si>
    <t>2023-12-15 15:58:55.843</t>
  </si>
  <si>
    <t>2023-12-21 15:25:57.633</t>
  </si>
  <si>
    <t>2023-12-21 15:27:22.867</t>
  </si>
  <si>
    <t>2023-12-21 15:29:27.780</t>
  </si>
  <si>
    <t>2023-12-21 15:34:15.237</t>
  </si>
  <si>
    <t>2023-12-22 15:47:18.620</t>
  </si>
  <si>
    <t>2023-12-22 15:49:42.903</t>
  </si>
  <si>
    <t>2023-12-22 15:53:33.110</t>
  </si>
  <si>
    <t>2023-12-22 15:55:48.143</t>
  </si>
  <si>
    <t>2023-12-22 16:16:19.293</t>
  </si>
  <si>
    <t>2023-12-22 16:54:18.310</t>
  </si>
  <si>
    <t>2023-12-22 16:56:13.773</t>
  </si>
  <si>
    <t>2023-12-22 16:59:51.183</t>
  </si>
  <si>
    <t>2023-12-22 17:01:04.870</t>
  </si>
  <si>
    <t>2023-12-22 17:02:34.917</t>
  </si>
  <si>
    <t>2023-12-26 11:10:34.280</t>
  </si>
  <si>
    <t>2024-01-23 13:53:24.627</t>
  </si>
  <si>
    <t>2024-01-23 13:55:19.400</t>
  </si>
  <si>
    <t>2024-01-23 13:56:47.963</t>
  </si>
  <si>
    <t>2024-01-23 13:59:36.917</t>
  </si>
  <si>
    <t>2024-01-26 09:39:20.093</t>
  </si>
  <si>
    <t>2024-02-02 14:42:26.163</t>
  </si>
  <si>
    <t>2024-02-06 13:36:06.013</t>
  </si>
  <si>
    <t>2024-02-12 12:58:52.737</t>
  </si>
  <si>
    <t>2024-02-19 09:46:17.607</t>
  </si>
  <si>
    <t>2024-02-19 09:49:16.883</t>
  </si>
  <si>
    <t>2024-03-01 13:36:52.877</t>
  </si>
  <si>
    <t>2024-03-19 15:01:45.737</t>
  </si>
  <si>
    <t>2024-03-19 15:08:08.410</t>
  </si>
  <si>
    <t>2024-03-19 15:10:34.350</t>
  </si>
  <si>
    <t>2024-03-22 09:21:43.557</t>
  </si>
  <si>
    <t>2024-03-22 09:23:01.997</t>
  </si>
  <si>
    <t>2024-03-22 09:24:43.350</t>
  </si>
  <si>
    <t>2024-03-22 11:03:06.833</t>
  </si>
  <si>
    <t>2024-03-22 11:06:11.060</t>
  </si>
  <si>
    <t>2024-03-22 11:09:02.827</t>
  </si>
  <si>
    <t>2024-03-29 14:23:44.873</t>
  </si>
  <si>
    <t>2024-03-29 14:25:50.770</t>
  </si>
  <si>
    <t>2024-04-11 11:57:59.353</t>
  </si>
  <si>
    <t>2024-04-26 14:47:01.253</t>
  </si>
  <si>
    <t>2024-04-30 10:13:23.777</t>
  </si>
  <si>
    <t>2024-04-30 10:15:13.930</t>
  </si>
  <si>
    <t>2024-04-30 10:28:13.883</t>
  </si>
  <si>
    <t>2024-05-02 14:06:08.223</t>
  </si>
  <si>
    <t>2024-05-02 14:07:38.583</t>
  </si>
  <si>
    <t>2024-05-14 11:50:18.633</t>
  </si>
  <si>
    <t>2024-05-20 13:15:46.390</t>
  </si>
  <si>
    <t>2024-05-20 13:16:53.953</t>
  </si>
  <si>
    <t>2024-05-23 08:41:18.523</t>
  </si>
  <si>
    <t>2024-05-23 08:44:39.797</t>
  </si>
  <si>
    <t>2024-05-23 08:48:59.027</t>
  </si>
  <si>
    <t>2024-05-24 11:33:16.997</t>
  </si>
  <si>
    <t>2024-05-29 13:30:54.040</t>
  </si>
  <si>
    <t>2024-05-29 13:37:23.583</t>
  </si>
  <si>
    <t>2024-06-10 08:53:08.223</t>
  </si>
  <si>
    <t>2024-06-10 09:50:20.947</t>
  </si>
  <si>
    <t>2024-06-10 09:53:44.080</t>
  </si>
  <si>
    <t>2024-06-11 14:02:18.037</t>
  </si>
  <si>
    <t>2024-06-11 14:04:56.600</t>
  </si>
  <si>
    <t>2024-06-11 14:07:03.997</t>
  </si>
  <si>
    <t>2024-06-11 14:22:30.320</t>
  </si>
  <si>
    <t>2024-06-11 14:24:10.207</t>
  </si>
  <si>
    <t>2024-06-11 14:26:20.337</t>
  </si>
  <si>
    <t>2024-06-11 14:29:26.350</t>
  </si>
  <si>
    <t>2024-06-11 14:32:48.577</t>
  </si>
  <si>
    <t>2024-06-12 10:22:40.407</t>
  </si>
  <si>
    <t>2024-06-19 11:05:49.213</t>
  </si>
  <si>
    <t>2024-06-19 11:08:40.100</t>
  </si>
  <si>
    <t>2024-06-19 11:13:39.307</t>
  </si>
  <si>
    <t>2024-06-19 11:15:04.680</t>
  </si>
  <si>
    <t>2024-06-19 11:16:29.133</t>
  </si>
  <si>
    <t>2024-06-20 12:04:45.137</t>
  </si>
  <si>
    <t>2024-06-26 13:31:17.443</t>
  </si>
  <si>
    <t>2024-07-03 14:20:51.383</t>
  </si>
  <si>
    <t>2024-07-03 14:22:43.597</t>
  </si>
  <si>
    <t>2024-07-05 14:40:09.593</t>
  </si>
  <si>
    <t>2024-07-05 14:42:06.620</t>
  </si>
  <si>
    <t>2024-07-05 14:44:06.050</t>
  </si>
  <si>
    <t>2024-07-05 14:45:57.763</t>
  </si>
  <si>
    <t>2024-07-05 14:47:50.613</t>
  </si>
  <si>
    <t>2024-07-05 14:49:30.470</t>
  </si>
  <si>
    <t>2024-07-05 14:51:18.900</t>
  </si>
  <si>
    <t>2024-07-05 14:53:00.773</t>
  </si>
  <si>
    <t>2024-07-05 14:54:48.237</t>
  </si>
  <si>
    <t>2024-07-05 14:56:38.933</t>
  </si>
  <si>
    <t>2024-07-05 14:57:59.840</t>
  </si>
  <si>
    <t>2024-07-15 14:45:34.807</t>
  </si>
  <si>
    <t>2024-07-18 11:39:19.207</t>
  </si>
  <si>
    <t>2024-07-18 11:44:10.790</t>
  </si>
  <si>
    <t>2024-07-18 11:50:15.387</t>
  </si>
  <si>
    <t>2024-07-18 11:54:19.853</t>
  </si>
  <si>
    <t>2023-04-07 13:53:37.757</t>
  </si>
  <si>
    <t>2023-06-15 11:16:07.387</t>
  </si>
  <si>
    <t>2021-02-17 10:17:47.080</t>
  </si>
  <si>
    <t>RETURN REPORT-V / EXPORT ENTRY &amp; OTHER</t>
  </si>
  <si>
    <t>Date</t>
  </si>
  <si>
    <t>OK</t>
  </si>
  <si>
    <t>Cust. Code</t>
  </si>
  <si>
    <t>EXP_NAME</t>
  </si>
  <si>
    <t>EXP_ENTRY</t>
  </si>
  <si>
    <t>EXP_DATE</t>
  </si>
  <si>
    <t>EXP_DECLARE_LINE_NO</t>
  </si>
  <si>
    <t>VEN_PRODUCT_CODE</t>
  </si>
  <si>
    <t>VEN_ENGLISH_DESC</t>
  </si>
  <si>
    <t>QTY</t>
  </si>
  <si>
    <t>2024-01-18</t>
  </si>
  <si>
    <t>NIKON (THAILAND) COMPANY LIMITED</t>
  </si>
  <si>
    <t>B24-V-N0007613</t>
  </si>
  <si>
    <t>B24-V-N0007647</t>
  </si>
  <si>
    <t>SPRING</t>
  </si>
  <si>
    <t>RUBBER RING</t>
  </si>
  <si>
    <t>2024-01-23</t>
  </si>
  <si>
    <t>B24-V-N0009478</t>
  </si>
  <si>
    <t>2024-02-06</t>
  </si>
  <si>
    <t>B24-V-N0017658</t>
  </si>
  <si>
    <t>2024-02-09</t>
  </si>
  <si>
    <t>B24-V-N0019274</t>
  </si>
  <si>
    <t>2024-02-14</t>
  </si>
  <si>
    <t>B24-V-N0021265</t>
  </si>
  <si>
    <t>2024-02-15</t>
  </si>
  <si>
    <t>B24-V-N0021657</t>
  </si>
  <si>
    <t>2024-03-20</t>
  </si>
  <si>
    <t>B24-V-N0037911</t>
  </si>
  <si>
    <t>2024-03-22</t>
  </si>
  <si>
    <t>B24-V-N0038895</t>
  </si>
  <si>
    <t>B24-V-N0038940</t>
  </si>
  <si>
    <t>PLASTIC FILM</t>
  </si>
  <si>
    <t>2024-04-22</t>
  </si>
  <si>
    <t>B24-V-N0052941</t>
  </si>
  <si>
    <t>2024-04-24</t>
  </si>
  <si>
    <t>B24-V-N0054778</t>
  </si>
  <si>
    <t>B24-V-N0054739</t>
  </si>
  <si>
    <t>B24-V-N0055519</t>
  </si>
  <si>
    <t>2024-05-27</t>
  </si>
  <si>
    <t>B24-V-N0071817</t>
  </si>
  <si>
    <t>2024-05-28</t>
  </si>
  <si>
    <t>B24-V-N0072448</t>
  </si>
  <si>
    <t>B24-V-N0072406</t>
  </si>
  <si>
    <t>2024-06-25</t>
  </si>
  <si>
    <t>B24-V-N0086614</t>
  </si>
  <si>
    <t>2024-06-27</t>
  </si>
  <si>
    <t>B24-V-N0087929</t>
  </si>
  <si>
    <t>B24-V-N0087896</t>
  </si>
  <si>
    <t>NG REPORT</t>
  </si>
  <si>
    <t>NG Date(Y/M/D)</t>
  </si>
  <si>
    <t>Part</t>
  </si>
  <si>
    <t>Sale QTY</t>
  </si>
</sst>
</file>

<file path=xl/styles.xml><?xml version="1.0" encoding="utf-8"?>
<styleSheet xmlns="http://schemas.openxmlformats.org/spreadsheetml/2006/main" xml:space="preserve">
  <numFmts count="4">
    <numFmt numFmtId="164" formatCode="_(* #,##0_);_(* \(#,##0\);_(* &quot;-&quot;??_);_(@_)"/>
    <numFmt numFmtId="165" formatCode="_-* #,##0_-;\-* #,##0_-;_-* &quot;-&quot;??_-;_-@_-"/>
    <numFmt numFmtId="166" formatCode="_-* #,##0.00_-;\-* #,##0.00_-;_-* &quot;-&quot;??_-;_-@_-"/>
    <numFmt numFmtId="167" formatCode="_(* #,##0.00_);_(* \(#,##0.00\);_(* &quot;-&quot;??_);_(@_)"/>
  </numFmts>
  <fonts count="17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Tahoma"/>
    </font>
    <font>
      <b val="1"/>
      <i val="0"/>
      <strike val="0"/>
      <u val="none"/>
      <sz val="9"/>
      <color rgb="FF0000FF"/>
      <name val="Tahoma"/>
    </font>
    <font>
      <b val="0"/>
      <i val="0"/>
      <strike val="0"/>
      <u val="none"/>
      <sz val="9"/>
      <color rgb="FFFF0000"/>
      <name val="Tahoma"/>
    </font>
    <font>
      <b val="1"/>
      <i val="0"/>
      <strike val="0"/>
      <u val="none"/>
      <sz val="9"/>
      <color rgb="FF000000"/>
      <name val="Tahoma"/>
    </font>
    <font>
      <b val="1"/>
      <i val="0"/>
      <strike val="0"/>
      <u val="none"/>
      <sz val="9"/>
      <color rgb="FFFF0000"/>
      <name val="Tahoma"/>
    </font>
    <font>
      <b val="0"/>
      <i val="0"/>
      <strike val="0"/>
      <u val="none"/>
      <sz val="9"/>
      <color rgb="FF333399"/>
      <name val="Tahoma"/>
    </font>
    <font>
      <b val="0"/>
      <i val="0"/>
      <strike val="0"/>
      <u val="none"/>
      <sz val="9"/>
      <color rgb="FF0000FF"/>
      <name val="Tahoma"/>
    </font>
    <font>
      <b val="1"/>
      <i val="0"/>
      <strike val="0"/>
      <u val="single"/>
      <sz val="14"/>
      <color rgb="FF000000"/>
      <name val="Tahoma"/>
    </font>
    <font>
      <b val="1"/>
      <i val="0"/>
      <strike val="0"/>
      <u val="none"/>
      <sz val="11"/>
      <color rgb="FF000000"/>
      <name val="Tahoma"/>
    </font>
    <font>
      <b val="1"/>
      <i val="0"/>
      <strike val="0"/>
      <u val="single"/>
      <sz val="11"/>
      <color rgb="FF0000FF"/>
      <name val="Tahoma"/>
    </font>
    <font>
      <b val="0"/>
      <i val="0"/>
      <strike val="0"/>
      <u val="none"/>
      <sz val="10"/>
      <color rgb="FF000000"/>
      <name val="Tahoma"/>
    </font>
    <font>
      <b val="1"/>
      <i val="0"/>
      <strike val="0"/>
      <u val="none"/>
      <sz val="18"/>
      <color rgb="FF000000"/>
      <name val="Tahoma"/>
    </font>
    <font>
      <b val="1"/>
      <i val="0"/>
      <strike val="0"/>
      <u val="none"/>
      <sz val="10"/>
      <color rgb="FF000000"/>
      <name val="Tahoma"/>
    </font>
    <font>
      <b val="1"/>
      <i val="0"/>
      <strike val="0"/>
      <u val="none"/>
      <sz val="14"/>
      <color rgb="FF000000"/>
      <name val="Tahoma"/>
    </font>
    <font>
      <b val="0"/>
      <i val="0"/>
      <strike val="0"/>
      <u val="none"/>
      <sz val="9"/>
      <color rgb="FFFF0066"/>
      <name val="Tahoma"/>
    </font>
    <font>
      <b val="1"/>
      <i val="0"/>
      <strike val="0"/>
      <u val="none"/>
      <sz val="9"/>
      <color rgb="FFFF0066"/>
      <name val="Tahoma"/>
    </font>
  </fonts>
  <fills count="12">
    <fill>
      <patternFill patternType="none"/>
    </fill>
    <fill>
      <patternFill patternType="gray125"/>
    </fill>
    <fill>
      <patternFill patternType="none"/>
    </fill>
    <fill>
      <patternFill patternType="solid">
        <fgColor rgb="FF99CCFF"/>
        <bgColor rgb="FF000000"/>
      </patternFill>
    </fill>
    <fill>
      <patternFill patternType="solid">
        <fgColor rgb="FFFF99CC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969696"/>
        <bgColor rgb="FF000000"/>
      </patternFill>
    </fill>
    <fill>
      <patternFill patternType="solid">
        <fgColor rgb="FF0066CC"/>
        <bgColor rgb="FF000000"/>
      </patternFill>
    </fill>
    <fill>
      <patternFill patternType="solid">
        <fgColor rgb="FFCC99FF"/>
        <bgColor rgb="FF000000"/>
      </patternFill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88">
    <xf xfId="0" fontId="0" numFmtId="0" fillId="2" borderId="0" applyFont="0" applyNumberFormat="0" applyFill="0" applyBorder="0" applyAlignment="0" applyProtection="true">
      <protection hidden="false"/>
    </xf>
    <xf xfId="0" fontId="1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2" numFmtId="3" fillId="2" borderId="0" applyFont="1" applyNumberFormat="1" applyFill="0" applyBorder="0" applyAlignment="1" applyProtection="true">
      <alignment horizontal="right" vertical="bottom" textRotation="0" wrapText="false" shrinkToFit="false"/>
      <protection hidden="false"/>
    </xf>
    <xf xfId="0" fontId="1" numFmtId="14" fillId="2" borderId="1" applyFont="1" applyNumberFormat="1" applyFill="0" applyBorder="1" applyAlignment="0" applyProtection="true">
      <protection hidden="false"/>
    </xf>
    <xf xfId="0" fontId="1" numFmtId="0" fillId="3" borderId="2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" numFmtId="0" fillId="3" borderId="3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3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4" numFmtId="164" fillId="3" borderId="2" applyFont="1" applyNumberFormat="1" applyFill="1" applyBorder="1" applyAlignment="1" applyProtection="true">
      <alignment horizontal="right" vertical="bottom" textRotation="0" wrapText="false" shrinkToFit="false"/>
      <protection hidden="false"/>
    </xf>
    <xf xfId="0" fontId="5" numFmtId="164" fillId="4" borderId="2" applyFont="1" applyNumberFormat="1" applyFill="1" applyBorder="1" applyAlignment="1" applyProtection="true">
      <alignment horizontal="right" vertical="bottom" textRotation="0" wrapText="false" shrinkToFit="false"/>
      <protection hidden="false"/>
    </xf>
    <xf xfId="0" fontId="1" numFmtId="164" fillId="5" borderId="4" applyFont="1" applyNumberFormat="1" applyFill="1" applyBorder="1" applyAlignment="1" applyProtection="true">
      <alignment horizontal="right" vertical="bottom" textRotation="0" wrapText="false" shrinkToFit="false"/>
      <protection hidden="false"/>
    </xf>
    <xf xfId="0" fontId="3" numFmtId="164" fillId="5" borderId="4" applyFont="1" applyNumberFormat="1" applyFill="1" applyBorder="1" applyAlignment="1" applyProtection="true">
      <alignment horizontal="right" vertical="bottom" textRotation="0" wrapText="false" shrinkToFit="false"/>
      <protection hidden="false"/>
    </xf>
    <xf xfId="0" fontId="1" numFmtId="164" fillId="5" borderId="4" applyFont="1" applyNumberFormat="1" applyFill="1" applyBorder="1" applyAlignment="1" applyProtection="true">
      <alignment horizontal="right" vertical="bottom" textRotation="0" wrapText="false" shrinkToFit="false"/>
      <protection hidden="false"/>
    </xf>
    <xf xfId="0" fontId="1" numFmtId="0" fillId="2" borderId="0" applyFont="1" applyNumberFormat="0" applyFill="0" applyBorder="0" applyAlignment="0" applyProtection="true">
      <protection hidden="false"/>
    </xf>
    <xf xfId="0" fontId="5" numFmtId="0" fillId="2" borderId="5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6" numFmtId="14" fillId="2" borderId="6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1" numFmtId="0" fillId="2" borderId="0" applyFont="1" applyNumberFormat="0" applyFill="0" applyBorder="0" applyAlignment="0" applyProtection="true">
      <protection hidden="false"/>
    </xf>
    <xf xfId="0" fontId="1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4" numFmtId="165" fillId="2" borderId="0" applyFont="1" applyNumberFormat="1" applyFill="0" applyBorder="0" applyAlignment="1" applyProtection="true">
      <alignment horizontal="center" vertical="bottom" textRotation="0" wrapText="false" shrinkToFit="false"/>
      <protection hidden="false"/>
    </xf>
    <xf xfId="0" fontId="4" numFmtId="14" fillId="2" borderId="7" applyFont="1" applyNumberFormat="1" applyFill="0" applyBorder="1" applyAlignment="1" applyProtection="true">
      <alignment horizontal="center" vertical="center" textRotation="0" wrapText="true" shrinkToFit="false"/>
      <protection hidden="false"/>
    </xf>
    <xf xfId="0" fontId="4" numFmtId="0" fillId="2" borderId="7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" numFmtId="0" fillId="2" borderId="6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" numFmtId="0" fillId="2" borderId="1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" numFmtId="14" fillId="2" borderId="2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1" numFmtId="0" fillId="2" borderId="2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3" numFmtId="0" fillId="2" borderId="8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" numFmtId="165" fillId="2" borderId="0" applyFont="1" applyNumberFormat="1" applyFill="0" applyBorder="0" applyAlignment="0" applyProtection="true">
      <protection hidden="false"/>
    </xf>
    <xf xfId="0" fontId="1" numFmtId="14" fillId="2" borderId="6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1" numFmtId="0" fillId="2" borderId="6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3" numFmtId="0" fillId="2" borderId="9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" numFmtId="14" fillId="2" borderId="10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1" numFmtId="0" fillId="2" borderId="10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3" numFmtId="0" fillId="2" borderId="11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" numFmtId="0" fillId="2" borderId="0" applyFont="1" applyNumberFormat="0" applyFill="0" applyBorder="0" applyAlignment="1" applyProtection="true">
      <alignment vertical="center" textRotation="0" wrapText="false" shrinkToFit="false"/>
      <protection hidden="false"/>
    </xf>
    <xf xfId="0" fontId="1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1" numFmtId="165" fillId="2" borderId="0" applyFont="1" applyNumberFormat="1" applyFill="0" applyBorder="0" applyAlignment="1" applyProtection="true">
      <alignment horizontal="center" vertical="bottom" textRotation="0" wrapText="false" shrinkToFit="false"/>
      <protection hidden="false"/>
    </xf>
    <xf xfId="0" fontId="1" numFmtId="14" fillId="2" borderId="11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1" numFmtId="0" fillId="2" borderId="11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0" fillId="2" borderId="5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" numFmtId="0" fillId="2" borderId="8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" numFmtId="0" fillId="2" borderId="9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7" numFmtId="0" fillId="2" borderId="9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7" numFmtId="0" fillId="2" borderId="12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" numFmtId="0" fillId="2" borderId="11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5" numFmtId="165" fillId="2" borderId="5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3" numFmtId="165" fillId="2" borderId="8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3" numFmtId="165" fillId="2" borderId="9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3" numFmtId="165" fillId="2" borderId="11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7" numFmtId="165" fillId="2" borderId="9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5" numFmtId="165" fillId="2" borderId="13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3" numFmtId="165" fillId="3" borderId="5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8" numFmtId="0" fillId="2" borderId="14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3" numFmtId="165" fillId="3" borderId="11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4" fillId="2" borderId="4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1" numFmtId="0" fillId="2" borderId="14" applyFont="1" applyNumberFormat="0" applyFill="0" applyBorder="1" applyAlignment="1" applyProtection="true">
      <alignment vertical="center" textRotation="0" wrapText="false" shrinkToFit="false"/>
      <protection hidden="false"/>
    </xf>
    <xf xfId="0" fontId="4" numFmtId="0" fillId="2" borderId="5" applyFont="1" applyNumberFormat="0" applyFill="0" applyBorder="1" applyAlignment="1" applyProtection="true">
      <alignment vertical="center" textRotation="0" wrapText="true" shrinkToFit="false"/>
      <protection hidden="false"/>
    </xf>
    <xf xfId="0" fontId="1" numFmtId="0" fillId="2" borderId="8" applyFont="1" applyNumberFormat="0" applyFill="0" applyBorder="1" applyAlignment="1" applyProtection="true">
      <alignment vertical="center" textRotation="0" wrapText="false" shrinkToFit="false"/>
      <protection hidden="false"/>
    </xf>
    <xf xfId="0" fontId="1" numFmtId="0" fillId="2" borderId="9" applyFont="1" applyNumberFormat="0" applyFill="0" applyBorder="1" applyAlignment="1" applyProtection="true">
      <alignment vertical="center" textRotation="0" wrapText="false" shrinkToFit="false"/>
      <protection hidden="false"/>
    </xf>
    <xf xfId="0" fontId="1" numFmtId="0" fillId="2" borderId="11" applyFont="1" applyNumberFormat="0" applyFill="0" applyBorder="1" applyAlignment="1" applyProtection="true">
      <alignment vertical="center" textRotation="0" wrapText="false" shrinkToFit="false"/>
      <protection hidden="false"/>
    </xf>
    <xf xfId="0" fontId="1" numFmtId="0" fillId="2" borderId="12" applyFont="1" applyNumberFormat="0" applyFill="0" applyBorder="1" applyAlignment="1" applyProtection="true">
      <alignment vertical="center" textRotation="0" wrapText="false" shrinkToFit="false"/>
      <protection hidden="false"/>
    </xf>
    <xf xfId="0" fontId="1" numFmtId="0" fillId="2" borderId="9" applyFont="1" applyNumberFormat="0" applyFill="0" applyBorder="1" applyAlignment="0" applyProtection="true">
      <protection hidden="false"/>
    </xf>
    <xf xfId="0" fontId="1" numFmtId="0" fillId="2" borderId="12" applyFont="1" applyNumberFormat="0" applyFill="0" applyBorder="1" applyAlignment="0" applyProtection="true">
      <protection hidden="false"/>
    </xf>
    <xf xfId="0" fontId="1" numFmtId="0" fillId="2" borderId="11" applyFont="1" applyNumberFormat="0" applyFill="0" applyBorder="1" applyAlignment="0" applyProtection="true">
      <protection hidden="false"/>
    </xf>
    <xf xfId="0" fontId="1" numFmtId="0" fillId="2" borderId="9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" numFmtId="0" fillId="2" borderId="12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" numFmtId="0" fillId="2" borderId="11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4" numFmtId="0" fillId="2" borderId="5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7" numFmtId="14" fillId="2" borderId="9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7" numFmtId="14" fillId="2" borderId="12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9" numFmtId="0" fillId="2" borderId="0" applyFont="1" applyNumberFormat="0" applyFill="0" applyBorder="0" applyAlignment="1" applyProtection="true">
      <alignment horizontal="left" vertical="bottom" textRotation="0" wrapText="false" shrinkToFit="false"/>
      <protection hidden="false"/>
    </xf>
    <xf xfId="0" fontId="4" numFmtId="0" fillId="2" borderId="0" applyFont="1" applyNumberFormat="0" applyFill="0" applyBorder="0" applyAlignment="0" applyProtection="true">
      <protection hidden="false"/>
    </xf>
    <xf xfId="0" fontId="10" numFmtId="0" fillId="2" borderId="0" applyFont="1" applyNumberFormat="0" applyFill="0" applyBorder="0" applyAlignment="0" applyProtection="true">
      <protection hidden="false"/>
    </xf>
    <xf xfId="0" fontId="2" numFmtId="165" fillId="2" borderId="0" applyFont="1" applyNumberFormat="1" applyFill="0" applyBorder="0" applyAlignment="0" applyProtection="true">
      <protection hidden="false"/>
    </xf>
    <xf xfId="0" fontId="11" numFmtId="0" fillId="2" borderId="0" applyFont="1" applyNumberFormat="0" applyFill="0" applyBorder="0" applyAlignment="0" applyProtection="true">
      <protection hidden="false"/>
    </xf>
    <xf xfId="0" fontId="2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2" numFmtId="165" fillId="2" borderId="0" applyFont="1" applyNumberFormat="1" applyFill="0" applyBorder="0" applyAlignment="0" applyProtection="true">
      <protection hidden="false"/>
    </xf>
    <xf xfId="0" fontId="12" numFmtId="0" fillId="6" borderId="15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4" numFmtId="0" fillId="2" borderId="0" applyFont="1" applyNumberFormat="0" applyFill="0" applyBorder="0" applyAlignment="0" applyProtection="true">
      <protection hidden="false"/>
    </xf>
    <xf xfId="0" fontId="4" numFmtId="166" fillId="2" borderId="0" applyFont="1" applyNumberFormat="1" applyFill="0" applyBorder="0" applyAlignment="0" applyProtection="true">
      <protection hidden="false"/>
    </xf>
    <xf xfId="0" fontId="4" numFmtId="167" fillId="2" borderId="0" applyFont="1" applyNumberFormat="1" applyFill="0" applyBorder="0" applyAlignment="0" applyProtection="true">
      <protection hidden="false"/>
    </xf>
    <xf xfId="0" fontId="2" numFmtId="165" fillId="2" borderId="0" applyFont="1" applyNumberFormat="1" applyFill="0" applyBorder="0" applyAlignment="1" applyProtection="true">
      <alignment horizontal="center" vertical="bottom" textRotation="0" wrapText="false" shrinkToFit="false"/>
      <protection hidden="false"/>
    </xf>
    <xf xfId="0" fontId="4" numFmtId="0" fillId="2" borderId="0" applyFont="1" applyNumberFormat="0" applyFill="0" applyBorder="0" applyAlignment="1" applyProtection="true">
      <alignment horizontal="right" vertical="bottom" textRotation="0" wrapText="false" shrinkToFit="false"/>
      <protection hidden="false"/>
    </xf>
    <xf xfId="0" fontId="2" numFmtId="0" fillId="2" borderId="0" applyFont="1" applyNumberFormat="0" applyFill="0" applyBorder="0" applyAlignment="1" applyProtection="true">
      <alignment horizontal="left" vertical="bottom" textRotation="0" wrapText="false" shrinkToFit="false"/>
      <protection hidden="false"/>
    </xf>
    <xf xfId="0" fontId="1" numFmtId="0" fillId="2" borderId="0" applyFont="1" applyNumberFormat="0" applyFill="0" applyBorder="0" applyAlignment="0" applyProtection="true">
      <protection hidden="false"/>
    </xf>
    <xf xfId="0" fontId="4" numFmtId="164" fillId="5" borderId="7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5" numFmtId="164" fillId="5" borderId="7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2" numFmtId="0" fillId="7" borderId="2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" numFmtId="165" fillId="3" borderId="2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64" fillId="6" borderId="4" applyFont="1" applyNumberFormat="1" applyFill="1" applyBorder="1" applyAlignment="1" applyProtection="true">
      <alignment horizontal="right" vertical="bottom" textRotation="0" wrapText="false" shrinkToFit="false"/>
      <protection hidden="false"/>
    </xf>
    <xf xfId="0" fontId="2" numFmtId="0" fillId="7" borderId="6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" numFmtId="0" fillId="3" borderId="6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2" numFmtId="0" fillId="7" borderId="16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1" numFmtId="0" fillId="2" borderId="0" applyFont="1" applyNumberFormat="0" applyFill="0" applyBorder="0" applyAlignment="0" applyProtection="true">
      <protection hidden="false"/>
    </xf>
    <xf xfId="0" fontId="3" numFmtId="164" fillId="5" borderId="17" applyFont="1" applyNumberFormat="1" applyFill="1" applyBorder="1" applyAlignment="0" applyProtection="true">
      <protection hidden="false"/>
    </xf>
    <xf xfId="0" fontId="4" numFmtId="164" fillId="3" borderId="18" applyFont="1" applyNumberFormat="1" applyFill="1" applyBorder="1" applyAlignment="0" applyProtection="true">
      <protection hidden="false"/>
    </xf>
    <xf xfId="0" fontId="5" numFmtId="164" fillId="4" borderId="19" applyFont="1" applyNumberFormat="1" applyFill="1" applyBorder="1" applyAlignment="0" applyProtection="true">
      <protection hidden="false"/>
    </xf>
    <xf xfId="0" fontId="1" numFmtId="0" fillId="8" borderId="0" applyFont="1" applyNumberFormat="0" applyFill="1" applyBorder="0" applyAlignment="0" applyProtection="true">
      <protection hidden="false"/>
    </xf>
    <xf xfId="0" fontId="2" numFmtId="0" fillId="9" borderId="6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4" numFmtId="0" fillId="10" borderId="7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1" numFmtId="0" fillId="2" borderId="7" applyFont="1" applyNumberFormat="0" applyFill="0" applyBorder="1" applyAlignment="0" applyProtection="true">
      <protection hidden="false"/>
    </xf>
    <xf xfId="0" fontId="4" numFmtId="164" fillId="3" borderId="10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3" numFmtId="0" fillId="4" borderId="20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3" numFmtId="0" fillId="3" borderId="21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3" numFmtId="0" fillId="3" borderId="22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4" numFmtId="0" fillId="5" borderId="21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4" numFmtId="0" fillId="5" borderId="20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4" numFmtId="0" fillId="5" borderId="22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4" numFmtId="0" fillId="11" borderId="21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4" numFmtId="0" fillId="11" borderId="22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4" numFmtId="164" fillId="5" borderId="23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4" numFmtId="164" fillId="5" borderId="14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4" numFmtId="164" fillId="3" borderId="24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4" numFmtId="164" fillId="3" borderId="10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4" numFmtId="164" fillId="5" borderId="24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4" numFmtId="164" fillId="5" borderId="25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4" numFmtId="164" fillId="5" borderId="26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4" numFmtId="164" fillId="5" borderId="27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4" numFmtId="0" fillId="3" borderId="24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4" numFmtId="0" fillId="3" borderId="10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4" numFmtId="0" fillId="3" borderId="28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5" numFmtId="0" fillId="3" borderId="24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5" numFmtId="0" fillId="3" borderId="10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5" numFmtId="0" fillId="3" borderId="28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4" numFmtId="0" fillId="3" borderId="24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4" numFmtId="0" fillId="3" borderId="10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4" numFmtId="0" fillId="3" borderId="28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5" numFmtId="0" fillId="7" borderId="24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5" numFmtId="0" fillId="7" borderId="10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5" numFmtId="0" fillId="7" borderId="28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4" numFmtId="0" fillId="3" borderId="24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4" numFmtId="0" fillId="3" borderId="10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14" numFmtId="0" fillId="11" borderId="20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5" numFmtId="164" fillId="4" borderId="24" applyFont="1" applyNumberFormat="1" applyFill="1" applyBorder="1" applyAlignment="1" applyProtection="true">
      <alignment horizontal="center" vertical="center" textRotation="0" wrapText="true" shrinkToFit="false"/>
      <protection hidden="false"/>
    </xf>
    <xf xfId="0" fontId="5" numFmtId="164" fillId="4" borderId="10" applyFont="1" applyNumberFormat="1" applyFill="1" applyBorder="1" applyAlignment="1" applyProtection="true">
      <alignment horizontal="center" vertical="center" textRotation="0" wrapText="true" shrinkToFit="false"/>
      <protection hidden="false"/>
    </xf>
    <xf xfId="0" fontId="4" numFmtId="164" fillId="5" borderId="24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4" numFmtId="164" fillId="5" borderId="25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8" numFmtId="0" fillId="2" borderId="27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4" numFmtId="165" fillId="2" borderId="0" applyFont="1" applyNumberFormat="1" applyFill="0" applyBorder="0" applyAlignment="0" applyProtection="true">
      <protection hidden="false"/>
    </xf>
    <xf xfId="0" fontId="2" numFmtId="165" fillId="2" borderId="0" applyFont="1" applyNumberFormat="1" applyFill="0" applyBorder="0" applyAlignment="1" applyProtection="true">
      <alignment horizontal="right" vertical="bottom" textRotation="0" wrapText="false" shrinkToFit="false"/>
      <protection hidden="false"/>
    </xf>
    <xf xfId="0" fontId="14" numFmtId="165" fillId="5" borderId="20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3" numFmtId="0" fillId="4" borderId="22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4" numFmtId="165" fillId="5" borderId="29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4" numFmtId="165" fillId="5" borderId="24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4" numFmtId="165" fillId="4" borderId="24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4" numFmtId="165" fillId="5" borderId="30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4" numFmtId="165" fillId="5" borderId="25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4" numFmtId="165" fillId="4" borderId="10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4" numFmtId="165" fillId="5" borderId="7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4" numFmtId="164" fillId="3" borderId="10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0" fillId="3" borderId="31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" numFmtId="0" fillId="3" borderId="8" applyFont="1" applyNumberFormat="0" applyFill="1" applyBorder="1" applyAlignment="1" applyProtection="true">
      <alignment horizontal="left" vertical="bottom" textRotation="0" wrapText="false" shrinkToFit="false"/>
      <protection hidden="false"/>
    </xf>
    <xf xfId="0" fontId="1" numFmtId="0" fillId="3" borderId="2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" numFmtId="165" fillId="5" borderId="4" applyFont="1" applyNumberFormat="1" applyFill="1" applyBorder="1" applyAlignment="1" applyProtection="true">
      <alignment horizontal="right" vertical="bottom" textRotation="0" wrapText="false" shrinkToFit="false"/>
      <protection hidden="false"/>
    </xf>
    <xf xfId="0" fontId="4" numFmtId="165" fillId="4" borderId="2" applyFont="1" applyNumberFormat="1" applyFill="1" applyBorder="1" applyAlignment="0" applyProtection="true">
      <protection hidden="false"/>
    </xf>
    <xf xfId="0" fontId="1" numFmtId="0" fillId="3" borderId="8" applyFont="1" applyNumberFormat="0" applyFill="1" applyBorder="1" applyAlignment="0" applyProtection="true">
      <protection hidden="false"/>
    </xf>
    <xf xfId="0" fontId="15" numFmtId="0" fillId="6" borderId="8" applyFont="1" applyNumberFormat="0" applyFill="1" applyBorder="1" applyAlignment="1" applyProtection="true">
      <alignment horizontal="left" vertical="bottom" textRotation="0" wrapText="false" shrinkToFit="false"/>
      <protection hidden="false"/>
    </xf>
    <xf xfId="0" fontId="16" numFmtId="0" fillId="6" borderId="2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2" numFmtId="0" fillId="7" borderId="2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3" numFmtId="0" fillId="6" borderId="8" applyFont="1" applyNumberFormat="0" applyFill="1" applyBorder="1" applyAlignment="1" applyProtection="true">
      <alignment horizontal="left" vertical="bottom" textRotation="0" wrapText="false" shrinkToFit="false"/>
      <protection hidden="false"/>
    </xf>
    <xf xfId="0" fontId="5" numFmtId="0" fillId="6" borderId="2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2" numFmtId="0" fillId="6" borderId="2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" numFmtId="0" fillId="3" borderId="8" applyFont="1" applyNumberFormat="0" applyFill="1" applyBorder="1" applyAlignment="1" applyProtection="true">
      <alignment horizontal="left" vertical="bottom" textRotation="0" wrapText="false" shrinkToFit="false"/>
      <protection hidden="false"/>
    </xf>
    <xf xfId="0" fontId="1" numFmtId="0" fillId="3" borderId="2" applyFont="1" applyNumberFormat="0" applyFill="1" applyBorder="1" applyAlignment="0" applyProtection="true">
      <protection hidden="false"/>
    </xf>
    <xf xfId="0" fontId="1" numFmtId="0" fillId="3" borderId="2" applyFont="1" applyNumberFormat="0" applyFill="1" applyBorder="1" applyAlignment="1" applyProtection="true">
      <alignment horizontal="left" vertical="bottom" textRotation="0" wrapText="false" shrinkToFit="false"/>
      <protection hidden="false"/>
    </xf>
    <xf xfId="0" fontId="1" numFmtId="0" fillId="3" borderId="10" applyFont="1" applyNumberFormat="0" applyFill="1" applyBorder="1" applyAlignment="1" applyProtection="true">
      <alignment horizontal="left" vertical="bottom" textRotation="0" wrapText="false" shrinkToFit="false"/>
      <protection hidden="false"/>
    </xf>
    <xf xfId="0" fontId="2" numFmtId="0" fillId="6" borderId="2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" numFmtId="0" fillId="3" borderId="9" applyFont="1" applyNumberFormat="0" applyFill="1" applyBorder="1" applyAlignment="1" applyProtection="true">
      <alignment horizontal="left" vertical="bottom" textRotation="0" wrapText="false" shrinkToFit="false"/>
      <protection hidden="false"/>
    </xf>
    <xf xfId="0" fontId="1" numFmtId="0" fillId="3" borderId="6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" numFmtId="0" fillId="3" borderId="9" applyFont="1" applyNumberFormat="0" applyFill="1" applyBorder="1" applyAlignment="0" applyProtection="true">
      <protection hidden="false"/>
    </xf>
    <xf xfId="0" fontId="1" numFmtId="0" fillId="3" borderId="9" applyFont="1" applyNumberFormat="0" applyFill="1" applyBorder="1" applyAlignment="1" applyProtection="true">
      <alignment horizontal="left" vertical="bottom" textRotation="0" wrapText="false" shrinkToFit="false"/>
      <protection hidden="false"/>
    </xf>
    <xf xfId="0" fontId="1" numFmtId="0" fillId="3" borderId="9" applyFont="1" applyNumberFormat="0" applyFill="1" applyBorder="1" applyAlignment="0" applyProtection="true">
      <protection hidden="false"/>
    </xf>
    <xf xfId="0" fontId="1" numFmtId="0" fillId="3" borderId="9" applyFont="1" applyNumberFormat="0" applyFill="1" applyBorder="1" applyAlignment="0" applyProtection="true">
      <protection hidden="false"/>
    </xf>
    <xf xfId="0" fontId="1" numFmtId="0" fillId="3" borderId="2" applyFont="1" applyNumberFormat="0" applyFill="1" applyBorder="1" applyAlignment="0" applyProtection="true">
      <protection hidden="false"/>
    </xf>
    <xf xfId="0" fontId="1" numFmtId="0" fillId="3" borderId="6" applyFont="1" applyNumberFormat="0" applyFill="1" applyBorder="1" applyAlignment="1" applyProtection="true">
      <alignment horizontal="left" vertical="bottom" textRotation="0" wrapText="false" shrinkToFit="false"/>
      <protection hidden="false"/>
    </xf>
    <xf xfId="0" fontId="1" numFmtId="165" fillId="3" borderId="6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2" numFmtId="0" fillId="6" borderId="6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" numFmtId="164" fillId="5" borderId="10" applyFont="1" applyNumberFormat="1" applyFill="1" applyBorder="1" applyAlignment="1" applyProtection="true">
      <alignment horizontal="right" vertical="bottom" textRotation="0" wrapText="false" shrinkToFit="false"/>
      <protection hidden="false"/>
    </xf>
    <xf xfId="0" fontId="3" numFmtId="164" fillId="5" borderId="10" applyFont="1" applyNumberFormat="1" applyFill="1" applyBorder="1" applyAlignment="1" applyProtection="true">
      <alignment horizontal="right" vertical="bottom" textRotation="0" wrapText="false" shrinkToFit="false"/>
      <protection hidden="false"/>
    </xf>
    <xf xfId="0" fontId="1" numFmtId="0" fillId="3" borderId="9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" numFmtId="0" fillId="3" borderId="16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" numFmtId="0" fillId="3" borderId="16" applyFont="1" applyNumberFormat="0" applyFill="1" applyBorder="1" applyAlignment="1" applyProtection="true">
      <alignment horizontal="left" vertical="bottom" textRotation="0" wrapText="false" shrinkToFit="false"/>
      <protection hidden="false"/>
    </xf>
    <xf xfId="0" fontId="1" numFmtId="0" fillId="3" borderId="16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" numFmtId="165" fillId="3" borderId="16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3" numFmtId="164" fillId="5" borderId="6" applyFont="1" applyNumberFormat="1" applyFill="1" applyBorder="1" applyAlignment="1" applyProtection="true">
      <alignment horizontal="right" vertical="bottom" textRotation="0" wrapText="false" shrinkToFit="false"/>
      <protection hidden="false"/>
    </xf>
    <xf xfId="0" fontId="4" numFmtId="165" fillId="3" borderId="32" applyFont="1" applyNumberFormat="1" applyFill="1" applyBorder="1" applyAlignment="0" applyProtection="true">
      <protection hidden="false"/>
    </xf>
    <xf xfId="0" fontId="1" numFmtId="165" fillId="5" borderId="33" applyFont="1" applyNumberFormat="1" applyFill="1" applyBorder="1" applyAlignment="0" applyProtection="true">
      <protection hidden="false"/>
    </xf>
    <xf xfId="0" fontId="3" numFmtId="164" fillId="5" borderId="34" applyFont="1" applyNumberFormat="1" applyFill="1" applyBorder="1" applyAlignment="0" applyProtection="true">
      <protection hidden="false"/>
    </xf>
    <xf xfId="0" fontId="4" numFmtId="164" fillId="4" borderId="34" applyFont="1" applyNumberFormat="1" applyFill="1" applyBorder="1" applyAlignment="0" applyProtection="true">
      <protection hidden="false"/>
    </xf>
  </cellXfs>
  <cellStyles count="1">
    <cellStyle name="Normal" xfId="0" builtinId="0"/>
  </cellStyles>
  <dxfs count="4">
    <dxf>
      <font>
        <b val="0"/>
        <color rgb="FF800080"/>
      </font>
      <fill>
        <patternFill patternType="solid">
          <fgColor rgb="FF000000"/>
          <bgColor rgb="FFFF99CC"/>
        </patternFill>
      </fill>
      <border/>
    </dxf>
    <dxf>
      <font>
        <b val="0"/>
        <color rgb="FF800080"/>
      </font>
      <fill>
        <patternFill patternType="solid">
          <fgColor rgb="FF000000"/>
          <bgColor rgb="FFFF99CC"/>
        </patternFill>
      </fill>
      <border/>
    </dxf>
    <dxf>
      <font>
        <b val="0"/>
        <color rgb="FF800080"/>
      </font>
      <fill>
        <patternFill patternType="solid">
          <fgColor rgb="FF000000"/>
          <bgColor rgb="FFFF99CC"/>
        </patternFill>
      </fill>
      <border/>
    </dxf>
    <dxf>
      <font>
        <b val="0"/>
        <color rgb="FF800080"/>
      </font>
      <fill>
        <patternFill patternType="solid">
          <fgColor rgb="FF000000"/>
          <bgColor rgb="FFFF99CC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1812"/>
  <sheetViews>
    <sheetView tabSelected="0" workbookViewId="0" zoomScale="145" zoomScaleNormal="145" showGridLines="true" showRowColHeaders="1">
      <pane xSplit="5" ySplit="8" activePane="bottomRight" state="frozen" topLeftCell="AA930"/>
      <selection pane="bottomRight" activeCell="B736" sqref="B736:B742"/>
    </sheetView>
  </sheetViews>
  <sheetFormatPr customHeight="true" defaultRowHeight="11.5" defaultColWidth="9.1796875" outlineLevelRow="0" outlineLevelCol="0"/>
  <cols>
    <col min="1" max="1" width="3.81640625" customWidth="true" style="82"/>
    <col min="2" max="2" width="19.1796875" customWidth="true" style="91"/>
    <col min="3" max="3" width="7.81640625" customWidth="true" style="82"/>
    <col min="4" max="4" width="14.26953125" customWidth="true" style="82"/>
    <col min="5" max="5" width="13.26953125" customWidth="true" style="82"/>
    <col min="6" max="6" width="11.54296875" customWidth="true" style="82"/>
    <col min="7" max="7" width="10.26953125" customWidth="true" style="82"/>
    <col min="8" max="8" width="10.54296875" customWidth="true" style="82"/>
    <col min="9" max="9" width="12" customWidth="true" style="82"/>
    <col min="10" max="10" width="11.26953125" customWidth="true" style="25"/>
    <col min="11" max="11" width="11.54296875" customWidth="true" style="82"/>
    <col min="12" max="12" width="10.54296875" customWidth="true" style="25"/>
    <col min="13" max="13" width="10.54296875" customWidth="true" style="82"/>
    <col min="14" max="14" width="11.54296875" customWidth="true" style="25"/>
    <col min="15" max="15" width="11.54296875" customWidth="true" style="82"/>
    <col min="16" max="16" width="10.54296875" customWidth="true" style="25"/>
    <col min="17" max="17" width="10.54296875" customWidth="true" style="82"/>
    <col min="18" max="18" width="12.7265625" customWidth="true" style="82"/>
    <col min="19" max="19" width="11.54296875" customWidth="true" style="82"/>
    <col min="20" max="20" width="12.7265625" customWidth="true" style="82"/>
    <col min="21" max="21" width="10.453125" customWidth="true" style="82"/>
    <col min="22" max="22" width="10.54296875" customWidth="true" style="82"/>
    <col min="23" max="23" width="11.54296875" customWidth="true" style="82"/>
    <col min="24" max="24" width="11.54296875" customWidth="true" style="82"/>
    <col min="25" max="25" width="11.54296875" customWidth="true" style="82"/>
    <col min="26" max="26" width="11.54296875" customWidth="true" style="82"/>
    <col min="27" max="27" width="11.54296875" customWidth="true" style="82"/>
    <col min="28" max="28" width="10.54296875" customWidth="true" style="82"/>
    <col min="29" max="29" width="11.54296875" customWidth="true" style="82"/>
    <col min="30" max="30" width="12.7265625" customWidth="true" style="82"/>
    <col min="31" max="31" width="12.7265625" customWidth="true" style="82"/>
    <col min="32" max="32" width="13.1796875" customWidth="true" style="82"/>
    <col min="33" max="33" width="12.54296875" customWidth="true" style="74"/>
    <col min="34" max="34" width="15.08984375" customWidth="true" style="82"/>
  </cols>
  <sheetData>
    <row r="1" spans="1:42" customHeight="1" ht="14" s="69" customFormat="1">
      <c r="A1" s="68" t="s">
        <v>0</v>
      </c>
      <c r="B1" s="69"/>
      <c r="E1" s="70" t="s">
        <v>1</v>
      </c>
      <c r="J1" s="137"/>
      <c r="L1" s="137"/>
      <c r="N1" s="137"/>
      <c r="P1" s="137"/>
      <c r="AG1" s="71"/>
      <c r="AH1" s="71"/>
      <c r="AI1" s="71"/>
      <c r="AJ1" s="71"/>
      <c r="AK1" s="71"/>
      <c r="AL1" s="71"/>
      <c r="AM1" s="71"/>
      <c r="AN1" s="71"/>
      <c r="AO1" s="71"/>
      <c r="AP1" s="71"/>
    </row>
    <row r="2" spans="1:42" customHeight="1" ht="14.5" s="69" customFormat="1">
      <c r="A2" s="68" t="s">
        <v>2</v>
      </c>
      <c r="C2" s="72"/>
      <c r="D2" s="72"/>
      <c r="E2" s="73"/>
      <c r="J2" s="137"/>
      <c r="L2" s="137"/>
      <c r="N2" s="137"/>
      <c r="P2" s="137"/>
      <c r="AG2" s="74"/>
      <c r="AH2" s="71"/>
    </row>
    <row r="3" spans="1:42" customHeight="1" ht="22.5" s="69" customFormat="1">
      <c r="A3" s="68" t="s">
        <v>3</v>
      </c>
      <c r="C3" s="107" t="s">
        <v>4</v>
      </c>
      <c r="D3" s="108"/>
      <c r="E3" s="75"/>
      <c r="G3" s="76"/>
      <c r="J3" s="137"/>
      <c r="L3" s="138"/>
      <c r="M3" s="2"/>
      <c r="N3" s="137"/>
      <c r="O3" s="77"/>
      <c r="P3" s="137"/>
      <c r="Q3" s="78"/>
      <c r="AG3" s="74"/>
      <c r="AH3" s="71"/>
    </row>
    <row r="4" spans="1:42" customHeight="1" ht="18" s="69" customFormat="1">
      <c r="A4" s="68" t="s">
        <v>5</v>
      </c>
      <c r="C4" s="107" t="s">
        <v>6</v>
      </c>
      <c r="D4" s="131"/>
      <c r="E4" s="131"/>
      <c r="F4" s="131"/>
      <c r="G4" s="108"/>
      <c r="J4" s="137"/>
      <c r="L4" s="137"/>
      <c r="N4" s="137"/>
      <c r="P4" s="137"/>
      <c r="AG4" s="79" t="s">
        <v>7</v>
      </c>
      <c r="AH4" s="71"/>
    </row>
    <row r="5" spans="1:42" customHeight="1" ht="18">
      <c r="A5" s="69"/>
      <c r="B5" s="80"/>
      <c r="C5" s="81"/>
      <c r="D5" s="69"/>
      <c r="E5" s="69"/>
      <c r="F5" s="104" t="s">
        <v>8</v>
      </c>
      <c r="G5" s="105"/>
      <c r="H5" s="105"/>
      <c r="I5" s="105"/>
      <c r="J5" s="139"/>
      <c r="K5" s="105"/>
      <c r="L5" s="139"/>
      <c r="M5" s="105"/>
      <c r="N5" s="139"/>
      <c r="O5" s="105"/>
      <c r="P5" s="139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  <c r="AB5" s="105"/>
      <c r="AC5" s="106"/>
      <c r="AD5" s="102" t="s">
        <v>9</v>
      </c>
      <c r="AE5" s="103"/>
      <c r="AF5" s="101" t="s">
        <v>10</v>
      </c>
      <c r="AG5" s="140"/>
      <c r="AH5" s="98" t="s">
        <v>11</v>
      </c>
      <c r="AI5" s="98" t="s">
        <v>12</v>
      </c>
    </row>
    <row r="6" spans="1:42" customHeight="1" ht="11.25">
      <c r="A6" s="117" t="s">
        <v>13</v>
      </c>
      <c r="B6" s="120" t="s">
        <v>14</v>
      </c>
      <c r="C6" s="123" t="s">
        <v>15</v>
      </c>
      <c r="D6" s="126" t="s">
        <v>16</v>
      </c>
      <c r="E6" s="129" t="s">
        <v>17</v>
      </c>
      <c r="F6" s="115" t="s">
        <v>18</v>
      </c>
      <c r="G6" s="109"/>
      <c r="H6" s="115" t="s">
        <v>19</v>
      </c>
      <c r="I6" s="109"/>
      <c r="J6" s="141" t="s">
        <v>20</v>
      </c>
      <c r="K6" s="109"/>
      <c r="L6" s="141" t="s">
        <v>21</v>
      </c>
      <c r="M6" s="109"/>
      <c r="N6" s="141" t="s">
        <v>22</v>
      </c>
      <c r="O6" s="109"/>
      <c r="P6" s="142" t="s">
        <v>23</v>
      </c>
      <c r="Q6" s="113"/>
      <c r="R6" s="113" t="s">
        <v>24</v>
      </c>
      <c r="S6" s="113"/>
      <c r="T6" s="113" t="s">
        <v>25</v>
      </c>
      <c r="U6" s="113"/>
      <c r="V6" s="113" t="s">
        <v>26</v>
      </c>
      <c r="W6" s="113"/>
      <c r="X6" s="113" t="s">
        <v>27</v>
      </c>
      <c r="Y6" s="113"/>
      <c r="Z6" s="134" t="s">
        <v>28</v>
      </c>
      <c r="AA6" s="134"/>
      <c r="AB6" s="134" t="s">
        <v>29</v>
      </c>
      <c r="AC6" s="134"/>
      <c r="AD6" s="111" t="s">
        <v>9</v>
      </c>
      <c r="AE6" s="111" t="s">
        <v>30</v>
      </c>
      <c r="AF6" s="132" t="s">
        <v>31</v>
      </c>
      <c r="AG6" s="143" t="s">
        <v>32</v>
      </c>
      <c r="AH6" s="99"/>
      <c r="AI6" s="99"/>
    </row>
    <row r="7" spans="1:42" customHeight="1" ht="11.5">
      <c r="A7" s="118"/>
      <c r="B7" s="121"/>
      <c r="C7" s="124"/>
      <c r="D7" s="127"/>
      <c r="E7" s="130"/>
      <c r="F7" s="116"/>
      <c r="G7" s="110"/>
      <c r="H7" s="116"/>
      <c r="I7" s="110"/>
      <c r="J7" s="144"/>
      <c r="K7" s="110"/>
      <c r="L7" s="144"/>
      <c r="M7" s="110"/>
      <c r="N7" s="144"/>
      <c r="O7" s="110"/>
      <c r="P7" s="145"/>
      <c r="Q7" s="114"/>
      <c r="R7" s="114"/>
      <c r="S7" s="114"/>
      <c r="T7" s="114"/>
      <c r="U7" s="114"/>
      <c r="V7" s="114"/>
      <c r="W7" s="114"/>
      <c r="X7" s="114"/>
      <c r="Y7" s="114"/>
      <c r="Z7" s="135"/>
      <c r="AA7" s="135"/>
      <c r="AB7" s="135"/>
      <c r="AC7" s="135"/>
      <c r="AD7" s="112"/>
      <c r="AE7" s="112"/>
      <c r="AF7" s="133"/>
      <c r="AG7" s="146"/>
      <c r="AH7" s="99"/>
      <c r="AI7" s="99"/>
    </row>
    <row r="8" spans="1:42" customHeight="1" ht="12">
      <c r="A8" s="119"/>
      <c r="B8" s="122"/>
      <c r="C8" s="125"/>
      <c r="D8" s="128"/>
      <c r="E8" s="130"/>
      <c r="F8" s="83" t="s">
        <v>33</v>
      </c>
      <c r="G8" s="84" t="s">
        <v>34</v>
      </c>
      <c r="H8" s="83" t="s">
        <v>33</v>
      </c>
      <c r="I8" s="84" t="s">
        <v>34</v>
      </c>
      <c r="J8" s="147" t="s">
        <v>33</v>
      </c>
      <c r="K8" s="84" t="s">
        <v>34</v>
      </c>
      <c r="L8" s="147" t="s">
        <v>33</v>
      </c>
      <c r="M8" s="84" t="s">
        <v>34</v>
      </c>
      <c r="N8" s="147" t="s">
        <v>33</v>
      </c>
      <c r="O8" s="84" t="s">
        <v>34</v>
      </c>
      <c r="P8" s="147" t="s">
        <v>33</v>
      </c>
      <c r="Q8" s="84" t="s">
        <v>34</v>
      </c>
      <c r="R8" s="83" t="s">
        <v>33</v>
      </c>
      <c r="S8" s="84" t="s">
        <v>34</v>
      </c>
      <c r="T8" s="83" t="s">
        <v>33</v>
      </c>
      <c r="U8" s="84" t="s">
        <v>34</v>
      </c>
      <c r="V8" s="83" t="s">
        <v>33</v>
      </c>
      <c r="W8" s="84" t="s">
        <v>34</v>
      </c>
      <c r="X8" s="83" t="s">
        <v>33</v>
      </c>
      <c r="Y8" s="84" t="s">
        <v>34</v>
      </c>
      <c r="Z8" s="83" t="s">
        <v>33</v>
      </c>
      <c r="AA8" s="84" t="s">
        <v>34</v>
      </c>
      <c r="AB8" s="83" t="s">
        <v>33</v>
      </c>
      <c r="AC8" s="84" t="s">
        <v>34</v>
      </c>
      <c r="AD8" s="148">
        <v>2024</v>
      </c>
      <c r="AE8" s="100" t="s">
        <v>33</v>
      </c>
      <c r="AF8" s="133"/>
      <c r="AG8" s="146"/>
      <c r="AH8" s="99"/>
      <c r="AI8" s="99"/>
    </row>
    <row r="9" spans="1:42" customHeight="1" ht="11.5">
      <c r="A9" s="149">
        <v>1</v>
      </c>
      <c r="B9" s="150" t="s">
        <v>35</v>
      </c>
      <c r="C9" s="151" t="s">
        <v>36</v>
      </c>
      <c r="D9" s="85" t="s">
        <v>37</v>
      </c>
      <c r="E9" s="86">
        <v>0</v>
      </c>
      <c r="F9" s="9">
        <v>20000</v>
      </c>
      <c r="G9" s="10"/>
      <c r="H9" s="9">
        <v>10000</v>
      </c>
      <c r="I9" s="10">
        <v>20000</v>
      </c>
      <c r="J9" s="152">
        <v>10000</v>
      </c>
      <c r="K9" s="10">
        <v>10000</v>
      </c>
      <c r="L9" s="152">
        <v>5000</v>
      </c>
      <c r="M9" s="10">
        <v>10000</v>
      </c>
      <c r="N9" s="152">
        <v>15000</v>
      </c>
      <c r="O9" s="10">
        <v>5000</v>
      </c>
      <c r="P9" s="152">
        <v>10000</v>
      </c>
      <c r="Q9" s="10">
        <v>15000</v>
      </c>
      <c r="R9" s="9">
        <v>15000</v>
      </c>
      <c r="S9" s="10"/>
      <c r="T9" s="9">
        <v>0</v>
      </c>
      <c r="U9" s="10"/>
      <c r="V9" s="9">
        <v>0</v>
      </c>
      <c r="W9" s="10"/>
      <c r="X9" s="9">
        <v>0</v>
      </c>
      <c r="Y9" s="10"/>
      <c r="Z9" s="9">
        <v>0</v>
      </c>
      <c r="AA9" s="10"/>
      <c r="AB9" s="11">
        <v>0</v>
      </c>
      <c r="AC9" s="10"/>
      <c r="AD9" s="7">
        <f>SUM(F9+H9+J9+L9+N9+P9+R9+T9+V9+X9+Z9+AB9)</f>
        <v>85000</v>
      </c>
      <c r="AE9" s="7">
        <f>E9+AD9</f>
        <v>85000</v>
      </c>
      <c r="AF9" s="8">
        <f>G9+I9+K9+M9+O9+Q9+S9+U9+W9+Y9+AA9+AC9</f>
        <v>60000</v>
      </c>
      <c r="AG9" s="153">
        <f>SUM(AE9-AF9)</f>
        <v>25000</v>
      </c>
      <c r="AH9" s="99" t="s">
        <v>38</v>
      </c>
      <c r="AI9" s="99">
        <v>4</v>
      </c>
    </row>
    <row r="10" spans="1:42" customHeight="1" ht="11.5">
      <c r="A10" s="5">
        <v>2</v>
      </c>
      <c r="B10" s="150" t="s">
        <v>39</v>
      </c>
      <c r="C10" s="151" t="s">
        <v>36</v>
      </c>
      <c r="D10" s="85" t="s">
        <v>37</v>
      </c>
      <c r="E10" s="86">
        <v>0</v>
      </c>
      <c r="F10" s="9">
        <v>10000</v>
      </c>
      <c r="G10" s="10"/>
      <c r="H10" s="9">
        <v>0</v>
      </c>
      <c r="I10" s="10">
        <v>10000</v>
      </c>
      <c r="J10" s="152">
        <v>0</v>
      </c>
      <c r="K10" s="10"/>
      <c r="L10" s="152">
        <v>0</v>
      </c>
      <c r="M10" s="10"/>
      <c r="N10" s="152">
        <v>10000</v>
      </c>
      <c r="O10" s="10"/>
      <c r="P10" s="152">
        <v>0</v>
      </c>
      <c r="Q10" s="10">
        <v>10000</v>
      </c>
      <c r="R10" s="9">
        <v>0</v>
      </c>
      <c r="S10" s="10"/>
      <c r="T10" s="9">
        <v>0</v>
      </c>
      <c r="U10" s="10"/>
      <c r="V10" s="9">
        <v>0</v>
      </c>
      <c r="W10" s="10"/>
      <c r="X10" s="9">
        <v>0</v>
      </c>
      <c r="Y10" s="10"/>
      <c r="Z10" s="9">
        <v>0</v>
      </c>
      <c r="AA10" s="10"/>
      <c r="AB10" s="11">
        <v>0</v>
      </c>
      <c r="AC10" s="10"/>
      <c r="AD10" s="7">
        <f>SUM(F10+H10+J10+L10+N10+P10+R10+T10+V10+X10+Z10+AB10)</f>
        <v>20000</v>
      </c>
      <c r="AE10" s="7">
        <f>E10+AD10</f>
        <v>20000</v>
      </c>
      <c r="AF10" s="8">
        <f>G10+I10+K10+M10+O10+Q10+S10+U10+W10+Y10+AA10+AC10</f>
        <v>20000</v>
      </c>
      <c r="AG10" s="153">
        <f>SUM(AE10-AF10)</f>
        <v>0</v>
      </c>
      <c r="AH10" s="99" t="s">
        <v>38</v>
      </c>
      <c r="AI10" s="99">
        <v>4</v>
      </c>
    </row>
    <row r="11" spans="1:42" customHeight="1" ht="11.5">
      <c r="A11" s="5">
        <v>3</v>
      </c>
      <c r="B11" s="150" t="s">
        <v>40</v>
      </c>
      <c r="C11" s="151" t="s">
        <v>36</v>
      </c>
      <c r="D11" s="85" t="s">
        <v>37</v>
      </c>
      <c r="E11" s="86">
        <v>-40034</v>
      </c>
      <c r="F11" s="9">
        <v>0</v>
      </c>
      <c r="G11" s="10"/>
      <c r="H11" s="9">
        <v>0</v>
      </c>
      <c r="I11" s="10"/>
      <c r="J11" s="152">
        <v>0</v>
      </c>
      <c r="K11" s="10"/>
      <c r="L11" s="152">
        <v>0</v>
      </c>
      <c r="M11" s="10"/>
      <c r="N11" s="152">
        <v>10000</v>
      </c>
      <c r="O11" s="10"/>
      <c r="P11" s="152">
        <v>0</v>
      </c>
      <c r="Q11" s="10"/>
      <c r="R11" s="9">
        <v>0</v>
      </c>
      <c r="S11" s="10"/>
      <c r="T11" s="9">
        <v>0</v>
      </c>
      <c r="U11" s="10"/>
      <c r="V11" s="9">
        <v>0</v>
      </c>
      <c r="W11" s="10"/>
      <c r="X11" s="9">
        <v>0</v>
      </c>
      <c r="Y11" s="10"/>
      <c r="Z11" s="9">
        <v>0</v>
      </c>
      <c r="AA11" s="10"/>
      <c r="AB11" s="11">
        <v>0</v>
      </c>
      <c r="AC11" s="10"/>
      <c r="AD11" s="7">
        <f>SUM(F11+H11+J11+L11+N11+P11+R11+T11+V11+X11+Z11+AB11)</f>
        <v>10000</v>
      </c>
      <c r="AE11" s="7">
        <f>E11+AD11</f>
        <v>-30034</v>
      </c>
      <c r="AF11" s="8">
        <f>G11+I11+K11+M11+O11+Q11+S11+U11+W11+Y11+AA11+AC11</f>
        <v>0</v>
      </c>
      <c r="AG11" s="153">
        <f>SUM(AE11-AF11)</f>
        <v>-30034</v>
      </c>
      <c r="AH11" s="99" t="s">
        <v>38</v>
      </c>
      <c r="AI11" s="99">
        <v>4</v>
      </c>
    </row>
    <row r="12" spans="1:42" customHeight="1" ht="11.5">
      <c r="A12" s="5">
        <v>4</v>
      </c>
      <c r="B12" s="150" t="s">
        <v>41</v>
      </c>
      <c r="C12" s="151" t="s">
        <v>36</v>
      </c>
      <c r="D12" s="85" t="s">
        <v>37</v>
      </c>
      <c r="E12" s="86">
        <v>-50000</v>
      </c>
      <c r="F12" s="9">
        <v>10000</v>
      </c>
      <c r="G12" s="10"/>
      <c r="H12" s="9">
        <v>0</v>
      </c>
      <c r="I12" s="10"/>
      <c r="J12" s="152">
        <v>0</v>
      </c>
      <c r="K12" s="10"/>
      <c r="L12" s="152">
        <v>0</v>
      </c>
      <c r="M12" s="10"/>
      <c r="N12" s="152">
        <v>10000</v>
      </c>
      <c r="O12" s="10"/>
      <c r="P12" s="152">
        <v>0</v>
      </c>
      <c r="Q12" s="10"/>
      <c r="R12" s="9">
        <v>10000</v>
      </c>
      <c r="S12" s="10"/>
      <c r="T12" s="9">
        <v>0</v>
      </c>
      <c r="U12" s="10"/>
      <c r="V12" s="9">
        <v>0</v>
      </c>
      <c r="W12" s="10"/>
      <c r="X12" s="9">
        <v>0</v>
      </c>
      <c r="Y12" s="10"/>
      <c r="Z12" s="9">
        <v>0</v>
      </c>
      <c r="AA12" s="10"/>
      <c r="AB12" s="11">
        <v>0</v>
      </c>
      <c r="AC12" s="10"/>
      <c r="AD12" s="7">
        <f>SUM(F12+H12+J12+L12+N12+P12+R12+T12+V12+X12+Z12+AB12)</f>
        <v>30000</v>
      </c>
      <c r="AE12" s="7">
        <f>E12+AD12</f>
        <v>-20000</v>
      </c>
      <c r="AF12" s="8">
        <f>G12+I12+K12+M12+O12+Q12+S12+U12+W12+Y12+AA12+AC12</f>
        <v>0</v>
      </c>
      <c r="AG12" s="153">
        <f>SUM(AE12-AF12)</f>
        <v>-20000</v>
      </c>
      <c r="AH12" s="99" t="s">
        <v>38</v>
      </c>
      <c r="AI12" s="99">
        <v>4</v>
      </c>
    </row>
    <row r="13" spans="1:42" customHeight="1" ht="11.5">
      <c r="A13" s="5">
        <v>5</v>
      </c>
      <c r="B13" s="150" t="s">
        <v>42</v>
      </c>
      <c r="C13" s="151" t="s">
        <v>36</v>
      </c>
      <c r="D13" s="85" t="s">
        <v>37</v>
      </c>
      <c r="E13" s="86">
        <v>-180000</v>
      </c>
      <c r="F13" s="9">
        <v>0</v>
      </c>
      <c r="G13" s="10"/>
      <c r="H13" s="9">
        <v>0</v>
      </c>
      <c r="I13" s="10"/>
      <c r="J13" s="152">
        <v>5000</v>
      </c>
      <c r="K13" s="10"/>
      <c r="L13" s="152">
        <v>0</v>
      </c>
      <c r="M13" s="10"/>
      <c r="N13" s="152">
        <v>5000</v>
      </c>
      <c r="O13" s="10"/>
      <c r="P13" s="152">
        <v>0</v>
      </c>
      <c r="Q13" s="10"/>
      <c r="R13" s="9">
        <v>5000</v>
      </c>
      <c r="S13" s="10"/>
      <c r="T13" s="9">
        <v>0</v>
      </c>
      <c r="U13" s="10"/>
      <c r="V13" s="9">
        <v>0</v>
      </c>
      <c r="W13" s="10"/>
      <c r="X13" s="9">
        <v>0</v>
      </c>
      <c r="Y13" s="10"/>
      <c r="Z13" s="9">
        <v>0</v>
      </c>
      <c r="AA13" s="10"/>
      <c r="AB13" s="11">
        <v>0</v>
      </c>
      <c r="AC13" s="10"/>
      <c r="AD13" s="7">
        <f>SUM(F13+H13+J13+L13+N13+P13+R13+T13+V13+X13+Z13+AB13)</f>
        <v>15000</v>
      </c>
      <c r="AE13" s="7">
        <f>E13+AD13</f>
        <v>-165000</v>
      </c>
      <c r="AF13" s="8">
        <f>G13+I13+K13+M13+O13+Q13+S13+U13+W13+Y13+AA13+AC13</f>
        <v>0</v>
      </c>
      <c r="AG13" s="153">
        <f>SUM(AE13-AF13)</f>
        <v>-165000</v>
      </c>
      <c r="AH13" s="99" t="s">
        <v>38</v>
      </c>
      <c r="AI13" s="99">
        <v>4</v>
      </c>
    </row>
    <row r="14" spans="1:42" customHeight="1" ht="11.5">
      <c r="A14" s="5">
        <v>6</v>
      </c>
      <c r="B14" s="150" t="s">
        <v>43</v>
      </c>
      <c r="C14" s="151" t="s">
        <v>36</v>
      </c>
      <c r="D14" s="85" t="s">
        <v>37</v>
      </c>
      <c r="E14" s="86">
        <v>0</v>
      </c>
      <c r="F14" s="9">
        <v>10000</v>
      </c>
      <c r="G14" s="10"/>
      <c r="H14" s="9">
        <v>0</v>
      </c>
      <c r="I14" s="10">
        <v>10000</v>
      </c>
      <c r="J14" s="152">
        <v>0</v>
      </c>
      <c r="K14" s="10"/>
      <c r="L14" s="152">
        <v>10000</v>
      </c>
      <c r="M14" s="10"/>
      <c r="N14" s="152">
        <v>0</v>
      </c>
      <c r="O14" s="10">
        <v>10000</v>
      </c>
      <c r="P14" s="152">
        <v>10000</v>
      </c>
      <c r="Q14" s="10"/>
      <c r="R14" s="9">
        <v>0</v>
      </c>
      <c r="S14" s="10"/>
      <c r="T14" s="9">
        <v>0</v>
      </c>
      <c r="U14" s="10"/>
      <c r="V14" s="9">
        <v>0</v>
      </c>
      <c r="W14" s="10"/>
      <c r="X14" s="9">
        <v>0</v>
      </c>
      <c r="Y14" s="10"/>
      <c r="Z14" s="9">
        <v>0</v>
      </c>
      <c r="AA14" s="10"/>
      <c r="AB14" s="11">
        <v>0</v>
      </c>
      <c r="AC14" s="10"/>
      <c r="AD14" s="7">
        <f>SUM(F14+H14+J14+L14+N14+P14+R14+T14+V14+X14+Z14+AB14)</f>
        <v>30000</v>
      </c>
      <c r="AE14" s="7">
        <f>E14+AD14</f>
        <v>30000</v>
      </c>
      <c r="AF14" s="8">
        <f>G14+I14+K14+M14+O14+Q14+S14+U14+W14+Y14+AA14+AC14</f>
        <v>20000</v>
      </c>
      <c r="AG14" s="153">
        <f>SUM(AE14-AF14)</f>
        <v>10000</v>
      </c>
      <c r="AH14" s="99" t="s">
        <v>38</v>
      </c>
      <c r="AI14" s="99">
        <v>4</v>
      </c>
    </row>
    <row r="15" spans="1:42" customHeight="1" ht="11.5">
      <c r="A15" s="5">
        <v>7</v>
      </c>
      <c r="B15" s="150" t="s">
        <v>44</v>
      </c>
      <c r="C15" s="151" t="s">
        <v>36</v>
      </c>
      <c r="D15" s="85" t="s">
        <v>37</v>
      </c>
      <c r="E15" s="86">
        <v>-200000</v>
      </c>
      <c r="F15" s="9">
        <v>0</v>
      </c>
      <c r="G15" s="10"/>
      <c r="H15" s="9">
        <v>0</v>
      </c>
      <c r="I15" s="10"/>
      <c r="J15" s="152">
        <v>0</v>
      </c>
      <c r="K15" s="10"/>
      <c r="L15" s="152">
        <v>0</v>
      </c>
      <c r="M15" s="10"/>
      <c r="N15" s="152">
        <v>0</v>
      </c>
      <c r="O15" s="10"/>
      <c r="P15" s="152">
        <v>0</v>
      </c>
      <c r="Q15" s="10"/>
      <c r="R15" s="9">
        <v>10000</v>
      </c>
      <c r="S15" s="10"/>
      <c r="T15" s="9">
        <v>0</v>
      </c>
      <c r="U15" s="10"/>
      <c r="V15" s="9">
        <v>0</v>
      </c>
      <c r="W15" s="10"/>
      <c r="X15" s="9">
        <v>0</v>
      </c>
      <c r="Y15" s="10"/>
      <c r="Z15" s="9">
        <v>0</v>
      </c>
      <c r="AA15" s="10"/>
      <c r="AB15" s="11">
        <v>0</v>
      </c>
      <c r="AC15" s="10"/>
      <c r="AD15" s="7">
        <f>SUM(F15+H15+J15+L15+N15+P15+R15+T15+V15+X15+Z15+AB15)</f>
        <v>10000</v>
      </c>
      <c r="AE15" s="7">
        <f>E15+AD15</f>
        <v>-190000</v>
      </c>
      <c r="AF15" s="8">
        <f>G15+I15+K15+M15+O15+Q15+S15+U15+W15+Y15+AA15+AC15</f>
        <v>0</v>
      </c>
      <c r="AG15" s="153">
        <f>SUM(AE15-AF15)</f>
        <v>-190000</v>
      </c>
      <c r="AH15" s="99" t="s">
        <v>38</v>
      </c>
      <c r="AI15" s="99">
        <v>4</v>
      </c>
    </row>
    <row r="16" spans="1:42" customHeight="1" ht="11.5">
      <c r="A16" s="5">
        <v>8</v>
      </c>
      <c r="B16" s="150" t="s">
        <v>45</v>
      </c>
      <c r="C16" s="151" t="s">
        <v>36</v>
      </c>
      <c r="D16" s="85" t="s">
        <v>37</v>
      </c>
      <c r="E16" s="86">
        <v>-95000</v>
      </c>
      <c r="F16" s="9">
        <v>5000</v>
      </c>
      <c r="G16" s="10"/>
      <c r="H16" s="9">
        <v>5000</v>
      </c>
      <c r="I16" s="10"/>
      <c r="J16" s="152">
        <v>5000</v>
      </c>
      <c r="K16" s="10"/>
      <c r="L16" s="152">
        <v>5000</v>
      </c>
      <c r="M16" s="10"/>
      <c r="N16" s="152">
        <v>10000</v>
      </c>
      <c r="O16" s="10"/>
      <c r="P16" s="152">
        <v>5000</v>
      </c>
      <c r="Q16" s="10"/>
      <c r="R16" s="9">
        <v>5000</v>
      </c>
      <c r="S16" s="10"/>
      <c r="T16" s="9">
        <v>0</v>
      </c>
      <c r="U16" s="10"/>
      <c r="V16" s="9">
        <v>0</v>
      </c>
      <c r="W16" s="10"/>
      <c r="X16" s="9">
        <v>0</v>
      </c>
      <c r="Y16" s="10"/>
      <c r="Z16" s="9">
        <v>0</v>
      </c>
      <c r="AA16" s="10"/>
      <c r="AB16" s="11">
        <v>0</v>
      </c>
      <c r="AC16" s="10"/>
      <c r="AD16" s="7">
        <f>SUM(F16+H16+J16+L16+N16+P16+R16+T16+V16+X16+Z16+AB16)</f>
        <v>40000</v>
      </c>
      <c r="AE16" s="7">
        <f>E16+AD16</f>
        <v>-55000</v>
      </c>
      <c r="AF16" s="8">
        <f>G16+I16+K16+M16+O16+Q16+S16+U16+W16+Y16+AA16+AC16</f>
        <v>0</v>
      </c>
      <c r="AG16" s="153">
        <f>SUM(AE16-AF16)</f>
        <v>-55000</v>
      </c>
      <c r="AH16" s="99" t="s">
        <v>38</v>
      </c>
      <c r="AI16" s="99">
        <v>4</v>
      </c>
    </row>
    <row r="17" spans="1:42" customHeight="1" ht="11.5">
      <c r="A17" s="5">
        <v>9</v>
      </c>
      <c r="B17" s="150" t="s">
        <v>46</v>
      </c>
      <c r="C17" s="151" t="s">
        <v>36</v>
      </c>
      <c r="D17" s="85" t="s">
        <v>37</v>
      </c>
      <c r="E17" s="86">
        <v>-20374</v>
      </c>
      <c r="F17" s="9">
        <v>0</v>
      </c>
      <c r="G17" s="10"/>
      <c r="H17" s="9">
        <v>5000</v>
      </c>
      <c r="I17" s="10"/>
      <c r="J17" s="152">
        <v>0</v>
      </c>
      <c r="K17" s="10"/>
      <c r="L17" s="152">
        <v>0</v>
      </c>
      <c r="M17" s="10"/>
      <c r="N17" s="152">
        <v>5000</v>
      </c>
      <c r="O17" s="10"/>
      <c r="P17" s="152">
        <v>5000</v>
      </c>
      <c r="Q17" s="10"/>
      <c r="R17" s="9">
        <v>0</v>
      </c>
      <c r="S17" s="10"/>
      <c r="T17" s="9">
        <v>0</v>
      </c>
      <c r="U17" s="10"/>
      <c r="V17" s="9">
        <v>0</v>
      </c>
      <c r="W17" s="10"/>
      <c r="X17" s="9">
        <v>0</v>
      </c>
      <c r="Y17" s="10"/>
      <c r="Z17" s="9">
        <v>0</v>
      </c>
      <c r="AA17" s="10"/>
      <c r="AB17" s="11">
        <v>0</v>
      </c>
      <c r="AC17" s="10"/>
      <c r="AD17" s="7">
        <f>SUM(F17+H17+J17+L17+N17+P17+R17+T17+V17+X17+Z17+AB17)</f>
        <v>15000</v>
      </c>
      <c r="AE17" s="7">
        <f>E17+AD17</f>
        <v>-5374</v>
      </c>
      <c r="AF17" s="8">
        <f>G17+I17+K17+M17+O17+Q17+S17+U17+W17+Y17+AA17+AC17</f>
        <v>0</v>
      </c>
      <c r="AG17" s="153">
        <f>SUM(AE17-AF17)</f>
        <v>-5374</v>
      </c>
      <c r="AH17" s="99" t="s">
        <v>38</v>
      </c>
      <c r="AI17" s="99">
        <v>4</v>
      </c>
    </row>
    <row r="18" spans="1:42" customHeight="1" ht="11.5">
      <c r="A18" s="5">
        <v>10</v>
      </c>
      <c r="B18" s="150" t="s">
        <v>47</v>
      </c>
      <c r="C18" s="151" t="s">
        <v>36</v>
      </c>
      <c r="D18" s="85" t="s">
        <v>37</v>
      </c>
      <c r="E18" s="86">
        <v>0</v>
      </c>
      <c r="F18" s="9">
        <v>0</v>
      </c>
      <c r="G18" s="10"/>
      <c r="H18" s="9">
        <v>0</v>
      </c>
      <c r="I18" s="10"/>
      <c r="J18" s="152">
        <v>0</v>
      </c>
      <c r="K18" s="10"/>
      <c r="L18" s="152">
        <v>10000</v>
      </c>
      <c r="M18" s="10"/>
      <c r="N18" s="152">
        <v>0</v>
      </c>
      <c r="O18" s="10">
        <v>10000</v>
      </c>
      <c r="P18" s="152">
        <v>0</v>
      </c>
      <c r="Q18" s="10"/>
      <c r="R18" s="9">
        <v>0</v>
      </c>
      <c r="S18" s="10"/>
      <c r="T18" s="9">
        <v>0</v>
      </c>
      <c r="U18" s="10"/>
      <c r="V18" s="9">
        <v>0</v>
      </c>
      <c r="W18" s="10"/>
      <c r="X18" s="9">
        <v>0</v>
      </c>
      <c r="Y18" s="10"/>
      <c r="Z18" s="9">
        <v>0</v>
      </c>
      <c r="AA18" s="10"/>
      <c r="AB18" s="11">
        <v>0</v>
      </c>
      <c r="AC18" s="10"/>
      <c r="AD18" s="7">
        <f>SUM(F18+H18+J18+L18+N18+P18+R18+T18+V18+X18+Z18+AB18)</f>
        <v>10000</v>
      </c>
      <c r="AE18" s="7">
        <f>E18+AD18</f>
        <v>10000</v>
      </c>
      <c r="AF18" s="8">
        <f>G18+I18+K18+M18+O18+Q18+S18+U18+W18+Y18+AA18+AC18</f>
        <v>10000</v>
      </c>
      <c r="AG18" s="153">
        <f>SUM(AE18-AF18)</f>
        <v>0</v>
      </c>
      <c r="AH18" s="99" t="s">
        <v>38</v>
      </c>
      <c r="AI18" s="99">
        <v>4</v>
      </c>
    </row>
    <row r="19" spans="1:42" customHeight="1" ht="11.5">
      <c r="A19" s="5">
        <v>11</v>
      </c>
      <c r="B19" s="150" t="s">
        <v>48</v>
      </c>
      <c r="C19" s="151" t="s">
        <v>36</v>
      </c>
      <c r="D19" s="85" t="s">
        <v>37</v>
      </c>
      <c r="E19" s="86">
        <v>20000</v>
      </c>
      <c r="F19" s="9">
        <v>0</v>
      </c>
      <c r="G19" s="10">
        <v>20000</v>
      </c>
      <c r="H19" s="9">
        <v>0</v>
      </c>
      <c r="I19" s="10"/>
      <c r="J19" s="152">
        <v>0</v>
      </c>
      <c r="K19" s="10"/>
      <c r="L19" s="152">
        <v>10000</v>
      </c>
      <c r="M19" s="10"/>
      <c r="N19" s="152">
        <v>0</v>
      </c>
      <c r="O19" s="10">
        <v>10000</v>
      </c>
      <c r="P19" s="152">
        <v>20000</v>
      </c>
      <c r="Q19" s="10"/>
      <c r="R19" s="9">
        <v>0</v>
      </c>
      <c r="S19" s="10"/>
      <c r="T19" s="9">
        <v>0</v>
      </c>
      <c r="U19" s="10"/>
      <c r="V19" s="9">
        <v>0</v>
      </c>
      <c r="W19" s="10"/>
      <c r="X19" s="9">
        <v>0</v>
      </c>
      <c r="Y19" s="10"/>
      <c r="Z19" s="9">
        <v>0</v>
      </c>
      <c r="AA19" s="10"/>
      <c r="AB19" s="11">
        <v>0</v>
      </c>
      <c r="AC19" s="10"/>
      <c r="AD19" s="7">
        <f>SUM(F19+H19+J19+L19+N19+P19+R19+T19+V19+X19+Z19+AB19)</f>
        <v>30000</v>
      </c>
      <c r="AE19" s="7">
        <f>E19+AD19</f>
        <v>50000</v>
      </c>
      <c r="AF19" s="8">
        <f>G19+I19+K19+M19+O19+Q19+S19+U19+W19+Y19+AA19+AC19</f>
        <v>30000</v>
      </c>
      <c r="AG19" s="153">
        <f>SUM(AE19-AF19)</f>
        <v>20000</v>
      </c>
      <c r="AH19" s="99" t="s">
        <v>38</v>
      </c>
      <c r="AI19" s="99">
        <v>4</v>
      </c>
    </row>
    <row r="20" spans="1:42" customHeight="1" ht="11.5">
      <c r="A20" s="5">
        <v>12</v>
      </c>
      <c r="B20" s="150" t="s">
        <v>49</v>
      </c>
      <c r="C20" s="151" t="s">
        <v>36</v>
      </c>
      <c r="D20" s="85" t="s">
        <v>37</v>
      </c>
      <c r="E20" s="86">
        <v>0</v>
      </c>
      <c r="F20" s="9">
        <v>0</v>
      </c>
      <c r="G20" s="10"/>
      <c r="H20" s="9">
        <v>0</v>
      </c>
      <c r="I20" s="10"/>
      <c r="J20" s="152">
        <v>5000</v>
      </c>
      <c r="K20" s="10"/>
      <c r="L20" s="152">
        <v>0</v>
      </c>
      <c r="M20" s="10">
        <v>5000</v>
      </c>
      <c r="N20" s="152">
        <v>0</v>
      </c>
      <c r="O20" s="10"/>
      <c r="P20" s="152">
        <v>0</v>
      </c>
      <c r="Q20" s="10"/>
      <c r="R20" s="9">
        <v>0</v>
      </c>
      <c r="S20" s="10"/>
      <c r="T20" s="9">
        <v>0</v>
      </c>
      <c r="U20" s="10"/>
      <c r="V20" s="9">
        <v>0</v>
      </c>
      <c r="W20" s="10"/>
      <c r="X20" s="9">
        <v>0</v>
      </c>
      <c r="Y20" s="10"/>
      <c r="Z20" s="9">
        <v>0</v>
      </c>
      <c r="AA20" s="10"/>
      <c r="AB20" s="11">
        <v>0</v>
      </c>
      <c r="AC20" s="10"/>
      <c r="AD20" s="7">
        <f>SUM(F20+H20+J20+L20+N20+P20+R20+T20+V20+X20+Z20+AB20)</f>
        <v>5000</v>
      </c>
      <c r="AE20" s="7">
        <f>E20+AD20</f>
        <v>5000</v>
      </c>
      <c r="AF20" s="8">
        <f>G20+I20+K20+M20+O20+Q20+S20+U20+W20+Y20+AA20+AC20</f>
        <v>5000</v>
      </c>
      <c r="AG20" s="153">
        <f>SUM(AE20-AF20)</f>
        <v>0</v>
      </c>
      <c r="AH20" s="99" t="s">
        <v>38</v>
      </c>
      <c r="AI20" s="99">
        <v>4</v>
      </c>
    </row>
    <row r="21" spans="1:42" customHeight="1" ht="11.5">
      <c r="A21" s="5">
        <v>13</v>
      </c>
      <c r="B21" s="150" t="s">
        <v>50</v>
      </c>
      <c r="C21" s="151" t="s">
        <v>36</v>
      </c>
      <c r="D21" s="85" t="s">
        <v>37</v>
      </c>
      <c r="E21" s="86">
        <v>5000</v>
      </c>
      <c r="F21" s="9">
        <v>0</v>
      </c>
      <c r="G21" s="10">
        <v>5000</v>
      </c>
      <c r="H21" s="9">
        <v>0</v>
      </c>
      <c r="I21" s="10"/>
      <c r="J21" s="152">
        <v>0</v>
      </c>
      <c r="K21" s="10"/>
      <c r="L21" s="152">
        <v>5000</v>
      </c>
      <c r="M21" s="10"/>
      <c r="N21" s="152">
        <v>5000</v>
      </c>
      <c r="O21" s="10">
        <v>5000</v>
      </c>
      <c r="P21" s="152">
        <v>0</v>
      </c>
      <c r="Q21" s="10">
        <v>5000</v>
      </c>
      <c r="R21" s="9">
        <v>0</v>
      </c>
      <c r="S21" s="10"/>
      <c r="T21" s="9">
        <v>0</v>
      </c>
      <c r="U21" s="10"/>
      <c r="V21" s="9">
        <v>0</v>
      </c>
      <c r="W21" s="10"/>
      <c r="X21" s="9">
        <v>0</v>
      </c>
      <c r="Y21" s="10"/>
      <c r="Z21" s="9">
        <v>0</v>
      </c>
      <c r="AA21" s="10"/>
      <c r="AB21" s="11">
        <v>0</v>
      </c>
      <c r="AC21" s="10"/>
      <c r="AD21" s="7">
        <f>SUM(F21+H21+J21+L21+N21+P21+R21+T21+V21+X21+Z21+AB21)</f>
        <v>10000</v>
      </c>
      <c r="AE21" s="7">
        <f>E21+AD21</f>
        <v>15000</v>
      </c>
      <c r="AF21" s="8">
        <f>G21+I21+K21+M21+O21+Q21+S21+U21+W21+Y21+AA21+AC21</f>
        <v>15000</v>
      </c>
      <c r="AG21" s="153">
        <f>SUM(AE21-AF21)</f>
        <v>0</v>
      </c>
      <c r="AH21" s="99" t="s">
        <v>38</v>
      </c>
      <c r="AI21" s="99">
        <v>4</v>
      </c>
    </row>
    <row r="22" spans="1:42" customHeight="1" ht="11.5">
      <c r="A22" s="5">
        <v>14</v>
      </c>
      <c r="B22" s="154" t="s">
        <v>51</v>
      </c>
      <c r="C22" s="4" t="s">
        <v>36</v>
      </c>
      <c r="D22" s="85" t="s">
        <v>37</v>
      </c>
      <c r="E22" s="86">
        <v>10000</v>
      </c>
      <c r="F22" s="9">
        <v>20000</v>
      </c>
      <c r="G22" s="10">
        <v>10000</v>
      </c>
      <c r="H22" s="9">
        <v>10000</v>
      </c>
      <c r="I22" s="10">
        <v>20000</v>
      </c>
      <c r="J22" s="152">
        <v>10000</v>
      </c>
      <c r="K22" s="10">
        <v>10000</v>
      </c>
      <c r="L22" s="152">
        <v>10000</v>
      </c>
      <c r="M22" s="10">
        <v>10000</v>
      </c>
      <c r="N22" s="152">
        <v>10000</v>
      </c>
      <c r="O22" s="10">
        <v>10000</v>
      </c>
      <c r="P22" s="152">
        <v>10000</v>
      </c>
      <c r="Q22" s="10">
        <v>10000</v>
      </c>
      <c r="R22" s="9">
        <v>10000</v>
      </c>
      <c r="S22" s="10"/>
      <c r="T22" s="9">
        <v>0</v>
      </c>
      <c r="U22" s="10"/>
      <c r="V22" s="9">
        <v>0</v>
      </c>
      <c r="W22" s="10"/>
      <c r="X22" s="9">
        <v>0</v>
      </c>
      <c r="Y22" s="10"/>
      <c r="Z22" s="9">
        <v>0</v>
      </c>
      <c r="AA22" s="10"/>
      <c r="AB22" s="11">
        <v>0</v>
      </c>
      <c r="AC22" s="10"/>
      <c r="AD22" s="7">
        <f>SUM(F22+H22+J22+L22+N22+P22+R22+T22+V22+X22+Z22+AB22)</f>
        <v>80000</v>
      </c>
      <c r="AE22" s="7">
        <f>E22+AD22</f>
        <v>90000</v>
      </c>
      <c r="AF22" s="8">
        <f>G22+I22+K22+M22+O22+Q22+S22+U22+W22+Y22+AA22+AC22</f>
        <v>70000</v>
      </c>
      <c r="AG22" s="153">
        <f>SUM(AE22-AF22)</f>
        <v>20000</v>
      </c>
      <c r="AH22" s="99" t="s">
        <v>38</v>
      </c>
      <c r="AI22" s="99">
        <v>4</v>
      </c>
    </row>
    <row r="23" spans="1:42" customHeight="1" ht="11.5">
      <c r="A23" s="5">
        <v>15</v>
      </c>
      <c r="B23" s="150" t="s">
        <v>52</v>
      </c>
      <c r="C23" s="151" t="s">
        <v>36</v>
      </c>
      <c r="D23" s="85" t="s">
        <v>37</v>
      </c>
      <c r="E23" s="86">
        <v>20000</v>
      </c>
      <c r="F23" s="9">
        <v>10000</v>
      </c>
      <c r="G23" s="10">
        <v>20000</v>
      </c>
      <c r="H23" s="9">
        <v>20000</v>
      </c>
      <c r="I23" s="10">
        <v>10000</v>
      </c>
      <c r="J23" s="152">
        <v>0</v>
      </c>
      <c r="K23" s="10">
        <v>20000</v>
      </c>
      <c r="L23" s="152">
        <v>10000</v>
      </c>
      <c r="M23" s="10"/>
      <c r="N23" s="152">
        <v>10000</v>
      </c>
      <c r="O23" s="10">
        <v>10000</v>
      </c>
      <c r="P23" s="152">
        <v>10000</v>
      </c>
      <c r="Q23" s="10">
        <v>10000</v>
      </c>
      <c r="R23" s="9">
        <v>10000</v>
      </c>
      <c r="S23" s="10"/>
      <c r="T23" s="9">
        <v>0</v>
      </c>
      <c r="U23" s="10"/>
      <c r="V23" s="9">
        <v>0</v>
      </c>
      <c r="W23" s="10"/>
      <c r="X23" s="9">
        <v>0</v>
      </c>
      <c r="Y23" s="10"/>
      <c r="Z23" s="9">
        <v>0</v>
      </c>
      <c r="AA23" s="10"/>
      <c r="AB23" s="11">
        <v>0</v>
      </c>
      <c r="AC23" s="10"/>
      <c r="AD23" s="7">
        <f>SUM(F23+H23+J23+L23+N23+P23+R23+T23+V23+X23+Z23+AB23)</f>
        <v>70000</v>
      </c>
      <c r="AE23" s="7">
        <f>E23+AD23</f>
        <v>90000</v>
      </c>
      <c r="AF23" s="8">
        <f>G23+I23+K23+M23+O23+Q23+S23+U23+W23+Y23+AA23+AC23</f>
        <v>70000</v>
      </c>
      <c r="AG23" s="153">
        <f>SUM(AE23-AF23)</f>
        <v>20000</v>
      </c>
      <c r="AH23" s="99" t="s">
        <v>38</v>
      </c>
      <c r="AI23" s="99">
        <v>4</v>
      </c>
    </row>
    <row r="24" spans="1:42" customHeight="1" ht="11.5">
      <c r="A24" s="5">
        <v>16</v>
      </c>
      <c r="B24" s="150" t="s">
        <v>53</v>
      </c>
      <c r="C24" s="151" t="s">
        <v>36</v>
      </c>
      <c r="D24" s="85" t="s">
        <v>37</v>
      </c>
      <c r="E24" s="86">
        <v>0</v>
      </c>
      <c r="F24" s="9">
        <v>10000</v>
      </c>
      <c r="G24" s="10"/>
      <c r="H24" s="9">
        <v>0</v>
      </c>
      <c r="I24" s="10">
        <v>10000</v>
      </c>
      <c r="J24" s="152">
        <v>0</v>
      </c>
      <c r="K24" s="10"/>
      <c r="L24" s="152">
        <v>0</v>
      </c>
      <c r="M24" s="10"/>
      <c r="N24" s="152">
        <v>10000</v>
      </c>
      <c r="O24" s="10"/>
      <c r="P24" s="152">
        <v>0</v>
      </c>
      <c r="Q24" s="10">
        <v>10000</v>
      </c>
      <c r="R24" s="9">
        <v>0</v>
      </c>
      <c r="S24" s="10"/>
      <c r="T24" s="9">
        <v>0</v>
      </c>
      <c r="U24" s="10"/>
      <c r="V24" s="9">
        <v>0</v>
      </c>
      <c r="W24" s="10"/>
      <c r="X24" s="9">
        <v>0</v>
      </c>
      <c r="Y24" s="10"/>
      <c r="Z24" s="9">
        <v>0</v>
      </c>
      <c r="AA24" s="10"/>
      <c r="AB24" s="11">
        <v>0</v>
      </c>
      <c r="AC24" s="10"/>
      <c r="AD24" s="7">
        <f>SUM(F24+H24+J24+L24+N24+P24+R24+T24+V24+X24+Z24+AB24)</f>
        <v>20000</v>
      </c>
      <c r="AE24" s="7">
        <f>E24+AD24</f>
        <v>20000</v>
      </c>
      <c r="AF24" s="8">
        <f>G24+I24+K24+M24+O24+Q24+S24+U24+W24+Y24+AA24+AC24</f>
        <v>20000</v>
      </c>
      <c r="AG24" s="153">
        <f>SUM(AE24-AF24)</f>
        <v>0</v>
      </c>
      <c r="AH24" s="99" t="s">
        <v>38</v>
      </c>
      <c r="AI24" s="99">
        <v>4</v>
      </c>
    </row>
    <row r="25" spans="1:42" customHeight="1" ht="11.5">
      <c r="A25" s="5">
        <v>17</v>
      </c>
      <c r="B25" s="150" t="s">
        <v>54</v>
      </c>
      <c r="C25" s="151" t="s">
        <v>36</v>
      </c>
      <c r="D25" s="85" t="s">
        <v>37</v>
      </c>
      <c r="E25" s="86">
        <v>10000</v>
      </c>
      <c r="F25" s="9">
        <v>0</v>
      </c>
      <c r="G25" s="10">
        <v>10000</v>
      </c>
      <c r="H25" s="9">
        <v>10000</v>
      </c>
      <c r="I25" s="10"/>
      <c r="J25" s="152">
        <v>0</v>
      </c>
      <c r="K25" s="10">
        <v>10000</v>
      </c>
      <c r="L25" s="152">
        <v>0</v>
      </c>
      <c r="M25" s="10"/>
      <c r="N25" s="152">
        <v>0</v>
      </c>
      <c r="O25" s="10"/>
      <c r="P25" s="152">
        <v>10000</v>
      </c>
      <c r="Q25" s="10"/>
      <c r="R25" s="9">
        <v>10000</v>
      </c>
      <c r="S25" s="10"/>
      <c r="T25" s="9">
        <v>0</v>
      </c>
      <c r="U25" s="10"/>
      <c r="V25" s="9">
        <v>0</v>
      </c>
      <c r="W25" s="10"/>
      <c r="X25" s="9">
        <v>0</v>
      </c>
      <c r="Y25" s="10"/>
      <c r="Z25" s="9">
        <v>0</v>
      </c>
      <c r="AA25" s="10"/>
      <c r="AB25" s="11">
        <v>0</v>
      </c>
      <c r="AC25" s="10"/>
      <c r="AD25" s="7">
        <f>SUM(F25+H25+J25+L25+N25+P25+R25+T25+V25+X25+Z25+AB25)</f>
        <v>30000</v>
      </c>
      <c r="AE25" s="7">
        <f>E25+AD25</f>
        <v>40000</v>
      </c>
      <c r="AF25" s="8">
        <f>G25+I25+K25+M25+O25+Q25+S25+U25+W25+Y25+AA25+AC25</f>
        <v>20000</v>
      </c>
      <c r="AG25" s="153">
        <f>SUM(AE25-AF25)</f>
        <v>20000</v>
      </c>
      <c r="AH25" s="99" t="s">
        <v>38</v>
      </c>
      <c r="AI25" s="99">
        <v>4</v>
      </c>
    </row>
    <row r="26" spans="1:42" customHeight="1" ht="11.5">
      <c r="A26" s="5">
        <v>18</v>
      </c>
      <c r="B26" s="155" t="s">
        <v>55</v>
      </c>
      <c r="C26" s="151" t="s">
        <v>36</v>
      </c>
      <c r="D26" s="156" t="s">
        <v>37</v>
      </c>
      <c r="E26" s="86">
        <v>30000</v>
      </c>
      <c r="F26" s="9">
        <v>30000</v>
      </c>
      <c r="G26" s="10">
        <v>30000</v>
      </c>
      <c r="H26" s="9">
        <v>0</v>
      </c>
      <c r="I26" s="10">
        <v>30000</v>
      </c>
      <c r="J26" s="152">
        <v>15000</v>
      </c>
      <c r="K26" s="10"/>
      <c r="L26" s="152">
        <v>15000</v>
      </c>
      <c r="M26" s="10">
        <v>15000</v>
      </c>
      <c r="N26" s="152">
        <v>15000</v>
      </c>
      <c r="O26" s="10">
        <v>15000</v>
      </c>
      <c r="P26" s="152">
        <v>20000</v>
      </c>
      <c r="Q26" s="10">
        <v>15000</v>
      </c>
      <c r="R26" s="9">
        <v>25000</v>
      </c>
      <c r="S26" s="10"/>
      <c r="T26" s="9">
        <v>0</v>
      </c>
      <c r="U26" s="10"/>
      <c r="V26" s="9">
        <v>0</v>
      </c>
      <c r="W26" s="10"/>
      <c r="X26" s="9">
        <v>0</v>
      </c>
      <c r="Y26" s="10"/>
      <c r="Z26" s="9">
        <v>0</v>
      </c>
      <c r="AA26" s="10"/>
      <c r="AB26" s="11">
        <v>0</v>
      </c>
      <c r="AC26" s="10"/>
      <c r="AD26" s="7">
        <f>SUM(F26+H26+J26+L26+N26+P26+R26+T26+V26+X26+Z26+AB26)</f>
        <v>120000</v>
      </c>
      <c r="AE26" s="7">
        <f>E26+AD26</f>
        <v>150000</v>
      </c>
      <c r="AF26" s="8">
        <f>G26+I26+K26+M26+O26+Q26+S26+U26+W26+Y26+AA26+AC26</f>
        <v>105000</v>
      </c>
      <c r="AG26" s="153">
        <f>SUM(AE26-AF26)</f>
        <v>45000</v>
      </c>
      <c r="AH26" s="99" t="s">
        <v>38</v>
      </c>
      <c r="AI26" s="99">
        <v>4</v>
      </c>
    </row>
    <row r="27" spans="1:42" customHeight="1" ht="11.5">
      <c r="A27" s="5">
        <v>19</v>
      </c>
      <c r="B27" s="150" t="s">
        <v>56</v>
      </c>
      <c r="C27" s="151" t="s">
        <v>36</v>
      </c>
      <c r="D27" s="85" t="s">
        <v>37</v>
      </c>
      <c r="E27" s="86">
        <v>115000</v>
      </c>
      <c r="F27" s="9">
        <v>120000</v>
      </c>
      <c r="G27" s="10">
        <v>115000</v>
      </c>
      <c r="H27" s="9">
        <v>90000</v>
      </c>
      <c r="I27" s="10">
        <v>120000</v>
      </c>
      <c r="J27" s="152">
        <v>125000</v>
      </c>
      <c r="K27" s="10">
        <v>90000</v>
      </c>
      <c r="L27" s="152">
        <v>85000</v>
      </c>
      <c r="M27" s="10">
        <v>125000</v>
      </c>
      <c r="N27" s="152">
        <v>110000</v>
      </c>
      <c r="O27" s="10">
        <v>85000</v>
      </c>
      <c r="P27" s="152">
        <v>135000</v>
      </c>
      <c r="Q27" s="10">
        <v>110000</v>
      </c>
      <c r="R27" s="9">
        <v>140000</v>
      </c>
      <c r="S27" s="10"/>
      <c r="T27" s="9">
        <v>0</v>
      </c>
      <c r="U27" s="10"/>
      <c r="V27" s="9">
        <v>0</v>
      </c>
      <c r="W27" s="10"/>
      <c r="X27" s="9">
        <v>0</v>
      </c>
      <c r="Y27" s="10"/>
      <c r="Z27" s="9">
        <v>0</v>
      </c>
      <c r="AA27" s="10"/>
      <c r="AB27" s="11">
        <v>0</v>
      </c>
      <c r="AC27" s="10"/>
      <c r="AD27" s="7">
        <f>SUM(F27+H27+J27+L27+N27+P27+R27+T27+V27+X27+Z27+AB27)</f>
        <v>805000</v>
      </c>
      <c r="AE27" s="7">
        <f>E27+AD27</f>
        <v>920000</v>
      </c>
      <c r="AF27" s="8">
        <f>G27+I27+K27+M27+O27+Q27+S27+U27+W27+Y27+AA27+AC27</f>
        <v>645000</v>
      </c>
      <c r="AG27" s="153">
        <f>SUM(AE27-AF27)</f>
        <v>275000</v>
      </c>
      <c r="AH27" s="99" t="s">
        <v>38</v>
      </c>
      <c r="AI27" s="99">
        <v>4</v>
      </c>
    </row>
    <row r="28" spans="1:42" customHeight="1" ht="11.5">
      <c r="A28" s="5">
        <v>20</v>
      </c>
      <c r="B28" s="150" t="s">
        <v>57</v>
      </c>
      <c r="C28" s="151" t="s">
        <v>36</v>
      </c>
      <c r="D28" s="85" t="s">
        <v>37</v>
      </c>
      <c r="E28" s="86">
        <v>0</v>
      </c>
      <c r="F28" s="9">
        <v>0</v>
      </c>
      <c r="G28" s="10"/>
      <c r="H28" s="9">
        <v>0</v>
      </c>
      <c r="I28" s="10"/>
      <c r="J28" s="152">
        <v>0</v>
      </c>
      <c r="K28" s="10"/>
      <c r="L28" s="152">
        <v>0</v>
      </c>
      <c r="M28" s="10"/>
      <c r="N28" s="152">
        <v>0</v>
      </c>
      <c r="O28" s="10"/>
      <c r="P28" s="152">
        <v>0</v>
      </c>
      <c r="Q28" s="10"/>
      <c r="R28" s="9">
        <v>10030</v>
      </c>
      <c r="S28" s="10"/>
      <c r="T28" s="9">
        <v>0</v>
      </c>
      <c r="U28" s="10"/>
      <c r="V28" s="9">
        <v>0</v>
      </c>
      <c r="W28" s="10"/>
      <c r="X28" s="9">
        <v>0</v>
      </c>
      <c r="Y28" s="10"/>
      <c r="Z28" s="9">
        <v>0</v>
      </c>
      <c r="AA28" s="10"/>
      <c r="AB28" s="11">
        <v>0</v>
      </c>
      <c r="AC28" s="10"/>
      <c r="AD28" s="7">
        <f>SUM(F28+H28+J28+L28+N28+P28+R28+T28+V28+X28+Z28+AB28)</f>
        <v>10030</v>
      </c>
      <c r="AE28" s="7">
        <f>E28+AD28</f>
        <v>10030</v>
      </c>
      <c r="AF28" s="8">
        <f>G28+I28+K28+M28+O28+Q28+S28+U28+W28+Y28+AA28+AC28</f>
        <v>0</v>
      </c>
      <c r="AG28" s="153">
        <f>SUM(AE28-AF28)</f>
        <v>10030</v>
      </c>
      <c r="AH28" s="99" t="s">
        <v>38</v>
      </c>
      <c r="AI28" s="99">
        <v>4</v>
      </c>
    </row>
    <row r="29" spans="1:42" customHeight="1" ht="11.5">
      <c r="A29" s="5">
        <v>21</v>
      </c>
      <c r="B29" s="150" t="s">
        <v>58</v>
      </c>
      <c r="C29" s="151" t="s">
        <v>36</v>
      </c>
      <c r="D29" s="85" t="s">
        <v>37</v>
      </c>
      <c r="E29" s="86">
        <v>10000</v>
      </c>
      <c r="F29" s="9">
        <v>0</v>
      </c>
      <c r="G29" s="10">
        <v>10000</v>
      </c>
      <c r="H29" s="9">
        <v>0</v>
      </c>
      <c r="I29" s="10"/>
      <c r="J29" s="152">
        <v>0</v>
      </c>
      <c r="K29" s="10"/>
      <c r="L29" s="152">
        <v>10000</v>
      </c>
      <c r="M29" s="10"/>
      <c r="N29" s="152">
        <v>0</v>
      </c>
      <c r="O29" s="10">
        <v>10000</v>
      </c>
      <c r="P29" s="152">
        <v>0</v>
      </c>
      <c r="Q29" s="10"/>
      <c r="R29" s="9">
        <v>30</v>
      </c>
      <c r="S29" s="10"/>
      <c r="T29" s="9">
        <v>0</v>
      </c>
      <c r="U29" s="10"/>
      <c r="V29" s="9">
        <v>0</v>
      </c>
      <c r="W29" s="10"/>
      <c r="X29" s="9">
        <v>0</v>
      </c>
      <c r="Y29" s="10"/>
      <c r="Z29" s="9">
        <v>0</v>
      </c>
      <c r="AA29" s="10"/>
      <c r="AB29" s="11">
        <v>0</v>
      </c>
      <c r="AC29" s="10"/>
      <c r="AD29" s="7">
        <f>SUM(F29+H29+J29+L29+N29+P29+R29+T29+V29+X29+Z29+AB29)</f>
        <v>10030</v>
      </c>
      <c r="AE29" s="7">
        <f>E29+AD29</f>
        <v>20030</v>
      </c>
      <c r="AF29" s="8">
        <f>G29+I29+K29+M29+O29+Q29+S29+U29+W29+Y29+AA29+AC29</f>
        <v>20000</v>
      </c>
      <c r="AG29" s="153">
        <f>SUM(AE29-AF29)</f>
        <v>30</v>
      </c>
      <c r="AH29" s="99" t="s">
        <v>38</v>
      </c>
      <c r="AI29" s="99">
        <v>4</v>
      </c>
    </row>
    <row r="30" spans="1:42" customHeight="1" ht="11.5">
      <c r="A30" s="5">
        <v>22</v>
      </c>
      <c r="B30" s="150" t="s">
        <v>59</v>
      </c>
      <c r="C30" s="151" t="s">
        <v>36</v>
      </c>
      <c r="D30" s="157" t="s">
        <v>37</v>
      </c>
      <c r="E30" s="86">
        <v>10000</v>
      </c>
      <c r="F30" s="9">
        <v>0</v>
      </c>
      <c r="G30" s="10">
        <v>10000</v>
      </c>
      <c r="H30" s="9">
        <v>0</v>
      </c>
      <c r="I30" s="10"/>
      <c r="J30" s="152">
        <v>0</v>
      </c>
      <c r="K30" s="10"/>
      <c r="L30" s="152">
        <v>10000</v>
      </c>
      <c r="M30" s="10"/>
      <c r="N30" s="152">
        <v>0</v>
      </c>
      <c r="O30" s="10">
        <v>10000</v>
      </c>
      <c r="P30" s="152">
        <v>0</v>
      </c>
      <c r="Q30" s="10"/>
      <c r="R30" s="9">
        <v>0</v>
      </c>
      <c r="S30" s="10"/>
      <c r="T30" s="9">
        <v>0</v>
      </c>
      <c r="U30" s="10"/>
      <c r="V30" s="9">
        <v>0</v>
      </c>
      <c r="W30" s="10"/>
      <c r="X30" s="9">
        <v>0</v>
      </c>
      <c r="Y30" s="10"/>
      <c r="Z30" s="9">
        <v>0</v>
      </c>
      <c r="AA30" s="10"/>
      <c r="AB30" s="11">
        <v>0</v>
      </c>
      <c r="AC30" s="10"/>
      <c r="AD30" s="7">
        <f>SUM(F30+H30+J30+L30+N30+P30+R30+T30+V30+X30+Z30+AB30)</f>
        <v>10000</v>
      </c>
      <c r="AE30" s="7">
        <f>E30+AD30</f>
        <v>20000</v>
      </c>
      <c r="AF30" s="8">
        <f>G30+I30+K30+M30+O30+Q30+S30+U30+W30+Y30+AA30+AC30</f>
        <v>20000</v>
      </c>
      <c r="AG30" s="153">
        <f>SUM(AE30-AF30)</f>
        <v>0</v>
      </c>
      <c r="AH30" s="99" t="s">
        <v>38</v>
      </c>
      <c r="AI30" s="99">
        <v>4</v>
      </c>
    </row>
    <row r="31" spans="1:42" customHeight="1" ht="11.5">
      <c r="A31" s="5">
        <v>23</v>
      </c>
      <c r="B31" s="150" t="s">
        <v>60</v>
      </c>
      <c r="C31" s="151" t="s">
        <v>36</v>
      </c>
      <c r="D31" s="157" t="s">
        <v>37</v>
      </c>
      <c r="E31" s="86">
        <v>30000</v>
      </c>
      <c r="F31" s="9">
        <v>40000</v>
      </c>
      <c r="G31" s="10">
        <v>30000</v>
      </c>
      <c r="H31" s="9">
        <v>30000</v>
      </c>
      <c r="I31" s="10">
        <v>40000</v>
      </c>
      <c r="J31" s="152">
        <v>40000</v>
      </c>
      <c r="K31" s="10">
        <v>30000</v>
      </c>
      <c r="L31" s="152">
        <v>50000</v>
      </c>
      <c r="M31" s="10">
        <v>40000</v>
      </c>
      <c r="N31" s="152">
        <v>30000</v>
      </c>
      <c r="O31" s="10">
        <v>50000</v>
      </c>
      <c r="P31" s="152">
        <v>40000</v>
      </c>
      <c r="Q31" s="10">
        <v>30000</v>
      </c>
      <c r="R31" s="9">
        <v>50000</v>
      </c>
      <c r="S31" s="10"/>
      <c r="T31" s="9">
        <v>0</v>
      </c>
      <c r="U31" s="10"/>
      <c r="V31" s="9">
        <v>0</v>
      </c>
      <c r="W31" s="10"/>
      <c r="X31" s="9">
        <v>0</v>
      </c>
      <c r="Y31" s="10"/>
      <c r="Z31" s="9">
        <v>0</v>
      </c>
      <c r="AA31" s="10"/>
      <c r="AB31" s="11">
        <v>0</v>
      </c>
      <c r="AC31" s="10"/>
      <c r="AD31" s="7">
        <f>SUM(F31+H31+J31+L31+N31+P31+R31+T31+V31+X31+Z31+AB31)</f>
        <v>280000</v>
      </c>
      <c r="AE31" s="7">
        <f>E31+AD31</f>
        <v>310000</v>
      </c>
      <c r="AF31" s="8">
        <f>G31+I31+K31+M31+O31+Q31+S31+U31+W31+Y31+AA31+AC31</f>
        <v>220000</v>
      </c>
      <c r="AG31" s="153">
        <f>SUM(AE31-AF31)</f>
        <v>90000</v>
      </c>
      <c r="AH31" s="99" t="s">
        <v>38</v>
      </c>
      <c r="AI31" s="99">
        <v>4</v>
      </c>
    </row>
    <row r="32" spans="1:42" customHeight="1" ht="11.5">
      <c r="A32" s="5">
        <v>24</v>
      </c>
      <c r="B32" s="150" t="s">
        <v>61</v>
      </c>
      <c r="C32" s="151" t="s">
        <v>36</v>
      </c>
      <c r="D32" s="157" t="s">
        <v>37</v>
      </c>
      <c r="E32" s="86">
        <v>5000</v>
      </c>
      <c r="F32" s="9">
        <v>5000</v>
      </c>
      <c r="G32" s="10">
        <v>5000</v>
      </c>
      <c r="H32" s="9">
        <v>10000</v>
      </c>
      <c r="I32" s="10">
        <v>5000</v>
      </c>
      <c r="J32" s="152">
        <v>5000</v>
      </c>
      <c r="K32" s="10">
        <v>10000</v>
      </c>
      <c r="L32" s="152">
        <v>5000</v>
      </c>
      <c r="M32" s="10">
        <v>5000</v>
      </c>
      <c r="N32" s="152">
        <v>5000</v>
      </c>
      <c r="O32" s="10">
        <v>5000</v>
      </c>
      <c r="P32" s="152">
        <v>10000</v>
      </c>
      <c r="Q32" s="10">
        <v>5000</v>
      </c>
      <c r="R32" s="9">
        <v>10000</v>
      </c>
      <c r="S32" s="10"/>
      <c r="T32" s="9">
        <v>0</v>
      </c>
      <c r="U32" s="10"/>
      <c r="V32" s="9">
        <v>0</v>
      </c>
      <c r="W32" s="10"/>
      <c r="X32" s="9">
        <v>0</v>
      </c>
      <c r="Y32" s="10"/>
      <c r="Z32" s="9">
        <v>0</v>
      </c>
      <c r="AA32" s="10"/>
      <c r="AB32" s="11">
        <v>0</v>
      </c>
      <c r="AC32" s="10"/>
      <c r="AD32" s="7">
        <f>SUM(F32+H32+J32+L32+N32+P32+R32+T32+V32+X32+Z32+AB32)</f>
        <v>50000</v>
      </c>
      <c r="AE32" s="7">
        <f>E32+AD32</f>
        <v>55000</v>
      </c>
      <c r="AF32" s="8">
        <f>G32+I32+K32+M32+O32+Q32+S32+U32+W32+Y32+AA32+AC32</f>
        <v>35000</v>
      </c>
      <c r="AG32" s="153">
        <f>SUM(AE32-AF32)</f>
        <v>20000</v>
      </c>
      <c r="AH32" s="99" t="s">
        <v>38</v>
      </c>
      <c r="AI32" s="99">
        <v>4</v>
      </c>
    </row>
    <row r="33" spans="1:42" customHeight="1" ht="11.5">
      <c r="A33" s="5">
        <v>25</v>
      </c>
      <c r="B33" s="150" t="s">
        <v>62</v>
      </c>
      <c r="C33" s="151" t="s">
        <v>36</v>
      </c>
      <c r="D33" s="85" t="s">
        <v>37</v>
      </c>
      <c r="E33" s="86">
        <v>0</v>
      </c>
      <c r="F33" s="9">
        <v>0</v>
      </c>
      <c r="G33" s="10"/>
      <c r="H33" s="9">
        <v>0</v>
      </c>
      <c r="I33" s="10"/>
      <c r="J33" s="152">
        <v>0</v>
      </c>
      <c r="K33" s="10"/>
      <c r="L33" s="152">
        <v>0</v>
      </c>
      <c r="M33" s="10"/>
      <c r="N33" s="152">
        <v>0</v>
      </c>
      <c r="O33" s="10"/>
      <c r="P33" s="152">
        <v>0</v>
      </c>
      <c r="Q33" s="10"/>
      <c r="R33" s="9">
        <v>0</v>
      </c>
      <c r="S33" s="10"/>
      <c r="T33" s="9">
        <v>0</v>
      </c>
      <c r="U33" s="10"/>
      <c r="V33" s="9">
        <v>0</v>
      </c>
      <c r="W33" s="10"/>
      <c r="X33" s="9">
        <v>0</v>
      </c>
      <c r="Y33" s="10"/>
      <c r="Z33" s="9">
        <v>0</v>
      </c>
      <c r="AA33" s="10"/>
      <c r="AB33" s="11">
        <v>0</v>
      </c>
      <c r="AC33" s="10"/>
      <c r="AD33" s="7">
        <f>SUM(F33+H33+J33+L33+N33+P33+R33+T33+V33+X33+Z33+AB33)</f>
        <v>0</v>
      </c>
      <c r="AE33" s="7">
        <f>E33+AD33</f>
        <v>0</v>
      </c>
      <c r="AF33" s="8">
        <f>G33+I33+K33+M33+O33+Q33+S33+U33+W33+Y33+AA33+AC33</f>
        <v>0</v>
      </c>
      <c r="AG33" s="153">
        <f>SUM(AE33-AF33)</f>
        <v>0</v>
      </c>
      <c r="AH33" s="99" t="s">
        <v>38</v>
      </c>
      <c r="AI33" s="99">
        <v>4</v>
      </c>
    </row>
    <row r="34" spans="1:42" customHeight="1" ht="11.5">
      <c r="A34" s="5">
        <v>26</v>
      </c>
      <c r="B34" s="150" t="s">
        <v>63</v>
      </c>
      <c r="C34" s="151" t="s">
        <v>36</v>
      </c>
      <c r="D34" s="157" t="s">
        <v>37</v>
      </c>
      <c r="E34" s="86">
        <v>0</v>
      </c>
      <c r="F34" s="9">
        <v>0</v>
      </c>
      <c r="G34" s="10"/>
      <c r="H34" s="9">
        <v>0</v>
      </c>
      <c r="I34" s="10"/>
      <c r="J34" s="152">
        <v>20000</v>
      </c>
      <c r="K34" s="10"/>
      <c r="L34" s="152">
        <v>0</v>
      </c>
      <c r="M34" s="10">
        <v>20000</v>
      </c>
      <c r="N34" s="152">
        <v>0</v>
      </c>
      <c r="O34" s="10"/>
      <c r="P34" s="152">
        <v>0</v>
      </c>
      <c r="Q34" s="10"/>
      <c r="R34" s="9">
        <v>0</v>
      </c>
      <c r="S34" s="10"/>
      <c r="T34" s="9">
        <v>0</v>
      </c>
      <c r="U34" s="10"/>
      <c r="V34" s="9">
        <v>0</v>
      </c>
      <c r="W34" s="10"/>
      <c r="X34" s="9">
        <v>0</v>
      </c>
      <c r="Y34" s="10"/>
      <c r="Z34" s="9">
        <v>0</v>
      </c>
      <c r="AA34" s="10"/>
      <c r="AB34" s="11">
        <v>0</v>
      </c>
      <c r="AC34" s="10"/>
      <c r="AD34" s="7">
        <f>SUM(F34+H34+J34+L34+N34+P34+R34+T34+V34+X34+Z34+AB34)</f>
        <v>20000</v>
      </c>
      <c r="AE34" s="7">
        <f>E34+AD34</f>
        <v>20000</v>
      </c>
      <c r="AF34" s="8">
        <f>G34+I34+K34+M34+O34+Q34+S34+U34+W34+Y34+AA34+AC34</f>
        <v>20000</v>
      </c>
      <c r="AG34" s="153">
        <f>SUM(AE34-AF34)</f>
        <v>0</v>
      </c>
      <c r="AH34" s="99" t="s">
        <v>38</v>
      </c>
      <c r="AI34" s="99">
        <v>4</v>
      </c>
    </row>
    <row r="35" spans="1:42" customHeight="1" ht="11.5">
      <c r="A35" s="5">
        <v>27</v>
      </c>
      <c r="B35" s="150" t="s">
        <v>64</v>
      </c>
      <c r="C35" s="151" t="s">
        <v>36</v>
      </c>
      <c r="D35" s="85" t="s">
        <v>37</v>
      </c>
      <c r="E35" s="86">
        <v>0</v>
      </c>
      <c r="F35" s="9">
        <v>5000</v>
      </c>
      <c r="G35" s="10"/>
      <c r="H35" s="9">
        <v>0</v>
      </c>
      <c r="I35" s="10">
        <v>5000</v>
      </c>
      <c r="J35" s="152">
        <v>0</v>
      </c>
      <c r="K35" s="10"/>
      <c r="L35" s="152">
        <v>5000</v>
      </c>
      <c r="M35" s="10"/>
      <c r="N35" s="152">
        <v>0</v>
      </c>
      <c r="O35" s="10">
        <v>5000</v>
      </c>
      <c r="P35" s="152">
        <v>5000</v>
      </c>
      <c r="Q35" s="10"/>
      <c r="R35" s="9">
        <v>0</v>
      </c>
      <c r="S35" s="10"/>
      <c r="T35" s="9">
        <v>0</v>
      </c>
      <c r="U35" s="10"/>
      <c r="V35" s="9">
        <v>0</v>
      </c>
      <c r="W35" s="10"/>
      <c r="X35" s="9">
        <v>0</v>
      </c>
      <c r="Y35" s="10"/>
      <c r="Z35" s="9">
        <v>0</v>
      </c>
      <c r="AA35" s="10"/>
      <c r="AB35" s="11">
        <v>0</v>
      </c>
      <c r="AC35" s="10"/>
      <c r="AD35" s="7">
        <f>SUM(F35+H35+J35+L35+N35+P35+R35+T35+V35+X35+Z35+AB35)</f>
        <v>15000</v>
      </c>
      <c r="AE35" s="7">
        <f>E35+AD35</f>
        <v>15000</v>
      </c>
      <c r="AF35" s="8">
        <f>G35+I35+K35+M35+O35+Q35+S35+U35+W35+Y35+AA35+AC35</f>
        <v>10000</v>
      </c>
      <c r="AG35" s="153">
        <f>SUM(AE35-AF35)</f>
        <v>5000</v>
      </c>
      <c r="AH35" s="99" t="s">
        <v>38</v>
      </c>
      <c r="AI35" s="99">
        <v>4</v>
      </c>
    </row>
    <row r="36" spans="1:42" customHeight="1" ht="11.5">
      <c r="A36" s="5">
        <v>28</v>
      </c>
      <c r="B36" s="150" t="s">
        <v>65</v>
      </c>
      <c r="C36" s="151" t="s">
        <v>36</v>
      </c>
      <c r="D36" s="85" t="s">
        <v>37</v>
      </c>
      <c r="E36" s="86">
        <v>0</v>
      </c>
      <c r="F36" s="9">
        <v>0</v>
      </c>
      <c r="G36" s="10"/>
      <c r="H36" s="9">
        <v>0</v>
      </c>
      <c r="I36" s="10"/>
      <c r="J36" s="152">
        <v>0</v>
      </c>
      <c r="K36" s="10"/>
      <c r="L36" s="152">
        <v>5000</v>
      </c>
      <c r="M36" s="10"/>
      <c r="N36" s="152">
        <v>0</v>
      </c>
      <c r="O36" s="10">
        <v>5000</v>
      </c>
      <c r="P36" s="152">
        <v>0</v>
      </c>
      <c r="Q36" s="10"/>
      <c r="R36" s="9">
        <v>0</v>
      </c>
      <c r="S36" s="10"/>
      <c r="T36" s="9">
        <v>0</v>
      </c>
      <c r="U36" s="10"/>
      <c r="V36" s="9">
        <v>0</v>
      </c>
      <c r="W36" s="10"/>
      <c r="X36" s="9">
        <v>0</v>
      </c>
      <c r="Y36" s="10"/>
      <c r="Z36" s="9">
        <v>0</v>
      </c>
      <c r="AA36" s="10"/>
      <c r="AB36" s="11">
        <v>0</v>
      </c>
      <c r="AC36" s="10"/>
      <c r="AD36" s="7">
        <f>SUM(F36+H36+J36+L36+N36+P36+R36+T36+V36+X36+Z36+AB36)</f>
        <v>5000</v>
      </c>
      <c r="AE36" s="7">
        <f>E36+AD36</f>
        <v>5000</v>
      </c>
      <c r="AF36" s="8">
        <f>G36+I36+K36+M36+O36+Q36+S36+U36+W36+Y36+AA36+AC36</f>
        <v>5000</v>
      </c>
      <c r="AG36" s="153">
        <f>SUM(AE36-AF36)</f>
        <v>0</v>
      </c>
      <c r="AH36" s="99" t="s">
        <v>38</v>
      </c>
      <c r="AI36" s="99">
        <v>4</v>
      </c>
    </row>
    <row r="37" spans="1:42" customHeight="1" ht="11.5">
      <c r="A37" s="5">
        <v>29</v>
      </c>
      <c r="B37" s="150" t="s">
        <v>66</v>
      </c>
      <c r="C37" s="151" t="s">
        <v>36</v>
      </c>
      <c r="D37" s="85" t="s">
        <v>37</v>
      </c>
      <c r="E37" s="86">
        <v>0</v>
      </c>
      <c r="F37" s="9">
        <v>0</v>
      </c>
      <c r="G37" s="10"/>
      <c r="H37" s="9">
        <v>0</v>
      </c>
      <c r="I37" s="10"/>
      <c r="J37" s="152">
        <v>0</v>
      </c>
      <c r="K37" s="10"/>
      <c r="L37" s="152">
        <v>0</v>
      </c>
      <c r="M37" s="10"/>
      <c r="N37" s="152">
        <v>0</v>
      </c>
      <c r="O37" s="10"/>
      <c r="P37" s="152">
        <v>0</v>
      </c>
      <c r="Q37" s="10"/>
      <c r="R37" s="9">
        <v>0</v>
      </c>
      <c r="S37" s="10"/>
      <c r="T37" s="9">
        <v>0</v>
      </c>
      <c r="U37" s="10"/>
      <c r="V37" s="9">
        <v>0</v>
      </c>
      <c r="W37" s="10"/>
      <c r="X37" s="9">
        <v>0</v>
      </c>
      <c r="Y37" s="10"/>
      <c r="Z37" s="9">
        <v>0</v>
      </c>
      <c r="AA37" s="10"/>
      <c r="AB37" s="11">
        <v>0</v>
      </c>
      <c r="AC37" s="10"/>
      <c r="AD37" s="7">
        <f>SUM(F37+H37+J37+L37+N37+P37+R37+T37+V37+X37+Z37+AB37)</f>
        <v>0</v>
      </c>
      <c r="AE37" s="7">
        <f>E37+AD37</f>
        <v>0</v>
      </c>
      <c r="AF37" s="8">
        <f>G37+I37+K37+M37+O37+Q37+S37+U37+W37+Y37+AA37+AC37</f>
        <v>0</v>
      </c>
      <c r="AG37" s="153">
        <f>SUM(AE37-AF37)</f>
        <v>0</v>
      </c>
      <c r="AH37" s="99" t="s">
        <v>38</v>
      </c>
      <c r="AI37" s="99">
        <v>4</v>
      </c>
    </row>
    <row r="38" spans="1:42" customHeight="1" ht="11.5">
      <c r="A38" s="5">
        <v>30</v>
      </c>
      <c r="B38" s="150" t="s">
        <v>67</v>
      </c>
      <c r="C38" s="151" t="s">
        <v>36</v>
      </c>
      <c r="D38" s="157" t="s">
        <v>37</v>
      </c>
      <c r="E38" s="86">
        <v>39600</v>
      </c>
      <c r="F38" s="9">
        <v>50000</v>
      </c>
      <c r="G38" s="10">
        <v>39600</v>
      </c>
      <c r="H38" s="9">
        <v>35000</v>
      </c>
      <c r="I38" s="10">
        <v>50000</v>
      </c>
      <c r="J38" s="152">
        <v>40000</v>
      </c>
      <c r="K38" s="10">
        <v>35000</v>
      </c>
      <c r="L38" s="152">
        <v>50000</v>
      </c>
      <c r="M38" s="10">
        <v>40000</v>
      </c>
      <c r="N38" s="152">
        <v>40000</v>
      </c>
      <c r="O38" s="10">
        <v>50000</v>
      </c>
      <c r="P38" s="152">
        <v>30000</v>
      </c>
      <c r="Q38" s="10">
        <v>40000</v>
      </c>
      <c r="R38" s="9">
        <v>50000</v>
      </c>
      <c r="S38" s="10"/>
      <c r="T38" s="9">
        <v>0</v>
      </c>
      <c r="U38" s="10"/>
      <c r="V38" s="9">
        <v>0</v>
      </c>
      <c r="W38" s="10"/>
      <c r="X38" s="9">
        <v>0</v>
      </c>
      <c r="Y38" s="10"/>
      <c r="Z38" s="9">
        <v>0</v>
      </c>
      <c r="AA38" s="10"/>
      <c r="AB38" s="11">
        <v>0</v>
      </c>
      <c r="AC38" s="10"/>
      <c r="AD38" s="7">
        <f>SUM(F38+H38+J38+L38+N38+P38+R38+T38+V38+X38+Z38+AB38)</f>
        <v>295000</v>
      </c>
      <c r="AE38" s="7">
        <f>E38+AD38</f>
        <v>334600</v>
      </c>
      <c r="AF38" s="8">
        <f>G38+I38+K38+M38+O38+Q38+S38+U38+W38+Y38+AA38+AC38</f>
        <v>254600</v>
      </c>
      <c r="AG38" s="153">
        <f>SUM(AE38-AF38)</f>
        <v>80000</v>
      </c>
      <c r="AH38" s="99" t="s">
        <v>38</v>
      </c>
      <c r="AI38" s="99">
        <v>4</v>
      </c>
    </row>
    <row r="39" spans="1:42" customHeight="1" ht="11.5">
      <c r="A39" s="5">
        <v>31</v>
      </c>
      <c r="B39" s="150" t="s">
        <v>68</v>
      </c>
      <c r="C39" s="151" t="s">
        <v>36</v>
      </c>
      <c r="D39" s="85" t="s">
        <v>37</v>
      </c>
      <c r="E39" s="86">
        <v>0</v>
      </c>
      <c r="F39" s="9">
        <v>0</v>
      </c>
      <c r="G39" s="10"/>
      <c r="H39" s="9">
        <v>0</v>
      </c>
      <c r="I39" s="10"/>
      <c r="J39" s="152">
        <v>10000</v>
      </c>
      <c r="K39" s="10"/>
      <c r="L39" s="152">
        <v>0</v>
      </c>
      <c r="M39" s="10">
        <v>10000</v>
      </c>
      <c r="N39" s="152">
        <v>0</v>
      </c>
      <c r="O39" s="10"/>
      <c r="P39" s="152">
        <v>0</v>
      </c>
      <c r="Q39" s="10"/>
      <c r="R39" s="9">
        <v>0</v>
      </c>
      <c r="S39" s="10"/>
      <c r="T39" s="9">
        <v>0</v>
      </c>
      <c r="U39" s="10"/>
      <c r="V39" s="9">
        <v>0</v>
      </c>
      <c r="W39" s="10"/>
      <c r="X39" s="9">
        <v>0</v>
      </c>
      <c r="Y39" s="10"/>
      <c r="Z39" s="9">
        <v>0</v>
      </c>
      <c r="AA39" s="10"/>
      <c r="AB39" s="11">
        <v>0</v>
      </c>
      <c r="AC39" s="10"/>
      <c r="AD39" s="7">
        <f>SUM(F39+H39+J39+L39+N39+P39+R39+T39+V39+X39+Z39+AB39)</f>
        <v>10000</v>
      </c>
      <c r="AE39" s="7">
        <f>E39+AD39</f>
        <v>10000</v>
      </c>
      <c r="AF39" s="8">
        <f>G39+I39+K39+M39+O39+Q39+S39+U39+W39+Y39+AA39+AC39</f>
        <v>10000</v>
      </c>
      <c r="AG39" s="153">
        <f>SUM(AE39-AF39)</f>
        <v>0</v>
      </c>
      <c r="AH39" s="99" t="s">
        <v>38</v>
      </c>
      <c r="AI39" s="99">
        <v>4</v>
      </c>
    </row>
    <row r="40" spans="1:42" customHeight="1" ht="11.5">
      <c r="A40" s="5">
        <v>32</v>
      </c>
      <c r="B40" s="150" t="s">
        <v>69</v>
      </c>
      <c r="C40" s="151" t="s">
        <v>36</v>
      </c>
      <c r="D40" s="157" t="s">
        <v>37</v>
      </c>
      <c r="E40" s="86">
        <v>0</v>
      </c>
      <c r="F40" s="9">
        <v>0</v>
      </c>
      <c r="G40" s="10"/>
      <c r="H40" s="9">
        <v>0</v>
      </c>
      <c r="I40" s="10"/>
      <c r="J40" s="152">
        <v>0</v>
      </c>
      <c r="K40" s="10"/>
      <c r="L40" s="152">
        <v>0</v>
      </c>
      <c r="M40" s="10"/>
      <c r="N40" s="152">
        <v>0</v>
      </c>
      <c r="O40" s="10"/>
      <c r="P40" s="152">
        <v>0</v>
      </c>
      <c r="Q40" s="10"/>
      <c r="R40" s="9">
        <v>10000</v>
      </c>
      <c r="S40" s="10"/>
      <c r="T40" s="9">
        <v>0</v>
      </c>
      <c r="U40" s="10"/>
      <c r="V40" s="9">
        <v>0</v>
      </c>
      <c r="W40" s="10"/>
      <c r="X40" s="9">
        <v>0</v>
      </c>
      <c r="Y40" s="10"/>
      <c r="Z40" s="9">
        <v>0</v>
      </c>
      <c r="AA40" s="10"/>
      <c r="AB40" s="11">
        <v>0</v>
      </c>
      <c r="AC40" s="10"/>
      <c r="AD40" s="7">
        <f>SUM(F40+H40+J40+L40+N40+P40+R40+T40+V40+X40+Z40+AB40)</f>
        <v>10000</v>
      </c>
      <c r="AE40" s="7">
        <f>E40+AD40</f>
        <v>10000</v>
      </c>
      <c r="AF40" s="8">
        <f>G40+I40+K40+M40+O40+Q40+S40+U40+W40+Y40+AA40+AC40</f>
        <v>0</v>
      </c>
      <c r="AG40" s="153">
        <f>SUM(AE40-AF40)</f>
        <v>10000</v>
      </c>
      <c r="AH40" s="99" t="s">
        <v>38</v>
      </c>
      <c r="AI40" s="99">
        <v>4</v>
      </c>
    </row>
    <row r="41" spans="1:42" customHeight="1" ht="11.5">
      <c r="A41" s="5">
        <v>33</v>
      </c>
      <c r="B41" s="150" t="s">
        <v>70</v>
      </c>
      <c r="C41" s="151" t="s">
        <v>36</v>
      </c>
      <c r="D41" s="157" t="s">
        <v>37</v>
      </c>
      <c r="E41" s="86">
        <v>15000</v>
      </c>
      <c r="F41" s="9">
        <v>10000</v>
      </c>
      <c r="G41" s="10">
        <v>15000</v>
      </c>
      <c r="H41" s="9">
        <v>0</v>
      </c>
      <c r="I41" s="10">
        <v>10000</v>
      </c>
      <c r="J41" s="152">
        <v>10000</v>
      </c>
      <c r="K41" s="10"/>
      <c r="L41" s="152">
        <v>10000</v>
      </c>
      <c r="M41" s="10">
        <v>10000</v>
      </c>
      <c r="N41" s="152">
        <v>10000</v>
      </c>
      <c r="O41" s="10">
        <v>10000</v>
      </c>
      <c r="P41" s="152">
        <v>5000</v>
      </c>
      <c r="Q41" s="10">
        <v>10000</v>
      </c>
      <c r="R41" s="9">
        <v>15000</v>
      </c>
      <c r="S41" s="10"/>
      <c r="T41" s="9">
        <v>0</v>
      </c>
      <c r="U41" s="10"/>
      <c r="V41" s="9">
        <v>0</v>
      </c>
      <c r="W41" s="10"/>
      <c r="X41" s="9">
        <v>0</v>
      </c>
      <c r="Y41" s="10"/>
      <c r="Z41" s="9">
        <v>0</v>
      </c>
      <c r="AA41" s="10"/>
      <c r="AB41" s="11">
        <v>0</v>
      </c>
      <c r="AC41" s="10"/>
      <c r="AD41" s="7">
        <f>SUM(F41+H41+J41+L41+N41+P41+R41+T41+V41+X41+Z41+AB41)</f>
        <v>60000</v>
      </c>
      <c r="AE41" s="7">
        <f>E41+AD41</f>
        <v>75000</v>
      </c>
      <c r="AF41" s="8">
        <f>G41+I41+K41+M41+O41+Q41+S41+U41+W41+Y41+AA41+AC41</f>
        <v>55000</v>
      </c>
      <c r="AG41" s="153">
        <f>SUM(AE41-AF41)</f>
        <v>20000</v>
      </c>
      <c r="AH41" s="99" t="s">
        <v>38</v>
      </c>
      <c r="AI41" s="99">
        <v>4</v>
      </c>
    </row>
    <row r="42" spans="1:42" customHeight="1" ht="11.5">
      <c r="A42" s="5">
        <v>34</v>
      </c>
      <c r="B42" s="150" t="s">
        <v>71</v>
      </c>
      <c r="C42" s="151" t="s">
        <v>36</v>
      </c>
      <c r="D42" s="157" t="s">
        <v>37</v>
      </c>
      <c r="E42" s="86">
        <v>20000</v>
      </c>
      <c r="F42" s="9">
        <v>15000</v>
      </c>
      <c r="G42" s="10">
        <v>20000</v>
      </c>
      <c r="H42" s="9">
        <v>0</v>
      </c>
      <c r="I42" s="10">
        <v>15000</v>
      </c>
      <c r="J42" s="152">
        <v>10000</v>
      </c>
      <c r="K42" s="10"/>
      <c r="L42" s="152">
        <v>10000</v>
      </c>
      <c r="M42" s="10">
        <v>10000</v>
      </c>
      <c r="N42" s="152">
        <v>10000</v>
      </c>
      <c r="O42" s="10">
        <v>10000</v>
      </c>
      <c r="P42" s="152">
        <v>10000</v>
      </c>
      <c r="Q42" s="10">
        <v>10000</v>
      </c>
      <c r="R42" s="9">
        <v>15000</v>
      </c>
      <c r="S42" s="10"/>
      <c r="T42" s="9">
        <v>0</v>
      </c>
      <c r="U42" s="10"/>
      <c r="V42" s="9">
        <v>0</v>
      </c>
      <c r="W42" s="10"/>
      <c r="X42" s="9">
        <v>0</v>
      </c>
      <c r="Y42" s="10"/>
      <c r="Z42" s="9">
        <v>0</v>
      </c>
      <c r="AA42" s="10"/>
      <c r="AB42" s="11">
        <v>0</v>
      </c>
      <c r="AC42" s="10"/>
      <c r="AD42" s="7">
        <f>SUM(F42+H42+J42+L42+N42+P42+R42+T42+V42+X42+Z42+AB42)</f>
        <v>70000</v>
      </c>
      <c r="AE42" s="7">
        <f>E42+AD42</f>
        <v>90000</v>
      </c>
      <c r="AF42" s="8">
        <f>G42+I42+K42+M42+O42+Q42+S42+U42+W42+Y42+AA42+AC42</f>
        <v>65000</v>
      </c>
      <c r="AG42" s="153">
        <f>SUM(AE42-AF42)</f>
        <v>25000</v>
      </c>
      <c r="AH42" s="99" t="s">
        <v>38</v>
      </c>
      <c r="AI42" s="99">
        <v>4</v>
      </c>
    </row>
    <row r="43" spans="1:42" customHeight="1" ht="11.5">
      <c r="A43" s="5">
        <v>35</v>
      </c>
      <c r="B43" s="150" t="s">
        <v>72</v>
      </c>
      <c r="C43" s="151" t="s">
        <v>36</v>
      </c>
      <c r="D43" s="157" t="s">
        <v>37</v>
      </c>
      <c r="E43" s="86">
        <v>40000</v>
      </c>
      <c r="F43" s="9">
        <v>35000</v>
      </c>
      <c r="G43" s="10">
        <v>40000</v>
      </c>
      <c r="H43" s="9">
        <v>20000</v>
      </c>
      <c r="I43" s="10">
        <v>35000</v>
      </c>
      <c r="J43" s="152">
        <v>25000</v>
      </c>
      <c r="K43" s="10">
        <v>20000</v>
      </c>
      <c r="L43" s="152">
        <v>15000</v>
      </c>
      <c r="M43" s="10">
        <v>25000</v>
      </c>
      <c r="N43" s="152">
        <v>25000</v>
      </c>
      <c r="O43" s="10">
        <v>15000</v>
      </c>
      <c r="P43" s="152">
        <v>10000</v>
      </c>
      <c r="Q43" s="10">
        <v>25000</v>
      </c>
      <c r="R43" s="9">
        <v>15000</v>
      </c>
      <c r="S43" s="10"/>
      <c r="T43" s="9">
        <v>0</v>
      </c>
      <c r="U43" s="10"/>
      <c r="V43" s="9">
        <v>0</v>
      </c>
      <c r="W43" s="10"/>
      <c r="X43" s="9">
        <v>0</v>
      </c>
      <c r="Y43" s="10"/>
      <c r="Z43" s="9">
        <v>0</v>
      </c>
      <c r="AA43" s="10"/>
      <c r="AB43" s="11">
        <v>0</v>
      </c>
      <c r="AC43" s="10"/>
      <c r="AD43" s="7">
        <f>SUM(F43+H43+J43+L43+N43+P43+R43+T43+V43+X43+Z43+AB43)</f>
        <v>145000</v>
      </c>
      <c r="AE43" s="7">
        <f>E43+AD43</f>
        <v>185000</v>
      </c>
      <c r="AF43" s="8">
        <f>G43+I43+K43+M43+O43+Q43+S43+U43+W43+Y43+AA43+AC43</f>
        <v>160000</v>
      </c>
      <c r="AG43" s="153">
        <f>SUM(AE43-AF43)</f>
        <v>25000</v>
      </c>
      <c r="AH43" s="99" t="s">
        <v>38</v>
      </c>
      <c r="AI43" s="99">
        <v>4</v>
      </c>
    </row>
    <row r="44" spans="1:42" customHeight="1" ht="11.5">
      <c r="A44" s="5">
        <v>36</v>
      </c>
      <c r="B44" s="150" t="s">
        <v>73</v>
      </c>
      <c r="C44" s="151" t="s">
        <v>36</v>
      </c>
      <c r="D44" s="157" t="s">
        <v>37</v>
      </c>
      <c r="E44" s="86">
        <v>0</v>
      </c>
      <c r="F44" s="9">
        <v>0</v>
      </c>
      <c r="G44" s="10"/>
      <c r="H44" s="9">
        <v>0</v>
      </c>
      <c r="I44" s="10"/>
      <c r="J44" s="152">
        <v>0</v>
      </c>
      <c r="K44" s="10"/>
      <c r="L44" s="152">
        <v>8000</v>
      </c>
      <c r="M44" s="10"/>
      <c r="N44" s="152">
        <v>0</v>
      </c>
      <c r="O44" s="10">
        <v>8000</v>
      </c>
      <c r="P44" s="152">
        <v>0</v>
      </c>
      <c r="Q44" s="10"/>
      <c r="R44" s="9">
        <v>0</v>
      </c>
      <c r="S44" s="10"/>
      <c r="T44" s="9">
        <v>0</v>
      </c>
      <c r="U44" s="10"/>
      <c r="V44" s="9">
        <v>0</v>
      </c>
      <c r="W44" s="10"/>
      <c r="X44" s="9">
        <v>0</v>
      </c>
      <c r="Y44" s="10"/>
      <c r="Z44" s="9">
        <v>0</v>
      </c>
      <c r="AA44" s="10"/>
      <c r="AB44" s="11">
        <v>0</v>
      </c>
      <c r="AC44" s="10"/>
      <c r="AD44" s="7">
        <f>SUM(F44+H44+J44+L44+N44+P44+R44+T44+V44+X44+Z44+AB44)</f>
        <v>8000</v>
      </c>
      <c r="AE44" s="7">
        <f>E44+AD44</f>
        <v>8000</v>
      </c>
      <c r="AF44" s="8">
        <f>G44+I44+K44+M44+O44+Q44+S44+U44+W44+Y44+AA44+AC44</f>
        <v>8000</v>
      </c>
      <c r="AG44" s="153">
        <f>SUM(AE44-AF44)</f>
        <v>0</v>
      </c>
      <c r="AH44" s="99" t="s">
        <v>38</v>
      </c>
      <c r="AI44" s="99">
        <v>4</v>
      </c>
    </row>
    <row r="45" spans="1:42" customHeight="1" ht="11.5">
      <c r="A45" s="5">
        <v>37</v>
      </c>
      <c r="B45" s="150" t="s">
        <v>74</v>
      </c>
      <c r="C45" s="151" t="s">
        <v>36</v>
      </c>
      <c r="D45" s="85" t="s">
        <v>37</v>
      </c>
      <c r="E45" s="86">
        <v>10000</v>
      </c>
      <c r="F45" s="9">
        <v>0</v>
      </c>
      <c r="G45" s="10">
        <v>10000</v>
      </c>
      <c r="H45" s="9">
        <v>0</v>
      </c>
      <c r="I45" s="10"/>
      <c r="J45" s="152">
        <v>10000</v>
      </c>
      <c r="K45" s="10"/>
      <c r="L45" s="152">
        <v>0</v>
      </c>
      <c r="M45" s="10">
        <v>10000</v>
      </c>
      <c r="N45" s="152">
        <v>10000</v>
      </c>
      <c r="O45" s="10"/>
      <c r="P45" s="152">
        <v>0</v>
      </c>
      <c r="Q45" s="10">
        <v>10000</v>
      </c>
      <c r="R45" s="9">
        <v>10000</v>
      </c>
      <c r="S45" s="10"/>
      <c r="T45" s="9">
        <v>0</v>
      </c>
      <c r="U45" s="10"/>
      <c r="V45" s="9">
        <v>0</v>
      </c>
      <c r="W45" s="10"/>
      <c r="X45" s="9">
        <v>0</v>
      </c>
      <c r="Y45" s="10"/>
      <c r="Z45" s="9">
        <v>0</v>
      </c>
      <c r="AA45" s="10"/>
      <c r="AB45" s="11">
        <v>0</v>
      </c>
      <c r="AC45" s="10"/>
      <c r="AD45" s="7">
        <f>SUM(F45+H45+J45+L45+N45+P45+R45+T45+V45+X45+Z45+AB45)</f>
        <v>30000</v>
      </c>
      <c r="AE45" s="7">
        <f>E45+AD45</f>
        <v>40000</v>
      </c>
      <c r="AF45" s="8">
        <f>G45+I45+K45+M45+O45+Q45+S45+U45+W45+Y45+AA45+AC45</f>
        <v>30000</v>
      </c>
      <c r="AG45" s="153">
        <f>SUM(AE45-AF45)</f>
        <v>10000</v>
      </c>
      <c r="AH45" s="99" t="s">
        <v>38</v>
      </c>
      <c r="AI45" s="99">
        <v>4</v>
      </c>
    </row>
    <row r="46" spans="1:42" customHeight="1" ht="11.5">
      <c r="A46" s="5">
        <v>38</v>
      </c>
      <c r="B46" s="150" t="s">
        <v>75</v>
      </c>
      <c r="C46" s="151" t="s">
        <v>36</v>
      </c>
      <c r="D46" s="157" t="s">
        <v>37</v>
      </c>
      <c r="E46" s="86">
        <v>10000</v>
      </c>
      <c r="F46" s="9">
        <v>5000</v>
      </c>
      <c r="G46" s="10">
        <v>10000</v>
      </c>
      <c r="H46" s="9">
        <v>10000</v>
      </c>
      <c r="I46" s="10">
        <v>5000</v>
      </c>
      <c r="J46" s="152">
        <v>5000</v>
      </c>
      <c r="K46" s="10">
        <v>10000</v>
      </c>
      <c r="L46" s="152">
        <v>5000</v>
      </c>
      <c r="M46" s="10">
        <v>5000</v>
      </c>
      <c r="N46" s="152">
        <v>5000</v>
      </c>
      <c r="O46" s="10">
        <v>5000</v>
      </c>
      <c r="P46" s="152">
        <v>5000</v>
      </c>
      <c r="Q46" s="10">
        <v>5000</v>
      </c>
      <c r="R46" s="9">
        <v>5000</v>
      </c>
      <c r="S46" s="10"/>
      <c r="T46" s="9">
        <v>0</v>
      </c>
      <c r="U46" s="10"/>
      <c r="V46" s="9">
        <v>0</v>
      </c>
      <c r="W46" s="10"/>
      <c r="X46" s="9">
        <v>0</v>
      </c>
      <c r="Y46" s="10"/>
      <c r="Z46" s="9">
        <v>0</v>
      </c>
      <c r="AA46" s="10"/>
      <c r="AB46" s="11">
        <v>0</v>
      </c>
      <c r="AC46" s="10"/>
      <c r="AD46" s="7">
        <f>SUM(F46+H46+J46+L46+N46+P46+R46+T46+V46+X46+Z46+AB46)</f>
        <v>40000</v>
      </c>
      <c r="AE46" s="7">
        <f>E46+AD46</f>
        <v>50000</v>
      </c>
      <c r="AF46" s="8">
        <f>G46+I46+K46+M46+O46+Q46+S46+U46+W46+Y46+AA46+AC46</f>
        <v>40000</v>
      </c>
      <c r="AG46" s="153">
        <f>SUM(AE46-AF46)</f>
        <v>10000</v>
      </c>
      <c r="AH46" s="99" t="s">
        <v>38</v>
      </c>
      <c r="AI46" s="99">
        <v>4</v>
      </c>
    </row>
    <row r="47" spans="1:42" customHeight="1" ht="11.5">
      <c r="A47" s="5">
        <v>39</v>
      </c>
      <c r="B47" s="158" t="s">
        <v>76</v>
      </c>
      <c r="C47" s="151" t="s">
        <v>36</v>
      </c>
      <c r="D47" s="159" t="s">
        <v>37</v>
      </c>
      <c r="E47" s="86">
        <v>40000</v>
      </c>
      <c r="F47" s="9">
        <v>30000</v>
      </c>
      <c r="G47" s="10">
        <v>40000</v>
      </c>
      <c r="H47" s="9">
        <v>20000</v>
      </c>
      <c r="I47" s="10">
        <v>30000</v>
      </c>
      <c r="J47" s="152">
        <v>15000</v>
      </c>
      <c r="K47" s="10">
        <v>20000</v>
      </c>
      <c r="L47" s="152">
        <v>25000</v>
      </c>
      <c r="M47" s="10">
        <v>15000</v>
      </c>
      <c r="N47" s="152">
        <v>10000</v>
      </c>
      <c r="O47" s="10">
        <v>25000</v>
      </c>
      <c r="P47" s="152">
        <v>20000</v>
      </c>
      <c r="Q47" s="10">
        <v>10000</v>
      </c>
      <c r="R47" s="9">
        <v>20000</v>
      </c>
      <c r="S47" s="10"/>
      <c r="T47" s="9">
        <v>0</v>
      </c>
      <c r="U47" s="10"/>
      <c r="V47" s="9">
        <v>0</v>
      </c>
      <c r="W47" s="10"/>
      <c r="X47" s="9">
        <v>0</v>
      </c>
      <c r="Y47" s="10"/>
      <c r="Z47" s="9">
        <v>0</v>
      </c>
      <c r="AA47" s="10"/>
      <c r="AB47" s="11">
        <v>0</v>
      </c>
      <c r="AC47" s="10"/>
      <c r="AD47" s="7">
        <f>SUM(F47+H47+J47+L47+N47+P47+R47+T47+V47+X47+Z47+AB47)</f>
        <v>140000</v>
      </c>
      <c r="AE47" s="7">
        <f>E47+AD47</f>
        <v>180000</v>
      </c>
      <c r="AF47" s="8">
        <f>G47+I47+K47+M47+O47+Q47+S47+U47+W47+Y47+AA47+AC47</f>
        <v>140000</v>
      </c>
      <c r="AG47" s="153">
        <f>SUM(AE47-AF47)</f>
        <v>40000</v>
      </c>
      <c r="AH47" s="99" t="s">
        <v>38</v>
      </c>
      <c r="AI47" s="99">
        <v>4</v>
      </c>
    </row>
    <row r="48" spans="1:42" customHeight="1" ht="11.5">
      <c r="A48" s="5">
        <v>40</v>
      </c>
      <c r="B48" s="150" t="s">
        <v>77</v>
      </c>
      <c r="C48" s="151" t="s">
        <v>36</v>
      </c>
      <c r="D48" s="157" t="s">
        <v>37</v>
      </c>
      <c r="E48" s="86">
        <v>0</v>
      </c>
      <c r="F48" s="9">
        <v>0</v>
      </c>
      <c r="G48" s="10"/>
      <c r="H48" s="9">
        <v>0</v>
      </c>
      <c r="I48" s="10"/>
      <c r="J48" s="152">
        <v>0</v>
      </c>
      <c r="K48" s="10"/>
      <c r="L48" s="152">
        <v>0</v>
      </c>
      <c r="M48" s="10"/>
      <c r="N48" s="152">
        <v>0</v>
      </c>
      <c r="O48" s="10"/>
      <c r="P48" s="152">
        <v>8964</v>
      </c>
      <c r="Q48" s="10"/>
      <c r="R48" s="9">
        <v>0</v>
      </c>
      <c r="S48" s="10"/>
      <c r="T48" s="9">
        <v>0</v>
      </c>
      <c r="U48" s="10"/>
      <c r="V48" s="9">
        <v>0</v>
      </c>
      <c r="W48" s="10"/>
      <c r="X48" s="9">
        <v>0</v>
      </c>
      <c r="Y48" s="10"/>
      <c r="Z48" s="9">
        <v>0</v>
      </c>
      <c r="AA48" s="10"/>
      <c r="AB48" s="11">
        <v>0</v>
      </c>
      <c r="AC48" s="10"/>
      <c r="AD48" s="7">
        <f>SUM(F48+H48+J48+L48+N48+P48+R48+T48+V48+X48+Z48+AB48)</f>
        <v>8964</v>
      </c>
      <c r="AE48" s="7">
        <f>E48+AD48</f>
        <v>8964</v>
      </c>
      <c r="AF48" s="8">
        <f>G48+I48+K48+M48+O48+Q48+S48+U48+W48+Y48+AA48+AC48</f>
        <v>0</v>
      </c>
      <c r="AG48" s="153">
        <f>SUM(AE48-AF48)</f>
        <v>8964</v>
      </c>
      <c r="AH48" s="99" t="s">
        <v>38</v>
      </c>
      <c r="AI48" s="99">
        <v>4</v>
      </c>
    </row>
    <row r="49" spans="1:42" customHeight="1" ht="11.5">
      <c r="A49" s="5">
        <v>41</v>
      </c>
      <c r="B49" s="150" t="s">
        <v>78</v>
      </c>
      <c r="C49" s="151" t="s">
        <v>36</v>
      </c>
      <c r="D49" s="157" t="s">
        <v>37</v>
      </c>
      <c r="E49" s="86">
        <v>20000</v>
      </c>
      <c r="F49" s="9">
        <v>10000</v>
      </c>
      <c r="G49" s="10">
        <v>20000</v>
      </c>
      <c r="H49" s="9">
        <v>0</v>
      </c>
      <c r="I49" s="10">
        <v>10000</v>
      </c>
      <c r="J49" s="152">
        <v>10000</v>
      </c>
      <c r="K49" s="10"/>
      <c r="L49" s="152">
        <v>10000</v>
      </c>
      <c r="M49" s="10">
        <v>10000</v>
      </c>
      <c r="N49" s="152">
        <v>10000</v>
      </c>
      <c r="O49" s="10">
        <v>10000</v>
      </c>
      <c r="P49" s="152">
        <v>10000</v>
      </c>
      <c r="Q49" s="10">
        <v>10000</v>
      </c>
      <c r="R49" s="9">
        <v>10000</v>
      </c>
      <c r="S49" s="10"/>
      <c r="T49" s="9">
        <v>0</v>
      </c>
      <c r="U49" s="10"/>
      <c r="V49" s="9">
        <v>0</v>
      </c>
      <c r="W49" s="10"/>
      <c r="X49" s="9">
        <v>0</v>
      </c>
      <c r="Y49" s="10"/>
      <c r="Z49" s="9">
        <v>0</v>
      </c>
      <c r="AA49" s="10"/>
      <c r="AB49" s="11">
        <v>0</v>
      </c>
      <c r="AC49" s="10"/>
      <c r="AD49" s="7">
        <f>SUM(F49+H49+J49+L49+N49+P49+R49+T49+V49+X49+Z49+AB49)</f>
        <v>60000</v>
      </c>
      <c r="AE49" s="7">
        <f>E49+AD49</f>
        <v>80000</v>
      </c>
      <c r="AF49" s="8">
        <f>G49+I49+K49+M49+O49+Q49+S49+U49+W49+Y49+AA49+AC49</f>
        <v>60000</v>
      </c>
      <c r="AG49" s="153">
        <f>SUM(AE49-AF49)</f>
        <v>20000</v>
      </c>
      <c r="AH49" s="99" t="s">
        <v>38</v>
      </c>
      <c r="AI49" s="99">
        <v>4</v>
      </c>
    </row>
    <row r="50" spans="1:42" customHeight="1" ht="11.5">
      <c r="A50" s="5">
        <v>42</v>
      </c>
      <c r="B50" s="150" t="s">
        <v>79</v>
      </c>
      <c r="C50" s="151" t="s">
        <v>36</v>
      </c>
      <c r="D50" s="157" t="s">
        <v>37</v>
      </c>
      <c r="E50" s="86">
        <v>65000</v>
      </c>
      <c r="F50" s="9">
        <v>65000</v>
      </c>
      <c r="G50" s="10">
        <v>65000</v>
      </c>
      <c r="H50" s="9">
        <v>50000</v>
      </c>
      <c r="I50" s="10">
        <v>65000</v>
      </c>
      <c r="J50" s="152">
        <v>30000</v>
      </c>
      <c r="K50" s="10">
        <v>50000</v>
      </c>
      <c r="L50" s="152">
        <v>30000</v>
      </c>
      <c r="M50" s="10">
        <v>30000</v>
      </c>
      <c r="N50" s="152">
        <v>50000</v>
      </c>
      <c r="O50" s="10">
        <v>30000</v>
      </c>
      <c r="P50" s="152">
        <v>60000</v>
      </c>
      <c r="Q50" s="10">
        <v>50000</v>
      </c>
      <c r="R50" s="9">
        <v>50000</v>
      </c>
      <c r="S50" s="10"/>
      <c r="T50" s="9">
        <v>0</v>
      </c>
      <c r="U50" s="10"/>
      <c r="V50" s="9">
        <v>0</v>
      </c>
      <c r="W50" s="10"/>
      <c r="X50" s="9">
        <v>0</v>
      </c>
      <c r="Y50" s="10"/>
      <c r="Z50" s="9">
        <v>0</v>
      </c>
      <c r="AA50" s="10"/>
      <c r="AB50" s="11">
        <v>0</v>
      </c>
      <c r="AC50" s="10"/>
      <c r="AD50" s="7">
        <f>SUM(F50+H50+J50+L50+N50+P50+R50+T50+V50+X50+Z50+AB50)</f>
        <v>335000</v>
      </c>
      <c r="AE50" s="7">
        <f>E50+AD50</f>
        <v>400000</v>
      </c>
      <c r="AF50" s="8">
        <f>G50+I50+K50+M50+O50+Q50+S50+U50+W50+Y50+AA50+AC50</f>
        <v>290000</v>
      </c>
      <c r="AG50" s="153">
        <f>SUM(AE50-AF50)</f>
        <v>110000</v>
      </c>
      <c r="AH50" s="99" t="s">
        <v>38</v>
      </c>
      <c r="AI50" s="99">
        <v>4</v>
      </c>
    </row>
    <row r="51" spans="1:42" customHeight="1" ht="11.5">
      <c r="A51" s="5">
        <v>43</v>
      </c>
      <c r="B51" s="150" t="s">
        <v>80</v>
      </c>
      <c r="C51" s="151" t="s">
        <v>36</v>
      </c>
      <c r="D51" s="85" t="s">
        <v>37</v>
      </c>
      <c r="E51" s="86">
        <v>20000</v>
      </c>
      <c r="F51" s="9">
        <v>15000</v>
      </c>
      <c r="G51" s="10">
        <v>20000</v>
      </c>
      <c r="H51" s="9">
        <v>0</v>
      </c>
      <c r="I51" s="10">
        <v>15000</v>
      </c>
      <c r="J51" s="152">
        <v>5000</v>
      </c>
      <c r="K51" s="10"/>
      <c r="L51" s="152">
        <v>10000</v>
      </c>
      <c r="M51" s="10">
        <v>5000</v>
      </c>
      <c r="N51" s="152">
        <v>5000</v>
      </c>
      <c r="O51" s="10">
        <v>10000</v>
      </c>
      <c r="P51" s="152">
        <v>10000</v>
      </c>
      <c r="Q51" s="10">
        <v>5000</v>
      </c>
      <c r="R51" s="9">
        <v>15000</v>
      </c>
      <c r="S51" s="10"/>
      <c r="T51" s="9">
        <v>0</v>
      </c>
      <c r="U51" s="10"/>
      <c r="V51" s="9">
        <v>0</v>
      </c>
      <c r="W51" s="10"/>
      <c r="X51" s="9">
        <v>0</v>
      </c>
      <c r="Y51" s="10"/>
      <c r="Z51" s="9">
        <v>0</v>
      </c>
      <c r="AA51" s="10"/>
      <c r="AB51" s="11">
        <v>0</v>
      </c>
      <c r="AC51" s="10"/>
      <c r="AD51" s="7">
        <f>SUM(F51+H51+J51+L51+N51+P51+R51+T51+V51+X51+Z51+AB51)</f>
        <v>60000</v>
      </c>
      <c r="AE51" s="7">
        <f>E51+AD51</f>
        <v>80000</v>
      </c>
      <c r="AF51" s="8">
        <f>G51+I51+K51+M51+O51+Q51+S51+U51+W51+Y51+AA51+AC51</f>
        <v>55000</v>
      </c>
      <c r="AG51" s="153">
        <f>SUM(AE51-AF51)</f>
        <v>25000</v>
      </c>
      <c r="AH51" s="99" t="s">
        <v>38</v>
      </c>
      <c r="AI51" s="99">
        <v>4</v>
      </c>
    </row>
    <row r="52" spans="1:42" customHeight="1" ht="11.5">
      <c r="A52" s="5">
        <v>44</v>
      </c>
      <c r="B52" s="150" t="s">
        <v>81</v>
      </c>
      <c r="C52" s="151" t="s">
        <v>36</v>
      </c>
      <c r="D52" s="157" t="s">
        <v>37</v>
      </c>
      <c r="E52" s="86">
        <v>4000</v>
      </c>
      <c r="F52" s="9">
        <v>5000</v>
      </c>
      <c r="G52" s="10">
        <v>4000</v>
      </c>
      <c r="H52" s="9">
        <v>4000</v>
      </c>
      <c r="I52" s="10">
        <v>5000</v>
      </c>
      <c r="J52" s="152">
        <v>0</v>
      </c>
      <c r="K52" s="10">
        <v>4000</v>
      </c>
      <c r="L52" s="152">
        <v>5000</v>
      </c>
      <c r="M52" s="10"/>
      <c r="N52" s="152">
        <v>4000</v>
      </c>
      <c r="O52" s="10">
        <v>5000</v>
      </c>
      <c r="P52" s="152">
        <v>4000</v>
      </c>
      <c r="Q52" s="10">
        <v>4000</v>
      </c>
      <c r="R52" s="9">
        <v>9000</v>
      </c>
      <c r="S52" s="10"/>
      <c r="T52" s="9">
        <v>0</v>
      </c>
      <c r="U52" s="10"/>
      <c r="V52" s="9">
        <v>0</v>
      </c>
      <c r="W52" s="10"/>
      <c r="X52" s="9">
        <v>0</v>
      </c>
      <c r="Y52" s="10"/>
      <c r="Z52" s="9">
        <v>0</v>
      </c>
      <c r="AA52" s="10"/>
      <c r="AB52" s="11">
        <v>0</v>
      </c>
      <c r="AC52" s="10"/>
      <c r="AD52" s="7">
        <f>SUM(F52+H52+J52+L52+N52+P52+R52+T52+V52+X52+Z52+AB52)</f>
        <v>31000</v>
      </c>
      <c r="AE52" s="7">
        <f>E52+AD52</f>
        <v>35000</v>
      </c>
      <c r="AF52" s="8">
        <f>G52+I52+K52+M52+O52+Q52+S52+U52+W52+Y52+AA52+AC52</f>
        <v>22000</v>
      </c>
      <c r="AG52" s="153">
        <f>SUM(AE52-AF52)</f>
        <v>13000</v>
      </c>
      <c r="AH52" s="99" t="s">
        <v>38</v>
      </c>
      <c r="AI52" s="99">
        <v>4</v>
      </c>
    </row>
    <row r="53" spans="1:42" customHeight="1" ht="11.5">
      <c r="A53" s="5">
        <v>45</v>
      </c>
      <c r="B53" s="150" t="s">
        <v>82</v>
      </c>
      <c r="C53" s="151" t="s">
        <v>36</v>
      </c>
      <c r="D53" s="157" t="s">
        <v>37</v>
      </c>
      <c r="E53" s="86">
        <v>10000</v>
      </c>
      <c r="F53" s="9">
        <v>5000</v>
      </c>
      <c r="G53" s="10">
        <v>10000</v>
      </c>
      <c r="H53" s="9">
        <v>0</v>
      </c>
      <c r="I53" s="10">
        <v>5000</v>
      </c>
      <c r="J53" s="152">
        <v>5000</v>
      </c>
      <c r="K53" s="10"/>
      <c r="L53" s="152">
        <v>5000</v>
      </c>
      <c r="M53" s="10">
        <v>5000</v>
      </c>
      <c r="N53" s="152">
        <v>0</v>
      </c>
      <c r="O53" s="10">
        <v>5000</v>
      </c>
      <c r="P53" s="152">
        <v>5000</v>
      </c>
      <c r="Q53" s="10"/>
      <c r="R53" s="9">
        <v>10000</v>
      </c>
      <c r="S53" s="10"/>
      <c r="T53" s="9">
        <v>0</v>
      </c>
      <c r="U53" s="10"/>
      <c r="V53" s="9">
        <v>0</v>
      </c>
      <c r="W53" s="10"/>
      <c r="X53" s="9">
        <v>0</v>
      </c>
      <c r="Y53" s="10"/>
      <c r="Z53" s="9">
        <v>0</v>
      </c>
      <c r="AA53" s="10"/>
      <c r="AB53" s="11">
        <v>0</v>
      </c>
      <c r="AC53" s="10"/>
      <c r="AD53" s="7">
        <f>SUM(F53+H53+J53+L53+N53+P53+R53+T53+V53+X53+Z53+AB53)</f>
        <v>30000</v>
      </c>
      <c r="AE53" s="7">
        <f>E53+AD53</f>
        <v>40000</v>
      </c>
      <c r="AF53" s="8">
        <f>G53+I53+K53+M53+O53+Q53+S53+U53+W53+Y53+AA53+AC53</f>
        <v>25000</v>
      </c>
      <c r="AG53" s="153">
        <f>SUM(AE53-AF53)</f>
        <v>15000</v>
      </c>
      <c r="AH53" s="99" t="s">
        <v>38</v>
      </c>
      <c r="AI53" s="99">
        <v>4</v>
      </c>
    </row>
    <row r="54" spans="1:42" customHeight="1" ht="11.5">
      <c r="A54" s="5">
        <v>46</v>
      </c>
      <c r="B54" s="150" t="s">
        <v>83</v>
      </c>
      <c r="C54" s="151" t="s">
        <v>36</v>
      </c>
      <c r="D54" s="85" t="s">
        <v>37</v>
      </c>
      <c r="E54" s="86">
        <v>0</v>
      </c>
      <c r="F54" s="9">
        <v>0</v>
      </c>
      <c r="G54" s="10"/>
      <c r="H54" s="9">
        <v>0</v>
      </c>
      <c r="I54" s="10"/>
      <c r="J54" s="152">
        <v>0</v>
      </c>
      <c r="K54" s="10"/>
      <c r="L54" s="152">
        <v>0</v>
      </c>
      <c r="M54" s="10"/>
      <c r="N54" s="152">
        <v>0</v>
      </c>
      <c r="O54" s="10"/>
      <c r="P54" s="152">
        <v>0</v>
      </c>
      <c r="Q54" s="10"/>
      <c r="R54" s="9">
        <v>10000</v>
      </c>
      <c r="S54" s="10"/>
      <c r="T54" s="9">
        <v>0</v>
      </c>
      <c r="U54" s="10"/>
      <c r="V54" s="9">
        <v>0</v>
      </c>
      <c r="W54" s="10"/>
      <c r="X54" s="9">
        <v>0</v>
      </c>
      <c r="Y54" s="10"/>
      <c r="Z54" s="9">
        <v>0</v>
      </c>
      <c r="AA54" s="10"/>
      <c r="AB54" s="11">
        <v>0</v>
      </c>
      <c r="AC54" s="10"/>
      <c r="AD54" s="7">
        <f>SUM(F54+H54+J54+L54+N54+P54+R54+T54+V54+X54+Z54+AB54)</f>
        <v>10000</v>
      </c>
      <c r="AE54" s="7">
        <f>E54+AD54</f>
        <v>10000</v>
      </c>
      <c r="AF54" s="8">
        <f>G54+I54+K54+M54+O54+Q54+S54+U54+W54+Y54+AA54+AC54</f>
        <v>0</v>
      </c>
      <c r="AG54" s="153">
        <f>SUM(AE54-AF54)</f>
        <v>10000</v>
      </c>
      <c r="AH54" s="99" t="s">
        <v>38</v>
      </c>
      <c r="AI54" s="99">
        <v>4</v>
      </c>
    </row>
    <row r="55" spans="1:42" customHeight="1" ht="11.5">
      <c r="A55" s="5">
        <v>47</v>
      </c>
      <c r="B55" s="150" t="s">
        <v>84</v>
      </c>
      <c r="C55" s="151" t="s">
        <v>36</v>
      </c>
      <c r="D55" s="85" t="s">
        <v>37</v>
      </c>
      <c r="E55" s="86">
        <v>0</v>
      </c>
      <c r="F55" s="9">
        <v>0</v>
      </c>
      <c r="G55" s="10"/>
      <c r="H55" s="9">
        <v>0</v>
      </c>
      <c r="I55" s="10"/>
      <c r="J55" s="152">
        <v>0</v>
      </c>
      <c r="K55" s="10"/>
      <c r="L55" s="152">
        <v>0</v>
      </c>
      <c r="M55" s="10"/>
      <c r="N55" s="152">
        <v>0</v>
      </c>
      <c r="O55" s="10"/>
      <c r="P55" s="152">
        <v>0</v>
      </c>
      <c r="Q55" s="10"/>
      <c r="R55" s="9">
        <v>0</v>
      </c>
      <c r="S55" s="10"/>
      <c r="T55" s="9">
        <v>0</v>
      </c>
      <c r="U55" s="10"/>
      <c r="V55" s="9">
        <v>0</v>
      </c>
      <c r="W55" s="10"/>
      <c r="X55" s="9">
        <v>0</v>
      </c>
      <c r="Y55" s="10"/>
      <c r="Z55" s="9">
        <v>0</v>
      </c>
      <c r="AA55" s="10"/>
      <c r="AB55" s="11">
        <v>0</v>
      </c>
      <c r="AC55" s="10"/>
      <c r="AD55" s="7">
        <f>SUM(F55+H55+J55+L55+N55+P55+R55+T55+V55+X55+Z55+AB55)</f>
        <v>0</v>
      </c>
      <c r="AE55" s="7">
        <f>E55+AD55</f>
        <v>0</v>
      </c>
      <c r="AF55" s="8">
        <f>G55+I55+K55+M55+O55+Q55+S55+U55+W55+Y55+AA55+AC55</f>
        <v>0</v>
      </c>
      <c r="AG55" s="153">
        <f>SUM(AE55-AF55)</f>
        <v>0</v>
      </c>
      <c r="AH55" s="99" t="s">
        <v>38</v>
      </c>
      <c r="AI55" s="99">
        <v>4</v>
      </c>
    </row>
    <row r="56" spans="1:42" customHeight="1" ht="11.5">
      <c r="A56" s="5">
        <v>48</v>
      </c>
      <c r="B56" s="150" t="s">
        <v>85</v>
      </c>
      <c r="C56" s="151" t="s">
        <v>36</v>
      </c>
      <c r="D56" s="85" t="s">
        <v>37</v>
      </c>
      <c r="E56" s="86">
        <v>0</v>
      </c>
      <c r="F56" s="9">
        <v>5000</v>
      </c>
      <c r="G56" s="10"/>
      <c r="H56" s="9">
        <v>0</v>
      </c>
      <c r="I56" s="10">
        <v>5000</v>
      </c>
      <c r="J56" s="152">
        <v>0</v>
      </c>
      <c r="K56" s="10"/>
      <c r="L56" s="152">
        <v>0</v>
      </c>
      <c r="M56" s="10"/>
      <c r="N56" s="152">
        <v>5000</v>
      </c>
      <c r="O56" s="10"/>
      <c r="P56" s="152">
        <v>0</v>
      </c>
      <c r="Q56" s="10">
        <v>5000</v>
      </c>
      <c r="R56" s="9">
        <v>0</v>
      </c>
      <c r="S56" s="10"/>
      <c r="T56" s="9">
        <v>0</v>
      </c>
      <c r="U56" s="10"/>
      <c r="V56" s="9">
        <v>0</v>
      </c>
      <c r="W56" s="10"/>
      <c r="X56" s="9">
        <v>0</v>
      </c>
      <c r="Y56" s="10"/>
      <c r="Z56" s="9">
        <v>0</v>
      </c>
      <c r="AA56" s="10"/>
      <c r="AB56" s="11">
        <v>0</v>
      </c>
      <c r="AC56" s="10"/>
      <c r="AD56" s="7">
        <f>SUM(F56+H56+J56+L56+N56+P56+R56+T56+V56+X56+Z56+AB56)</f>
        <v>10000</v>
      </c>
      <c r="AE56" s="7">
        <f>E56+AD56</f>
        <v>10000</v>
      </c>
      <c r="AF56" s="8">
        <f>G56+I56+K56+M56+O56+Q56+S56+U56+W56+Y56+AA56+AC56</f>
        <v>10000</v>
      </c>
      <c r="AG56" s="153">
        <f>SUM(AE56-AF56)</f>
        <v>0</v>
      </c>
      <c r="AH56" s="99" t="s">
        <v>38</v>
      </c>
      <c r="AI56" s="99">
        <v>4</v>
      </c>
    </row>
    <row r="57" spans="1:42" customHeight="1" ht="11.5">
      <c r="A57" s="5">
        <v>49</v>
      </c>
      <c r="B57" s="150" t="s">
        <v>86</v>
      </c>
      <c r="C57" s="151" t="s">
        <v>36</v>
      </c>
      <c r="D57" s="85" t="s">
        <v>37</v>
      </c>
      <c r="E57" s="86">
        <v>5000</v>
      </c>
      <c r="F57" s="9">
        <v>5000</v>
      </c>
      <c r="G57" s="10">
        <v>5000</v>
      </c>
      <c r="H57" s="9">
        <v>0</v>
      </c>
      <c r="I57" s="10">
        <v>5000</v>
      </c>
      <c r="J57" s="152">
        <v>5000</v>
      </c>
      <c r="K57" s="10"/>
      <c r="L57" s="152">
        <v>5000</v>
      </c>
      <c r="M57" s="10">
        <v>5000</v>
      </c>
      <c r="N57" s="152">
        <v>5000</v>
      </c>
      <c r="O57" s="10">
        <v>5000</v>
      </c>
      <c r="P57" s="152">
        <v>5000</v>
      </c>
      <c r="Q57" s="10">
        <v>5000</v>
      </c>
      <c r="R57" s="9">
        <v>5000</v>
      </c>
      <c r="S57" s="10"/>
      <c r="T57" s="9">
        <v>0</v>
      </c>
      <c r="U57" s="10"/>
      <c r="V57" s="9">
        <v>0</v>
      </c>
      <c r="W57" s="10"/>
      <c r="X57" s="9">
        <v>0</v>
      </c>
      <c r="Y57" s="10"/>
      <c r="Z57" s="9">
        <v>0</v>
      </c>
      <c r="AA57" s="10"/>
      <c r="AB57" s="11">
        <v>0</v>
      </c>
      <c r="AC57" s="10"/>
      <c r="AD57" s="7">
        <f>SUM(F57+H57+J57+L57+N57+P57+R57+T57+V57+X57+Z57+AB57)</f>
        <v>30000</v>
      </c>
      <c r="AE57" s="7">
        <f>E57+AD57</f>
        <v>35000</v>
      </c>
      <c r="AF57" s="8">
        <f>G57+I57+K57+M57+O57+Q57+S57+U57+W57+Y57+AA57+AC57</f>
        <v>25000</v>
      </c>
      <c r="AG57" s="153">
        <f>SUM(AE57-AF57)</f>
        <v>10000</v>
      </c>
      <c r="AH57" s="99" t="s">
        <v>38</v>
      </c>
      <c r="AI57" s="99">
        <v>4</v>
      </c>
    </row>
    <row r="58" spans="1:42" customHeight="1" ht="11.5">
      <c r="A58" s="5">
        <v>50</v>
      </c>
      <c r="B58" s="150" t="s">
        <v>87</v>
      </c>
      <c r="C58" s="151" t="s">
        <v>36</v>
      </c>
      <c r="D58" s="85" t="s">
        <v>37</v>
      </c>
      <c r="E58" s="86">
        <v>0</v>
      </c>
      <c r="F58" s="9">
        <v>0</v>
      </c>
      <c r="G58" s="10"/>
      <c r="H58" s="9">
        <v>0</v>
      </c>
      <c r="I58" s="10"/>
      <c r="J58" s="152">
        <v>0</v>
      </c>
      <c r="K58" s="10"/>
      <c r="L58" s="152">
        <v>0</v>
      </c>
      <c r="M58" s="10"/>
      <c r="N58" s="152">
        <v>0</v>
      </c>
      <c r="O58" s="10"/>
      <c r="P58" s="152">
        <v>0</v>
      </c>
      <c r="Q58" s="10"/>
      <c r="R58" s="9">
        <v>0</v>
      </c>
      <c r="S58" s="10"/>
      <c r="T58" s="9">
        <v>0</v>
      </c>
      <c r="U58" s="10"/>
      <c r="V58" s="9">
        <v>0</v>
      </c>
      <c r="W58" s="10"/>
      <c r="X58" s="9">
        <v>0</v>
      </c>
      <c r="Y58" s="10"/>
      <c r="Z58" s="9">
        <v>0</v>
      </c>
      <c r="AA58" s="10"/>
      <c r="AB58" s="11">
        <v>0</v>
      </c>
      <c r="AC58" s="10"/>
      <c r="AD58" s="7">
        <f>SUM(F58+H58+J58+L58+N58+P58+R58+T58+V58+X58+Z58+AB58)</f>
        <v>0</v>
      </c>
      <c r="AE58" s="7">
        <f>E58+AD58</f>
        <v>0</v>
      </c>
      <c r="AF58" s="8">
        <f>G58+I58+K58+M58+O58+Q58+S58+U58+W58+Y58+AA58+AC58</f>
        <v>0</v>
      </c>
      <c r="AG58" s="153">
        <f>SUM(AE58-AF58)</f>
        <v>0</v>
      </c>
      <c r="AH58" s="99" t="s">
        <v>38</v>
      </c>
      <c r="AI58" s="99">
        <v>4</v>
      </c>
    </row>
    <row r="59" spans="1:42" customHeight="1" ht="11.5">
      <c r="A59" s="5">
        <v>51</v>
      </c>
      <c r="B59" s="150" t="s">
        <v>88</v>
      </c>
      <c r="C59" s="151" t="s">
        <v>36</v>
      </c>
      <c r="D59" s="85" t="s">
        <v>37</v>
      </c>
      <c r="E59" s="86">
        <v>0</v>
      </c>
      <c r="F59" s="9">
        <v>0</v>
      </c>
      <c r="G59" s="10"/>
      <c r="H59" s="9">
        <v>5000</v>
      </c>
      <c r="I59" s="10"/>
      <c r="J59" s="152">
        <v>0</v>
      </c>
      <c r="K59" s="10">
        <v>5000</v>
      </c>
      <c r="L59" s="152">
        <v>0</v>
      </c>
      <c r="M59" s="10"/>
      <c r="N59" s="152">
        <v>0</v>
      </c>
      <c r="O59" s="10"/>
      <c r="P59" s="152">
        <v>5000</v>
      </c>
      <c r="Q59" s="10"/>
      <c r="R59" s="9">
        <v>0</v>
      </c>
      <c r="S59" s="10"/>
      <c r="T59" s="9">
        <v>0</v>
      </c>
      <c r="U59" s="10"/>
      <c r="V59" s="9">
        <v>0</v>
      </c>
      <c r="W59" s="10"/>
      <c r="X59" s="9">
        <v>0</v>
      </c>
      <c r="Y59" s="10"/>
      <c r="Z59" s="9">
        <v>0</v>
      </c>
      <c r="AA59" s="10"/>
      <c r="AB59" s="11">
        <v>0</v>
      </c>
      <c r="AC59" s="10"/>
      <c r="AD59" s="7">
        <f>SUM(F59+H59+J59+L59+N59+P59+R59+T59+V59+X59+Z59+AB59)</f>
        <v>10000</v>
      </c>
      <c r="AE59" s="7">
        <f>E59+AD59</f>
        <v>10000</v>
      </c>
      <c r="AF59" s="8">
        <f>G59+I59+K59+M59+O59+Q59+S59+U59+W59+Y59+AA59+AC59</f>
        <v>5000</v>
      </c>
      <c r="AG59" s="153">
        <f>SUM(AE59-AF59)</f>
        <v>5000</v>
      </c>
      <c r="AH59" s="99" t="s">
        <v>38</v>
      </c>
      <c r="AI59" s="99">
        <v>4</v>
      </c>
    </row>
    <row r="60" spans="1:42" customHeight="1" ht="11.5">
      <c r="A60" s="5">
        <v>52</v>
      </c>
      <c r="B60" s="150" t="s">
        <v>89</v>
      </c>
      <c r="C60" s="151" t="s">
        <v>36</v>
      </c>
      <c r="D60" s="85" t="s">
        <v>37</v>
      </c>
      <c r="E60" s="86">
        <v>24000</v>
      </c>
      <c r="F60" s="9">
        <v>24000</v>
      </c>
      <c r="G60" s="10">
        <v>24000</v>
      </c>
      <c r="H60" s="9">
        <v>24000</v>
      </c>
      <c r="I60" s="10">
        <v>24000</v>
      </c>
      <c r="J60" s="152">
        <v>8000</v>
      </c>
      <c r="K60" s="10">
        <v>24000</v>
      </c>
      <c r="L60" s="152">
        <v>8000</v>
      </c>
      <c r="M60" s="10">
        <v>8000</v>
      </c>
      <c r="N60" s="152">
        <v>16000</v>
      </c>
      <c r="O60" s="10">
        <v>8000</v>
      </c>
      <c r="P60" s="152">
        <v>16000</v>
      </c>
      <c r="Q60" s="10">
        <v>16000</v>
      </c>
      <c r="R60" s="9">
        <v>24000</v>
      </c>
      <c r="S60" s="10"/>
      <c r="T60" s="9">
        <v>0</v>
      </c>
      <c r="U60" s="10"/>
      <c r="V60" s="9">
        <v>0</v>
      </c>
      <c r="W60" s="10"/>
      <c r="X60" s="9">
        <v>0</v>
      </c>
      <c r="Y60" s="10"/>
      <c r="Z60" s="9">
        <v>0</v>
      </c>
      <c r="AA60" s="10"/>
      <c r="AB60" s="11">
        <v>0</v>
      </c>
      <c r="AC60" s="10"/>
      <c r="AD60" s="7">
        <f>SUM(F60+H60+J60+L60+N60+P60+R60+T60+V60+X60+Z60+AB60)</f>
        <v>120000</v>
      </c>
      <c r="AE60" s="7">
        <f>E60+AD60</f>
        <v>144000</v>
      </c>
      <c r="AF60" s="8">
        <f>G60+I60+K60+M60+O60+Q60+S60+U60+W60+Y60+AA60+AC60</f>
        <v>104000</v>
      </c>
      <c r="AG60" s="153">
        <f>SUM(AE60-AF60)</f>
        <v>40000</v>
      </c>
      <c r="AH60" s="99" t="s">
        <v>38</v>
      </c>
      <c r="AI60" s="99">
        <v>4</v>
      </c>
    </row>
    <row r="61" spans="1:42" customHeight="1" ht="11.5">
      <c r="A61" s="5">
        <v>53</v>
      </c>
      <c r="B61" s="150" t="s">
        <v>90</v>
      </c>
      <c r="C61" s="151" t="s">
        <v>91</v>
      </c>
      <c r="D61" s="85" t="s">
        <v>92</v>
      </c>
      <c r="E61" s="86">
        <v>0</v>
      </c>
      <c r="F61" s="9">
        <v>0</v>
      </c>
      <c r="G61" s="10"/>
      <c r="H61" s="9">
        <v>0</v>
      </c>
      <c r="I61" s="10"/>
      <c r="J61" s="152">
        <v>0</v>
      </c>
      <c r="K61" s="10"/>
      <c r="L61" s="152">
        <v>0</v>
      </c>
      <c r="M61" s="10"/>
      <c r="N61" s="152">
        <v>0</v>
      </c>
      <c r="O61" s="10"/>
      <c r="P61" s="152">
        <v>0</v>
      </c>
      <c r="Q61" s="10"/>
      <c r="R61" s="9">
        <v>0</v>
      </c>
      <c r="S61" s="10"/>
      <c r="T61" s="9">
        <v>0</v>
      </c>
      <c r="U61" s="10"/>
      <c r="V61" s="9">
        <v>0</v>
      </c>
      <c r="W61" s="10"/>
      <c r="X61" s="9">
        <v>0</v>
      </c>
      <c r="Y61" s="10"/>
      <c r="Z61" s="9">
        <v>0</v>
      </c>
      <c r="AA61" s="10"/>
      <c r="AB61" s="11">
        <v>0</v>
      </c>
      <c r="AC61" s="10"/>
      <c r="AD61" s="7">
        <f>SUM(F61+H61+J61+L61+N61+P61+R61+T61+V61+X61+Z61+AB61)</f>
        <v>0</v>
      </c>
      <c r="AE61" s="7">
        <f>E61+AD61</f>
        <v>0</v>
      </c>
      <c r="AF61" s="8">
        <f>G61+I61+K61+M61+O61+Q61+S61+U61+W61+Y61+AA61+AC61</f>
        <v>0</v>
      </c>
      <c r="AG61" s="153">
        <f>SUM(AE61-AF61)</f>
        <v>0</v>
      </c>
      <c r="AH61" s="99" t="s">
        <v>38</v>
      </c>
      <c r="AI61" s="99">
        <v>4</v>
      </c>
    </row>
    <row r="62" spans="1:42" customHeight="1" ht="11.5">
      <c r="A62" s="5">
        <v>54</v>
      </c>
      <c r="B62" s="150" t="s">
        <v>93</v>
      </c>
      <c r="C62" s="151" t="s">
        <v>91</v>
      </c>
      <c r="D62" s="160" t="s">
        <v>92</v>
      </c>
      <c r="E62" s="86">
        <v>249264</v>
      </c>
      <c r="F62" s="9">
        <v>165000</v>
      </c>
      <c r="G62" s="10">
        <v>249264</v>
      </c>
      <c r="H62" s="9">
        <v>155000</v>
      </c>
      <c r="I62" s="10">
        <v>154992</v>
      </c>
      <c r="J62" s="152">
        <v>190000</v>
      </c>
      <c r="K62" s="10">
        <v>165008</v>
      </c>
      <c r="L62" s="152">
        <v>190000</v>
      </c>
      <c r="M62" s="10">
        <v>190000</v>
      </c>
      <c r="N62" s="152">
        <v>150000</v>
      </c>
      <c r="O62" s="10">
        <v>190000</v>
      </c>
      <c r="P62" s="152">
        <v>185000</v>
      </c>
      <c r="Q62" s="10">
        <v>150000</v>
      </c>
      <c r="R62" s="9">
        <v>185000</v>
      </c>
      <c r="S62" s="10"/>
      <c r="T62" s="9">
        <v>0</v>
      </c>
      <c r="U62" s="10"/>
      <c r="V62" s="9">
        <v>0</v>
      </c>
      <c r="W62" s="10"/>
      <c r="X62" s="9">
        <v>0</v>
      </c>
      <c r="Y62" s="10"/>
      <c r="Z62" s="9">
        <v>0</v>
      </c>
      <c r="AA62" s="10"/>
      <c r="AB62" s="11">
        <v>0</v>
      </c>
      <c r="AC62" s="10"/>
      <c r="AD62" s="7">
        <f>SUM(F62+H62+J62+L62+N62+P62+R62+T62+V62+X62+Z62+AB62)</f>
        <v>1220000</v>
      </c>
      <c r="AE62" s="7">
        <f>E62+AD62</f>
        <v>1469264</v>
      </c>
      <c r="AF62" s="8">
        <f>G62+I62+K62+M62+O62+Q62+S62+U62+W62+Y62+AA62+AC62</f>
        <v>1099264</v>
      </c>
      <c r="AG62" s="153">
        <f>SUM(AE62-AF62)</f>
        <v>370000</v>
      </c>
      <c r="AH62" s="99" t="s">
        <v>38</v>
      </c>
      <c r="AI62" s="99">
        <v>4</v>
      </c>
    </row>
    <row r="63" spans="1:42" customHeight="1" ht="11.5">
      <c r="A63" s="5">
        <v>55</v>
      </c>
      <c r="B63" s="150" t="s">
        <v>94</v>
      </c>
      <c r="C63" s="151" t="s">
        <v>91</v>
      </c>
      <c r="D63" s="85" t="s">
        <v>92</v>
      </c>
      <c r="E63" s="86">
        <v>0</v>
      </c>
      <c r="F63" s="9">
        <v>0</v>
      </c>
      <c r="G63" s="10"/>
      <c r="H63" s="9">
        <v>0</v>
      </c>
      <c r="I63" s="10"/>
      <c r="J63" s="152">
        <v>0</v>
      </c>
      <c r="K63" s="10"/>
      <c r="L63" s="152">
        <v>0</v>
      </c>
      <c r="M63" s="10"/>
      <c r="N63" s="152">
        <v>0</v>
      </c>
      <c r="O63" s="10"/>
      <c r="P63" s="152">
        <v>0</v>
      </c>
      <c r="Q63" s="10"/>
      <c r="R63" s="9">
        <v>0</v>
      </c>
      <c r="S63" s="10"/>
      <c r="T63" s="9">
        <v>0</v>
      </c>
      <c r="U63" s="10"/>
      <c r="V63" s="9">
        <v>0</v>
      </c>
      <c r="W63" s="10"/>
      <c r="X63" s="9">
        <v>0</v>
      </c>
      <c r="Y63" s="10"/>
      <c r="Z63" s="9">
        <v>0</v>
      </c>
      <c r="AA63" s="10"/>
      <c r="AB63" s="11">
        <v>0</v>
      </c>
      <c r="AC63" s="10"/>
      <c r="AD63" s="7">
        <f>SUM(F63+H63+J63+L63+N63+P63+R63+T63+V63+X63+Z63+AB63)</f>
        <v>0</v>
      </c>
      <c r="AE63" s="7">
        <f>E63+AD63</f>
        <v>0</v>
      </c>
      <c r="AF63" s="8">
        <f>G63+I63+K63+M63+O63+Q63+S63+U63+W63+Y63+AA63+AC63</f>
        <v>0</v>
      </c>
      <c r="AG63" s="153">
        <f>SUM(AE63-AF63)</f>
        <v>0</v>
      </c>
      <c r="AH63" s="99" t="s">
        <v>38</v>
      </c>
      <c r="AI63" s="99">
        <v>4</v>
      </c>
    </row>
    <row r="64" spans="1:42" customHeight="1" ht="11.5">
      <c r="A64" s="5">
        <v>56</v>
      </c>
      <c r="B64" s="150" t="s">
        <v>95</v>
      </c>
      <c r="C64" s="151" t="s">
        <v>91</v>
      </c>
      <c r="D64" s="85" t="s">
        <v>92</v>
      </c>
      <c r="E64" s="86">
        <v>0</v>
      </c>
      <c r="F64" s="9">
        <v>0</v>
      </c>
      <c r="G64" s="10"/>
      <c r="H64" s="9">
        <v>0</v>
      </c>
      <c r="I64" s="10"/>
      <c r="J64" s="152">
        <v>0</v>
      </c>
      <c r="K64" s="10"/>
      <c r="L64" s="152">
        <v>0</v>
      </c>
      <c r="M64" s="10"/>
      <c r="N64" s="152">
        <v>0</v>
      </c>
      <c r="O64" s="10"/>
      <c r="P64" s="152">
        <v>0</v>
      </c>
      <c r="Q64" s="10"/>
      <c r="R64" s="9">
        <v>0</v>
      </c>
      <c r="S64" s="10"/>
      <c r="T64" s="9">
        <v>0</v>
      </c>
      <c r="U64" s="10"/>
      <c r="V64" s="9">
        <v>0</v>
      </c>
      <c r="W64" s="10"/>
      <c r="X64" s="9">
        <v>0</v>
      </c>
      <c r="Y64" s="10"/>
      <c r="Z64" s="9">
        <v>0</v>
      </c>
      <c r="AA64" s="10"/>
      <c r="AB64" s="11">
        <v>0</v>
      </c>
      <c r="AC64" s="10"/>
      <c r="AD64" s="7">
        <f>SUM(F64+H64+J64+L64+N64+P64+R64+T64+V64+X64+Z64+AB64)</f>
        <v>0</v>
      </c>
      <c r="AE64" s="7">
        <f>E64+AD64</f>
        <v>0</v>
      </c>
      <c r="AF64" s="8">
        <f>G64+I64+K64+M64+O64+Q64+S64+U64+W64+Y64+AA64+AC64</f>
        <v>0</v>
      </c>
      <c r="AG64" s="153">
        <f>SUM(AE64-AF64)</f>
        <v>0</v>
      </c>
      <c r="AH64" s="99" t="s">
        <v>38</v>
      </c>
      <c r="AI64" s="99">
        <v>4</v>
      </c>
    </row>
    <row r="65" spans="1:42" customHeight="1" ht="11.5">
      <c r="A65" s="5">
        <v>57</v>
      </c>
      <c r="B65" s="150" t="s">
        <v>96</v>
      </c>
      <c r="C65" s="151" t="s">
        <v>91</v>
      </c>
      <c r="D65" s="85" t="s">
        <v>92</v>
      </c>
      <c r="E65" s="86">
        <v>0</v>
      </c>
      <c r="F65" s="9">
        <v>0</v>
      </c>
      <c r="G65" s="10"/>
      <c r="H65" s="9">
        <v>0</v>
      </c>
      <c r="I65" s="10"/>
      <c r="J65" s="152">
        <v>0</v>
      </c>
      <c r="K65" s="10"/>
      <c r="L65" s="152">
        <v>0</v>
      </c>
      <c r="M65" s="10"/>
      <c r="N65" s="152">
        <v>0</v>
      </c>
      <c r="O65" s="10"/>
      <c r="P65" s="152">
        <v>0</v>
      </c>
      <c r="Q65" s="10"/>
      <c r="R65" s="9">
        <v>0</v>
      </c>
      <c r="S65" s="10"/>
      <c r="T65" s="9">
        <v>0</v>
      </c>
      <c r="U65" s="10"/>
      <c r="V65" s="9">
        <v>0</v>
      </c>
      <c r="W65" s="10"/>
      <c r="X65" s="9">
        <v>0</v>
      </c>
      <c r="Y65" s="10"/>
      <c r="Z65" s="9">
        <v>0</v>
      </c>
      <c r="AA65" s="10"/>
      <c r="AB65" s="11">
        <v>0</v>
      </c>
      <c r="AC65" s="10"/>
      <c r="AD65" s="7">
        <f>SUM(F65+H65+J65+L65+N65+P65+R65+T65+V65+X65+Z65+AB65)</f>
        <v>0</v>
      </c>
      <c r="AE65" s="7">
        <f>E65+AD65</f>
        <v>0</v>
      </c>
      <c r="AF65" s="8">
        <f>G65+I65+K65+M65+O65+Q65+S65+U65+W65+Y65+AA65+AC65</f>
        <v>0</v>
      </c>
      <c r="AG65" s="153">
        <f>SUM(AE65-AF65)</f>
        <v>0</v>
      </c>
      <c r="AH65" s="99" t="s">
        <v>38</v>
      </c>
      <c r="AI65" s="99">
        <v>4</v>
      </c>
    </row>
    <row r="66" spans="1:42" customHeight="1" ht="11.5">
      <c r="A66" s="5">
        <v>58</v>
      </c>
      <c r="B66" s="150" t="s">
        <v>97</v>
      </c>
      <c r="C66" s="151" t="s">
        <v>91</v>
      </c>
      <c r="D66" s="85" t="s">
        <v>92</v>
      </c>
      <c r="E66" s="86">
        <v>5000</v>
      </c>
      <c r="F66" s="9">
        <v>0</v>
      </c>
      <c r="G66" s="10">
        <v>5000</v>
      </c>
      <c r="H66" s="9">
        <v>0</v>
      </c>
      <c r="I66" s="10"/>
      <c r="J66" s="152">
        <v>5000</v>
      </c>
      <c r="K66" s="10"/>
      <c r="L66" s="152">
        <v>0</v>
      </c>
      <c r="M66" s="10">
        <v>5000</v>
      </c>
      <c r="N66" s="152">
        <v>0</v>
      </c>
      <c r="O66" s="10"/>
      <c r="P66" s="152">
        <v>0</v>
      </c>
      <c r="Q66" s="10"/>
      <c r="R66" s="9">
        <v>5000</v>
      </c>
      <c r="S66" s="10"/>
      <c r="T66" s="9">
        <v>0</v>
      </c>
      <c r="U66" s="10"/>
      <c r="V66" s="9">
        <v>0</v>
      </c>
      <c r="W66" s="10"/>
      <c r="X66" s="9">
        <v>0</v>
      </c>
      <c r="Y66" s="10"/>
      <c r="Z66" s="9">
        <v>0</v>
      </c>
      <c r="AA66" s="10"/>
      <c r="AB66" s="11">
        <v>0</v>
      </c>
      <c r="AC66" s="10"/>
      <c r="AD66" s="7">
        <f>SUM(F66+H66+J66+L66+N66+P66+R66+T66+V66+X66+Z66+AB66)</f>
        <v>10000</v>
      </c>
      <c r="AE66" s="7">
        <f>E66+AD66</f>
        <v>15000</v>
      </c>
      <c r="AF66" s="8">
        <f>G66+I66+K66+M66+O66+Q66+S66+U66+W66+Y66+AA66+AC66</f>
        <v>10000</v>
      </c>
      <c r="AG66" s="153">
        <f>SUM(AE66-AF66)</f>
        <v>5000</v>
      </c>
      <c r="AH66" s="99" t="s">
        <v>38</v>
      </c>
      <c r="AI66" s="99">
        <v>4</v>
      </c>
    </row>
    <row r="67" spans="1:42" customHeight="1" ht="11.5">
      <c r="A67" s="5">
        <v>59</v>
      </c>
      <c r="B67" s="150" t="s">
        <v>98</v>
      </c>
      <c r="C67" s="151" t="s">
        <v>91</v>
      </c>
      <c r="D67" s="85" t="s">
        <v>92</v>
      </c>
      <c r="E67" s="86">
        <v>0</v>
      </c>
      <c r="F67" s="9">
        <v>0</v>
      </c>
      <c r="G67" s="10"/>
      <c r="H67" s="9">
        <v>0</v>
      </c>
      <c r="I67" s="10"/>
      <c r="J67" s="152">
        <v>0</v>
      </c>
      <c r="K67" s="10"/>
      <c r="L67" s="152">
        <v>20000</v>
      </c>
      <c r="M67" s="10"/>
      <c r="N67" s="152">
        <v>0</v>
      </c>
      <c r="O67" s="10">
        <v>20000</v>
      </c>
      <c r="P67" s="152">
        <v>0</v>
      </c>
      <c r="Q67" s="10"/>
      <c r="R67" s="9">
        <v>0</v>
      </c>
      <c r="S67" s="10"/>
      <c r="T67" s="9">
        <v>0</v>
      </c>
      <c r="U67" s="10"/>
      <c r="V67" s="9">
        <v>0</v>
      </c>
      <c r="W67" s="10"/>
      <c r="X67" s="9">
        <v>0</v>
      </c>
      <c r="Y67" s="10"/>
      <c r="Z67" s="9">
        <v>0</v>
      </c>
      <c r="AA67" s="10"/>
      <c r="AB67" s="11">
        <v>0</v>
      </c>
      <c r="AC67" s="10"/>
      <c r="AD67" s="7">
        <f>SUM(F67+H67+J67+L67+N67+P67+R67+T67+V67+X67+Z67+AB67)</f>
        <v>20000</v>
      </c>
      <c r="AE67" s="7">
        <f>E67+AD67</f>
        <v>20000</v>
      </c>
      <c r="AF67" s="8">
        <f>G67+I67+K67+M67+O67+Q67+S67+U67+W67+Y67+AA67+AC67</f>
        <v>20000</v>
      </c>
      <c r="AG67" s="153">
        <f>SUM(AE67-AF67)</f>
        <v>0</v>
      </c>
      <c r="AH67" s="99" t="s">
        <v>38</v>
      </c>
      <c r="AI67" s="99">
        <v>4</v>
      </c>
    </row>
    <row r="68" spans="1:42" customHeight="1" ht="11.5">
      <c r="A68" s="5">
        <v>60</v>
      </c>
      <c r="B68" s="150" t="s">
        <v>99</v>
      </c>
      <c r="C68" s="151" t="s">
        <v>91</v>
      </c>
      <c r="D68" s="85" t="s">
        <v>92</v>
      </c>
      <c r="E68" s="86">
        <v>0</v>
      </c>
      <c r="F68" s="9">
        <v>0</v>
      </c>
      <c r="G68" s="10"/>
      <c r="H68" s="9">
        <v>0</v>
      </c>
      <c r="I68" s="10"/>
      <c r="J68" s="152">
        <v>0</v>
      </c>
      <c r="K68" s="10"/>
      <c r="L68" s="152">
        <v>0</v>
      </c>
      <c r="M68" s="10"/>
      <c r="N68" s="152">
        <v>30000</v>
      </c>
      <c r="O68" s="10"/>
      <c r="P68" s="152">
        <v>0</v>
      </c>
      <c r="Q68" s="10">
        <v>30000</v>
      </c>
      <c r="R68" s="9">
        <v>0</v>
      </c>
      <c r="S68" s="10"/>
      <c r="T68" s="9">
        <v>0</v>
      </c>
      <c r="U68" s="10"/>
      <c r="V68" s="9">
        <v>0</v>
      </c>
      <c r="W68" s="10"/>
      <c r="X68" s="9">
        <v>0</v>
      </c>
      <c r="Y68" s="10"/>
      <c r="Z68" s="9">
        <v>0</v>
      </c>
      <c r="AA68" s="10"/>
      <c r="AB68" s="11">
        <v>0</v>
      </c>
      <c r="AC68" s="10"/>
      <c r="AD68" s="7">
        <f>SUM(F68+H68+J68+L68+N68+P68+R68+T68+V68+X68+Z68+AB68)</f>
        <v>30000</v>
      </c>
      <c r="AE68" s="7">
        <f>E68+AD68</f>
        <v>30000</v>
      </c>
      <c r="AF68" s="8">
        <f>G68+I68+K68+M68+O68+Q68+S68+U68+W68+Y68+AA68+AC68</f>
        <v>30000</v>
      </c>
      <c r="AG68" s="153">
        <f>SUM(AE68-AF68)</f>
        <v>0</v>
      </c>
      <c r="AH68" s="99" t="s">
        <v>38</v>
      </c>
      <c r="AI68" s="99">
        <v>4</v>
      </c>
    </row>
    <row r="69" spans="1:42" customHeight="1" ht="11.5">
      <c r="A69" s="5">
        <v>61</v>
      </c>
      <c r="B69" s="150" t="s">
        <v>100</v>
      </c>
      <c r="C69" s="151" t="s">
        <v>101</v>
      </c>
      <c r="D69" s="85" t="s">
        <v>102</v>
      </c>
      <c r="E69" s="86">
        <v>0</v>
      </c>
      <c r="F69" s="9">
        <v>0</v>
      </c>
      <c r="G69" s="10"/>
      <c r="H69" s="9">
        <v>10000</v>
      </c>
      <c r="I69" s="10"/>
      <c r="J69" s="152">
        <v>0</v>
      </c>
      <c r="K69" s="10">
        <v>10000</v>
      </c>
      <c r="L69" s="152">
        <v>0</v>
      </c>
      <c r="M69" s="10"/>
      <c r="N69" s="152">
        <v>0</v>
      </c>
      <c r="O69" s="10"/>
      <c r="P69" s="152">
        <v>0</v>
      </c>
      <c r="Q69" s="10"/>
      <c r="R69" s="9">
        <v>0</v>
      </c>
      <c r="S69" s="10"/>
      <c r="T69" s="9">
        <v>0</v>
      </c>
      <c r="U69" s="10"/>
      <c r="V69" s="9">
        <v>0</v>
      </c>
      <c r="W69" s="10"/>
      <c r="X69" s="9">
        <v>0</v>
      </c>
      <c r="Y69" s="10"/>
      <c r="Z69" s="9">
        <v>0</v>
      </c>
      <c r="AA69" s="10"/>
      <c r="AB69" s="11">
        <v>0</v>
      </c>
      <c r="AC69" s="10"/>
      <c r="AD69" s="7">
        <f>SUM(F69+H69+J69+L69+N69+P69+R69+T69+V69+X69+Z69+AB69)</f>
        <v>10000</v>
      </c>
      <c r="AE69" s="7">
        <f>E69+AD69</f>
        <v>10000</v>
      </c>
      <c r="AF69" s="8">
        <f>G69+I69+K69+M69+O69+Q69+S69+U69+W69+Y69+AA69+AC69</f>
        <v>10000</v>
      </c>
      <c r="AG69" s="153">
        <f>SUM(AE69-AF69)</f>
        <v>0</v>
      </c>
      <c r="AH69" s="99" t="s">
        <v>38</v>
      </c>
      <c r="AI69" s="99">
        <v>4</v>
      </c>
    </row>
    <row r="70" spans="1:42" customHeight="1" ht="11.5">
      <c r="A70" s="5">
        <v>62</v>
      </c>
      <c r="B70" s="150" t="s">
        <v>103</v>
      </c>
      <c r="C70" s="151" t="s">
        <v>101</v>
      </c>
      <c r="D70" s="85" t="s">
        <v>102</v>
      </c>
      <c r="E70" s="86">
        <v>30000</v>
      </c>
      <c r="F70" s="9">
        <v>30000</v>
      </c>
      <c r="G70" s="10">
        <v>30000</v>
      </c>
      <c r="H70" s="9">
        <v>20000</v>
      </c>
      <c r="I70" s="10"/>
      <c r="J70" s="152">
        <v>20000</v>
      </c>
      <c r="K70" s="10">
        <v>50000</v>
      </c>
      <c r="L70" s="152">
        <v>10000</v>
      </c>
      <c r="M70" s="10">
        <v>20000</v>
      </c>
      <c r="N70" s="152">
        <v>20000</v>
      </c>
      <c r="O70" s="10">
        <v>10000</v>
      </c>
      <c r="P70" s="152">
        <v>30000</v>
      </c>
      <c r="Q70" s="10">
        <v>20000</v>
      </c>
      <c r="R70" s="9">
        <v>0</v>
      </c>
      <c r="S70" s="10"/>
      <c r="T70" s="9">
        <v>0</v>
      </c>
      <c r="U70" s="10"/>
      <c r="V70" s="9">
        <v>0</v>
      </c>
      <c r="W70" s="10"/>
      <c r="X70" s="9">
        <v>0</v>
      </c>
      <c r="Y70" s="10"/>
      <c r="Z70" s="9">
        <v>0</v>
      </c>
      <c r="AA70" s="10"/>
      <c r="AB70" s="11">
        <v>0</v>
      </c>
      <c r="AC70" s="10"/>
      <c r="AD70" s="7">
        <f>SUM(F70+H70+J70+L70+N70+P70+R70+T70+V70+X70+Z70+AB70)</f>
        <v>130000</v>
      </c>
      <c r="AE70" s="7">
        <f>E70+AD70</f>
        <v>160000</v>
      </c>
      <c r="AF70" s="8">
        <f>G70+I70+K70+M70+O70+Q70+S70+U70+W70+Y70+AA70+AC70</f>
        <v>130000</v>
      </c>
      <c r="AG70" s="153">
        <f>SUM(AE70-AF70)</f>
        <v>30000</v>
      </c>
      <c r="AH70" s="99" t="s">
        <v>38</v>
      </c>
      <c r="AI70" s="99">
        <v>4</v>
      </c>
    </row>
    <row r="71" spans="1:42" customHeight="1" ht="11.5">
      <c r="A71" s="5">
        <v>63</v>
      </c>
      <c r="B71" s="150" t="s">
        <v>104</v>
      </c>
      <c r="C71" s="151" t="s">
        <v>105</v>
      </c>
      <c r="D71" s="85" t="s">
        <v>106</v>
      </c>
      <c r="E71" s="86">
        <v>0</v>
      </c>
      <c r="F71" s="9">
        <v>20000</v>
      </c>
      <c r="G71" s="10"/>
      <c r="H71" s="9">
        <v>0</v>
      </c>
      <c r="I71" s="10">
        <v>20000</v>
      </c>
      <c r="J71" s="152">
        <v>0</v>
      </c>
      <c r="K71" s="10"/>
      <c r="L71" s="152">
        <v>20000</v>
      </c>
      <c r="M71" s="10"/>
      <c r="N71" s="152">
        <v>0</v>
      </c>
      <c r="O71" s="10">
        <v>20000</v>
      </c>
      <c r="P71" s="152">
        <v>40000</v>
      </c>
      <c r="Q71" s="10"/>
      <c r="R71" s="9">
        <v>20000</v>
      </c>
      <c r="S71" s="10"/>
      <c r="T71" s="9">
        <v>0</v>
      </c>
      <c r="U71" s="10"/>
      <c r="V71" s="9">
        <v>0</v>
      </c>
      <c r="W71" s="10"/>
      <c r="X71" s="9">
        <v>0</v>
      </c>
      <c r="Y71" s="10"/>
      <c r="Z71" s="9">
        <v>0</v>
      </c>
      <c r="AA71" s="10"/>
      <c r="AB71" s="11">
        <v>0</v>
      </c>
      <c r="AC71" s="10"/>
      <c r="AD71" s="7">
        <f>SUM(F71+H71+J71+L71+N71+P71+R71+T71+V71+X71+Z71+AB71)</f>
        <v>100000</v>
      </c>
      <c r="AE71" s="7">
        <f>E71+AD71</f>
        <v>100000</v>
      </c>
      <c r="AF71" s="8">
        <f>G71+I71+K71+M71+O71+Q71+S71+U71+W71+Y71+AA71+AC71</f>
        <v>40000</v>
      </c>
      <c r="AG71" s="153">
        <f>SUM(AE71-AF71)</f>
        <v>60000</v>
      </c>
      <c r="AH71" s="99" t="s">
        <v>38</v>
      </c>
      <c r="AI71" s="99">
        <v>4</v>
      </c>
    </row>
    <row r="72" spans="1:42" customHeight="1" ht="11.5">
      <c r="A72" s="5">
        <v>64</v>
      </c>
      <c r="B72" s="150" t="s">
        <v>107</v>
      </c>
      <c r="C72" s="151" t="s">
        <v>105</v>
      </c>
      <c r="D72" s="85" t="s">
        <v>106</v>
      </c>
      <c r="E72" s="86">
        <v>20000</v>
      </c>
      <c r="F72" s="9">
        <v>60000</v>
      </c>
      <c r="G72" s="10">
        <v>20000</v>
      </c>
      <c r="H72" s="9">
        <v>60000</v>
      </c>
      <c r="I72" s="10"/>
      <c r="J72" s="152">
        <v>20000</v>
      </c>
      <c r="K72" s="10">
        <v>120000</v>
      </c>
      <c r="L72" s="152">
        <v>40000</v>
      </c>
      <c r="M72" s="10">
        <v>20000</v>
      </c>
      <c r="N72" s="152">
        <v>0</v>
      </c>
      <c r="O72" s="10">
        <v>40000</v>
      </c>
      <c r="P72" s="152">
        <v>40000</v>
      </c>
      <c r="Q72" s="10"/>
      <c r="R72" s="9">
        <v>40000</v>
      </c>
      <c r="S72" s="10"/>
      <c r="T72" s="9">
        <v>0</v>
      </c>
      <c r="U72" s="10"/>
      <c r="V72" s="9">
        <v>0</v>
      </c>
      <c r="W72" s="10"/>
      <c r="X72" s="9">
        <v>0</v>
      </c>
      <c r="Y72" s="10"/>
      <c r="Z72" s="9">
        <v>0</v>
      </c>
      <c r="AA72" s="10"/>
      <c r="AB72" s="11">
        <v>0</v>
      </c>
      <c r="AC72" s="10"/>
      <c r="AD72" s="7">
        <f>SUM(F72+H72+J72+L72+N72+P72+R72+T72+V72+X72+Z72+AB72)</f>
        <v>260000</v>
      </c>
      <c r="AE72" s="7">
        <f>E72+AD72</f>
        <v>280000</v>
      </c>
      <c r="AF72" s="8">
        <f>G72+I72+K72+M72+O72+Q72+S72+U72+W72+Y72+AA72+AC72</f>
        <v>200000</v>
      </c>
      <c r="AG72" s="153">
        <f>SUM(AE72-AF72)</f>
        <v>80000</v>
      </c>
      <c r="AH72" s="99" t="s">
        <v>38</v>
      </c>
      <c r="AI72" s="99">
        <v>4</v>
      </c>
    </row>
    <row r="73" spans="1:42" customHeight="1" ht="11.5">
      <c r="A73" s="5">
        <v>65</v>
      </c>
      <c r="B73" s="150" t="s">
        <v>108</v>
      </c>
      <c r="C73" s="151" t="s">
        <v>109</v>
      </c>
      <c r="D73" s="85" t="s">
        <v>110</v>
      </c>
      <c r="E73" s="86">
        <v>71000</v>
      </c>
      <c r="F73" s="9">
        <v>91000</v>
      </c>
      <c r="G73" s="10">
        <v>69000</v>
      </c>
      <c r="H73" s="9">
        <v>119000</v>
      </c>
      <c r="I73" s="10"/>
      <c r="J73" s="152">
        <v>117000</v>
      </c>
      <c r="K73" s="10">
        <v>173784</v>
      </c>
      <c r="L73" s="152">
        <v>105000</v>
      </c>
      <c r="M73" s="10"/>
      <c r="N73" s="152">
        <v>108000</v>
      </c>
      <c r="O73" s="10">
        <v>260216</v>
      </c>
      <c r="P73" s="152">
        <v>101000</v>
      </c>
      <c r="Q73" s="10"/>
      <c r="R73" s="9">
        <v>147000</v>
      </c>
      <c r="S73" s="10"/>
      <c r="T73" s="9">
        <v>0</v>
      </c>
      <c r="U73" s="10"/>
      <c r="V73" s="9">
        <v>0</v>
      </c>
      <c r="W73" s="10"/>
      <c r="X73" s="9">
        <v>0</v>
      </c>
      <c r="Y73" s="10"/>
      <c r="Z73" s="9">
        <v>0</v>
      </c>
      <c r="AA73" s="10"/>
      <c r="AB73" s="11">
        <v>0</v>
      </c>
      <c r="AC73" s="10"/>
      <c r="AD73" s="7">
        <f>SUM(F73+H73+J73+L73+N73+P73+R73+T73+V73+X73+Z73+AB73)</f>
        <v>788000</v>
      </c>
      <c r="AE73" s="7">
        <f>E73+AD73</f>
        <v>859000</v>
      </c>
      <c r="AF73" s="8">
        <f>G73+I73+K73+M73+O73+Q73+S73+U73+W73+Y73+AA73+AC73</f>
        <v>503000</v>
      </c>
      <c r="AG73" s="153">
        <f>SUM(AE73-AF73)</f>
        <v>356000</v>
      </c>
      <c r="AH73" s="99" t="s">
        <v>38</v>
      </c>
      <c r="AI73" s="99">
        <v>4</v>
      </c>
    </row>
    <row r="74" spans="1:42" customHeight="1" ht="11.5">
      <c r="A74" s="5">
        <v>66</v>
      </c>
      <c r="B74" s="150" t="s">
        <v>111</v>
      </c>
      <c r="C74" s="151" t="s">
        <v>112</v>
      </c>
      <c r="D74" s="85" t="s">
        <v>113</v>
      </c>
      <c r="E74" s="86">
        <v>0</v>
      </c>
      <c r="F74" s="9">
        <v>0</v>
      </c>
      <c r="G74" s="10"/>
      <c r="H74" s="9">
        <v>0</v>
      </c>
      <c r="I74" s="10"/>
      <c r="J74" s="152">
        <v>10000</v>
      </c>
      <c r="K74" s="10"/>
      <c r="L74" s="152">
        <v>0</v>
      </c>
      <c r="M74" s="10">
        <v>10000</v>
      </c>
      <c r="N74" s="152">
        <v>0</v>
      </c>
      <c r="O74" s="10"/>
      <c r="P74" s="152">
        <v>0</v>
      </c>
      <c r="Q74" s="10"/>
      <c r="R74" s="9">
        <v>0</v>
      </c>
      <c r="S74" s="10"/>
      <c r="T74" s="9">
        <v>0</v>
      </c>
      <c r="U74" s="10"/>
      <c r="V74" s="9">
        <v>0</v>
      </c>
      <c r="W74" s="10"/>
      <c r="X74" s="9">
        <v>0</v>
      </c>
      <c r="Y74" s="10"/>
      <c r="Z74" s="9">
        <v>0</v>
      </c>
      <c r="AA74" s="10"/>
      <c r="AB74" s="11">
        <v>0</v>
      </c>
      <c r="AC74" s="10"/>
      <c r="AD74" s="7">
        <f>SUM(F74+H74+J74+L74+N74+P74+R74+T74+V74+X74+Z74+AB74)</f>
        <v>10000</v>
      </c>
      <c r="AE74" s="7">
        <f>E74+AD74</f>
        <v>10000</v>
      </c>
      <c r="AF74" s="8">
        <f>G74+I74+K74+M74+O74+Q74+S74+U74+W74+Y74+AA74+AC74</f>
        <v>10000</v>
      </c>
      <c r="AG74" s="153">
        <f>SUM(AE74-AF74)</f>
        <v>0</v>
      </c>
      <c r="AH74" s="99" t="s">
        <v>38</v>
      </c>
      <c r="AI74" s="99">
        <v>4</v>
      </c>
    </row>
    <row r="75" spans="1:42" customHeight="1" ht="11.5">
      <c r="A75" s="5">
        <v>67</v>
      </c>
      <c r="B75" s="150" t="s">
        <v>114</v>
      </c>
      <c r="C75" s="151" t="s">
        <v>105</v>
      </c>
      <c r="D75" s="85" t="s">
        <v>106</v>
      </c>
      <c r="E75" s="86">
        <v>312292</v>
      </c>
      <c r="F75" s="9">
        <v>140000</v>
      </c>
      <c r="G75" s="10">
        <v>312292</v>
      </c>
      <c r="H75" s="9">
        <v>120000</v>
      </c>
      <c r="I75" s="10">
        <v>140000</v>
      </c>
      <c r="J75" s="152">
        <v>160000</v>
      </c>
      <c r="K75" s="10">
        <v>94720</v>
      </c>
      <c r="L75" s="152">
        <v>120000</v>
      </c>
      <c r="M75" s="10">
        <v>185280</v>
      </c>
      <c r="N75" s="152">
        <v>160000</v>
      </c>
      <c r="O75" s="10">
        <v>120000</v>
      </c>
      <c r="P75" s="152">
        <v>120000</v>
      </c>
      <c r="Q75" s="10">
        <v>160000</v>
      </c>
      <c r="R75" s="9">
        <v>160000</v>
      </c>
      <c r="S75" s="10"/>
      <c r="T75" s="9">
        <v>0</v>
      </c>
      <c r="U75" s="10"/>
      <c r="V75" s="9">
        <v>0</v>
      </c>
      <c r="W75" s="10"/>
      <c r="X75" s="9">
        <v>0</v>
      </c>
      <c r="Y75" s="10"/>
      <c r="Z75" s="9">
        <v>0</v>
      </c>
      <c r="AA75" s="10"/>
      <c r="AB75" s="11">
        <v>0</v>
      </c>
      <c r="AC75" s="10"/>
      <c r="AD75" s="7">
        <f>SUM(F75+H75+J75+L75+N75+P75+R75+T75+V75+X75+Z75+AB75)</f>
        <v>980000</v>
      </c>
      <c r="AE75" s="7">
        <f>E75+AD75</f>
        <v>1292292</v>
      </c>
      <c r="AF75" s="8">
        <f>G75+I75+K75+M75+O75+Q75+S75+U75+W75+Y75+AA75+AC75</f>
        <v>1012292</v>
      </c>
      <c r="AG75" s="153">
        <f>SUM(AE75-AF75)</f>
        <v>280000</v>
      </c>
      <c r="AH75" s="99" t="s">
        <v>38</v>
      </c>
      <c r="AI75" s="99">
        <v>4</v>
      </c>
    </row>
    <row r="76" spans="1:42" customHeight="1" ht="11.5">
      <c r="A76" s="5">
        <v>68</v>
      </c>
      <c r="B76" s="150" t="s">
        <v>115</v>
      </c>
      <c r="C76" s="151" t="s">
        <v>105</v>
      </c>
      <c r="D76" s="85" t="s">
        <v>106</v>
      </c>
      <c r="E76" s="86">
        <v>0</v>
      </c>
      <c r="F76" s="9">
        <v>40000</v>
      </c>
      <c r="G76" s="10"/>
      <c r="H76" s="9">
        <v>0</v>
      </c>
      <c r="I76" s="10"/>
      <c r="J76" s="152">
        <v>20000</v>
      </c>
      <c r="K76" s="10">
        <v>40000</v>
      </c>
      <c r="L76" s="152">
        <v>0</v>
      </c>
      <c r="M76" s="10">
        <v>20000</v>
      </c>
      <c r="N76" s="152">
        <v>20000</v>
      </c>
      <c r="O76" s="10"/>
      <c r="P76" s="152">
        <v>20000</v>
      </c>
      <c r="Q76" s="10">
        <v>20000</v>
      </c>
      <c r="R76" s="9">
        <v>0</v>
      </c>
      <c r="S76" s="10"/>
      <c r="T76" s="9">
        <v>0</v>
      </c>
      <c r="U76" s="10"/>
      <c r="V76" s="9">
        <v>0</v>
      </c>
      <c r="W76" s="10"/>
      <c r="X76" s="9">
        <v>0</v>
      </c>
      <c r="Y76" s="10"/>
      <c r="Z76" s="9">
        <v>0</v>
      </c>
      <c r="AA76" s="10"/>
      <c r="AB76" s="11">
        <v>0</v>
      </c>
      <c r="AC76" s="10"/>
      <c r="AD76" s="7">
        <f>SUM(F76+H76+J76+L76+N76+P76+R76+T76+V76+X76+Z76+AB76)</f>
        <v>100000</v>
      </c>
      <c r="AE76" s="7">
        <f>E76+AD76</f>
        <v>100000</v>
      </c>
      <c r="AF76" s="8">
        <f>G76+I76+K76+M76+O76+Q76+S76+U76+W76+Y76+AA76+AC76</f>
        <v>80000</v>
      </c>
      <c r="AG76" s="153">
        <f>SUM(AE76-AF76)</f>
        <v>20000</v>
      </c>
      <c r="AH76" s="99" t="s">
        <v>38</v>
      </c>
      <c r="AI76" s="99">
        <v>4</v>
      </c>
    </row>
    <row r="77" spans="1:42" customHeight="1" ht="11.5">
      <c r="A77" s="5">
        <v>69</v>
      </c>
      <c r="B77" s="150" t="s">
        <v>116</v>
      </c>
      <c r="C77" s="151" t="s">
        <v>36</v>
      </c>
      <c r="D77" s="85" t="s">
        <v>37</v>
      </c>
      <c r="E77" s="86">
        <v>20000</v>
      </c>
      <c r="F77" s="9">
        <v>25000</v>
      </c>
      <c r="G77" s="10">
        <v>20000</v>
      </c>
      <c r="H77" s="9">
        <v>25000</v>
      </c>
      <c r="I77" s="10">
        <v>25000</v>
      </c>
      <c r="J77" s="152">
        <v>20000</v>
      </c>
      <c r="K77" s="10">
        <v>25000</v>
      </c>
      <c r="L77" s="152">
        <v>30000</v>
      </c>
      <c r="M77" s="10">
        <v>20000</v>
      </c>
      <c r="N77" s="152">
        <v>30000</v>
      </c>
      <c r="O77" s="10">
        <v>30000</v>
      </c>
      <c r="P77" s="152">
        <v>20000</v>
      </c>
      <c r="Q77" s="10">
        <v>30000</v>
      </c>
      <c r="R77" s="9">
        <v>35000</v>
      </c>
      <c r="S77" s="10"/>
      <c r="T77" s="9">
        <v>0</v>
      </c>
      <c r="U77" s="10"/>
      <c r="V77" s="9">
        <v>0</v>
      </c>
      <c r="W77" s="10"/>
      <c r="X77" s="9">
        <v>0</v>
      </c>
      <c r="Y77" s="10"/>
      <c r="Z77" s="9">
        <v>0</v>
      </c>
      <c r="AA77" s="10"/>
      <c r="AB77" s="11">
        <v>0</v>
      </c>
      <c r="AC77" s="10"/>
      <c r="AD77" s="7">
        <f>SUM(F77+H77+J77+L77+N77+P77+R77+T77+V77+X77+Z77+AB77)</f>
        <v>185000</v>
      </c>
      <c r="AE77" s="7">
        <f>E77+AD77</f>
        <v>205000</v>
      </c>
      <c r="AF77" s="8">
        <f>G77+I77+K77+M77+O77+Q77+S77+U77+W77+Y77+AA77+AC77</f>
        <v>150000</v>
      </c>
      <c r="AG77" s="153">
        <f>SUM(AE77-AF77)</f>
        <v>55000</v>
      </c>
      <c r="AH77" s="99" t="s">
        <v>38</v>
      </c>
      <c r="AI77" s="99">
        <v>4</v>
      </c>
    </row>
    <row r="78" spans="1:42" customHeight="1" ht="11.5">
      <c r="A78" s="5">
        <v>70</v>
      </c>
      <c r="B78" s="150" t="s">
        <v>117</v>
      </c>
      <c r="C78" s="151" t="s">
        <v>36</v>
      </c>
      <c r="D78" s="85" t="s">
        <v>37</v>
      </c>
      <c r="E78" s="86">
        <v>0</v>
      </c>
      <c r="F78" s="9">
        <v>0</v>
      </c>
      <c r="G78" s="10"/>
      <c r="H78" s="9">
        <v>0</v>
      </c>
      <c r="I78" s="10"/>
      <c r="J78" s="152">
        <v>5000</v>
      </c>
      <c r="K78" s="10"/>
      <c r="L78" s="152">
        <v>5000</v>
      </c>
      <c r="M78" s="10">
        <v>5000</v>
      </c>
      <c r="N78" s="152">
        <v>0</v>
      </c>
      <c r="O78" s="10">
        <v>5000</v>
      </c>
      <c r="P78" s="152">
        <v>0</v>
      </c>
      <c r="Q78" s="10"/>
      <c r="R78" s="9">
        <v>5000</v>
      </c>
      <c r="S78" s="10"/>
      <c r="T78" s="9">
        <v>0</v>
      </c>
      <c r="U78" s="10"/>
      <c r="V78" s="9">
        <v>0</v>
      </c>
      <c r="W78" s="10"/>
      <c r="X78" s="9">
        <v>0</v>
      </c>
      <c r="Y78" s="10"/>
      <c r="Z78" s="9">
        <v>0</v>
      </c>
      <c r="AA78" s="10"/>
      <c r="AB78" s="11">
        <v>0</v>
      </c>
      <c r="AC78" s="10"/>
      <c r="AD78" s="7">
        <f>SUM(F78+H78+J78+L78+N78+P78+R78+T78+V78+X78+Z78+AB78)</f>
        <v>15000</v>
      </c>
      <c r="AE78" s="7">
        <f>E78+AD78</f>
        <v>15000</v>
      </c>
      <c r="AF78" s="8">
        <f>G78+I78+K78+M78+O78+Q78+S78+U78+W78+Y78+AA78+AC78</f>
        <v>10000</v>
      </c>
      <c r="AG78" s="153">
        <f>SUM(AE78-AF78)</f>
        <v>5000</v>
      </c>
      <c r="AH78" s="99" t="s">
        <v>38</v>
      </c>
      <c r="AI78" s="99">
        <v>4</v>
      </c>
    </row>
    <row r="79" spans="1:42" customHeight="1" ht="11.5">
      <c r="A79" s="5">
        <v>71</v>
      </c>
      <c r="B79" s="150" t="s">
        <v>118</v>
      </c>
      <c r="C79" s="151" t="s">
        <v>36</v>
      </c>
      <c r="D79" s="85" t="s">
        <v>37</v>
      </c>
      <c r="E79" s="86">
        <v>0</v>
      </c>
      <c r="F79" s="9">
        <v>5000</v>
      </c>
      <c r="G79" s="10"/>
      <c r="H79" s="9">
        <v>0</v>
      </c>
      <c r="I79" s="10">
        <v>5000</v>
      </c>
      <c r="J79" s="152">
        <v>0</v>
      </c>
      <c r="K79" s="10"/>
      <c r="L79" s="152">
        <v>0</v>
      </c>
      <c r="M79" s="10"/>
      <c r="N79" s="152">
        <v>5000</v>
      </c>
      <c r="O79" s="10"/>
      <c r="P79" s="152">
        <v>0</v>
      </c>
      <c r="Q79" s="10">
        <v>5000</v>
      </c>
      <c r="R79" s="9">
        <v>0</v>
      </c>
      <c r="S79" s="10"/>
      <c r="T79" s="9">
        <v>0</v>
      </c>
      <c r="U79" s="10"/>
      <c r="V79" s="9">
        <v>0</v>
      </c>
      <c r="W79" s="10"/>
      <c r="X79" s="9">
        <v>0</v>
      </c>
      <c r="Y79" s="10"/>
      <c r="Z79" s="9">
        <v>0</v>
      </c>
      <c r="AA79" s="10"/>
      <c r="AB79" s="11">
        <v>0</v>
      </c>
      <c r="AC79" s="10"/>
      <c r="AD79" s="7">
        <f>SUM(F79+H79+J79+L79+N79+P79+R79+T79+V79+X79+Z79+AB79)</f>
        <v>10000</v>
      </c>
      <c r="AE79" s="7">
        <f>E79+AD79</f>
        <v>10000</v>
      </c>
      <c r="AF79" s="8">
        <f>G79+I79+K79+M79+O79+Q79+S79+U79+W79+Y79+AA79+AC79</f>
        <v>10000</v>
      </c>
      <c r="AG79" s="153">
        <f>SUM(AE79-AF79)</f>
        <v>0</v>
      </c>
      <c r="AH79" s="99" t="s">
        <v>38</v>
      </c>
      <c r="AI79" s="99">
        <v>4</v>
      </c>
    </row>
    <row r="80" spans="1:42" customHeight="1" ht="11.5">
      <c r="A80" s="5">
        <v>72</v>
      </c>
      <c r="B80" s="150" t="s">
        <v>119</v>
      </c>
      <c r="C80" s="151" t="s">
        <v>36</v>
      </c>
      <c r="D80" s="85" t="s">
        <v>37</v>
      </c>
      <c r="E80" s="86">
        <v>0</v>
      </c>
      <c r="F80" s="9">
        <v>0</v>
      </c>
      <c r="G80" s="10"/>
      <c r="H80" s="9">
        <v>0</v>
      </c>
      <c r="I80" s="10"/>
      <c r="J80" s="152">
        <v>0</v>
      </c>
      <c r="K80" s="10"/>
      <c r="L80" s="152">
        <v>0</v>
      </c>
      <c r="M80" s="10"/>
      <c r="N80" s="152">
        <v>0</v>
      </c>
      <c r="O80" s="10"/>
      <c r="P80" s="152">
        <v>0</v>
      </c>
      <c r="Q80" s="10"/>
      <c r="R80" s="9">
        <v>8030</v>
      </c>
      <c r="S80" s="10"/>
      <c r="T80" s="9">
        <v>0</v>
      </c>
      <c r="U80" s="10"/>
      <c r="V80" s="9">
        <v>0</v>
      </c>
      <c r="W80" s="10"/>
      <c r="X80" s="9">
        <v>0</v>
      </c>
      <c r="Y80" s="10"/>
      <c r="Z80" s="9">
        <v>0</v>
      </c>
      <c r="AA80" s="10"/>
      <c r="AB80" s="11">
        <v>0</v>
      </c>
      <c r="AC80" s="10"/>
      <c r="AD80" s="7">
        <f>SUM(F80+H80+J80+L80+N80+P80+R80+T80+V80+X80+Z80+AB80)</f>
        <v>8030</v>
      </c>
      <c r="AE80" s="7">
        <f>E80+AD80</f>
        <v>8030</v>
      </c>
      <c r="AF80" s="8">
        <f>G80+I80+K80+M80+O80+Q80+S80+U80+W80+Y80+AA80+AC80</f>
        <v>0</v>
      </c>
      <c r="AG80" s="153">
        <f>SUM(AE80-AF80)</f>
        <v>8030</v>
      </c>
      <c r="AH80" s="99" t="s">
        <v>38</v>
      </c>
      <c r="AI80" s="99">
        <v>4</v>
      </c>
    </row>
    <row r="81" spans="1:42" customHeight="1" ht="11.5">
      <c r="A81" s="5">
        <v>73</v>
      </c>
      <c r="B81" s="150" t="s">
        <v>120</v>
      </c>
      <c r="C81" s="151" t="s">
        <v>36</v>
      </c>
      <c r="D81" s="85" t="s">
        <v>37</v>
      </c>
      <c r="E81" s="86">
        <v>15000</v>
      </c>
      <c r="F81" s="9">
        <v>15000</v>
      </c>
      <c r="G81" s="10">
        <v>15000</v>
      </c>
      <c r="H81" s="9">
        <v>15000</v>
      </c>
      <c r="I81" s="10">
        <v>15000</v>
      </c>
      <c r="J81" s="152">
        <v>20000</v>
      </c>
      <c r="K81" s="10">
        <v>15000</v>
      </c>
      <c r="L81" s="152">
        <v>20000</v>
      </c>
      <c r="M81" s="10">
        <v>20000</v>
      </c>
      <c r="N81" s="152">
        <v>25000</v>
      </c>
      <c r="O81" s="10">
        <v>20000</v>
      </c>
      <c r="P81" s="152">
        <v>15000</v>
      </c>
      <c r="Q81" s="10">
        <v>25000</v>
      </c>
      <c r="R81" s="9">
        <v>30000</v>
      </c>
      <c r="S81" s="10"/>
      <c r="T81" s="9">
        <v>0</v>
      </c>
      <c r="U81" s="10"/>
      <c r="V81" s="9">
        <v>0</v>
      </c>
      <c r="W81" s="10"/>
      <c r="X81" s="9">
        <v>0</v>
      </c>
      <c r="Y81" s="10"/>
      <c r="Z81" s="9">
        <v>0</v>
      </c>
      <c r="AA81" s="10"/>
      <c r="AB81" s="11">
        <v>0</v>
      </c>
      <c r="AC81" s="10"/>
      <c r="AD81" s="7">
        <f>SUM(F81+H81+J81+L81+N81+P81+R81+T81+V81+X81+Z81+AB81)</f>
        <v>140000</v>
      </c>
      <c r="AE81" s="7">
        <f>E81+AD81</f>
        <v>155000</v>
      </c>
      <c r="AF81" s="8">
        <f>G81+I81+K81+M81+O81+Q81+S81+U81+W81+Y81+AA81+AC81</f>
        <v>110000</v>
      </c>
      <c r="AG81" s="153">
        <f>SUM(AE81-AF81)</f>
        <v>45000</v>
      </c>
      <c r="AH81" s="99" t="s">
        <v>38</v>
      </c>
      <c r="AI81" s="99">
        <v>4</v>
      </c>
    </row>
    <row r="82" spans="1:42" customHeight="1" ht="11.5">
      <c r="A82" s="5">
        <v>74</v>
      </c>
      <c r="B82" s="150" t="s">
        <v>121</v>
      </c>
      <c r="C82" s="151" t="s">
        <v>36</v>
      </c>
      <c r="D82" s="85" t="s">
        <v>37</v>
      </c>
      <c r="E82" s="86">
        <v>0</v>
      </c>
      <c r="F82" s="9">
        <v>0</v>
      </c>
      <c r="G82" s="10"/>
      <c r="H82" s="9">
        <v>0</v>
      </c>
      <c r="I82" s="10"/>
      <c r="J82" s="152">
        <v>0</v>
      </c>
      <c r="K82" s="10"/>
      <c r="L82" s="152">
        <v>0</v>
      </c>
      <c r="M82" s="10"/>
      <c r="N82" s="152">
        <v>0</v>
      </c>
      <c r="O82" s="10"/>
      <c r="P82" s="152">
        <v>0</v>
      </c>
      <c r="Q82" s="10"/>
      <c r="R82" s="9">
        <v>0</v>
      </c>
      <c r="S82" s="10"/>
      <c r="T82" s="9">
        <v>0</v>
      </c>
      <c r="U82" s="10"/>
      <c r="V82" s="9">
        <v>0</v>
      </c>
      <c r="W82" s="10"/>
      <c r="X82" s="9">
        <v>0</v>
      </c>
      <c r="Y82" s="10"/>
      <c r="Z82" s="9">
        <v>0</v>
      </c>
      <c r="AA82" s="10"/>
      <c r="AB82" s="11">
        <v>0</v>
      </c>
      <c r="AC82" s="10"/>
      <c r="AD82" s="7">
        <f>SUM(F82+H82+J82+L82+N82+P82+R82+T82+V82+X82+Z82+AB82)</f>
        <v>0</v>
      </c>
      <c r="AE82" s="7">
        <f>E82+AD82</f>
        <v>0</v>
      </c>
      <c r="AF82" s="8">
        <f>G82+I82+K82+M82+O82+Q82+S82+U82+W82+Y82+AA82+AC82</f>
        <v>0</v>
      </c>
      <c r="AG82" s="153">
        <f>SUM(AE82-AF82)</f>
        <v>0</v>
      </c>
      <c r="AH82" s="99" t="s">
        <v>38</v>
      </c>
      <c r="AI82" s="99">
        <v>4</v>
      </c>
    </row>
    <row r="83" spans="1:42" customHeight="1" ht="11.5">
      <c r="A83" s="5">
        <v>75</v>
      </c>
      <c r="B83" s="150" t="s">
        <v>122</v>
      </c>
      <c r="C83" s="151" t="s">
        <v>36</v>
      </c>
      <c r="D83" s="85" t="s">
        <v>37</v>
      </c>
      <c r="E83" s="86">
        <v>0</v>
      </c>
      <c r="F83" s="9">
        <v>0</v>
      </c>
      <c r="G83" s="10"/>
      <c r="H83" s="9">
        <v>0</v>
      </c>
      <c r="I83" s="10"/>
      <c r="J83" s="152">
        <v>0</v>
      </c>
      <c r="K83" s="10"/>
      <c r="L83" s="152">
        <v>0</v>
      </c>
      <c r="M83" s="10"/>
      <c r="N83" s="152">
        <v>0</v>
      </c>
      <c r="O83" s="10"/>
      <c r="P83" s="152">
        <v>0</v>
      </c>
      <c r="Q83" s="10"/>
      <c r="R83" s="9">
        <v>5000</v>
      </c>
      <c r="S83" s="10"/>
      <c r="T83" s="9">
        <v>0</v>
      </c>
      <c r="U83" s="10"/>
      <c r="V83" s="9">
        <v>0</v>
      </c>
      <c r="W83" s="10"/>
      <c r="X83" s="9">
        <v>0</v>
      </c>
      <c r="Y83" s="10"/>
      <c r="Z83" s="9">
        <v>0</v>
      </c>
      <c r="AA83" s="10"/>
      <c r="AB83" s="11">
        <v>0</v>
      </c>
      <c r="AC83" s="10"/>
      <c r="AD83" s="7">
        <f>SUM(F83+H83+J83+L83+N83+P83+R83+T83+V83+X83+Z83+AB83)</f>
        <v>5000</v>
      </c>
      <c r="AE83" s="7">
        <f>E83+AD83</f>
        <v>5000</v>
      </c>
      <c r="AF83" s="8">
        <f>G83+I83+K83+M83+O83+Q83+S83+U83+W83+Y83+AA83+AC83</f>
        <v>0</v>
      </c>
      <c r="AG83" s="153">
        <f>SUM(AE83-AF83)</f>
        <v>5000</v>
      </c>
      <c r="AH83" s="99" t="s">
        <v>38</v>
      </c>
      <c r="AI83" s="99">
        <v>4</v>
      </c>
    </row>
    <row r="84" spans="1:42" customHeight="1" ht="11.5">
      <c r="A84" s="5">
        <v>76</v>
      </c>
      <c r="B84" s="161" t="s">
        <v>123</v>
      </c>
      <c r="C84" s="151" t="s">
        <v>36</v>
      </c>
      <c r="D84" s="85" t="s">
        <v>37</v>
      </c>
      <c r="E84" s="86">
        <v>0</v>
      </c>
      <c r="F84" s="9">
        <v>0</v>
      </c>
      <c r="G84" s="10"/>
      <c r="H84" s="9">
        <v>0</v>
      </c>
      <c r="I84" s="10"/>
      <c r="J84" s="152">
        <v>0</v>
      </c>
      <c r="K84" s="10"/>
      <c r="L84" s="152">
        <v>5000</v>
      </c>
      <c r="M84" s="10"/>
      <c r="N84" s="152">
        <v>0</v>
      </c>
      <c r="O84" s="10">
        <v>5000</v>
      </c>
      <c r="P84" s="152">
        <v>0</v>
      </c>
      <c r="Q84" s="10"/>
      <c r="R84" s="9">
        <v>0</v>
      </c>
      <c r="S84" s="10"/>
      <c r="T84" s="9">
        <v>0</v>
      </c>
      <c r="U84" s="10"/>
      <c r="V84" s="9">
        <v>0</v>
      </c>
      <c r="W84" s="10"/>
      <c r="X84" s="9">
        <v>0</v>
      </c>
      <c r="Y84" s="10"/>
      <c r="Z84" s="9">
        <v>0</v>
      </c>
      <c r="AA84" s="10"/>
      <c r="AB84" s="11">
        <v>0</v>
      </c>
      <c r="AC84" s="10"/>
      <c r="AD84" s="7">
        <f>SUM(F84+H84+J84+L84+N84+P84+R84+T84+V84+X84+Z84+AB84)</f>
        <v>5000</v>
      </c>
      <c r="AE84" s="7">
        <f>E84+AD84</f>
        <v>5000</v>
      </c>
      <c r="AF84" s="8">
        <f>G84+I84+K84+M84+O84+Q84+S84+U84+W84+Y84+AA84+AC84</f>
        <v>5000</v>
      </c>
      <c r="AG84" s="153">
        <f>SUM(AE84-AF84)</f>
        <v>0</v>
      </c>
      <c r="AH84" s="99" t="s">
        <v>38</v>
      </c>
      <c r="AI84" s="99">
        <v>4</v>
      </c>
    </row>
    <row r="85" spans="1:42" customHeight="1" ht="11.5">
      <c r="A85" s="5">
        <v>77</v>
      </c>
      <c r="B85" s="150" t="s">
        <v>124</v>
      </c>
      <c r="C85" s="151" t="s">
        <v>36</v>
      </c>
      <c r="D85" s="85" t="s">
        <v>37</v>
      </c>
      <c r="E85" s="86">
        <v>0</v>
      </c>
      <c r="F85" s="9">
        <v>0</v>
      </c>
      <c r="G85" s="10"/>
      <c r="H85" s="9">
        <v>0</v>
      </c>
      <c r="I85" s="10"/>
      <c r="J85" s="152">
        <v>10000</v>
      </c>
      <c r="K85" s="10"/>
      <c r="L85" s="152">
        <v>0</v>
      </c>
      <c r="M85" s="10">
        <v>10000</v>
      </c>
      <c r="N85" s="152">
        <v>0</v>
      </c>
      <c r="O85" s="10"/>
      <c r="P85" s="152">
        <v>0</v>
      </c>
      <c r="Q85" s="10"/>
      <c r="R85" s="9">
        <v>10000</v>
      </c>
      <c r="S85" s="10"/>
      <c r="T85" s="9">
        <v>0</v>
      </c>
      <c r="U85" s="10"/>
      <c r="V85" s="9">
        <v>0</v>
      </c>
      <c r="W85" s="10"/>
      <c r="X85" s="9">
        <v>0</v>
      </c>
      <c r="Y85" s="10"/>
      <c r="Z85" s="9">
        <v>0</v>
      </c>
      <c r="AA85" s="10"/>
      <c r="AB85" s="11">
        <v>0</v>
      </c>
      <c r="AC85" s="10"/>
      <c r="AD85" s="7">
        <f>SUM(F85+H85+J85+L85+N85+P85+R85+T85+V85+X85+Z85+AB85)</f>
        <v>20000</v>
      </c>
      <c r="AE85" s="7">
        <f>E85+AD85</f>
        <v>20000</v>
      </c>
      <c r="AF85" s="8">
        <f>G85+I85+K85+M85+O85+Q85+S85+U85+W85+Y85+AA85+AC85</f>
        <v>10000</v>
      </c>
      <c r="AG85" s="153">
        <f>SUM(AE85-AF85)</f>
        <v>10000</v>
      </c>
      <c r="AH85" s="99" t="s">
        <v>38</v>
      </c>
      <c r="AI85" s="99">
        <v>4</v>
      </c>
    </row>
    <row r="86" spans="1:42" customHeight="1" ht="11.5">
      <c r="A86" s="5">
        <v>78</v>
      </c>
      <c r="B86" s="150" t="s">
        <v>125</v>
      </c>
      <c r="C86" s="151" t="s">
        <v>36</v>
      </c>
      <c r="D86" s="85" t="s">
        <v>37</v>
      </c>
      <c r="E86" s="86">
        <v>0</v>
      </c>
      <c r="F86" s="9">
        <v>0</v>
      </c>
      <c r="G86" s="10"/>
      <c r="H86" s="9">
        <v>0</v>
      </c>
      <c r="I86" s="10"/>
      <c r="J86" s="152">
        <v>0</v>
      </c>
      <c r="K86" s="10"/>
      <c r="L86" s="152">
        <v>5000</v>
      </c>
      <c r="M86" s="10"/>
      <c r="N86" s="152">
        <v>0</v>
      </c>
      <c r="O86" s="10">
        <v>5000</v>
      </c>
      <c r="P86" s="152">
        <v>0</v>
      </c>
      <c r="Q86" s="10"/>
      <c r="R86" s="9">
        <v>0</v>
      </c>
      <c r="S86" s="10"/>
      <c r="T86" s="9">
        <v>0</v>
      </c>
      <c r="U86" s="10"/>
      <c r="V86" s="9">
        <v>0</v>
      </c>
      <c r="W86" s="10"/>
      <c r="X86" s="9">
        <v>0</v>
      </c>
      <c r="Y86" s="10"/>
      <c r="Z86" s="9">
        <v>0</v>
      </c>
      <c r="AA86" s="10"/>
      <c r="AB86" s="11">
        <v>0</v>
      </c>
      <c r="AC86" s="10"/>
      <c r="AD86" s="7">
        <f>SUM(F86+H86+J86+L86+N86+P86+R86+T86+V86+X86+Z86+AB86)</f>
        <v>5000</v>
      </c>
      <c r="AE86" s="7">
        <f>E86+AD86</f>
        <v>5000</v>
      </c>
      <c r="AF86" s="8">
        <f>G86+I86+K86+M86+O86+Q86+S86+U86+W86+Y86+AA86+AC86</f>
        <v>5000</v>
      </c>
      <c r="AG86" s="153">
        <f>SUM(AE86-AF86)</f>
        <v>0</v>
      </c>
      <c r="AH86" s="99" t="s">
        <v>38</v>
      </c>
      <c r="AI86" s="99">
        <v>4</v>
      </c>
    </row>
    <row r="87" spans="1:42" customHeight="1" ht="11.5">
      <c r="A87" s="5">
        <v>79</v>
      </c>
      <c r="B87" s="150" t="s">
        <v>126</v>
      </c>
      <c r="C87" s="151" t="s">
        <v>36</v>
      </c>
      <c r="D87" s="85" t="s">
        <v>37</v>
      </c>
      <c r="E87" s="86">
        <v>0</v>
      </c>
      <c r="F87" s="9">
        <v>0</v>
      </c>
      <c r="G87" s="10"/>
      <c r="H87" s="9">
        <v>0</v>
      </c>
      <c r="I87" s="10"/>
      <c r="J87" s="152">
        <v>10000</v>
      </c>
      <c r="K87" s="10"/>
      <c r="L87" s="152">
        <v>0</v>
      </c>
      <c r="M87" s="10">
        <v>10000</v>
      </c>
      <c r="N87" s="152">
        <v>0</v>
      </c>
      <c r="O87" s="10"/>
      <c r="P87" s="152">
        <v>10000</v>
      </c>
      <c r="Q87" s="10"/>
      <c r="R87" s="9">
        <v>0</v>
      </c>
      <c r="S87" s="10"/>
      <c r="T87" s="9">
        <v>0</v>
      </c>
      <c r="U87" s="10"/>
      <c r="V87" s="9">
        <v>0</v>
      </c>
      <c r="W87" s="10"/>
      <c r="X87" s="9">
        <v>0</v>
      </c>
      <c r="Y87" s="10"/>
      <c r="Z87" s="9">
        <v>0</v>
      </c>
      <c r="AA87" s="10"/>
      <c r="AB87" s="11">
        <v>0</v>
      </c>
      <c r="AC87" s="10"/>
      <c r="AD87" s="7">
        <f>SUM(F87+H87+J87+L87+N87+P87+R87+T87+V87+X87+Z87+AB87)</f>
        <v>20000</v>
      </c>
      <c r="AE87" s="7">
        <f>E87+AD87</f>
        <v>20000</v>
      </c>
      <c r="AF87" s="8">
        <f>G87+I87+K87+M87+O87+Q87+S87+U87+W87+Y87+AA87+AC87</f>
        <v>10000</v>
      </c>
      <c r="AG87" s="153">
        <f>SUM(AE87-AF87)</f>
        <v>10000</v>
      </c>
      <c r="AH87" s="99" t="s">
        <v>38</v>
      </c>
      <c r="AI87" s="99">
        <v>4</v>
      </c>
    </row>
    <row r="88" spans="1:42" customHeight="1" ht="11.5">
      <c r="A88" s="5">
        <v>80</v>
      </c>
      <c r="B88" s="150" t="s">
        <v>127</v>
      </c>
      <c r="C88" s="151" t="s">
        <v>36</v>
      </c>
      <c r="D88" s="85" t="s">
        <v>37</v>
      </c>
      <c r="E88" s="86">
        <v>10000</v>
      </c>
      <c r="F88" s="9">
        <v>10000</v>
      </c>
      <c r="G88" s="10">
        <v>10000</v>
      </c>
      <c r="H88" s="9">
        <v>10000</v>
      </c>
      <c r="I88" s="10">
        <v>10000</v>
      </c>
      <c r="J88" s="152">
        <v>0</v>
      </c>
      <c r="K88" s="10">
        <v>10000</v>
      </c>
      <c r="L88" s="152">
        <v>10000</v>
      </c>
      <c r="M88" s="10"/>
      <c r="N88" s="152">
        <v>0</v>
      </c>
      <c r="O88" s="10">
        <v>10000</v>
      </c>
      <c r="P88" s="152">
        <v>10000</v>
      </c>
      <c r="Q88" s="10"/>
      <c r="R88" s="9">
        <v>0</v>
      </c>
      <c r="S88" s="10"/>
      <c r="T88" s="9">
        <v>0</v>
      </c>
      <c r="U88" s="10"/>
      <c r="V88" s="9">
        <v>0</v>
      </c>
      <c r="W88" s="10"/>
      <c r="X88" s="9">
        <v>0</v>
      </c>
      <c r="Y88" s="10"/>
      <c r="Z88" s="9">
        <v>0</v>
      </c>
      <c r="AA88" s="10"/>
      <c r="AB88" s="11">
        <v>0</v>
      </c>
      <c r="AC88" s="10"/>
      <c r="AD88" s="7">
        <f>SUM(F88+H88+J88+L88+N88+P88+R88+T88+V88+X88+Z88+AB88)</f>
        <v>40000</v>
      </c>
      <c r="AE88" s="7">
        <f>E88+AD88</f>
        <v>50000</v>
      </c>
      <c r="AF88" s="8">
        <f>G88+I88+K88+M88+O88+Q88+S88+U88+W88+Y88+AA88+AC88</f>
        <v>40000</v>
      </c>
      <c r="AG88" s="153">
        <f>SUM(AE88-AF88)</f>
        <v>10000</v>
      </c>
      <c r="AH88" s="99" t="s">
        <v>38</v>
      </c>
      <c r="AI88" s="99">
        <v>4</v>
      </c>
    </row>
    <row r="89" spans="1:42" customHeight="1" ht="11.5">
      <c r="A89" s="5">
        <v>81</v>
      </c>
      <c r="B89" s="150" t="s">
        <v>128</v>
      </c>
      <c r="C89" s="151" t="s">
        <v>36</v>
      </c>
      <c r="D89" s="85" t="s">
        <v>37</v>
      </c>
      <c r="E89" s="86">
        <v>10000</v>
      </c>
      <c r="F89" s="9">
        <v>0</v>
      </c>
      <c r="G89" s="10">
        <v>10000</v>
      </c>
      <c r="H89" s="9">
        <v>0</v>
      </c>
      <c r="I89" s="10"/>
      <c r="J89" s="152">
        <v>10000</v>
      </c>
      <c r="K89" s="10"/>
      <c r="L89" s="152">
        <v>0</v>
      </c>
      <c r="M89" s="10">
        <v>10000</v>
      </c>
      <c r="N89" s="152">
        <v>0</v>
      </c>
      <c r="O89" s="10"/>
      <c r="P89" s="152">
        <v>10000</v>
      </c>
      <c r="Q89" s="10"/>
      <c r="R89" s="9">
        <v>0</v>
      </c>
      <c r="S89" s="10"/>
      <c r="T89" s="9">
        <v>0</v>
      </c>
      <c r="U89" s="10"/>
      <c r="V89" s="9">
        <v>0</v>
      </c>
      <c r="W89" s="10"/>
      <c r="X89" s="9">
        <v>0</v>
      </c>
      <c r="Y89" s="10"/>
      <c r="Z89" s="9">
        <v>0</v>
      </c>
      <c r="AA89" s="10"/>
      <c r="AB89" s="11">
        <v>0</v>
      </c>
      <c r="AC89" s="10"/>
      <c r="AD89" s="7">
        <f>SUM(F89+H89+J89+L89+N89+P89+R89+T89+V89+X89+Z89+AB89)</f>
        <v>20000</v>
      </c>
      <c r="AE89" s="7">
        <f>E89+AD89</f>
        <v>30000</v>
      </c>
      <c r="AF89" s="8">
        <f>G89+I89+K89+M89+O89+Q89+S89+U89+W89+Y89+AA89+AC89</f>
        <v>20000</v>
      </c>
      <c r="AG89" s="153">
        <f>SUM(AE89-AF89)</f>
        <v>10000</v>
      </c>
      <c r="AH89" s="99" t="s">
        <v>38</v>
      </c>
      <c r="AI89" s="99">
        <v>4</v>
      </c>
    </row>
    <row r="90" spans="1:42" customHeight="1" ht="11.5">
      <c r="A90" s="5">
        <v>82</v>
      </c>
      <c r="B90" s="150" t="s">
        <v>129</v>
      </c>
      <c r="C90" s="151" t="s">
        <v>36</v>
      </c>
      <c r="D90" s="85" t="s">
        <v>37</v>
      </c>
      <c r="E90" s="86">
        <v>0</v>
      </c>
      <c r="F90" s="9">
        <v>0</v>
      </c>
      <c r="G90" s="10"/>
      <c r="H90" s="9">
        <v>0</v>
      </c>
      <c r="I90" s="10"/>
      <c r="J90" s="152">
        <v>0</v>
      </c>
      <c r="K90" s="10"/>
      <c r="L90" s="152">
        <v>0</v>
      </c>
      <c r="M90" s="10"/>
      <c r="N90" s="152">
        <v>0</v>
      </c>
      <c r="O90" s="10"/>
      <c r="P90" s="152">
        <v>0</v>
      </c>
      <c r="Q90" s="10"/>
      <c r="R90" s="9">
        <v>0</v>
      </c>
      <c r="S90" s="10"/>
      <c r="T90" s="9">
        <v>0</v>
      </c>
      <c r="U90" s="10"/>
      <c r="V90" s="9">
        <v>0</v>
      </c>
      <c r="W90" s="10"/>
      <c r="X90" s="9">
        <v>0</v>
      </c>
      <c r="Y90" s="10"/>
      <c r="Z90" s="9">
        <v>0</v>
      </c>
      <c r="AA90" s="10"/>
      <c r="AB90" s="11">
        <v>0</v>
      </c>
      <c r="AC90" s="10"/>
      <c r="AD90" s="7">
        <f>SUM(F90+H90+J90+L90+N90+P90+R90+T90+V90+X90+Z90+AB90)</f>
        <v>0</v>
      </c>
      <c r="AE90" s="7">
        <f>E90+AD90</f>
        <v>0</v>
      </c>
      <c r="AF90" s="8">
        <f>G90+I90+K90+M90+O90+Q90+S90+U90+W90+Y90+AA90+AC90</f>
        <v>0</v>
      </c>
      <c r="AG90" s="153">
        <f>SUM(AE90-AF90)</f>
        <v>0</v>
      </c>
      <c r="AH90" s="99" t="s">
        <v>38</v>
      </c>
      <c r="AI90" s="99">
        <v>4</v>
      </c>
    </row>
    <row r="91" spans="1:42" customHeight="1" ht="11.5">
      <c r="A91" s="5">
        <v>83</v>
      </c>
      <c r="B91" s="150" t="s">
        <v>130</v>
      </c>
      <c r="C91" s="151" t="s">
        <v>112</v>
      </c>
      <c r="D91" s="85" t="s">
        <v>113</v>
      </c>
      <c r="E91" s="86">
        <v>0</v>
      </c>
      <c r="F91" s="9">
        <v>0</v>
      </c>
      <c r="G91" s="10"/>
      <c r="H91" s="9">
        <v>0</v>
      </c>
      <c r="I91" s="10"/>
      <c r="J91" s="152">
        <v>0</v>
      </c>
      <c r="K91" s="10"/>
      <c r="L91" s="152">
        <v>0</v>
      </c>
      <c r="M91" s="10"/>
      <c r="N91" s="152">
        <v>0</v>
      </c>
      <c r="O91" s="10"/>
      <c r="P91" s="152">
        <v>0</v>
      </c>
      <c r="Q91" s="10"/>
      <c r="R91" s="9">
        <v>0</v>
      </c>
      <c r="S91" s="10"/>
      <c r="T91" s="9">
        <v>0</v>
      </c>
      <c r="U91" s="10"/>
      <c r="V91" s="9">
        <v>0</v>
      </c>
      <c r="W91" s="10"/>
      <c r="X91" s="9">
        <v>0</v>
      </c>
      <c r="Y91" s="10"/>
      <c r="Z91" s="9">
        <v>0</v>
      </c>
      <c r="AA91" s="10"/>
      <c r="AB91" s="11">
        <v>0</v>
      </c>
      <c r="AC91" s="10"/>
      <c r="AD91" s="7">
        <f>SUM(F91+H91+J91+L91+N91+P91+R91+T91+V91+X91+Z91+AB91)</f>
        <v>0</v>
      </c>
      <c r="AE91" s="7">
        <f>E91+AD91</f>
        <v>0</v>
      </c>
      <c r="AF91" s="8">
        <f>G91+I91+K91+M91+O91+Q91+S91+U91+W91+Y91+AA91+AC91</f>
        <v>0</v>
      </c>
      <c r="AG91" s="153">
        <f>SUM(AE91-AF91)</f>
        <v>0</v>
      </c>
      <c r="AH91" s="99" t="s">
        <v>38</v>
      </c>
      <c r="AI91" s="99">
        <v>4</v>
      </c>
    </row>
    <row r="92" spans="1:42" customHeight="1" ht="11.5">
      <c r="A92" s="5">
        <v>84</v>
      </c>
      <c r="B92" s="150" t="s">
        <v>131</v>
      </c>
      <c r="C92" s="151" t="s">
        <v>132</v>
      </c>
      <c r="D92" s="85" t="s">
        <v>133</v>
      </c>
      <c r="E92" s="86">
        <v>120000</v>
      </c>
      <c r="F92" s="9">
        <v>60000</v>
      </c>
      <c r="G92" s="10"/>
      <c r="H92" s="9">
        <v>60000</v>
      </c>
      <c r="I92" s="10">
        <v>151885</v>
      </c>
      <c r="J92" s="152">
        <v>50000</v>
      </c>
      <c r="K92" s="10">
        <v>88115</v>
      </c>
      <c r="L92" s="152">
        <v>60000</v>
      </c>
      <c r="M92" s="10">
        <v>50000</v>
      </c>
      <c r="N92" s="152">
        <v>60000</v>
      </c>
      <c r="O92" s="10">
        <v>60000</v>
      </c>
      <c r="P92" s="152">
        <v>50000</v>
      </c>
      <c r="Q92" s="10"/>
      <c r="R92" s="9">
        <v>60000</v>
      </c>
      <c r="S92" s="10"/>
      <c r="T92" s="9">
        <v>0</v>
      </c>
      <c r="U92" s="10"/>
      <c r="V92" s="9">
        <v>0</v>
      </c>
      <c r="W92" s="10"/>
      <c r="X92" s="9">
        <v>0</v>
      </c>
      <c r="Y92" s="10"/>
      <c r="Z92" s="9">
        <v>0</v>
      </c>
      <c r="AA92" s="10"/>
      <c r="AB92" s="11">
        <v>0</v>
      </c>
      <c r="AC92" s="10"/>
      <c r="AD92" s="7">
        <f>SUM(F92+H92+J92+L92+N92+P92+R92+T92+V92+X92+Z92+AB92)</f>
        <v>400000</v>
      </c>
      <c r="AE92" s="7">
        <f>E92+AD92</f>
        <v>520000</v>
      </c>
      <c r="AF92" s="8">
        <f>G92+I92+K92+M92+O92+Q92+S92+U92+W92+Y92+AA92+AC92</f>
        <v>350000</v>
      </c>
      <c r="AG92" s="153">
        <f>SUM(AE92-AF92)</f>
        <v>170000</v>
      </c>
      <c r="AH92" s="99" t="s">
        <v>38</v>
      </c>
      <c r="AI92" s="99">
        <v>4</v>
      </c>
    </row>
    <row r="93" spans="1:42" customHeight="1" ht="11.5">
      <c r="A93" s="5">
        <v>85</v>
      </c>
      <c r="B93" s="150" t="s">
        <v>134</v>
      </c>
      <c r="C93" s="151" t="s">
        <v>109</v>
      </c>
      <c r="D93" s="85" t="s">
        <v>110</v>
      </c>
      <c r="E93" s="86">
        <v>0</v>
      </c>
      <c r="F93" s="9">
        <v>0</v>
      </c>
      <c r="G93" s="10"/>
      <c r="H93" s="9">
        <v>5000</v>
      </c>
      <c r="I93" s="10"/>
      <c r="J93" s="152">
        <v>0</v>
      </c>
      <c r="K93" s="10">
        <v>5000</v>
      </c>
      <c r="L93" s="152">
        <v>0</v>
      </c>
      <c r="M93" s="10"/>
      <c r="N93" s="152">
        <v>5000</v>
      </c>
      <c r="O93" s="10"/>
      <c r="P93" s="152">
        <v>0</v>
      </c>
      <c r="Q93" s="10"/>
      <c r="R93" s="9">
        <v>0</v>
      </c>
      <c r="S93" s="10"/>
      <c r="T93" s="9">
        <v>0</v>
      </c>
      <c r="U93" s="10"/>
      <c r="V93" s="9">
        <v>0</v>
      </c>
      <c r="W93" s="10"/>
      <c r="X93" s="9">
        <v>0</v>
      </c>
      <c r="Y93" s="10"/>
      <c r="Z93" s="9">
        <v>0</v>
      </c>
      <c r="AA93" s="10"/>
      <c r="AB93" s="11">
        <v>0</v>
      </c>
      <c r="AC93" s="10"/>
      <c r="AD93" s="7">
        <f>SUM(F93+H93+J93+L93+N93+P93+R93+T93+V93+X93+Z93+AB93)</f>
        <v>10000</v>
      </c>
      <c r="AE93" s="7">
        <f>E93+AD93</f>
        <v>10000</v>
      </c>
      <c r="AF93" s="8">
        <f>G93+I93+K93+M93+O93+Q93+S93+U93+W93+Y93+AA93+AC93</f>
        <v>5000</v>
      </c>
      <c r="AG93" s="153">
        <f>SUM(AE93-AF93)</f>
        <v>5000</v>
      </c>
      <c r="AH93" s="99" t="s">
        <v>38</v>
      </c>
      <c r="AI93" s="99">
        <v>4</v>
      </c>
    </row>
    <row r="94" spans="1:42" customHeight="1" ht="11.5">
      <c r="A94" s="5">
        <v>86</v>
      </c>
      <c r="B94" s="150" t="s">
        <v>135</v>
      </c>
      <c r="C94" s="151" t="s">
        <v>36</v>
      </c>
      <c r="D94" s="85" t="s">
        <v>37</v>
      </c>
      <c r="E94" s="86">
        <v>0</v>
      </c>
      <c r="F94" s="9">
        <v>0</v>
      </c>
      <c r="G94" s="10"/>
      <c r="H94" s="9">
        <v>0</v>
      </c>
      <c r="I94" s="10"/>
      <c r="J94" s="152">
        <v>10000</v>
      </c>
      <c r="K94" s="10"/>
      <c r="L94" s="152">
        <v>0</v>
      </c>
      <c r="M94" s="10">
        <v>10000</v>
      </c>
      <c r="N94" s="152">
        <v>0</v>
      </c>
      <c r="O94" s="10"/>
      <c r="P94" s="152">
        <v>0</v>
      </c>
      <c r="Q94" s="10"/>
      <c r="R94" s="9">
        <v>0</v>
      </c>
      <c r="S94" s="10"/>
      <c r="T94" s="9">
        <v>0</v>
      </c>
      <c r="U94" s="10"/>
      <c r="V94" s="9">
        <v>0</v>
      </c>
      <c r="W94" s="10"/>
      <c r="X94" s="9">
        <v>0</v>
      </c>
      <c r="Y94" s="10"/>
      <c r="Z94" s="9">
        <v>0</v>
      </c>
      <c r="AA94" s="10"/>
      <c r="AB94" s="11">
        <v>0</v>
      </c>
      <c r="AC94" s="10"/>
      <c r="AD94" s="7">
        <f>SUM(F94+H94+J94+L94+N94+P94+R94+T94+V94+X94+Z94+AB94)</f>
        <v>10000</v>
      </c>
      <c r="AE94" s="7">
        <f>E94+AD94</f>
        <v>10000</v>
      </c>
      <c r="AF94" s="8">
        <f>G94+I94+K94+M94+O94+Q94+S94+U94+W94+Y94+AA94+AC94</f>
        <v>10000</v>
      </c>
      <c r="AG94" s="153">
        <f>SUM(AE94-AF94)</f>
        <v>0</v>
      </c>
      <c r="AH94" s="99" t="s">
        <v>38</v>
      </c>
      <c r="AI94" s="99">
        <v>4</v>
      </c>
    </row>
    <row r="95" spans="1:42" customHeight="1" ht="11.5">
      <c r="A95" s="5">
        <v>87</v>
      </c>
      <c r="B95" s="150" t="s">
        <v>136</v>
      </c>
      <c r="C95" s="151" t="s">
        <v>36</v>
      </c>
      <c r="D95" s="85" t="s">
        <v>37</v>
      </c>
      <c r="E95" s="86">
        <v>0</v>
      </c>
      <c r="F95" s="9">
        <v>0</v>
      </c>
      <c r="G95" s="10"/>
      <c r="H95" s="9">
        <v>0</v>
      </c>
      <c r="I95" s="10"/>
      <c r="J95" s="152">
        <v>10000</v>
      </c>
      <c r="K95" s="10"/>
      <c r="L95" s="152">
        <v>0</v>
      </c>
      <c r="M95" s="10">
        <v>10000</v>
      </c>
      <c r="N95" s="152">
        <v>0</v>
      </c>
      <c r="O95" s="10"/>
      <c r="P95" s="152">
        <v>0</v>
      </c>
      <c r="Q95" s="10"/>
      <c r="R95" s="9">
        <v>10000</v>
      </c>
      <c r="S95" s="10"/>
      <c r="T95" s="9">
        <v>0</v>
      </c>
      <c r="U95" s="10"/>
      <c r="V95" s="9">
        <v>0</v>
      </c>
      <c r="W95" s="10"/>
      <c r="X95" s="9">
        <v>0</v>
      </c>
      <c r="Y95" s="10"/>
      <c r="Z95" s="9">
        <v>0</v>
      </c>
      <c r="AA95" s="10"/>
      <c r="AB95" s="11">
        <v>0</v>
      </c>
      <c r="AC95" s="10"/>
      <c r="AD95" s="7">
        <f>SUM(F95+H95+J95+L95+N95+P95+R95+T95+V95+X95+Z95+AB95)</f>
        <v>20000</v>
      </c>
      <c r="AE95" s="7">
        <f>E95+AD95</f>
        <v>20000</v>
      </c>
      <c r="AF95" s="8">
        <f>G95+I95+K95+M95+O95+Q95+S95+U95+W95+Y95+AA95+AC95</f>
        <v>10000</v>
      </c>
      <c r="AG95" s="153">
        <f>SUM(AE95-AF95)</f>
        <v>10000</v>
      </c>
      <c r="AH95" s="99" t="s">
        <v>38</v>
      </c>
      <c r="AI95" s="99">
        <v>4</v>
      </c>
    </row>
    <row r="96" spans="1:42" customHeight="1" ht="11.5">
      <c r="A96" s="5">
        <v>88</v>
      </c>
      <c r="B96" s="150" t="s">
        <v>137</v>
      </c>
      <c r="C96" s="151" t="s">
        <v>132</v>
      </c>
      <c r="D96" s="85" t="s">
        <v>133</v>
      </c>
      <c r="E96" s="86">
        <v>3000</v>
      </c>
      <c r="F96" s="9">
        <v>1000</v>
      </c>
      <c r="G96" s="10"/>
      <c r="H96" s="9">
        <v>1000</v>
      </c>
      <c r="I96" s="10"/>
      <c r="J96" s="152">
        <v>1000</v>
      </c>
      <c r="K96" s="10">
        <v>5000</v>
      </c>
      <c r="L96" s="152">
        <v>1000</v>
      </c>
      <c r="M96" s="10">
        <v>1000</v>
      </c>
      <c r="N96" s="152">
        <v>2000</v>
      </c>
      <c r="O96" s="10"/>
      <c r="P96" s="152">
        <v>2000</v>
      </c>
      <c r="Q96" s="10"/>
      <c r="R96" s="9">
        <v>2000</v>
      </c>
      <c r="S96" s="10"/>
      <c r="T96" s="9">
        <v>0</v>
      </c>
      <c r="U96" s="10"/>
      <c r="V96" s="9">
        <v>0</v>
      </c>
      <c r="W96" s="10"/>
      <c r="X96" s="9">
        <v>0</v>
      </c>
      <c r="Y96" s="10"/>
      <c r="Z96" s="9">
        <v>0</v>
      </c>
      <c r="AA96" s="10"/>
      <c r="AB96" s="11">
        <v>0</v>
      </c>
      <c r="AC96" s="10"/>
      <c r="AD96" s="7">
        <f>SUM(F96+H96+J96+L96+N96+P96+R96+T96+V96+X96+Z96+AB96)</f>
        <v>10000</v>
      </c>
      <c r="AE96" s="7">
        <f>E96+AD96</f>
        <v>13000</v>
      </c>
      <c r="AF96" s="8">
        <f>G96+I96+K96+M96+O96+Q96+S96+U96+W96+Y96+AA96+AC96</f>
        <v>6000</v>
      </c>
      <c r="AG96" s="153">
        <f>SUM(AE96-AF96)</f>
        <v>7000</v>
      </c>
      <c r="AH96" s="99" t="s">
        <v>38</v>
      </c>
      <c r="AI96" s="99">
        <v>4</v>
      </c>
    </row>
    <row r="97" spans="1:42" customHeight="1" ht="11.5">
      <c r="A97" s="5">
        <v>89</v>
      </c>
      <c r="B97" s="150" t="s">
        <v>138</v>
      </c>
      <c r="C97" s="151" t="s">
        <v>91</v>
      </c>
      <c r="D97" s="85" t="s">
        <v>92</v>
      </c>
      <c r="E97" s="86">
        <v>0</v>
      </c>
      <c r="F97" s="9">
        <v>0</v>
      </c>
      <c r="G97" s="10"/>
      <c r="H97" s="9">
        <v>0</v>
      </c>
      <c r="I97" s="10"/>
      <c r="J97" s="152">
        <v>0</v>
      </c>
      <c r="K97" s="10"/>
      <c r="L97" s="152">
        <v>0</v>
      </c>
      <c r="M97" s="10"/>
      <c r="N97" s="152">
        <v>0</v>
      </c>
      <c r="O97" s="10"/>
      <c r="P97" s="152">
        <v>60000</v>
      </c>
      <c r="Q97" s="10"/>
      <c r="R97" s="9">
        <v>0</v>
      </c>
      <c r="S97" s="10"/>
      <c r="T97" s="9">
        <v>0</v>
      </c>
      <c r="U97" s="10"/>
      <c r="V97" s="9">
        <v>0</v>
      </c>
      <c r="W97" s="10"/>
      <c r="X97" s="9">
        <v>0</v>
      </c>
      <c r="Y97" s="10"/>
      <c r="Z97" s="9">
        <v>0</v>
      </c>
      <c r="AA97" s="10"/>
      <c r="AB97" s="11">
        <v>0</v>
      </c>
      <c r="AC97" s="10"/>
      <c r="AD97" s="7">
        <f>SUM(F97+H97+J97+L97+N97+P97+R97+T97+V97+X97+Z97+AB97)</f>
        <v>60000</v>
      </c>
      <c r="AE97" s="7">
        <f>E97+AD97</f>
        <v>60000</v>
      </c>
      <c r="AF97" s="8">
        <f>G97+I97+K97+M97+O97+Q97+S97+U97+W97+Y97+AA97+AC97</f>
        <v>0</v>
      </c>
      <c r="AG97" s="153">
        <f>SUM(AE97-AF97)</f>
        <v>60000</v>
      </c>
      <c r="AH97" s="99" t="s">
        <v>38</v>
      </c>
      <c r="AI97" s="99">
        <v>4</v>
      </c>
    </row>
    <row r="98" spans="1:42" customHeight="1" ht="11.5">
      <c r="A98" s="5">
        <v>90</v>
      </c>
      <c r="B98" s="150" t="s">
        <v>139</v>
      </c>
      <c r="C98" s="151" t="s">
        <v>91</v>
      </c>
      <c r="D98" s="85" t="s">
        <v>92</v>
      </c>
      <c r="E98" s="86">
        <v>5000</v>
      </c>
      <c r="F98" s="9">
        <v>0</v>
      </c>
      <c r="G98" s="10">
        <v>5000</v>
      </c>
      <c r="H98" s="9">
        <v>5000</v>
      </c>
      <c r="I98" s="10"/>
      <c r="J98" s="152">
        <v>0</v>
      </c>
      <c r="K98" s="10">
        <v>5000</v>
      </c>
      <c r="L98" s="152">
        <v>0</v>
      </c>
      <c r="M98" s="10"/>
      <c r="N98" s="152">
        <v>0</v>
      </c>
      <c r="O98" s="10"/>
      <c r="P98" s="152">
        <v>5000</v>
      </c>
      <c r="Q98" s="10"/>
      <c r="R98" s="9">
        <v>0</v>
      </c>
      <c r="S98" s="10"/>
      <c r="T98" s="9">
        <v>0</v>
      </c>
      <c r="U98" s="10"/>
      <c r="V98" s="9">
        <v>0</v>
      </c>
      <c r="W98" s="10"/>
      <c r="X98" s="9">
        <v>0</v>
      </c>
      <c r="Y98" s="10"/>
      <c r="Z98" s="9">
        <v>0</v>
      </c>
      <c r="AA98" s="10"/>
      <c r="AB98" s="11">
        <v>0</v>
      </c>
      <c r="AC98" s="10"/>
      <c r="AD98" s="7">
        <f>SUM(F98+H98+J98+L98+N98+P98+R98+T98+V98+X98+Z98+AB98)</f>
        <v>10000</v>
      </c>
      <c r="AE98" s="7">
        <f>E98+AD98</f>
        <v>15000</v>
      </c>
      <c r="AF98" s="8">
        <f>G98+I98+K98+M98+O98+Q98+S98+U98+W98+Y98+AA98+AC98</f>
        <v>10000</v>
      </c>
      <c r="AG98" s="153">
        <f>SUM(AE98-AF98)</f>
        <v>5000</v>
      </c>
      <c r="AH98" s="99" t="s">
        <v>38</v>
      </c>
      <c r="AI98" s="99">
        <v>4</v>
      </c>
    </row>
    <row r="99" spans="1:42" customHeight="1" ht="11.5">
      <c r="A99" s="5">
        <v>91</v>
      </c>
      <c r="B99" s="150" t="s">
        <v>140</v>
      </c>
      <c r="C99" s="151" t="s">
        <v>91</v>
      </c>
      <c r="D99" s="85" t="s">
        <v>92</v>
      </c>
      <c r="E99" s="86">
        <v>0</v>
      </c>
      <c r="F99" s="9">
        <v>0</v>
      </c>
      <c r="G99" s="10"/>
      <c r="H99" s="9">
        <v>0</v>
      </c>
      <c r="I99" s="10"/>
      <c r="J99" s="152">
        <v>0</v>
      </c>
      <c r="K99" s="10"/>
      <c r="L99" s="152">
        <v>0</v>
      </c>
      <c r="M99" s="10"/>
      <c r="N99" s="152">
        <v>0</v>
      </c>
      <c r="O99" s="10"/>
      <c r="P99" s="152">
        <v>4000</v>
      </c>
      <c r="Q99" s="10"/>
      <c r="R99" s="9">
        <v>0</v>
      </c>
      <c r="S99" s="10"/>
      <c r="T99" s="9">
        <v>0</v>
      </c>
      <c r="U99" s="10"/>
      <c r="V99" s="9">
        <v>0</v>
      </c>
      <c r="W99" s="10"/>
      <c r="X99" s="9">
        <v>0</v>
      </c>
      <c r="Y99" s="10"/>
      <c r="Z99" s="9">
        <v>0</v>
      </c>
      <c r="AA99" s="10"/>
      <c r="AB99" s="11">
        <v>0</v>
      </c>
      <c r="AC99" s="10"/>
      <c r="AD99" s="7">
        <f>SUM(F99+H99+J99+L99+N99+P99+R99+T99+V99+X99+Z99+AB99)</f>
        <v>4000</v>
      </c>
      <c r="AE99" s="7">
        <f>E99+AD99</f>
        <v>4000</v>
      </c>
      <c r="AF99" s="8">
        <f>G99+I99+K99+M99+O99+Q99+S99+U99+W99+Y99+AA99+AC99</f>
        <v>0</v>
      </c>
      <c r="AG99" s="153">
        <f>SUM(AE99-AF99)</f>
        <v>4000</v>
      </c>
      <c r="AH99" s="99" t="s">
        <v>38</v>
      </c>
      <c r="AI99" s="99">
        <v>4</v>
      </c>
    </row>
    <row r="100" spans="1:42" customHeight="1" ht="11.5">
      <c r="A100" s="5">
        <v>92</v>
      </c>
      <c r="B100" s="150" t="s">
        <v>141</v>
      </c>
      <c r="C100" s="151" t="s">
        <v>91</v>
      </c>
      <c r="D100" s="85" t="s">
        <v>92</v>
      </c>
      <c r="E100" s="86">
        <v>0</v>
      </c>
      <c r="F100" s="9">
        <v>0</v>
      </c>
      <c r="G100" s="10"/>
      <c r="H100" s="9">
        <v>0</v>
      </c>
      <c r="I100" s="10"/>
      <c r="J100" s="152">
        <v>0</v>
      </c>
      <c r="K100" s="10"/>
      <c r="L100" s="152">
        <v>0</v>
      </c>
      <c r="M100" s="10"/>
      <c r="N100" s="152">
        <v>0</v>
      </c>
      <c r="O100" s="10"/>
      <c r="P100" s="152">
        <v>0</v>
      </c>
      <c r="Q100" s="10"/>
      <c r="R100" s="9">
        <v>0</v>
      </c>
      <c r="S100" s="10"/>
      <c r="T100" s="9">
        <v>0</v>
      </c>
      <c r="U100" s="10"/>
      <c r="V100" s="9">
        <v>0</v>
      </c>
      <c r="W100" s="10"/>
      <c r="X100" s="9">
        <v>0</v>
      </c>
      <c r="Y100" s="10"/>
      <c r="Z100" s="9">
        <v>0</v>
      </c>
      <c r="AA100" s="10"/>
      <c r="AB100" s="11">
        <v>0</v>
      </c>
      <c r="AC100" s="10"/>
      <c r="AD100" s="7">
        <f>SUM(F100+H100+J100+L100+N100+P100+R100+T100+V100+X100+Z100+AB100)</f>
        <v>0</v>
      </c>
      <c r="AE100" s="7">
        <f>E100+AD100</f>
        <v>0</v>
      </c>
      <c r="AF100" s="8">
        <f>G100+I100+K100+M100+O100+Q100+S100+U100+W100+Y100+AA100+AC100</f>
        <v>0</v>
      </c>
      <c r="AG100" s="153">
        <f>SUM(AE100-AF100)</f>
        <v>0</v>
      </c>
      <c r="AH100" s="99" t="s">
        <v>38</v>
      </c>
      <c r="AI100" s="99">
        <v>4</v>
      </c>
    </row>
    <row r="101" spans="1:42" customHeight="1" ht="11.5">
      <c r="A101" s="5">
        <v>93</v>
      </c>
      <c r="B101" s="150" t="s">
        <v>142</v>
      </c>
      <c r="C101" s="151" t="s">
        <v>91</v>
      </c>
      <c r="D101" s="85" t="s">
        <v>92</v>
      </c>
      <c r="E101" s="86">
        <v>0</v>
      </c>
      <c r="F101" s="9">
        <v>0</v>
      </c>
      <c r="G101" s="10"/>
      <c r="H101" s="9">
        <v>0</v>
      </c>
      <c r="I101" s="10"/>
      <c r="J101" s="152">
        <v>0</v>
      </c>
      <c r="K101" s="10"/>
      <c r="L101" s="152">
        <v>0</v>
      </c>
      <c r="M101" s="10"/>
      <c r="N101" s="152">
        <v>0</v>
      </c>
      <c r="O101" s="10"/>
      <c r="P101" s="152">
        <v>10000</v>
      </c>
      <c r="Q101" s="10"/>
      <c r="R101" s="9">
        <v>0</v>
      </c>
      <c r="S101" s="10"/>
      <c r="T101" s="9">
        <v>0</v>
      </c>
      <c r="U101" s="10"/>
      <c r="V101" s="9">
        <v>0</v>
      </c>
      <c r="W101" s="10"/>
      <c r="X101" s="9">
        <v>0</v>
      </c>
      <c r="Y101" s="10"/>
      <c r="Z101" s="9">
        <v>0</v>
      </c>
      <c r="AA101" s="10"/>
      <c r="AB101" s="11">
        <v>0</v>
      </c>
      <c r="AC101" s="10"/>
      <c r="AD101" s="7">
        <f>SUM(F101+H101+J101+L101+N101+P101+R101+T101+V101+X101+Z101+AB101)</f>
        <v>10000</v>
      </c>
      <c r="AE101" s="7">
        <f>E101+AD101</f>
        <v>10000</v>
      </c>
      <c r="AF101" s="8">
        <f>G101+I101+K101+M101+O101+Q101+S101+U101+W101+Y101+AA101+AC101</f>
        <v>0</v>
      </c>
      <c r="AG101" s="153">
        <f>SUM(AE101-AF101)</f>
        <v>10000</v>
      </c>
      <c r="AH101" s="99" t="s">
        <v>38</v>
      </c>
      <c r="AI101" s="99">
        <v>4</v>
      </c>
    </row>
    <row r="102" spans="1:42" customHeight="1" ht="11.5">
      <c r="A102" s="5">
        <v>94</v>
      </c>
      <c r="B102" s="150" t="s">
        <v>143</v>
      </c>
      <c r="C102" s="151" t="s">
        <v>101</v>
      </c>
      <c r="D102" s="85" t="s">
        <v>102</v>
      </c>
      <c r="E102" s="86">
        <v>0</v>
      </c>
      <c r="F102" s="9">
        <v>0</v>
      </c>
      <c r="G102" s="10"/>
      <c r="H102" s="9">
        <v>1000</v>
      </c>
      <c r="I102" s="10"/>
      <c r="J102" s="152">
        <v>0</v>
      </c>
      <c r="K102" s="10">
        <v>1000</v>
      </c>
      <c r="L102" s="152">
        <v>1000</v>
      </c>
      <c r="M102" s="10"/>
      <c r="N102" s="152">
        <v>0</v>
      </c>
      <c r="O102" s="10">
        <v>1000</v>
      </c>
      <c r="P102" s="152">
        <v>0</v>
      </c>
      <c r="Q102" s="10"/>
      <c r="R102" s="9">
        <v>0</v>
      </c>
      <c r="S102" s="10"/>
      <c r="T102" s="9">
        <v>0</v>
      </c>
      <c r="U102" s="10"/>
      <c r="V102" s="9">
        <v>0</v>
      </c>
      <c r="W102" s="10"/>
      <c r="X102" s="9">
        <v>0</v>
      </c>
      <c r="Y102" s="10"/>
      <c r="Z102" s="9">
        <v>0</v>
      </c>
      <c r="AA102" s="10"/>
      <c r="AB102" s="11">
        <v>0</v>
      </c>
      <c r="AC102" s="10"/>
      <c r="AD102" s="7">
        <f>SUM(F102+H102+J102+L102+N102+P102+R102+T102+V102+X102+Z102+AB102)</f>
        <v>2000</v>
      </c>
      <c r="AE102" s="7">
        <f>E102+AD102</f>
        <v>2000</v>
      </c>
      <c r="AF102" s="8">
        <f>G102+I102+K102+M102+O102+Q102+S102+U102+W102+Y102+AA102+AC102</f>
        <v>2000</v>
      </c>
      <c r="AG102" s="153">
        <f>SUM(AE102-AF102)</f>
        <v>0</v>
      </c>
      <c r="AH102" s="99" t="s">
        <v>38</v>
      </c>
      <c r="AI102" s="99">
        <v>4</v>
      </c>
    </row>
    <row r="103" spans="1:42" customHeight="1" ht="11.5">
      <c r="A103" s="5">
        <v>95</v>
      </c>
      <c r="B103" s="150" t="s">
        <v>144</v>
      </c>
      <c r="C103" s="151" t="s">
        <v>36</v>
      </c>
      <c r="D103" s="85" t="s">
        <v>37</v>
      </c>
      <c r="E103" s="86">
        <v>5000</v>
      </c>
      <c r="F103" s="9">
        <v>0</v>
      </c>
      <c r="G103" s="10">
        <v>5000</v>
      </c>
      <c r="H103" s="9">
        <v>5000</v>
      </c>
      <c r="I103" s="10"/>
      <c r="J103" s="152">
        <v>0</v>
      </c>
      <c r="K103" s="10">
        <v>5000</v>
      </c>
      <c r="L103" s="152">
        <v>5000</v>
      </c>
      <c r="M103" s="10"/>
      <c r="N103" s="152">
        <v>0</v>
      </c>
      <c r="O103" s="10">
        <v>5000</v>
      </c>
      <c r="P103" s="152">
        <v>5000</v>
      </c>
      <c r="Q103" s="10"/>
      <c r="R103" s="9">
        <v>5000</v>
      </c>
      <c r="S103" s="10"/>
      <c r="T103" s="9">
        <v>0</v>
      </c>
      <c r="U103" s="10"/>
      <c r="V103" s="9">
        <v>0</v>
      </c>
      <c r="W103" s="10"/>
      <c r="X103" s="9">
        <v>0</v>
      </c>
      <c r="Y103" s="10"/>
      <c r="Z103" s="9">
        <v>0</v>
      </c>
      <c r="AA103" s="10"/>
      <c r="AB103" s="11">
        <v>0</v>
      </c>
      <c r="AC103" s="10"/>
      <c r="AD103" s="7">
        <f>SUM(F103+H103+J103+L103+N103+P103+R103+T103+V103+X103+Z103+AB103)</f>
        <v>20000</v>
      </c>
      <c r="AE103" s="7">
        <f>E103+AD103</f>
        <v>25000</v>
      </c>
      <c r="AF103" s="8">
        <f>G103+I103+K103+M103+O103+Q103+S103+U103+W103+Y103+AA103+AC103</f>
        <v>15000</v>
      </c>
      <c r="AG103" s="153">
        <f>SUM(AE103-AF103)</f>
        <v>10000</v>
      </c>
      <c r="AH103" s="99" t="s">
        <v>38</v>
      </c>
      <c r="AI103" s="99">
        <v>4</v>
      </c>
    </row>
    <row r="104" spans="1:42" customHeight="1" ht="11.5">
      <c r="A104" s="5">
        <v>96</v>
      </c>
      <c r="B104" s="150" t="s">
        <v>145</v>
      </c>
      <c r="C104" s="151" t="s">
        <v>36</v>
      </c>
      <c r="D104" s="85" t="s">
        <v>37</v>
      </c>
      <c r="E104" s="86">
        <v>0</v>
      </c>
      <c r="F104" s="9">
        <v>0</v>
      </c>
      <c r="G104" s="10"/>
      <c r="H104" s="9">
        <v>0</v>
      </c>
      <c r="I104" s="10"/>
      <c r="J104" s="152">
        <v>0</v>
      </c>
      <c r="K104" s="10"/>
      <c r="L104" s="152">
        <v>0</v>
      </c>
      <c r="M104" s="10"/>
      <c r="N104" s="152">
        <v>0</v>
      </c>
      <c r="O104" s="10"/>
      <c r="P104" s="152">
        <v>0</v>
      </c>
      <c r="Q104" s="10"/>
      <c r="R104" s="9">
        <v>0</v>
      </c>
      <c r="S104" s="10"/>
      <c r="T104" s="9">
        <v>0</v>
      </c>
      <c r="U104" s="10"/>
      <c r="V104" s="9">
        <v>0</v>
      </c>
      <c r="W104" s="10"/>
      <c r="X104" s="9">
        <v>0</v>
      </c>
      <c r="Y104" s="10"/>
      <c r="Z104" s="9">
        <v>0</v>
      </c>
      <c r="AA104" s="10"/>
      <c r="AB104" s="11">
        <v>0</v>
      </c>
      <c r="AC104" s="10"/>
      <c r="AD104" s="7">
        <f>SUM(F104+H104+J104+L104+N104+P104+R104+T104+V104+X104+Z104+AB104)</f>
        <v>0</v>
      </c>
      <c r="AE104" s="7">
        <f>E104+AD104</f>
        <v>0</v>
      </c>
      <c r="AF104" s="8">
        <f>G104+I104+K104+M104+O104+Q104+S104+U104+W104+Y104+AA104+AC104</f>
        <v>0</v>
      </c>
      <c r="AG104" s="153">
        <f>SUM(AE104-AF104)</f>
        <v>0</v>
      </c>
      <c r="AH104" s="99" t="s">
        <v>38</v>
      </c>
      <c r="AI104" s="99">
        <v>4</v>
      </c>
    </row>
    <row r="105" spans="1:42" customHeight="1" ht="11.5">
      <c r="A105" s="5">
        <v>97</v>
      </c>
      <c r="B105" s="150" t="s">
        <v>146</v>
      </c>
      <c r="C105" s="151" t="s">
        <v>36</v>
      </c>
      <c r="D105" s="85" t="s">
        <v>37</v>
      </c>
      <c r="E105" s="86">
        <v>0</v>
      </c>
      <c r="F105" s="9">
        <v>0</v>
      </c>
      <c r="G105" s="10"/>
      <c r="H105" s="9">
        <v>5000</v>
      </c>
      <c r="I105" s="10"/>
      <c r="J105" s="152">
        <v>0</v>
      </c>
      <c r="K105" s="10">
        <v>5000</v>
      </c>
      <c r="L105" s="152">
        <v>0</v>
      </c>
      <c r="M105" s="10"/>
      <c r="N105" s="152">
        <v>5000</v>
      </c>
      <c r="O105" s="10"/>
      <c r="P105" s="152">
        <v>0</v>
      </c>
      <c r="Q105" s="10">
        <v>5000</v>
      </c>
      <c r="R105" s="9">
        <v>0</v>
      </c>
      <c r="S105" s="10"/>
      <c r="T105" s="9">
        <v>0</v>
      </c>
      <c r="U105" s="10"/>
      <c r="V105" s="9">
        <v>0</v>
      </c>
      <c r="W105" s="10"/>
      <c r="X105" s="9">
        <v>0</v>
      </c>
      <c r="Y105" s="10"/>
      <c r="Z105" s="9">
        <v>0</v>
      </c>
      <c r="AA105" s="10"/>
      <c r="AB105" s="11">
        <v>0</v>
      </c>
      <c r="AC105" s="10"/>
      <c r="AD105" s="7">
        <f>SUM(F105+H105+J105+L105+N105+P105+R105+T105+V105+X105+Z105+AB105)</f>
        <v>10000</v>
      </c>
      <c r="AE105" s="7">
        <f>E105+AD105</f>
        <v>10000</v>
      </c>
      <c r="AF105" s="8">
        <f>G105+I105+K105+M105+O105+Q105+S105+U105+W105+Y105+AA105+AC105</f>
        <v>10000</v>
      </c>
      <c r="AG105" s="153">
        <f>SUM(AE105-AF105)</f>
        <v>0</v>
      </c>
      <c r="AH105" s="99" t="s">
        <v>38</v>
      </c>
      <c r="AI105" s="99">
        <v>4</v>
      </c>
    </row>
    <row r="106" spans="1:42" customHeight="1" ht="11.5">
      <c r="A106" s="5">
        <v>98</v>
      </c>
      <c r="B106" s="150" t="s">
        <v>147</v>
      </c>
      <c r="C106" s="151" t="s">
        <v>36</v>
      </c>
      <c r="D106" s="85" t="s">
        <v>37</v>
      </c>
      <c r="E106" s="86">
        <v>0</v>
      </c>
      <c r="F106" s="9">
        <v>0</v>
      </c>
      <c r="G106" s="10"/>
      <c r="H106" s="9">
        <v>0</v>
      </c>
      <c r="I106" s="10"/>
      <c r="J106" s="152">
        <v>0</v>
      </c>
      <c r="K106" s="10"/>
      <c r="L106" s="152">
        <v>0</v>
      </c>
      <c r="M106" s="10"/>
      <c r="N106" s="152">
        <v>0</v>
      </c>
      <c r="O106" s="10"/>
      <c r="P106" s="152">
        <v>0</v>
      </c>
      <c r="Q106" s="10"/>
      <c r="R106" s="9">
        <v>0</v>
      </c>
      <c r="S106" s="10"/>
      <c r="T106" s="9">
        <v>0</v>
      </c>
      <c r="U106" s="10"/>
      <c r="V106" s="9">
        <v>0</v>
      </c>
      <c r="W106" s="10"/>
      <c r="X106" s="9">
        <v>0</v>
      </c>
      <c r="Y106" s="10"/>
      <c r="Z106" s="9">
        <v>0</v>
      </c>
      <c r="AA106" s="10"/>
      <c r="AB106" s="11">
        <v>0</v>
      </c>
      <c r="AC106" s="10"/>
      <c r="AD106" s="7">
        <f>SUM(F106+H106+J106+L106+N106+P106+R106+T106+V106+X106+Z106+AB106)</f>
        <v>0</v>
      </c>
      <c r="AE106" s="7">
        <f>E106+AD106</f>
        <v>0</v>
      </c>
      <c r="AF106" s="8">
        <f>G106+I106+K106+M106+O106+Q106+S106+U106+W106+Y106+AA106+AC106</f>
        <v>0</v>
      </c>
      <c r="AG106" s="153">
        <f>SUM(AE106-AF106)</f>
        <v>0</v>
      </c>
      <c r="AH106" s="99" t="s">
        <v>38</v>
      </c>
      <c r="AI106" s="99">
        <v>4</v>
      </c>
    </row>
    <row r="107" spans="1:42" customHeight="1" ht="11.5">
      <c r="A107" s="5">
        <v>99</v>
      </c>
      <c r="B107" s="150" t="s">
        <v>148</v>
      </c>
      <c r="C107" s="151" t="s">
        <v>36</v>
      </c>
      <c r="D107" s="85" t="s">
        <v>37</v>
      </c>
      <c r="E107" s="86">
        <v>35000</v>
      </c>
      <c r="F107" s="9">
        <v>45000</v>
      </c>
      <c r="G107" s="10">
        <v>35000</v>
      </c>
      <c r="H107" s="9">
        <v>55000</v>
      </c>
      <c r="I107" s="10">
        <v>45000</v>
      </c>
      <c r="J107" s="152">
        <v>55000</v>
      </c>
      <c r="K107" s="10">
        <v>55000</v>
      </c>
      <c r="L107" s="152">
        <v>40000</v>
      </c>
      <c r="M107" s="10">
        <v>55000</v>
      </c>
      <c r="N107" s="152">
        <v>60000</v>
      </c>
      <c r="O107" s="10">
        <v>40000</v>
      </c>
      <c r="P107" s="152">
        <v>50000</v>
      </c>
      <c r="Q107" s="10">
        <v>60000</v>
      </c>
      <c r="R107" s="9">
        <v>55000</v>
      </c>
      <c r="S107" s="10"/>
      <c r="T107" s="9">
        <v>0</v>
      </c>
      <c r="U107" s="10"/>
      <c r="V107" s="9">
        <v>0</v>
      </c>
      <c r="W107" s="10"/>
      <c r="X107" s="9">
        <v>0</v>
      </c>
      <c r="Y107" s="10"/>
      <c r="Z107" s="9">
        <v>0</v>
      </c>
      <c r="AA107" s="10"/>
      <c r="AB107" s="11">
        <v>0</v>
      </c>
      <c r="AC107" s="10"/>
      <c r="AD107" s="7">
        <f>SUM(F107+H107+J107+L107+N107+P107+R107+T107+V107+X107+Z107+AB107)</f>
        <v>360000</v>
      </c>
      <c r="AE107" s="7">
        <f>E107+AD107</f>
        <v>395000</v>
      </c>
      <c r="AF107" s="8">
        <f>G107+I107+K107+M107+O107+Q107+S107+U107+W107+Y107+AA107+AC107</f>
        <v>290000</v>
      </c>
      <c r="AG107" s="153">
        <f>SUM(AE107-AF107)</f>
        <v>105000</v>
      </c>
      <c r="AH107" s="99" t="s">
        <v>38</v>
      </c>
      <c r="AI107" s="99">
        <v>4</v>
      </c>
    </row>
    <row r="108" spans="1:42" customHeight="1" ht="11.5">
      <c r="A108" s="5">
        <v>100</v>
      </c>
      <c r="B108" s="150" t="s">
        <v>149</v>
      </c>
      <c r="C108" s="151" t="s">
        <v>36</v>
      </c>
      <c r="D108" s="85" t="s">
        <v>37</v>
      </c>
      <c r="E108" s="86">
        <v>0</v>
      </c>
      <c r="F108" s="9">
        <v>0</v>
      </c>
      <c r="G108" s="10"/>
      <c r="H108" s="9">
        <v>5000</v>
      </c>
      <c r="I108" s="10"/>
      <c r="J108" s="152">
        <v>0</v>
      </c>
      <c r="K108" s="10">
        <v>5000</v>
      </c>
      <c r="L108" s="152">
        <v>5000</v>
      </c>
      <c r="M108" s="10"/>
      <c r="N108" s="152">
        <v>0</v>
      </c>
      <c r="O108" s="10">
        <v>5000</v>
      </c>
      <c r="P108" s="152">
        <v>5000</v>
      </c>
      <c r="Q108" s="10"/>
      <c r="R108" s="9">
        <v>5000</v>
      </c>
      <c r="S108" s="10"/>
      <c r="T108" s="9">
        <v>0</v>
      </c>
      <c r="U108" s="10"/>
      <c r="V108" s="9">
        <v>0</v>
      </c>
      <c r="W108" s="10"/>
      <c r="X108" s="9">
        <v>0</v>
      </c>
      <c r="Y108" s="10"/>
      <c r="Z108" s="9">
        <v>0</v>
      </c>
      <c r="AA108" s="10"/>
      <c r="AB108" s="11">
        <v>0</v>
      </c>
      <c r="AC108" s="10"/>
      <c r="AD108" s="7">
        <f>SUM(F108+H108+J108+L108+N108+P108+R108+T108+V108+X108+Z108+AB108)</f>
        <v>20000</v>
      </c>
      <c r="AE108" s="7">
        <f>E108+AD108</f>
        <v>20000</v>
      </c>
      <c r="AF108" s="8">
        <f>G108+I108+K108+M108+O108+Q108+S108+U108+W108+Y108+AA108+AC108</f>
        <v>10000</v>
      </c>
      <c r="AG108" s="153">
        <f>SUM(AE108-AF108)</f>
        <v>10000</v>
      </c>
      <c r="AH108" s="99" t="s">
        <v>38</v>
      </c>
      <c r="AI108" s="99">
        <v>4</v>
      </c>
    </row>
    <row r="109" spans="1:42" customHeight="1" ht="11.5">
      <c r="A109" s="5">
        <v>101</v>
      </c>
      <c r="B109" s="150" t="s">
        <v>150</v>
      </c>
      <c r="C109" s="151" t="s">
        <v>36</v>
      </c>
      <c r="D109" s="85" t="s">
        <v>37</v>
      </c>
      <c r="E109" s="86">
        <v>0</v>
      </c>
      <c r="F109" s="9">
        <v>10000</v>
      </c>
      <c r="G109" s="10"/>
      <c r="H109" s="9">
        <v>0</v>
      </c>
      <c r="I109" s="10">
        <v>10000</v>
      </c>
      <c r="J109" s="152">
        <v>0</v>
      </c>
      <c r="K109" s="10"/>
      <c r="L109" s="152">
        <v>0</v>
      </c>
      <c r="M109" s="10"/>
      <c r="N109" s="152">
        <v>0</v>
      </c>
      <c r="O109" s="10"/>
      <c r="P109" s="152">
        <v>0</v>
      </c>
      <c r="Q109" s="10"/>
      <c r="R109" s="9">
        <v>0</v>
      </c>
      <c r="S109" s="10"/>
      <c r="T109" s="9">
        <v>0</v>
      </c>
      <c r="U109" s="10"/>
      <c r="V109" s="9">
        <v>0</v>
      </c>
      <c r="W109" s="10"/>
      <c r="X109" s="9">
        <v>0</v>
      </c>
      <c r="Y109" s="10"/>
      <c r="Z109" s="9">
        <v>0</v>
      </c>
      <c r="AA109" s="10"/>
      <c r="AB109" s="11">
        <v>0</v>
      </c>
      <c r="AC109" s="10"/>
      <c r="AD109" s="7">
        <f>SUM(F109+H109+J109+L109+N109+P109+R109+T109+V109+X109+Z109+AB109)</f>
        <v>10000</v>
      </c>
      <c r="AE109" s="7">
        <f>E109+AD109</f>
        <v>10000</v>
      </c>
      <c r="AF109" s="8">
        <f>G109+I109+K109+M109+O109+Q109+S109+U109+W109+Y109+AA109+AC109</f>
        <v>10000</v>
      </c>
      <c r="AG109" s="153">
        <f>SUM(AE109-AF109)</f>
        <v>0</v>
      </c>
      <c r="AH109" s="99" t="s">
        <v>38</v>
      </c>
      <c r="AI109" s="99">
        <v>4</v>
      </c>
    </row>
    <row r="110" spans="1:42" customHeight="1" ht="11.5">
      <c r="A110" s="5">
        <v>102</v>
      </c>
      <c r="B110" s="150" t="s">
        <v>151</v>
      </c>
      <c r="C110" s="151" t="s">
        <v>36</v>
      </c>
      <c r="D110" s="85" t="s">
        <v>37</v>
      </c>
      <c r="E110" s="86">
        <v>0</v>
      </c>
      <c r="F110" s="9">
        <v>10000</v>
      </c>
      <c r="G110" s="10"/>
      <c r="H110" s="9">
        <v>10000</v>
      </c>
      <c r="I110" s="10">
        <v>10000</v>
      </c>
      <c r="J110" s="152">
        <v>0</v>
      </c>
      <c r="K110" s="10">
        <v>10000</v>
      </c>
      <c r="L110" s="152">
        <v>10000</v>
      </c>
      <c r="M110" s="10"/>
      <c r="N110" s="152">
        <v>10000</v>
      </c>
      <c r="O110" s="10">
        <v>10000</v>
      </c>
      <c r="P110" s="152">
        <v>10000</v>
      </c>
      <c r="Q110" s="10">
        <v>10000</v>
      </c>
      <c r="R110" s="9">
        <v>0</v>
      </c>
      <c r="S110" s="10"/>
      <c r="T110" s="9">
        <v>0</v>
      </c>
      <c r="U110" s="10"/>
      <c r="V110" s="9">
        <v>0</v>
      </c>
      <c r="W110" s="10"/>
      <c r="X110" s="9">
        <v>0</v>
      </c>
      <c r="Y110" s="10"/>
      <c r="Z110" s="9">
        <v>0</v>
      </c>
      <c r="AA110" s="10"/>
      <c r="AB110" s="11">
        <v>0</v>
      </c>
      <c r="AC110" s="10"/>
      <c r="AD110" s="7">
        <f>SUM(F110+H110+J110+L110+N110+P110+R110+T110+V110+X110+Z110+AB110)</f>
        <v>50000</v>
      </c>
      <c r="AE110" s="7">
        <f>E110+AD110</f>
        <v>50000</v>
      </c>
      <c r="AF110" s="8">
        <f>G110+I110+K110+M110+O110+Q110+S110+U110+W110+Y110+AA110+AC110</f>
        <v>40000</v>
      </c>
      <c r="AG110" s="153">
        <f>SUM(AE110-AF110)</f>
        <v>10000</v>
      </c>
      <c r="AH110" s="99" t="s">
        <v>38</v>
      </c>
      <c r="AI110" s="99">
        <v>4</v>
      </c>
    </row>
    <row r="111" spans="1:42" customHeight="1" ht="11.5">
      <c r="A111" s="5">
        <v>103</v>
      </c>
      <c r="B111" s="150" t="s">
        <v>152</v>
      </c>
      <c r="C111" s="151" t="s">
        <v>36</v>
      </c>
      <c r="D111" s="85" t="s">
        <v>37</v>
      </c>
      <c r="E111" s="86">
        <v>0</v>
      </c>
      <c r="F111" s="9">
        <v>0</v>
      </c>
      <c r="G111" s="10"/>
      <c r="H111" s="9">
        <v>0</v>
      </c>
      <c r="I111" s="10"/>
      <c r="J111" s="152">
        <v>0</v>
      </c>
      <c r="K111" s="10"/>
      <c r="L111" s="152">
        <v>10000</v>
      </c>
      <c r="M111" s="10"/>
      <c r="N111" s="152">
        <v>0</v>
      </c>
      <c r="O111" s="10">
        <v>10000</v>
      </c>
      <c r="P111" s="152">
        <v>0</v>
      </c>
      <c r="Q111" s="10"/>
      <c r="R111" s="9">
        <v>0</v>
      </c>
      <c r="S111" s="10"/>
      <c r="T111" s="9">
        <v>0</v>
      </c>
      <c r="U111" s="10"/>
      <c r="V111" s="9">
        <v>0</v>
      </c>
      <c r="W111" s="10"/>
      <c r="X111" s="9">
        <v>0</v>
      </c>
      <c r="Y111" s="10"/>
      <c r="Z111" s="9">
        <v>0</v>
      </c>
      <c r="AA111" s="10"/>
      <c r="AB111" s="11">
        <v>0</v>
      </c>
      <c r="AC111" s="10"/>
      <c r="AD111" s="7">
        <f>SUM(F111+H111+J111+L111+N111+P111+R111+T111+V111+X111+Z111+AB111)</f>
        <v>10000</v>
      </c>
      <c r="AE111" s="7">
        <f>E111+AD111</f>
        <v>10000</v>
      </c>
      <c r="AF111" s="8">
        <f>G111+I111+K111+M111+O111+Q111+S111+U111+W111+Y111+AA111+AC111</f>
        <v>10000</v>
      </c>
      <c r="AG111" s="153">
        <f>SUM(AE111-AF111)</f>
        <v>0</v>
      </c>
      <c r="AH111" s="99" t="s">
        <v>38</v>
      </c>
      <c r="AI111" s="99">
        <v>4</v>
      </c>
    </row>
    <row r="112" spans="1:42" customHeight="1" ht="11.5">
      <c r="A112" s="5">
        <v>104</v>
      </c>
      <c r="B112" s="150" t="s">
        <v>153</v>
      </c>
      <c r="C112" s="151" t="s">
        <v>36</v>
      </c>
      <c r="D112" s="85" t="s">
        <v>37</v>
      </c>
      <c r="E112" s="86">
        <v>30000</v>
      </c>
      <c r="F112" s="9">
        <v>30000</v>
      </c>
      <c r="G112" s="10">
        <v>30000</v>
      </c>
      <c r="H112" s="9">
        <v>30000</v>
      </c>
      <c r="I112" s="10">
        <v>30000</v>
      </c>
      <c r="J112" s="152">
        <v>40000</v>
      </c>
      <c r="K112" s="10">
        <v>30000</v>
      </c>
      <c r="L112" s="152">
        <v>40000</v>
      </c>
      <c r="M112" s="10">
        <v>40000</v>
      </c>
      <c r="N112" s="152">
        <v>40000</v>
      </c>
      <c r="O112" s="10">
        <v>40000</v>
      </c>
      <c r="P112" s="152">
        <v>40000</v>
      </c>
      <c r="Q112" s="10">
        <v>40000</v>
      </c>
      <c r="R112" s="9">
        <v>40000</v>
      </c>
      <c r="S112" s="10"/>
      <c r="T112" s="9">
        <v>0</v>
      </c>
      <c r="U112" s="10"/>
      <c r="V112" s="9">
        <v>0</v>
      </c>
      <c r="W112" s="10"/>
      <c r="X112" s="9">
        <v>0</v>
      </c>
      <c r="Y112" s="10"/>
      <c r="Z112" s="9">
        <v>0</v>
      </c>
      <c r="AA112" s="10"/>
      <c r="AB112" s="11">
        <v>0</v>
      </c>
      <c r="AC112" s="10"/>
      <c r="AD112" s="7">
        <f>SUM(F112+H112+J112+L112+N112+P112+R112+T112+V112+X112+Z112+AB112)</f>
        <v>260000</v>
      </c>
      <c r="AE112" s="7">
        <f>E112+AD112</f>
        <v>290000</v>
      </c>
      <c r="AF112" s="8">
        <f>G112+I112+K112+M112+O112+Q112+S112+U112+W112+Y112+AA112+AC112</f>
        <v>210000</v>
      </c>
      <c r="AG112" s="153">
        <f>SUM(AE112-AF112)</f>
        <v>80000</v>
      </c>
      <c r="AH112" s="99" t="s">
        <v>38</v>
      </c>
      <c r="AI112" s="99">
        <v>4</v>
      </c>
    </row>
    <row r="113" spans="1:42" customHeight="1" ht="11.5">
      <c r="A113" s="5">
        <v>105</v>
      </c>
      <c r="B113" s="150" t="s">
        <v>154</v>
      </c>
      <c r="C113" s="151" t="s">
        <v>36</v>
      </c>
      <c r="D113" s="85" t="s">
        <v>37</v>
      </c>
      <c r="E113" s="86">
        <v>0</v>
      </c>
      <c r="F113" s="9">
        <v>0</v>
      </c>
      <c r="G113" s="10"/>
      <c r="H113" s="9">
        <v>0</v>
      </c>
      <c r="I113" s="10"/>
      <c r="J113" s="152">
        <v>0</v>
      </c>
      <c r="K113" s="10"/>
      <c r="L113" s="152">
        <v>5000</v>
      </c>
      <c r="M113" s="10"/>
      <c r="N113" s="152">
        <v>0</v>
      </c>
      <c r="O113" s="10">
        <v>5000</v>
      </c>
      <c r="P113" s="152">
        <v>0</v>
      </c>
      <c r="Q113" s="10"/>
      <c r="R113" s="9">
        <v>0</v>
      </c>
      <c r="S113" s="10"/>
      <c r="T113" s="9">
        <v>0</v>
      </c>
      <c r="U113" s="10"/>
      <c r="V113" s="9">
        <v>0</v>
      </c>
      <c r="W113" s="10"/>
      <c r="X113" s="9">
        <v>0</v>
      </c>
      <c r="Y113" s="10"/>
      <c r="Z113" s="9">
        <v>0</v>
      </c>
      <c r="AA113" s="10"/>
      <c r="AB113" s="11">
        <v>0</v>
      </c>
      <c r="AC113" s="10"/>
      <c r="AD113" s="7">
        <f>SUM(F113+H113+J113+L113+N113+P113+R113+T113+V113+X113+Z113+AB113)</f>
        <v>5000</v>
      </c>
      <c r="AE113" s="7">
        <f>E113+AD113</f>
        <v>5000</v>
      </c>
      <c r="AF113" s="8">
        <f>G113+I113+K113+M113+O113+Q113+S113+U113+W113+Y113+AA113+AC113</f>
        <v>5000</v>
      </c>
      <c r="AG113" s="153">
        <f>SUM(AE113-AF113)</f>
        <v>0</v>
      </c>
      <c r="AH113" s="99" t="s">
        <v>38</v>
      </c>
      <c r="AI113" s="99">
        <v>4</v>
      </c>
    </row>
    <row r="114" spans="1:42" customHeight="1" ht="11.5">
      <c r="A114" s="5">
        <v>106</v>
      </c>
      <c r="B114" s="150" t="s">
        <v>155</v>
      </c>
      <c r="C114" s="151" t="s">
        <v>36</v>
      </c>
      <c r="D114" s="85" t="s">
        <v>37</v>
      </c>
      <c r="E114" s="86">
        <v>0</v>
      </c>
      <c r="F114" s="9">
        <v>0</v>
      </c>
      <c r="G114" s="10"/>
      <c r="H114" s="9">
        <v>0</v>
      </c>
      <c r="I114" s="10"/>
      <c r="J114" s="152">
        <v>0</v>
      </c>
      <c r="K114" s="10"/>
      <c r="L114" s="152">
        <v>0</v>
      </c>
      <c r="M114" s="10"/>
      <c r="N114" s="152">
        <v>5000</v>
      </c>
      <c r="O114" s="10"/>
      <c r="P114" s="152">
        <v>0</v>
      </c>
      <c r="Q114" s="10">
        <v>5000</v>
      </c>
      <c r="R114" s="9">
        <v>0</v>
      </c>
      <c r="S114" s="10"/>
      <c r="T114" s="9">
        <v>0</v>
      </c>
      <c r="U114" s="10"/>
      <c r="V114" s="9">
        <v>0</v>
      </c>
      <c r="W114" s="10"/>
      <c r="X114" s="9">
        <v>0</v>
      </c>
      <c r="Y114" s="10"/>
      <c r="Z114" s="9">
        <v>0</v>
      </c>
      <c r="AA114" s="10"/>
      <c r="AB114" s="11">
        <v>0</v>
      </c>
      <c r="AC114" s="10"/>
      <c r="AD114" s="7">
        <f>SUM(F114+H114+J114+L114+N114+P114+R114+T114+V114+X114+Z114+AB114)</f>
        <v>5000</v>
      </c>
      <c r="AE114" s="7">
        <f>E114+AD114</f>
        <v>5000</v>
      </c>
      <c r="AF114" s="8">
        <f>G114+I114+K114+M114+O114+Q114+S114+U114+W114+Y114+AA114+AC114</f>
        <v>5000</v>
      </c>
      <c r="AG114" s="153">
        <f>SUM(AE114-AF114)</f>
        <v>0</v>
      </c>
      <c r="AH114" s="99" t="s">
        <v>38</v>
      </c>
      <c r="AI114" s="99">
        <v>4</v>
      </c>
    </row>
    <row r="115" spans="1:42" customHeight="1" ht="11.5">
      <c r="A115" s="5">
        <v>107</v>
      </c>
      <c r="B115" s="150" t="s">
        <v>156</v>
      </c>
      <c r="C115" s="151" t="s">
        <v>157</v>
      </c>
      <c r="D115" s="85" t="s">
        <v>158</v>
      </c>
      <c r="E115" s="86">
        <v>-945820</v>
      </c>
      <c r="F115" s="9">
        <v>0</v>
      </c>
      <c r="G115" s="10"/>
      <c r="H115" s="9">
        <v>2000</v>
      </c>
      <c r="I115" s="10"/>
      <c r="J115" s="152">
        <v>0</v>
      </c>
      <c r="K115" s="10"/>
      <c r="L115" s="152">
        <v>2000</v>
      </c>
      <c r="M115" s="10"/>
      <c r="N115" s="152">
        <v>2000</v>
      </c>
      <c r="O115" s="10"/>
      <c r="P115" s="152">
        <v>0</v>
      </c>
      <c r="Q115" s="10"/>
      <c r="R115" s="9">
        <v>2000</v>
      </c>
      <c r="S115" s="10"/>
      <c r="T115" s="9">
        <v>0</v>
      </c>
      <c r="U115" s="10"/>
      <c r="V115" s="9">
        <v>0</v>
      </c>
      <c r="W115" s="10"/>
      <c r="X115" s="9">
        <v>0</v>
      </c>
      <c r="Y115" s="10"/>
      <c r="Z115" s="9">
        <v>0</v>
      </c>
      <c r="AA115" s="10"/>
      <c r="AB115" s="11">
        <v>0</v>
      </c>
      <c r="AC115" s="10"/>
      <c r="AD115" s="7">
        <f>SUM(F115+H115+J115+L115+N115+P115+R115+T115+V115+X115+Z115+AB115)</f>
        <v>8000</v>
      </c>
      <c r="AE115" s="7">
        <f>E115+AD115</f>
        <v>-937820</v>
      </c>
      <c r="AF115" s="8">
        <f>G115+I115+K115+M115+O115+Q115+S115+U115+W115+Y115+AA115+AC115</f>
        <v>0</v>
      </c>
      <c r="AG115" s="153">
        <f>SUM(AE115-AF115)</f>
        <v>-937820</v>
      </c>
      <c r="AH115" s="99" t="s">
        <v>38</v>
      </c>
      <c r="AI115" s="99">
        <v>4</v>
      </c>
    </row>
    <row r="116" spans="1:42" customHeight="1" ht="11.5">
      <c r="A116" s="5">
        <v>108</v>
      </c>
      <c r="B116" s="150" t="s">
        <v>159</v>
      </c>
      <c r="C116" s="151" t="s">
        <v>112</v>
      </c>
      <c r="D116" s="85" t="s">
        <v>113</v>
      </c>
      <c r="E116" s="86">
        <v>0</v>
      </c>
      <c r="F116" s="9">
        <v>0</v>
      </c>
      <c r="G116" s="10"/>
      <c r="H116" s="9">
        <v>30000</v>
      </c>
      <c r="I116" s="10"/>
      <c r="J116" s="152">
        <v>0</v>
      </c>
      <c r="K116" s="10">
        <v>30000</v>
      </c>
      <c r="L116" s="152">
        <v>0</v>
      </c>
      <c r="M116" s="10"/>
      <c r="N116" s="152">
        <v>0</v>
      </c>
      <c r="O116" s="10"/>
      <c r="P116" s="152">
        <v>30000</v>
      </c>
      <c r="Q116" s="10"/>
      <c r="R116" s="9">
        <v>0</v>
      </c>
      <c r="S116" s="10"/>
      <c r="T116" s="9">
        <v>0</v>
      </c>
      <c r="U116" s="10"/>
      <c r="V116" s="9">
        <v>0</v>
      </c>
      <c r="W116" s="10"/>
      <c r="X116" s="9">
        <v>0</v>
      </c>
      <c r="Y116" s="10"/>
      <c r="Z116" s="9">
        <v>0</v>
      </c>
      <c r="AA116" s="10"/>
      <c r="AB116" s="11">
        <v>0</v>
      </c>
      <c r="AC116" s="10"/>
      <c r="AD116" s="7">
        <f>SUM(F116+H116+J116+L116+N116+P116+R116+T116+V116+X116+Z116+AB116)</f>
        <v>60000</v>
      </c>
      <c r="AE116" s="7">
        <f>E116+AD116</f>
        <v>60000</v>
      </c>
      <c r="AF116" s="8">
        <f>G116+I116+K116+M116+O116+Q116+S116+U116+W116+Y116+AA116+AC116</f>
        <v>30000</v>
      </c>
      <c r="AG116" s="153">
        <f>SUM(AE116-AF116)</f>
        <v>30000</v>
      </c>
      <c r="AH116" s="99" t="s">
        <v>38</v>
      </c>
      <c r="AI116" s="99">
        <v>4</v>
      </c>
    </row>
    <row r="117" spans="1:42" customHeight="1" ht="11.5">
      <c r="A117" s="5">
        <v>109</v>
      </c>
      <c r="B117" s="150" t="s">
        <v>160</v>
      </c>
      <c r="C117" s="151" t="s">
        <v>112</v>
      </c>
      <c r="D117" s="85" t="s">
        <v>113</v>
      </c>
      <c r="E117" s="86">
        <v>30000</v>
      </c>
      <c r="F117" s="9">
        <v>0</v>
      </c>
      <c r="G117" s="10">
        <v>30000</v>
      </c>
      <c r="H117" s="9">
        <v>30000</v>
      </c>
      <c r="I117" s="10"/>
      <c r="J117" s="152">
        <v>0</v>
      </c>
      <c r="K117" s="10">
        <v>30000</v>
      </c>
      <c r="L117" s="152">
        <v>0</v>
      </c>
      <c r="M117" s="10"/>
      <c r="N117" s="152">
        <v>0</v>
      </c>
      <c r="O117" s="10"/>
      <c r="P117" s="152">
        <v>30000</v>
      </c>
      <c r="Q117" s="10"/>
      <c r="R117" s="9">
        <v>0</v>
      </c>
      <c r="S117" s="10"/>
      <c r="T117" s="9">
        <v>0</v>
      </c>
      <c r="U117" s="10"/>
      <c r="V117" s="9">
        <v>0</v>
      </c>
      <c r="W117" s="10"/>
      <c r="X117" s="9">
        <v>0</v>
      </c>
      <c r="Y117" s="10"/>
      <c r="Z117" s="9">
        <v>0</v>
      </c>
      <c r="AA117" s="10"/>
      <c r="AB117" s="11">
        <v>0</v>
      </c>
      <c r="AC117" s="10"/>
      <c r="AD117" s="7">
        <f>SUM(F117+H117+J117+L117+N117+P117+R117+T117+V117+X117+Z117+AB117)</f>
        <v>60000</v>
      </c>
      <c r="AE117" s="7">
        <f>E117+AD117</f>
        <v>90000</v>
      </c>
      <c r="AF117" s="8">
        <f>G117+I117+K117+M117+O117+Q117+S117+U117+W117+Y117+AA117+AC117</f>
        <v>60000</v>
      </c>
      <c r="AG117" s="153">
        <f>SUM(AE117-AF117)</f>
        <v>30000</v>
      </c>
      <c r="AH117" s="99" t="s">
        <v>38</v>
      </c>
      <c r="AI117" s="99">
        <v>4</v>
      </c>
    </row>
    <row r="118" spans="1:42" customHeight="1" ht="11.5">
      <c r="A118" s="5">
        <v>110</v>
      </c>
      <c r="B118" s="150" t="s">
        <v>161</v>
      </c>
      <c r="C118" s="151" t="s">
        <v>112</v>
      </c>
      <c r="D118" s="85" t="s">
        <v>113</v>
      </c>
      <c r="E118" s="86">
        <v>0</v>
      </c>
      <c r="F118" s="9">
        <v>0</v>
      </c>
      <c r="G118" s="10"/>
      <c r="H118" s="9">
        <v>0</v>
      </c>
      <c r="I118" s="10"/>
      <c r="J118" s="152">
        <v>0</v>
      </c>
      <c r="K118" s="10"/>
      <c r="L118" s="152">
        <v>0</v>
      </c>
      <c r="M118" s="10"/>
      <c r="N118" s="152">
        <v>0</v>
      </c>
      <c r="O118" s="10"/>
      <c r="P118" s="152">
        <v>0</v>
      </c>
      <c r="Q118" s="10"/>
      <c r="R118" s="9">
        <v>0</v>
      </c>
      <c r="S118" s="10"/>
      <c r="T118" s="9">
        <v>0</v>
      </c>
      <c r="U118" s="10"/>
      <c r="V118" s="9">
        <v>0</v>
      </c>
      <c r="W118" s="10"/>
      <c r="X118" s="9">
        <v>0</v>
      </c>
      <c r="Y118" s="10"/>
      <c r="Z118" s="9">
        <v>0</v>
      </c>
      <c r="AA118" s="10"/>
      <c r="AB118" s="11">
        <v>0</v>
      </c>
      <c r="AC118" s="10"/>
      <c r="AD118" s="7">
        <f>SUM(F118+H118+J118+L118+N118+P118+R118+T118+V118+X118+Z118+AB118)</f>
        <v>0</v>
      </c>
      <c r="AE118" s="7">
        <f>E118+AD118</f>
        <v>0</v>
      </c>
      <c r="AF118" s="8">
        <f>G118+I118+K118+M118+O118+Q118+S118+U118+W118+Y118+AA118+AC118</f>
        <v>0</v>
      </c>
      <c r="AG118" s="153">
        <f>SUM(AE118-AF118)</f>
        <v>0</v>
      </c>
      <c r="AH118" s="99" t="s">
        <v>38</v>
      </c>
      <c r="AI118" s="99">
        <v>4</v>
      </c>
    </row>
    <row r="119" spans="1:42" customHeight="1" ht="11.5">
      <c r="A119" s="5">
        <v>111</v>
      </c>
      <c r="B119" s="150" t="s">
        <v>162</v>
      </c>
      <c r="C119" s="151" t="s">
        <v>112</v>
      </c>
      <c r="D119" s="85" t="s">
        <v>113</v>
      </c>
      <c r="E119" s="86">
        <v>0</v>
      </c>
      <c r="F119" s="9">
        <v>0</v>
      </c>
      <c r="G119" s="10"/>
      <c r="H119" s="9">
        <v>0</v>
      </c>
      <c r="I119" s="10"/>
      <c r="J119" s="152">
        <v>20000</v>
      </c>
      <c r="K119" s="10"/>
      <c r="L119" s="152">
        <v>0</v>
      </c>
      <c r="M119" s="10">
        <v>20000</v>
      </c>
      <c r="N119" s="152">
        <v>0</v>
      </c>
      <c r="O119" s="10"/>
      <c r="P119" s="152">
        <v>0</v>
      </c>
      <c r="Q119" s="10"/>
      <c r="R119" s="9">
        <v>20000</v>
      </c>
      <c r="S119" s="10"/>
      <c r="T119" s="9">
        <v>0</v>
      </c>
      <c r="U119" s="10"/>
      <c r="V119" s="9">
        <v>0</v>
      </c>
      <c r="W119" s="10"/>
      <c r="X119" s="9">
        <v>0</v>
      </c>
      <c r="Y119" s="10"/>
      <c r="Z119" s="9">
        <v>0</v>
      </c>
      <c r="AA119" s="10"/>
      <c r="AB119" s="11">
        <v>0</v>
      </c>
      <c r="AC119" s="10"/>
      <c r="AD119" s="7">
        <f>SUM(F119+H119+J119+L119+N119+P119+R119+T119+V119+X119+Z119+AB119)</f>
        <v>40000</v>
      </c>
      <c r="AE119" s="7">
        <f>E119+AD119</f>
        <v>40000</v>
      </c>
      <c r="AF119" s="8">
        <f>G119+I119+K119+M119+O119+Q119+S119+U119+W119+Y119+AA119+AC119</f>
        <v>20000</v>
      </c>
      <c r="AG119" s="153">
        <f>SUM(AE119-AF119)</f>
        <v>20000</v>
      </c>
      <c r="AH119" s="99" t="s">
        <v>38</v>
      </c>
      <c r="AI119" s="99">
        <v>4</v>
      </c>
    </row>
    <row r="120" spans="1:42" customHeight="1" ht="11.5">
      <c r="A120" s="5">
        <v>112</v>
      </c>
      <c r="B120" s="150" t="s">
        <v>163</v>
      </c>
      <c r="C120" s="151" t="s">
        <v>112</v>
      </c>
      <c r="D120" s="85" t="s">
        <v>113</v>
      </c>
      <c r="E120" s="86">
        <v>10000</v>
      </c>
      <c r="F120" s="9">
        <v>20000</v>
      </c>
      <c r="G120" s="10">
        <v>10000</v>
      </c>
      <c r="H120" s="9">
        <v>10000</v>
      </c>
      <c r="I120" s="10">
        <v>20000</v>
      </c>
      <c r="J120" s="152">
        <v>0</v>
      </c>
      <c r="K120" s="10">
        <v>10000</v>
      </c>
      <c r="L120" s="152">
        <v>10000</v>
      </c>
      <c r="M120" s="10"/>
      <c r="N120" s="152">
        <v>10000</v>
      </c>
      <c r="O120" s="10">
        <v>10000</v>
      </c>
      <c r="P120" s="152">
        <v>20000</v>
      </c>
      <c r="Q120" s="10">
        <v>10000</v>
      </c>
      <c r="R120" s="9">
        <v>10000</v>
      </c>
      <c r="S120" s="10"/>
      <c r="T120" s="9">
        <v>0</v>
      </c>
      <c r="U120" s="10"/>
      <c r="V120" s="9">
        <v>0</v>
      </c>
      <c r="W120" s="10"/>
      <c r="X120" s="9">
        <v>0</v>
      </c>
      <c r="Y120" s="10"/>
      <c r="Z120" s="9">
        <v>0</v>
      </c>
      <c r="AA120" s="10"/>
      <c r="AB120" s="11">
        <v>0</v>
      </c>
      <c r="AC120" s="10"/>
      <c r="AD120" s="7">
        <f>SUM(F120+H120+J120+L120+N120+P120+R120+T120+V120+X120+Z120+AB120)</f>
        <v>80000</v>
      </c>
      <c r="AE120" s="7">
        <f>E120+AD120</f>
        <v>90000</v>
      </c>
      <c r="AF120" s="8">
        <f>G120+I120+K120+M120+O120+Q120+S120+U120+W120+Y120+AA120+AC120</f>
        <v>60000</v>
      </c>
      <c r="AG120" s="153">
        <f>SUM(AE120-AF120)</f>
        <v>30000</v>
      </c>
      <c r="AH120" s="99" t="s">
        <v>38</v>
      </c>
      <c r="AI120" s="99">
        <v>4</v>
      </c>
    </row>
    <row r="121" spans="1:42" customHeight="1" ht="11.5">
      <c r="A121" s="5">
        <v>113</v>
      </c>
      <c r="B121" s="150" t="s">
        <v>164</v>
      </c>
      <c r="C121" s="151" t="s">
        <v>112</v>
      </c>
      <c r="D121" s="85" t="s">
        <v>113</v>
      </c>
      <c r="E121" s="86">
        <v>5000</v>
      </c>
      <c r="F121" s="9">
        <v>0</v>
      </c>
      <c r="G121" s="10">
        <v>5000</v>
      </c>
      <c r="H121" s="9">
        <v>0</v>
      </c>
      <c r="I121" s="10"/>
      <c r="J121" s="152">
        <v>5000</v>
      </c>
      <c r="K121" s="10"/>
      <c r="L121" s="152">
        <v>0</v>
      </c>
      <c r="M121" s="10">
        <v>5000</v>
      </c>
      <c r="N121" s="152">
        <v>0</v>
      </c>
      <c r="O121" s="10"/>
      <c r="P121" s="152">
        <v>5000</v>
      </c>
      <c r="Q121" s="10"/>
      <c r="R121" s="9">
        <v>5000</v>
      </c>
      <c r="S121" s="10"/>
      <c r="T121" s="9">
        <v>0</v>
      </c>
      <c r="U121" s="10"/>
      <c r="V121" s="9">
        <v>0</v>
      </c>
      <c r="W121" s="10"/>
      <c r="X121" s="9">
        <v>0</v>
      </c>
      <c r="Y121" s="10"/>
      <c r="Z121" s="9">
        <v>0</v>
      </c>
      <c r="AA121" s="10"/>
      <c r="AB121" s="11">
        <v>0</v>
      </c>
      <c r="AC121" s="10"/>
      <c r="AD121" s="7">
        <f>SUM(F121+H121+J121+L121+N121+P121+R121+T121+V121+X121+Z121+AB121)</f>
        <v>15000</v>
      </c>
      <c r="AE121" s="7">
        <f>E121+AD121</f>
        <v>20000</v>
      </c>
      <c r="AF121" s="8">
        <f>G121+I121+K121+M121+O121+Q121+S121+U121+W121+Y121+AA121+AC121</f>
        <v>10000</v>
      </c>
      <c r="AG121" s="153">
        <f>SUM(AE121-AF121)</f>
        <v>10000</v>
      </c>
      <c r="AH121" s="99" t="s">
        <v>38</v>
      </c>
      <c r="AI121" s="99">
        <v>4</v>
      </c>
    </row>
    <row r="122" spans="1:42" customHeight="1" ht="11.5">
      <c r="A122" s="5">
        <v>114</v>
      </c>
      <c r="B122" s="150" t="s">
        <v>165</v>
      </c>
      <c r="C122" s="151" t="s">
        <v>112</v>
      </c>
      <c r="D122" s="85" t="s">
        <v>113</v>
      </c>
      <c r="E122" s="86">
        <v>20000</v>
      </c>
      <c r="F122" s="9">
        <v>20000</v>
      </c>
      <c r="G122" s="10">
        <v>20000</v>
      </c>
      <c r="H122" s="9">
        <v>30000</v>
      </c>
      <c r="I122" s="10">
        <v>20000</v>
      </c>
      <c r="J122" s="152">
        <v>20000</v>
      </c>
      <c r="K122" s="10">
        <v>17131</v>
      </c>
      <c r="L122" s="152">
        <v>20000</v>
      </c>
      <c r="M122" s="10">
        <v>32869</v>
      </c>
      <c r="N122" s="152">
        <v>30000</v>
      </c>
      <c r="O122" s="10">
        <v>20000</v>
      </c>
      <c r="P122" s="152">
        <v>10000</v>
      </c>
      <c r="Q122" s="10">
        <v>30000</v>
      </c>
      <c r="R122" s="9">
        <v>30000</v>
      </c>
      <c r="S122" s="10"/>
      <c r="T122" s="9">
        <v>0</v>
      </c>
      <c r="U122" s="10"/>
      <c r="V122" s="9">
        <v>0</v>
      </c>
      <c r="W122" s="10"/>
      <c r="X122" s="9">
        <v>0</v>
      </c>
      <c r="Y122" s="10"/>
      <c r="Z122" s="9">
        <v>0</v>
      </c>
      <c r="AA122" s="10"/>
      <c r="AB122" s="11">
        <v>0</v>
      </c>
      <c r="AC122" s="10"/>
      <c r="AD122" s="7">
        <f>SUM(F122+H122+J122+L122+N122+P122+R122+T122+V122+X122+Z122+AB122)</f>
        <v>160000</v>
      </c>
      <c r="AE122" s="7">
        <f>E122+AD122</f>
        <v>180000</v>
      </c>
      <c r="AF122" s="8">
        <f>G122+I122+K122+M122+O122+Q122+S122+U122+W122+Y122+AA122+AC122</f>
        <v>140000</v>
      </c>
      <c r="AG122" s="153">
        <f>SUM(AE122-AF122)</f>
        <v>40000</v>
      </c>
      <c r="AH122" s="99" t="s">
        <v>38</v>
      </c>
      <c r="AI122" s="99">
        <v>4</v>
      </c>
    </row>
    <row r="123" spans="1:42" customHeight="1" ht="11.5">
      <c r="A123" s="5">
        <v>115</v>
      </c>
      <c r="B123" s="150" t="s">
        <v>166</v>
      </c>
      <c r="C123" s="151" t="s">
        <v>112</v>
      </c>
      <c r="D123" s="85" t="s">
        <v>113</v>
      </c>
      <c r="E123" s="86">
        <v>0</v>
      </c>
      <c r="F123" s="9">
        <v>0</v>
      </c>
      <c r="G123" s="10"/>
      <c r="H123" s="9">
        <v>0</v>
      </c>
      <c r="I123" s="10"/>
      <c r="J123" s="152">
        <v>0</v>
      </c>
      <c r="K123" s="10"/>
      <c r="L123" s="152">
        <v>0</v>
      </c>
      <c r="M123" s="10"/>
      <c r="N123" s="152">
        <v>0</v>
      </c>
      <c r="O123" s="10"/>
      <c r="P123" s="152">
        <v>0</v>
      </c>
      <c r="Q123" s="10"/>
      <c r="R123" s="9">
        <v>0</v>
      </c>
      <c r="S123" s="10"/>
      <c r="T123" s="9">
        <v>0</v>
      </c>
      <c r="U123" s="10"/>
      <c r="V123" s="9">
        <v>0</v>
      </c>
      <c r="W123" s="10"/>
      <c r="X123" s="9">
        <v>0</v>
      </c>
      <c r="Y123" s="10"/>
      <c r="Z123" s="9">
        <v>0</v>
      </c>
      <c r="AA123" s="10"/>
      <c r="AB123" s="11">
        <v>0</v>
      </c>
      <c r="AC123" s="10"/>
      <c r="AD123" s="7">
        <f>SUM(F123+H123+J123+L123+N123+P123+R123+T123+V123+X123+Z123+AB123)</f>
        <v>0</v>
      </c>
      <c r="AE123" s="7">
        <f>E123+AD123</f>
        <v>0</v>
      </c>
      <c r="AF123" s="8">
        <f>G123+I123+K123+M123+O123+Q123+S123+U123+W123+Y123+AA123+AC123</f>
        <v>0</v>
      </c>
      <c r="AG123" s="153">
        <f>SUM(AE123-AF123)</f>
        <v>0</v>
      </c>
      <c r="AH123" s="99" t="s">
        <v>38</v>
      </c>
      <c r="AI123" s="99">
        <v>4</v>
      </c>
    </row>
    <row r="124" spans="1:42" customHeight="1" ht="11.5">
      <c r="A124" s="5">
        <v>116</v>
      </c>
      <c r="B124" s="150" t="s">
        <v>167</v>
      </c>
      <c r="C124" s="151" t="s">
        <v>112</v>
      </c>
      <c r="D124" s="85" t="s">
        <v>113</v>
      </c>
      <c r="E124" s="86">
        <v>20000</v>
      </c>
      <c r="F124" s="9">
        <v>20000</v>
      </c>
      <c r="G124" s="10">
        <v>20000</v>
      </c>
      <c r="H124" s="9">
        <v>30000</v>
      </c>
      <c r="I124" s="10">
        <v>20000</v>
      </c>
      <c r="J124" s="152">
        <v>30000</v>
      </c>
      <c r="K124" s="10">
        <v>30000</v>
      </c>
      <c r="L124" s="152">
        <v>30000</v>
      </c>
      <c r="M124" s="10">
        <v>30000</v>
      </c>
      <c r="N124" s="152">
        <v>20000</v>
      </c>
      <c r="O124" s="10">
        <v>30000</v>
      </c>
      <c r="P124" s="152">
        <v>10000</v>
      </c>
      <c r="Q124" s="10">
        <v>20000</v>
      </c>
      <c r="R124" s="9">
        <v>30000</v>
      </c>
      <c r="S124" s="10"/>
      <c r="T124" s="9">
        <v>0</v>
      </c>
      <c r="U124" s="10"/>
      <c r="V124" s="9">
        <v>0</v>
      </c>
      <c r="W124" s="10"/>
      <c r="X124" s="9">
        <v>0</v>
      </c>
      <c r="Y124" s="10"/>
      <c r="Z124" s="9">
        <v>0</v>
      </c>
      <c r="AA124" s="10"/>
      <c r="AB124" s="11">
        <v>0</v>
      </c>
      <c r="AC124" s="10"/>
      <c r="AD124" s="7">
        <f>SUM(F124+H124+J124+L124+N124+P124+R124+T124+V124+X124+Z124+AB124)</f>
        <v>170000</v>
      </c>
      <c r="AE124" s="7">
        <f>E124+AD124</f>
        <v>190000</v>
      </c>
      <c r="AF124" s="8">
        <f>G124+I124+K124+M124+O124+Q124+S124+U124+W124+Y124+AA124+AC124</f>
        <v>150000</v>
      </c>
      <c r="AG124" s="153">
        <f>SUM(AE124-AF124)</f>
        <v>40000</v>
      </c>
      <c r="AH124" s="99" t="s">
        <v>38</v>
      </c>
      <c r="AI124" s="99">
        <v>4</v>
      </c>
    </row>
    <row r="125" spans="1:42" customHeight="1" ht="11.5">
      <c r="A125" s="5">
        <v>117</v>
      </c>
      <c r="B125" s="150" t="s">
        <v>168</v>
      </c>
      <c r="C125" s="151" t="s">
        <v>112</v>
      </c>
      <c r="D125" s="85" t="s">
        <v>113</v>
      </c>
      <c r="E125" s="86">
        <v>30000</v>
      </c>
      <c r="F125" s="9">
        <v>30000</v>
      </c>
      <c r="G125" s="10">
        <v>30000</v>
      </c>
      <c r="H125" s="9">
        <v>20000</v>
      </c>
      <c r="I125" s="10">
        <v>30000</v>
      </c>
      <c r="J125" s="152">
        <v>30000</v>
      </c>
      <c r="K125" s="10">
        <v>20000</v>
      </c>
      <c r="L125" s="152">
        <v>20000</v>
      </c>
      <c r="M125" s="10">
        <v>30000</v>
      </c>
      <c r="N125" s="152">
        <v>40000</v>
      </c>
      <c r="O125" s="10">
        <v>20000</v>
      </c>
      <c r="P125" s="152">
        <v>10000</v>
      </c>
      <c r="Q125" s="10">
        <v>40000</v>
      </c>
      <c r="R125" s="9">
        <v>30000</v>
      </c>
      <c r="S125" s="10"/>
      <c r="T125" s="9">
        <v>0</v>
      </c>
      <c r="U125" s="10"/>
      <c r="V125" s="9">
        <v>0</v>
      </c>
      <c r="W125" s="10"/>
      <c r="X125" s="9">
        <v>0</v>
      </c>
      <c r="Y125" s="10"/>
      <c r="Z125" s="9">
        <v>0</v>
      </c>
      <c r="AA125" s="10"/>
      <c r="AB125" s="11">
        <v>0</v>
      </c>
      <c r="AC125" s="10"/>
      <c r="AD125" s="7">
        <f>SUM(F125+H125+J125+L125+N125+P125+R125+T125+V125+X125+Z125+AB125)</f>
        <v>180000</v>
      </c>
      <c r="AE125" s="7">
        <f>E125+AD125</f>
        <v>210000</v>
      </c>
      <c r="AF125" s="8">
        <f>G125+I125+K125+M125+O125+Q125+S125+U125+W125+Y125+AA125+AC125</f>
        <v>170000</v>
      </c>
      <c r="AG125" s="153">
        <f>SUM(AE125-AF125)</f>
        <v>40000</v>
      </c>
      <c r="AH125" s="99" t="s">
        <v>38</v>
      </c>
      <c r="AI125" s="99">
        <v>4</v>
      </c>
    </row>
    <row r="126" spans="1:42" customHeight="1" ht="11.5">
      <c r="A126" s="5">
        <v>118</v>
      </c>
      <c r="B126" s="150" t="s">
        <v>169</v>
      </c>
      <c r="C126" s="151" t="s">
        <v>101</v>
      </c>
      <c r="D126" s="85" t="s">
        <v>102</v>
      </c>
      <c r="E126" s="86">
        <v>50000</v>
      </c>
      <c r="F126" s="9">
        <v>20000</v>
      </c>
      <c r="G126" s="10">
        <v>50000</v>
      </c>
      <c r="H126" s="9">
        <v>40000</v>
      </c>
      <c r="I126" s="10">
        <v>20000</v>
      </c>
      <c r="J126" s="152">
        <v>10000</v>
      </c>
      <c r="K126" s="10">
        <v>40000</v>
      </c>
      <c r="L126" s="152">
        <v>30000</v>
      </c>
      <c r="M126" s="10">
        <v>10000</v>
      </c>
      <c r="N126" s="152">
        <v>30000</v>
      </c>
      <c r="O126" s="10">
        <v>30000</v>
      </c>
      <c r="P126" s="152">
        <v>30000</v>
      </c>
      <c r="Q126" s="10">
        <v>30000</v>
      </c>
      <c r="R126" s="9">
        <v>40000</v>
      </c>
      <c r="S126" s="10"/>
      <c r="T126" s="9">
        <v>0</v>
      </c>
      <c r="U126" s="10"/>
      <c r="V126" s="9">
        <v>0</v>
      </c>
      <c r="W126" s="10"/>
      <c r="X126" s="9">
        <v>0</v>
      </c>
      <c r="Y126" s="10"/>
      <c r="Z126" s="9">
        <v>0</v>
      </c>
      <c r="AA126" s="10"/>
      <c r="AB126" s="11">
        <v>0</v>
      </c>
      <c r="AC126" s="10"/>
      <c r="AD126" s="7">
        <f>SUM(F126+H126+J126+L126+N126+P126+R126+T126+V126+X126+Z126+AB126)</f>
        <v>200000</v>
      </c>
      <c r="AE126" s="7">
        <f>E126+AD126</f>
        <v>250000</v>
      </c>
      <c r="AF126" s="8">
        <f>G126+I126+K126+M126+O126+Q126+S126+U126+W126+Y126+AA126+AC126</f>
        <v>180000</v>
      </c>
      <c r="AG126" s="153">
        <f>SUM(AE126-AF126)</f>
        <v>70000</v>
      </c>
      <c r="AH126" s="99" t="s">
        <v>38</v>
      </c>
      <c r="AI126" s="99">
        <v>4</v>
      </c>
    </row>
    <row r="127" spans="1:42" customHeight="1" ht="11.5">
      <c r="A127" s="5">
        <v>119</v>
      </c>
      <c r="B127" s="150" t="s">
        <v>170</v>
      </c>
      <c r="C127" s="151" t="s">
        <v>91</v>
      </c>
      <c r="D127" s="85" t="s">
        <v>92</v>
      </c>
      <c r="E127" s="86">
        <v>0</v>
      </c>
      <c r="F127" s="9">
        <v>0</v>
      </c>
      <c r="G127" s="10"/>
      <c r="H127" s="9">
        <v>0</v>
      </c>
      <c r="I127" s="10"/>
      <c r="J127" s="152">
        <v>0</v>
      </c>
      <c r="K127" s="10"/>
      <c r="L127" s="152">
        <v>0</v>
      </c>
      <c r="M127" s="10"/>
      <c r="N127" s="152">
        <v>0</v>
      </c>
      <c r="O127" s="10"/>
      <c r="P127" s="152">
        <v>0</v>
      </c>
      <c r="Q127" s="10"/>
      <c r="R127" s="9">
        <v>0</v>
      </c>
      <c r="S127" s="10"/>
      <c r="T127" s="9">
        <v>0</v>
      </c>
      <c r="U127" s="10"/>
      <c r="V127" s="9">
        <v>0</v>
      </c>
      <c r="W127" s="10"/>
      <c r="X127" s="9">
        <v>0</v>
      </c>
      <c r="Y127" s="10"/>
      <c r="Z127" s="9">
        <v>0</v>
      </c>
      <c r="AA127" s="10"/>
      <c r="AB127" s="11">
        <v>0</v>
      </c>
      <c r="AC127" s="10"/>
      <c r="AD127" s="7">
        <f>SUM(F127+H127+J127+L127+N127+P127+R127+T127+V127+X127+Z127+AB127)</f>
        <v>0</v>
      </c>
      <c r="AE127" s="7">
        <f>E127+AD127</f>
        <v>0</v>
      </c>
      <c r="AF127" s="8">
        <f>G127+I127+K127+M127+O127+Q127+S127+U127+W127+Y127+AA127+AC127</f>
        <v>0</v>
      </c>
      <c r="AG127" s="153">
        <f>SUM(AE127-AF127)</f>
        <v>0</v>
      </c>
      <c r="AH127" s="99" t="s">
        <v>38</v>
      </c>
      <c r="AI127" s="99">
        <v>4</v>
      </c>
    </row>
    <row r="128" spans="1:42" customHeight="1" ht="11.5">
      <c r="A128" s="5">
        <v>120</v>
      </c>
      <c r="B128" s="150" t="s">
        <v>171</v>
      </c>
      <c r="C128" s="151" t="s">
        <v>101</v>
      </c>
      <c r="D128" s="85" t="s">
        <v>102</v>
      </c>
      <c r="E128" s="86">
        <v>50000</v>
      </c>
      <c r="F128" s="9">
        <v>40000</v>
      </c>
      <c r="G128" s="10">
        <v>42888</v>
      </c>
      <c r="H128" s="9">
        <v>50000</v>
      </c>
      <c r="I128" s="10">
        <v>47112</v>
      </c>
      <c r="J128" s="152">
        <v>70000</v>
      </c>
      <c r="K128" s="10">
        <v>50000</v>
      </c>
      <c r="L128" s="152">
        <v>30000</v>
      </c>
      <c r="M128" s="10">
        <v>70000</v>
      </c>
      <c r="N128" s="152">
        <v>50000</v>
      </c>
      <c r="O128" s="10">
        <v>30000</v>
      </c>
      <c r="P128" s="152">
        <v>50000</v>
      </c>
      <c r="Q128" s="10">
        <v>50000</v>
      </c>
      <c r="R128" s="9">
        <v>70000</v>
      </c>
      <c r="S128" s="10"/>
      <c r="T128" s="9">
        <v>0</v>
      </c>
      <c r="U128" s="10"/>
      <c r="V128" s="9">
        <v>0</v>
      </c>
      <c r="W128" s="10"/>
      <c r="X128" s="9">
        <v>0</v>
      </c>
      <c r="Y128" s="10"/>
      <c r="Z128" s="9">
        <v>0</v>
      </c>
      <c r="AA128" s="10"/>
      <c r="AB128" s="11">
        <v>0</v>
      </c>
      <c r="AC128" s="10"/>
      <c r="AD128" s="7">
        <f>SUM(F128+H128+J128+L128+N128+P128+R128+T128+V128+X128+Z128+AB128)</f>
        <v>360000</v>
      </c>
      <c r="AE128" s="7">
        <f>E128+AD128</f>
        <v>410000</v>
      </c>
      <c r="AF128" s="8">
        <f>G128+I128+K128+M128+O128+Q128+S128+U128+W128+Y128+AA128+AC128</f>
        <v>290000</v>
      </c>
      <c r="AG128" s="153">
        <f>SUM(AE128-AF128)</f>
        <v>120000</v>
      </c>
      <c r="AH128" s="99" t="s">
        <v>38</v>
      </c>
      <c r="AI128" s="99">
        <v>4</v>
      </c>
    </row>
    <row r="129" spans="1:42" customHeight="1" ht="11.5">
      <c r="A129" s="5">
        <v>121</v>
      </c>
      <c r="B129" s="150" t="s">
        <v>172</v>
      </c>
      <c r="C129" s="151" t="s">
        <v>101</v>
      </c>
      <c r="D129" s="85" t="s">
        <v>102</v>
      </c>
      <c r="E129" s="86">
        <v>1063920</v>
      </c>
      <c r="F129" s="9">
        <v>60000</v>
      </c>
      <c r="G129" s="10">
        <v>130251</v>
      </c>
      <c r="H129" s="9">
        <v>50000</v>
      </c>
      <c r="I129" s="10">
        <v>162193</v>
      </c>
      <c r="J129" s="152">
        <v>70000</v>
      </c>
      <c r="K129" s="10">
        <v>131319</v>
      </c>
      <c r="L129" s="152">
        <v>60000</v>
      </c>
      <c r="M129" s="10">
        <v>180854</v>
      </c>
      <c r="N129" s="152">
        <v>60000</v>
      </c>
      <c r="O129" s="10">
        <v>322783</v>
      </c>
      <c r="P129" s="152">
        <v>70000</v>
      </c>
      <c r="Q129" s="10">
        <v>315000</v>
      </c>
      <c r="R129" s="9">
        <v>80000</v>
      </c>
      <c r="S129" s="10"/>
      <c r="T129" s="9">
        <v>0</v>
      </c>
      <c r="U129" s="10"/>
      <c r="V129" s="9">
        <v>0</v>
      </c>
      <c r="W129" s="10"/>
      <c r="X129" s="9">
        <v>0</v>
      </c>
      <c r="Y129" s="10"/>
      <c r="Z129" s="9">
        <v>0</v>
      </c>
      <c r="AA129" s="10"/>
      <c r="AB129" s="11">
        <v>0</v>
      </c>
      <c r="AC129" s="10"/>
      <c r="AD129" s="7">
        <f>SUM(F129+H129+J129+L129+N129+P129+R129+T129+V129+X129+Z129+AB129)</f>
        <v>450000</v>
      </c>
      <c r="AE129" s="7">
        <f>E129+AD129</f>
        <v>1513920</v>
      </c>
      <c r="AF129" s="8">
        <f>G129+I129+K129+M129+O129+Q129+S129+U129+W129+Y129+AA129+AC129</f>
        <v>1242400</v>
      </c>
      <c r="AG129" s="153">
        <f>SUM(AE129-AF129)</f>
        <v>271520</v>
      </c>
      <c r="AH129" s="99" t="s">
        <v>38</v>
      </c>
      <c r="AI129" s="99">
        <v>4</v>
      </c>
    </row>
    <row r="130" spans="1:42" customHeight="1" ht="11.5">
      <c r="A130" s="5">
        <v>122</v>
      </c>
      <c r="B130" s="150" t="s">
        <v>173</v>
      </c>
      <c r="C130" s="151" t="s">
        <v>101</v>
      </c>
      <c r="D130" s="85" t="s">
        <v>102</v>
      </c>
      <c r="E130" s="86">
        <v>10000</v>
      </c>
      <c r="F130" s="9">
        <v>10000</v>
      </c>
      <c r="G130" s="10"/>
      <c r="H130" s="9">
        <v>10000</v>
      </c>
      <c r="I130" s="10">
        <v>20000</v>
      </c>
      <c r="J130" s="152">
        <v>0</v>
      </c>
      <c r="K130" s="10">
        <v>10000</v>
      </c>
      <c r="L130" s="152">
        <v>0</v>
      </c>
      <c r="M130" s="10"/>
      <c r="N130" s="152">
        <v>0</v>
      </c>
      <c r="O130" s="10"/>
      <c r="P130" s="152">
        <v>10000</v>
      </c>
      <c r="Q130" s="10"/>
      <c r="R130" s="9">
        <v>10000</v>
      </c>
      <c r="S130" s="10"/>
      <c r="T130" s="9">
        <v>0</v>
      </c>
      <c r="U130" s="10"/>
      <c r="V130" s="9">
        <v>0</v>
      </c>
      <c r="W130" s="10"/>
      <c r="X130" s="9">
        <v>0</v>
      </c>
      <c r="Y130" s="10"/>
      <c r="Z130" s="9">
        <v>0</v>
      </c>
      <c r="AA130" s="10"/>
      <c r="AB130" s="11">
        <v>0</v>
      </c>
      <c r="AC130" s="10"/>
      <c r="AD130" s="7">
        <f>SUM(F130+H130+J130+L130+N130+P130+R130+T130+V130+X130+Z130+AB130)</f>
        <v>40000</v>
      </c>
      <c r="AE130" s="7">
        <f>E130+AD130</f>
        <v>50000</v>
      </c>
      <c r="AF130" s="8">
        <f>G130+I130+K130+M130+O130+Q130+S130+U130+W130+Y130+AA130+AC130</f>
        <v>30000</v>
      </c>
      <c r="AG130" s="153">
        <f>SUM(AE130-AF130)</f>
        <v>20000</v>
      </c>
      <c r="AH130" s="99" t="s">
        <v>38</v>
      </c>
      <c r="AI130" s="99">
        <v>4</v>
      </c>
    </row>
    <row r="131" spans="1:42" customHeight="1" ht="11.5">
      <c r="A131" s="5">
        <v>123</v>
      </c>
      <c r="B131" s="150" t="s">
        <v>174</v>
      </c>
      <c r="C131" s="151" t="s">
        <v>101</v>
      </c>
      <c r="D131" s="85" t="s">
        <v>102</v>
      </c>
      <c r="E131" s="86">
        <v>525472</v>
      </c>
      <c r="F131" s="9">
        <v>10000</v>
      </c>
      <c r="G131" s="10"/>
      <c r="H131" s="9">
        <v>10000</v>
      </c>
      <c r="I131" s="10"/>
      <c r="J131" s="152">
        <v>0</v>
      </c>
      <c r="K131" s="10"/>
      <c r="L131" s="152">
        <v>10000</v>
      </c>
      <c r="M131" s="10"/>
      <c r="N131" s="152">
        <v>0</v>
      </c>
      <c r="O131" s="10">
        <v>139903</v>
      </c>
      <c r="P131" s="152">
        <v>20000</v>
      </c>
      <c r="Q131" s="10">
        <v>173887</v>
      </c>
      <c r="R131" s="9">
        <v>0</v>
      </c>
      <c r="S131" s="10"/>
      <c r="T131" s="9">
        <v>0</v>
      </c>
      <c r="U131" s="10"/>
      <c r="V131" s="9">
        <v>0</v>
      </c>
      <c r="W131" s="10"/>
      <c r="X131" s="9">
        <v>0</v>
      </c>
      <c r="Y131" s="10"/>
      <c r="Z131" s="9">
        <v>0</v>
      </c>
      <c r="AA131" s="10"/>
      <c r="AB131" s="11">
        <v>0</v>
      </c>
      <c r="AC131" s="10"/>
      <c r="AD131" s="7">
        <f>SUM(F131+H131+J131+L131+N131+P131+R131+T131+V131+X131+Z131+AB131)</f>
        <v>50000</v>
      </c>
      <c r="AE131" s="7">
        <f>E131+AD131</f>
        <v>575472</v>
      </c>
      <c r="AF131" s="8">
        <f>G131+I131+K131+M131+O131+Q131+S131+U131+W131+Y131+AA131+AC131</f>
        <v>313790</v>
      </c>
      <c r="AG131" s="153">
        <f>SUM(AE131-AF131)</f>
        <v>261682</v>
      </c>
      <c r="AH131" s="99" t="s">
        <v>38</v>
      </c>
      <c r="AI131" s="99">
        <v>4</v>
      </c>
    </row>
    <row r="132" spans="1:42" customHeight="1" ht="11.5">
      <c r="A132" s="5">
        <v>124</v>
      </c>
      <c r="B132" s="150" t="s">
        <v>175</v>
      </c>
      <c r="C132" s="151" t="s">
        <v>105</v>
      </c>
      <c r="D132" s="85" t="s">
        <v>106</v>
      </c>
      <c r="E132" s="86">
        <v>20000</v>
      </c>
      <c r="F132" s="9">
        <v>20000</v>
      </c>
      <c r="G132" s="10">
        <v>15808</v>
      </c>
      <c r="H132" s="9">
        <v>20000</v>
      </c>
      <c r="I132" s="10">
        <v>24192</v>
      </c>
      <c r="J132" s="152">
        <v>40000</v>
      </c>
      <c r="K132" s="10">
        <v>20000</v>
      </c>
      <c r="L132" s="152">
        <v>0</v>
      </c>
      <c r="M132" s="10">
        <v>40000</v>
      </c>
      <c r="N132" s="152">
        <v>20000</v>
      </c>
      <c r="O132" s="10"/>
      <c r="P132" s="152">
        <v>20000</v>
      </c>
      <c r="Q132" s="10">
        <v>20000</v>
      </c>
      <c r="R132" s="9">
        <v>20000</v>
      </c>
      <c r="S132" s="10"/>
      <c r="T132" s="9">
        <v>0</v>
      </c>
      <c r="U132" s="10"/>
      <c r="V132" s="9">
        <v>0</v>
      </c>
      <c r="W132" s="10"/>
      <c r="X132" s="9">
        <v>0</v>
      </c>
      <c r="Y132" s="10"/>
      <c r="Z132" s="9">
        <v>0</v>
      </c>
      <c r="AA132" s="10"/>
      <c r="AB132" s="11">
        <v>0</v>
      </c>
      <c r="AC132" s="10"/>
      <c r="AD132" s="7">
        <f>SUM(F132+H132+J132+L132+N132+P132+R132+T132+V132+X132+Z132+AB132)</f>
        <v>140000</v>
      </c>
      <c r="AE132" s="7">
        <f>E132+AD132</f>
        <v>160000</v>
      </c>
      <c r="AF132" s="8">
        <f>G132+I132+K132+M132+O132+Q132+S132+U132+W132+Y132+AA132+AC132</f>
        <v>120000</v>
      </c>
      <c r="AG132" s="153">
        <f>SUM(AE132-AF132)</f>
        <v>40000</v>
      </c>
      <c r="AH132" s="99" t="s">
        <v>38</v>
      </c>
      <c r="AI132" s="99">
        <v>4</v>
      </c>
    </row>
    <row r="133" spans="1:42" customHeight="1" ht="11.5">
      <c r="A133" s="5">
        <v>125</v>
      </c>
      <c r="B133" s="150" t="s">
        <v>176</v>
      </c>
      <c r="C133" s="151" t="s">
        <v>105</v>
      </c>
      <c r="D133" s="85" t="s">
        <v>106</v>
      </c>
      <c r="E133" s="86">
        <v>0</v>
      </c>
      <c r="F133" s="9">
        <v>0</v>
      </c>
      <c r="G133" s="10"/>
      <c r="H133" s="9">
        <v>0</v>
      </c>
      <c r="I133" s="10"/>
      <c r="J133" s="152">
        <v>0</v>
      </c>
      <c r="K133" s="10"/>
      <c r="L133" s="152">
        <v>0</v>
      </c>
      <c r="M133" s="10"/>
      <c r="N133" s="152">
        <v>0</v>
      </c>
      <c r="O133" s="10"/>
      <c r="P133" s="152">
        <v>0</v>
      </c>
      <c r="Q133" s="10"/>
      <c r="R133" s="9">
        <v>20000</v>
      </c>
      <c r="S133" s="10"/>
      <c r="T133" s="9">
        <v>0</v>
      </c>
      <c r="U133" s="10"/>
      <c r="V133" s="9">
        <v>0</v>
      </c>
      <c r="W133" s="10"/>
      <c r="X133" s="9">
        <v>0</v>
      </c>
      <c r="Y133" s="10"/>
      <c r="Z133" s="9">
        <v>0</v>
      </c>
      <c r="AA133" s="10"/>
      <c r="AB133" s="11">
        <v>0</v>
      </c>
      <c r="AC133" s="10"/>
      <c r="AD133" s="7">
        <f>SUM(F133+H133+J133+L133+N133+P133+R133+T133+V133+X133+Z133+AB133)</f>
        <v>20000</v>
      </c>
      <c r="AE133" s="7">
        <f>E133+AD133</f>
        <v>20000</v>
      </c>
      <c r="AF133" s="8">
        <f>G133+I133+K133+M133+O133+Q133+S133+U133+W133+Y133+AA133+AC133</f>
        <v>0</v>
      </c>
      <c r="AG133" s="153">
        <f>SUM(AE133-AF133)</f>
        <v>20000</v>
      </c>
      <c r="AH133" s="99" t="s">
        <v>38</v>
      </c>
      <c r="AI133" s="99">
        <v>4</v>
      </c>
    </row>
    <row r="134" spans="1:42" customHeight="1" ht="11.5">
      <c r="A134" s="5">
        <v>126</v>
      </c>
      <c r="B134" s="150" t="s">
        <v>177</v>
      </c>
      <c r="C134" s="151" t="s">
        <v>36</v>
      </c>
      <c r="D134" s="85" t="s">
        <v>37</v>
      </c>
      <c r="E134" s="86">
        <v>0</v>
      </c>
      <c r="F134" s="9">
        <v>0</v>
      </c>
      <c r="G134" s="10"/>
      <c r="H134" s="9">
        <v>0</v>
      </c>
      <c r="I134" s="10"/>
      <c r="J134" s="152">
        <v>0</v>
      </c>
      <c r="K134" s="10"/>
      <c r="L134" s="152">
        <v>5000</v>
      </c>
      <c r="M134" s="10"/>
      <c r="N134" s="152">
        <v>0</v>
      </c>
      <c r="O134" s="10">
        <v>5000</v>
      </c>
      <c r="P134" s="152">
        <v>0</v>
      </c>
      <c r="Q134" s="10"/>
      <c r="R134" s="9">
        <v>0</v>
      </c>
      <c r="S134" s="10"/>
      <c r="T134" s="9">
        <v>0</v>
      </c>
      <c r="U134" s="10"/>
      <c r="V134" s="9">
        <v>0</v>
      </c>
      <c r="W134" s="10"/>
      <c r="X134" s="9">
        <v>0</v>
      </c>
      <c r="Y134" s="10"/>
      <c r="Z134" s="9">
        <v>0</v>
      </c>
      <c r="AA134" s="10"/>
      <c r="AB134" s="11">
        <v>0</v>
      </c>
      <c r="AC134" s="10"/>
      <c r="AD134" s="7">
        <f>SUM(F134+H134+J134+L134+N134+P134+R134+T134+V134+X134+Z134+AB134)</f>
        <v>5000</v>
      </c>
      <c r="AE134" s="7">
        <f>E134+AD134</f>
        <v>5000</v>
      </c>
      <c r="AF134" s="8">
        <f>G134+I134+K134+M134+O134+Q134+S134+U134+W134+Y134+AA134+AC134</f>
        <v>5000</v>
      </c>
      <c r="AG134" s="153">
        <f>SUM(AE134-AF134)</f>
        <v>0</v>
      </c>
      <c r="AH134" s="99" t="s">
        <v>178</v>
      </c>
      <c r="AI134" s="99">
        <v>4</v>
      </c>
    </row>
    <row r="135" spans="1:42" customHeight="1" ht="11.5">
      <c r="A135" s="5">
        <v>127</v>
      </c>
      <c r="B135" s="150" t="s">
        <v>179</v>
      </c>
      <c r="C135" s="151" t="s">
        <v>36</v>
      </c>
      <c r="D135" s="85" t="s">
        <v>37</v>
      </c>
      <c r="E135" s="86">
        <v>30000</v>
      </c>
      <c r="F135" s="9">
        <v>20000</v>
      </c>
      <c r="G135" s="10">
        <v>30000</v>
      </c>
      <c r="H135" s="9">
        <v>0</v>
      </c>
      <c r="I135" s="10">
        <v>20000</v>
      </c>
      <c r="J135" s="152">
        <v>20000</v>
      </c>
      <c r="K135" s="10"/>
      <c r="L135" s="152">
        <v>10000</v>
      </c>
      <c r="M135" s="10">
        <v>20000</v>
      </c>
      <c r="N135" s="152">
        <v>30000</v>
      </c>
      <c r="O135" s="10">
        <v>10000</v>
      </c>
      <c r="P135" s="152">
        <v>10000</v>
      </c>
      <c r="Q135" s="10">
        <v>30000</v>
      </c>
      <c r="R135" s="9">
        <v>10000</v>
      </c>
      <c r="S135" s="10"/>
      <c r="T135" s="9">
        <v>0</v>
      </c>
      <c r="U135" s="10"/>
      <c r="V135" s="9">
        <v>0</v>
      </c>
      <c r="W135" s="10"/>
      <c r="X135" s="9">
        <v>0</v>
      </c>
      <c r="Y135" s="10"/>
      <c r="Z135" s="9">
        <v>0</v>
      </c>
      <c r="AA135" s="10"/>
      <c r="AB135" s="11">
        <v>0</v>
      </c>
      <c r="AC135" s="10"/>
      <c r="AD135" s="7">
        <f>SUM(F135+H135+J135+L135+N135+P135+R135+T135+V135+X135+Z135+AB135)</f>
        <v>100000</v>
      </c>
      <c r="AE135" s="7">
        <f>E135+AD135</f>
        <v>130000</v>
      </c>
      <c r="AF135" s="8">
        <f>G135+I135+K135+M135+O135+Q135+S135+U135+W135+Y135+AA135+AC135</f>
        <v>110000</v>
      </c>
      <c r="AG135" s="153">
        <f>SUM(AE135-AF135)</f>
        <v>20000</v>
      </c>
      <c r="AH135" s="99" t="s">
        <v>180</v>
      </c>
      <c r="AI135" s="99">
        <v>4</v>
      </c>
    </row>
    <row r="136" spans="1:42" customHeight="1" ht="11.5">
      <c r="A136" s="5">
        <v>128</v>
      </c>
      <c r="B136" s="150" t="s">
        <v>181</v>
      </c>
      <c r="C136" s="151" t="s">
        <v>36</v>
      </c>
      <c r="D136" s="85" t="s">
        <v>37</v>
      </c>
      <c r="E136" s="86">
        <v>0</v>
      </c>
      <c r="F136" s="9">
        <v>0</v>
      </c>
      <c r="G136" s="10"/>
      <c r="H136" s="9">
        <v>0</v>
      </c>
      <c r="I136" s="10"/>
      <c r="J136" s="152">
        <v>0</v>
      </c>
      <c r="K136" s="10"/>
      <c r="L136" s="152">
        <v>0</v>
      </c>
      <c r="M136" s="10"/>
      <c r="N136" s="152">
        <v>0</v>
      </c>
      <c r="O136" s="10"/>
      <c r="P136" s="152">
        <v>15000</v>
      </c>
      <c r="Q136" s="10"/>
      <c r="R136" s="9">
        <v>5000</v>
      </c>
      <c r="S136" s="10"/>
      <c r="T136" s="9">
        <v>0</v>
      </c>
      <c r="U136" s="10"/>
      <c r="V136" s="9">
        <v>0</v>
      </c>
      <c r="W136" s="10"/>
      <c r="X136" s="9">
        <v>0</v>
      </c>
      <c r="Y136" s="10"/>
      <c r="Z136" s="9">
        <v>0</v>
      </c>
      <c r="AA136" s="10"/>
      <c r="AB136" s="11">
        <v>0</v>
      </c>
      <c r="AC136" s="10"/>
      <c r="AD136" s="7">
        <f>SUM(F136+H136+J136+L136+N136+P136+R136+T136+V136+X136+Z136+AB136)</f>
        <v>20000</v>
      </c>
      <c r="AE136" s="7">
        <f>E136+AD136</f>
        <v>20000</v>
      </c>
      <c r="AF136" s="8">
        <f>G136+I136+K136+M136+O136+Q136+S136+U136+W136+Y136+AA136+AC136</f>
        <v>0</v>
      </c>
      <c r="AG136" s="153">
        <f>SUM(AE136-AF136)</f>
        <v>20000</v>
      </c>
      <c r="AH136" s="99" t="s">
        <v>182</v>
      </c>
      <c r="AI136" s="99">
        <v>3</v>
      </c>
    </row>
    <row r="137" spans="1:42" customHeight="1" ht="11.5">
      <c r="A137" s="5">
        <v>129</v>
      </c>
      <c r="B137" s="150" t="s">
        <v>183</v>
      </c>
      <c r="C137" s="151" t="s">
        <v>36</v>
      </c>
      <c r="D137" s="85" t="s">
        <v>37</v>
      </c>
      <c r="E137" s="86">
        <v>20000</v>
      </c>
      <c r="F137" s="9">
        <v>30000</v>
      </c>
      <c r="G137" s="10">
        <v>20000</v>
      </c>
      <c r="H137" s="9">
        <v>20000</v>
      </c>
      <c r="I137" s="10">
        <v>30000</v>
      </c>
      <c r="J137" s="152">
        <v>20000</v>
      </c>
      <c r="K137" s="10">
        <v>20000</v>
      </c>
      <c r="L137" s="152">
        <v>30000</v>
      </c>
      <c r="M137" s="10">
        <v>20000</v>
      </c>
      <c r="N137" s="152">
        <v>30000</v>
      </c>
      <c r="O137" s="10">
        <v>30000</v>
      </c>
      <c r="P137" s="152">
        <v>10000</v>
      </c>
      <c r="Q137" s="10">
        <v>30000</v>
      </c>
      <c r="R137" s="9">
        <v>30000</v>
      </c>
      <c r="S137" s="10"/>
      <c r="T137" s="9">
        <v>0</v>
      </c>
      <c r="U137" s="10"/>
      <c r="V137" s="9">
        <v>0</v>
      </c>
      <c r="W137" s="10"/>
      <c r="X137" s="9">
        <v>0</v>
      </c>
      <c r="Y137" s="10"/>
      <c r="Z137" s="9">
        <v>0</v>
      </c>
      <c r="AA137" s="10"/>
      <c r="AB137" s="11">
        <v>0</v>
      </c>
      <c r="AC137" s="10"/>
      <c r="AD137" s="7">
        <f>SUM(F137+H137+J137+L137+N137+P137+R137+T137+V137+X137+Z137+AB137)</f>
        <v>170000</v>
      </c>
      <c r="AE137" s="7">
        <f>E137+AD137</f>
        <v>190000</v>
      </c>
      <c r="AF137" s="8">
        <f>G137+I137+K137+M137+O137+Q137+S137+U137+W137+Y137+AA137+AC137</f>
        <v>150000</v>
      </c>
      <c r="AG137" s="153">
        <f>SUM(AE137-AF137)</f>
        <v>40000</v>
      </c>
      <c r="AH137" s="99" t="s">
        <v>184</v>
      </c>
      <c r="AI137" s="99">
        <v>4</v>
      </c>
    </row>
    <row r="138" spans="1:42" customHeight="1" ht="11.5">
      <c r="A138" s="5">
        <v>130</v>
      </c>
      <c r="B138" s="150" t="s">
        <v>185</v>
      </c>
      <c r="C138" s="151" t="s">
        <v>36</v>
      </c>
      <c r="D138" s="85" t="s">
        <v>37</v>
      </c>
      <c r="E138" s="86">
        <v>0</v>
      </c>
      <c r="F138" s="9">
        <v>10000</v>
      </c>
      <c r="G138" s="10"/>
      <c r="H138" s="9">
        <v>0</v>
      </c>
      <c r="I138" s="10">
        <v>10000</v>
      </c>
      <c r="J138" s="152">
        <v>10000</v>
      </c>
      <c r="K138" s="10"/>
      <c r="L138" s="152">
        <v>10000</v>
      </c>
      <c r="M138" s="10">
        <v>10000</v>
      </c>
      <c r="N138" s="152">
        <v>10000</v>
      </c>
      <c r="O138" s="10">
        <v>10000</v>
      </c>
      <c r="P138" s="152">
        <v>20000</v>
      </c>
      <c r="Q138" s="10">
        <v>10000</v>
      </c>
      <c r="R138" s="9">
        <v>10000</v>
      </c>
      <c r="S138" s="10"/>
      <c r="T138" s="9">
        <v>0</v>
      </c>
      <c r="U138" s="10"/>
      <c r="V138" s="9">
        <v>0</v>
      </c>
      <c r="W138" s="10"/>
      <c r="X138" s="9">
        <v>0</v>
      </c>
      <c r="Y138" s="10"/>
      <c r="Z138" s="9">
        <v>0</v>
      </c>
      <c r="AA138" s="10"/>
      <c r="AB138" s="11">
        <v>0</v>
      </c>
      <c r="AC138" s="10"/>
      <c r="AD138" s="7">
        <f>SUM(F138+H138+J138+L138+N138+P138+R138+T138+V138+X138+Z138+AB138)</f>
        <v>70000</v>
      </c>
      <c r="AE138" s="7">
        <f>E138+AD138</f>
        <v>70000</v>
      </c>
      <c r="AF138" s="8">
        <f>G138+I138+K138+M138+O138+Q138+S138+U138+W138+Y138+AA138+AC138</f>
        <v>40000</v>
      </c>
      <c r="AG138" s="153">
        <f>SUM(AE138-AF138)</f>
        <v>30000</v>
      </c>
      <c r="AH138" s="99" t="s">
        <v>186</v>
      </c>
      <c r="AI138" s="99">
        <v>4</v>
      </c>
    </row>
    <row r="139" spans="1:42" customHeight="1" ht="11.5">
      <c r="A139" s="5">
        <v>131</v>
      </c>
      <c r="B139" s="150" t="s">
        <v>187</v>
      </c>
      <c r="C139" s="151" t="s">
        <v>101</v>
      </c>
      <c r="D139" s="85" t="s">
        <v>102</v>
      </c>
      <c r="E139" s="86">
        <v>10000</v>
      </c>
      <c r="F139" s="9">
        <v>10000</v>
      </c>
      <c r="G139" s="10">
        <v>10000</v>
      </c>
      <c r="H139" s="9">
        <v>10000</v>
      </c>
      <c r="I139" s="10">
        <v>10000</v>
      </c>
      <c r="J139" s="152">
        <v>10000</v>
      </c>
      <c r="K139" s="10">
        <v>10000</v>
      </c>
      <c r="L139" s="152">
        <v>10000</v>
      </c>
      <c r="M139" s="10">
        <v>10000</v>
      </c>
      <c r="N139" s="152">
        <v>10000</v>
      </c>
      <c r="O139" s="10">
        <v>10000</v>
      </c>
      <c r="P139" s="152">
        <v>10000</v>
      </c>
      <c r="Q139" s="10">
        <v>10000</v>
      </c>
      <c r="R139" s="9">
        <v>20000</v>
      </c>
      <c r="S139" s="10"/>
      <c r="T139" s="9">
        <v>0</v>
      </c>
      <c r="U139" s="10"/>
      <c r="V139" s="9">
        <v>0</v>
      </c>
      <c r="W139" s="10"/>
      <c r="X139" s="9">
        <v>0</v>
      </c>
      <c r="Y139" s="10"/>
      <c r="Z139" s="9">
        <v>0</v>
      </c>
      <c r="AA139" s="10"/>
      <c r="AB139" s="11">
        <v>0</v>
      </c>
      <c r="AC139" s="10"/>
      <c r="AD139" s="7">
        <f>SUM(F139+H139+J139+L139+N139+P139+R139+T139+V139+X139+Z139+AB139)</f>
        <v>80000</v>
      </c>
      <c r="AE139" s="7">
        <f>E139+AD139</f>
        <v>90000</v>
      </c>
      <c r="AF139" s="8">
        <f>G139+I139+K139+M139+O139+Q139+S139+U139+W139+Y139+AA139+AC139</f>
        <v>60000</v>
      </c>
      <c r="AG139" s="153">
        <f>SUM(AE139-AF139)</f>
        <v>30000</v>
      </c>
      <c r="AH139" s="99" t="s">
        <v>188</v>
      </c>
      <c r="AI139" s="99">
        <v>4</v>
      </c>
    </row>
    <row r="140" spans="1:42" customHeight="1" ht="11.5">
      <c r="A140" s="5">
        <v>132</v>
      </c>
      <c r="B140" s="150" t="s">
        <v>189</v>
      </c>
      <c r="C140" s="151" t="s">
        <v>36</v>
      </c>
      <c r="D140" s="85" t="s">
        <v>37</v>
      </c>
      <c r="E140" s="86">
        <v>5000</v>
      </c>
      <c r="F140" s="9">
        <v>5000</v>
      </c>
      <c r="G140" s="10">
        <v>5000</v>
      </c>
      <c r="H140" s="9">
        <v>10000</v>
      </c>
      <c r="I140" s="10">
        <v>5000</v>
      </c>
      <c r="J140" s="152">
        <v>5000</v>
      </c>
      <c r="K140" s="10">
        <v>10000</v>
      </c>
      <c r="L140" s="152">
        <v>5000</v>
      </c>
      <c r="M140" s="10">
        <v>5000</v>
      </c>
      <c r="N140" s="152">
        <v>5000</v>
      </c>
      <c r="O140" s="10">
        <v>5000</v>
      </c>
      <c r="P140" s="152">
        <v>10000</v>
      </c>
      <c r="Q140" s="10">
        <v>5000</v>
      </c>
      <c r="R140" s="9">
        <v>5000</v>
      </c>
      <c r="S140" s="10"/>
      <c r="T140" s="9">
        <v>0</v>
      </c>
      <c r="U140" s="10"/>
      <c r="V140" s="9">
        <v>0</v>
      </c>
      <c r="W140" s="10"/>
      <c r="X140" s="9">
        <v>0</v>
      </c>
      <c r="Y140" s="10"/>
      <c r="Z140" s="9">
        <v>0</v>
      </c>
      <c r="AA140" s="10"/>
      <c r="AB140" s="11">
        <v>0</v>
      </c>
      <c r="AC140" s="10"/>
      <c r="AD140" s="7">
        <f>SUM(F140+H140+J140+L140+N140+P140+R140+T140+V140+X140+Z140+AB140)</f>
        <v>45000</v>
      </c>
      <c r="AE140" s="7">
        <f>E140+AD140</f>
        <v>50000</v>
      </c>
      <c r="AF140" s="8">
        <f>G140+I140+K140+M140+O140+Q140+S140+U140+W140+Y140+AA140+AC140</f>
        <v>35000</v>
      </c>
      <c r="AG140" s="153">
        <f>SUM(AE140-AF140)</f>
        <v>15000</v>
      </c>
      <c r="AH140" s="99" t="s">
        <v>190</v>
      </c>
      <c r="AI140" s="99">
        <v>4</v>
      </c>
    </row>
    <row r="141" spans="1:42" customHeight="1" ht="11.5">
      <c r="A141" s="5">
        <v>133</v>
      </c>
      <c r="B141" s="150" t="s">
        <v>191</v>
      </c>
      <c r="C141" s="151" t="s">
        <v>101</v>
      </c>
      <c r="D141" s="85" t="s">
        <v>102</v>
      </c>
      <c r="E141" s="86">
        <v>10000</v>
      </c>
      <c r="F141" s="9">
        <v>0</v>
      </c>
      <c r="G141" s="10">
        <v>10000</v>
      </c>
      <c r="H141" s="9">
        <v>0</v>
      </c>
      <c r="I141" s="10"/>
      <c r="J141" s="152">
        <v>0</v>
      </c>
      <c r="K141" s="10"/>
      <c r="L141" s="152">
        <v>0</v>
      </c>
      <c r="M141" s="10"/>
      <c r="N141" s="152">
        <v>10000</v>
      </c>
      <c r="O141" s="10"/>
      <c r="P141" s="152">
        <v>0</v>
      </c>
      <c r="Q141" s="10">
        <v>10000</v>
      </c>
      <c r="R141" s="9">
        <v>0</v>
      </c>
      <c r="S141" s="10"/>
      <c r="T141" s="9">
        <v>0</v>
      </c>
      <c r="U141" s="10"/>
      <c r="V141" s="9">
        <v>0</v>
      </c>
      <c r="W141" s="10"/>
      <c r="X141" s="9">
        <v>0</v>
      </c>
      <c r="Y141" s="10"/>
      <c r="Z141" s="9">
        <v>0</v>
      </c>
      <c r="AA141" s="10"/>
      <c r="AB141" s="11">
        <v>0</v>
      </c>
      <c r="AC141" s="10"/>
      <c r="AD141" s="7">
        <f>SUM(F141+H141+J141+L141+N141+P141+R141+T141+V141+X141+Z141+AB141)</f>
        <v>10000</v>
      </c>
      <c r="AE141" s="7">
        <f>E141+AD141</f>
        <v>20000</v>
      </c>
      <c r="AF141" s="8">
        <f>G141+I141+K141+M141+O141+Q141+S141+U141+W141+Y141+AA141+AC141</f>
        <v>20000</v>
      </c>
      <c r="AG141" s="153">
        <f>SUM(AE141-AF141)</f>
        <v>0</v>
      </c>
      <c r="AH141" s="99" t="s">
        <v>192</v>
      </c>
      <c r="AI141" s="99">
        <v>4</v>
      </c>
    </row>
    <row r="142" spans="1:42" customHeight="1" ht="11.5">
      <c r="A142" s="5">
        <v>134</v>
      </c>
      <c r="B142" s="154" t="s">
        <v>193</v>
      </c>
      <c r="C142" s="4" t="s">
        <v>36</v>
      </c>
      <c r="D142" s="85" t="s">
        <v>37</v>
      </c>
      <c r="E142" s="86">
        <v>5000</v>
      </c>
      <c r="F142" s="9">
        <v>0</v>
      </c>
      <c r="G142" s="10">
        <v>5000</v>
      </c>
      <c r="H142" s="9">
        <v>5000</v>
      </c>
      <c r="I142" s="10"/>
      <c r="J142" s="152">
        <v>0</v>
      </c>
      <c r="K142" s="10">
        <v>5000</v>
      </c>
      <c r="L142" s="152">
        <v>0</v>
      </c>
      <c r="M142" s="10"/>
      <c r="N142" s="152">
        <v>5000</v>
      </c>
      <c r="O142" s="10"/>
      <c r="P142" s="152">
        <v>0</v>
      </c>
      <c r="Q142" s="10">
        <v>5000</v>
      </c>
      <c r="R142" s="9">
        <v>5000</v>
      </c>
      <c r="S142" s="10"/>
      <c r="T142" s="9">
        <v>0</v>
      </c>
      <c r="U142" s="10"/>
      <c r="V142" s="9">
        <v>0</v>
      </c>
      <c r="W142" s="10"/>
      <c r="X142" s="9">
        <v>0</v>
      </c>
      <c r="Y142" s="10"/>
      <c r="Z142" s="9">
        <v>0</v>
      </c>
      <c r="AA142" s="10"/>
      <c r="AB142" s="11">
        <v>0</v>
      </c>
      <c r="AC142" s="10"/>
      <c r="AD142" s="7">
        <f>SUM(F142+H142+J142+L142+N142+P142+R142+T142+V142+X142+Z142+AB142)</f>
        <v>15000</v>
      </c>
      <c r="AE142" s="7">
        <f>E142+AD142</f>
        <v>20000</v>
      </c>
      <c r="AF142" s="8">
        <f>G142+I142+K142+M142+O142+Q142+S142+U142+W142+Y142+AA142+AC142</f>
        <v>15000</v>
      </c>
      <c r="AG142" s="153">
        <f>SUM(AE142-AF142)</f>
        <v>5000</v>
      </c>
      <c r="AH142" s="99" t="s">
        <v>194</v>
      </c>
      <c r="AI142" s="99">
        <v>4</v>
      </c>
    </row>
    <row r="143" spans="1:42" customHeight="1" ht="11.5">
      <c r="A143" s="5">
        <v>135</v>
      </c>
      <c r="B143" s="154" t="s">
        <v>195</v>
      </c>
      <c r="C143" s="4" t="s">
        <v>105</v>
      </c>
      <c r="D143" s="85" t="s">
        <v>106</v>
      </c>
      <c r="E143" s="86">
        <v>0</v>
      </c>
      <c r="F143" s="9">
        <v>30000</v>
      </c>
      <c r="G143" s="10"/>
      <c r="H143" s="9">
        <v>30000</v>
      </c>
      <c r="I143" s="10">
        <v>30000</v>
      </c>
      <c r="J143" s="152">
        <v>30000</v>
      </c>
      <c r="K143" s="10">
        <v>30000</v>
      </c>
      <c r="L143" s="152">
        <v>30000</v>
      </c>
      <c r="M143" s="10"/>
      <c r="N143" s="152">
        <v>60000</v>
      </c>
      <c r="O143" s="10">
        <v>60000</v>
      </c>
      <c r="P143" s="152">
        <v>60000</v>
      </c>
      <c r="Q143" s="10">
        <v>60000</v>
      </c>
      <c r="R143" s="9">
        <v>30000</v>
      </c>
      <c r="S143" s="10"/>
      <c r="T143" s="9">
        <v>0</v>
      </c>
      <c r="U143" s="10"/>
      <c r="V143" s="9">
        <v>0</v>
      </c>
      <c r="W143" s="10"/>
      <c r="X143" s="9">
        <v>0</v>
      </c>
      <c r="Y143" s="10"/>
      <c r="Z143" s="9">
        <v>0</v>
      </c>
      <c r="AA143" s="10"/>
      <c r="AB143" s="11">
        <v>0</v>
      </c>
      <c r="AC143" s="10"/>
      <c r="AD143" s="7">
        <f>SUM(F143+H143+J143+L143+N143+P143+R143+T143+V143+X143+Z143+AB143)</f>
        <v>270000</v>
      </c>
      <c r="AE143" s="7">
        <f>E143+AD143</f>
        <v>270000</v>
      </c>
      <c r="AF143" s="8">
        <f>G143+I143+K143+M143+O143+Q143+S143+U143+W143+Y143+AA143+AC143</f>
        <v>180000</v>
      </c>
      <c r="AG143" s="153">
        <f>SUM(AE143-AF143)</f>
        <v>90000</v>
      </c>
      <c r="AH143" s="99" t="s">
        <v>196</v>
      </c>
      <c r="AI143" s="99">
        <v>4</v>
      </c>
    </row>
    <row r="144" spans="1:42" customHeight="1" ht="11.5">
      <c r="A144" s="5">
        <v>136</v>
      </c>
      <c r="B144" s="154" t="s">
        <v>197</v>
      </c>
      <c r="C144" s="4" t="s">
        <v>101</v>
      </c>
      <c r="D144" s="85" t="s">
        <v>102</v>
      </c>
      <c r="E144" s="86">
        <v>340723</v>
      </c>
      <c r="F144" s="9">
        <v>40000</v>
      </c>
      <c r="G144" s="10">
        <v>96951</v>
      </c>
      <c r="H144" s="9">
        <v>40000</v>
      </c>
      <c r="I144" s="10">
        <v>116926</v>
      </c>
      <c r="J144" s="152">
        <v>20000</v>
      </c>
      <c r="K144" s="10">
        <v>89744</v>
      </c>
      <c r="L144" s="152">
        <v>20000</v>
      </c>
      <c r="M144" s="10">
        <v>137102</v>
      </c>
      <c r="N144" s="152">
        <v>30000</v>
      </c>
      <c r="O144" s="10">
        <v>20000</v>
      </c>
      <c r="P144" s="152">
        <v>30000</v>
      </c>
      <c r="Q144" s="10">
        <v>30000</v>
      </c>
      <c r="R144" s="9">
        <v>40000</v>
      </c>
      <c r="S144" s="10"/>
      <c r="T144" s="9">
        <v>0</v>
      </c>
      <c r="U144" s="10"/>
      <c r="V144" s="9">
        <v>0</v>
      </c>
      <c r="W144" s="10"/>
      <c r="X144" s="9">
        <v>0</v>
      </c>
      <c r="Y144" s="10"/>
      <c r="Z144" s="9">
        <v>0</v>
      </c>
      <c r="AA144" s="10"/>
      <c r="AB144" s="11">
        <v>0</v>
      </c>
      <c r="AC144" s="10"/>
      <c r="AD144" s="7">
        <f>SUM(F144+H144+J144+L144+N144+P144+R144+T144+V144+X144+Z144+AB144)</f>
        <v>220000</v>
      </c>
      <c r="AE144" s="7">
        <f>E144+AD144</f>
        <v>560723</v>
      </c>
      <c r="AF144" s="8">
        <f>G144+I144+K144+M144+O144+Q144+S144+U144+W144+Y144+AA144+AC144</f>
        <v>490723</v>
      </c>
      <c r="AG144" s="153">
        <f>SUM(AE144-AF144)</f>
        <v>70000</v>
      </c>
      <c r="AH144" s="99" t="s">
        <v>198</v>
      </c>
      <c r="AI144" s="99">
        <v>4</v>
      </c>
    </row>
    <row r="145" spans="1:42" customHeight="1" ht="11.5">
      <c r="A145" s="5">
        <v>137</v>
      </c>
      <c r="B145" s="162" t="s">
        <v>199</v>
      </c>
      <c r="C145" s="4" t="s">
        <v>36</v>
      </c>
      <c r="D145" s="85" t="s">
        <v>37</v>
      </c>
      <c r="E145" s="86">
        <v>0</v>
      </c>
      <c r="F145" s="9">
        <v>0</v>
      </c>
      <c r="G145" s="10"/>
      <c r="H145" s="9">
        <v>0</v>
      </c>
      <c r="I145" s="10"/>
      <c r="J145" s="152">
        <v>0</v>
      </c>
      <c r="K145" s="10"/>
      <c r="L145" s="152">
        <v>0</v>
      </c>
      <c r="M145" s="10"/>
      <c r="N145" s="152">
        <v>0</v>
      </c>
      <c r="O145" s="10"/>
      <c r="P145" s="152">
        <v>0</v>
      </c>
      <c r="Q145" s="10"/>
      <c r="R145" s="9">
        <v>0</v>
      </c>
      <c r="S145" s="10"/>
      <c r="T145" s="9">
        <v>0</v>
      </c>
      <c r="U145" s="10"/>
      <c r="V145" s="9">
        <v>0</v>
      </c>
      <c r="W145" s="10"/>
      <c r="X145" s="9">
        <v>0</v>
      </c>
      <c r="Y145" s="10"/>
      <c r="Z145" s="9">
        <v>0</v>
      </c>
      <c r="AA145" s="10"/>
      <c r="AB145" s="11">
        <v>0</v>
      </c>
      <c r="AC145" s="10"/>
      <c r="AD145" s="7">
        <f>SUM(F145+H145+J145+L145+N145+P145+R145+T145+V145+X145+Z145+AB145)</f>
        <v>0</v>
      </c>
      <c r="AE145" s="7">
        <f>E145+AD145</f>
        <v>0</v>
      </c>
      <c r="AF145" s="8">
        <f>G145+I145+K145+M145+O145+Q145+S145+U145+W145+Y145+AA145+AC145</f>
        <v>0</v>
      </c>
      <c r="AG145" s="153">
        <f>SUM(AE145-AF145)</f>
        <v>0</v>
      </c>
      <c r="AH145" s="99" t="s">
        <v>200</v>
      </c>
      <c r="AI145" s="99">
        <v>4</v>
      </c>
    </row>
    <row r="146" spans="1:42" customHeight="1" ht="11.5">
      <c r="A146" s="5">
        <v>138</v>
      </c>
      <c r="B146" s="163" t="s">
        <v>201</v>
      </c>
      <c r="C146" s="151" t="s">
        <v>36</v>
      </c>
      <c r="D146" s="85" t="s">
        <v>37</v>
      </c>
      <c r="E146" s="86">
        <v>0</v>
      </c>
      <c r="F146" s="9">
        <v>0</v>
      </c>
      <c r="G146" s="10"/>
      <c r="H146" s="9">
        <v>0</v>
      </c>
      <c r="I146" s="10"/>
      <c r="J146" s="152">
        <v>160000</v>
      </c>
      <c r="K146" s="10"/>
      <c r="L146" s="152">
        <v>0</v>
      </c>
      <c r="M146" s="10">
        <v>160000</v>
      </c>
      <c r="N146" s="152">
        <v>0</v>
      </c>
      <c r="O146" s="10"/>
      <c r="P146" s="152">
        <v>0</v>
      </c>
      <c r="Q146" s="10"/>
      <c r="R146" s="9">
        <v>0</v>
      </c>
      <c r="S146" s="10"/>
      <c r="T146" s="9">
        <v>0</v>
      </c>
      <c r="U146" s="10"/>
      <c r="V146" s="9">
        <v>0</v>
      </c>
      <c r="W146" s="10"/>
      <c r="X146" s="9">
        <v>0</v>
      </c>
      <c r="Y146" s="10"/>
      <c r="Z146" s="9">
        <v>0</v>
      </c>
      <c r="AA146" s="10"/>
      <c r="AB146" s="11">
        <v>0</v>
      </c>
      <c r="AC146" s="10"/>
      <c r="AD146" s="7">
        <f>SUM(F146+H146+J146+L146+N146+P146+R146+T146+V146+X146+Z146+AB146)</f>
        <v>160000</v>
      </c>
      <c r="AE146" s="7">
        <f>E146+AD146</f>
        <v>160000</v>
      </c>
      <c r="AF146" s="8">
        <f>G146+I146+K146+M146+O146+Q146+S146+U146+W146+Y146+AA146+AC146</f>
        <v>160000</v>
      </c>
      <c r="AG146" s="153">
        <f>SUM(AE146-AF146)</f>
        <v>0</v>
      </c>
      <c r="AH146" s="99" t="s">
        <v>202</v>
      </c>
      <c r="AI146" s="99">
        <v>4</v>
      </c>
    </row>
    <row r="147" spans="1:42" customHeight="1" ht="11.5">
      <c r="A147" s="5">
        <v>139</v>
      </c>
      <c r="B147" s="163" t="s">
        <v>203</v>
      </c>
      <c r="C147" s="151" t="s">
        <v>36</v>
      </c>
      <c r="D147" s="85" t="s">
        <v>37</v>
      </c>
      <c r="E147" s="86">
        <v>0</v>
      </c>
      <c r="F147" s="9">
        <v>0</v>
      </c>
      <c r="G147" s="10"/>
      <c r="H147" s="9">
        <v>0</v>
      </c>
      <c r="I147" s="10"/>
      <c r="J147" s="152">
        <v>0</v>
      </c>
      <c r="K147" s="10"/>
      <c r="L147" s="152">
        <v>0</v>
      </c>
      <c r="M147" s="10"/>
      <c r="N147" s="152">
        <v>0</v>
      </c>
      <c r="O147" s="10"/>
      <c r="P147" s="152">
        <v>0</v>
      </c>
      <c r="Q147" s="10"/>
      <c r="R147" s="9">
        <v>0</v>
      </c>
      <c r="S147" s="10"/>
      <c r="T147" s="9">
        <v>0</v>
      </c>
      <c r="U147" s="10"/>
      <c r="V147" s="9">
        <v>0</v>
      </c>
      <c r="W147" s="10"/>
      <c r="X147" s="9">
        <v>0</v>
      </c>
      <c r="Y147" s="10"/>
      <c r="Z147" s="9">
        <v>0</v>
      </c>
      <c r="AA147" s="10"/>
      <c r="AB147" s="11">
        <v>0</v>
      </c>
      <c r="AC147" s="10"/>
      <c r="AD147" s="7">
        <f>SUM(F147+H147+J147+L147+N147+P147+R147+T147+V147+X147+Z147+AB147)</f>
        <v>0</v>
      </c>
      <c r="AE147" s="7">
        <f>E147+AD147</f>
        <v>0</v>
      </c>
      <c r="AF147" s="8">
        <f>G147+I147+K147+M147+O147+Q147+S147+U147+W147+Y147+AA147+AC147</f>
        <v>0</v>
      </c>
      <c r="AG147" s="153">
        <f>SUM(AE147-AF147)</f>
        <v>0</v>
      </c>
      <c r="AH147" s="99" t="s">
        <v>204</v>
      </c>
      <c r="AI147" s="99">
        <v>4</v>
      </c>
    </row>
    <row r="148" spans="1:42" customHeight="1" ht="11.5">
      <c r="A148" s="5">
        <v>140</v>
      </c>
      <c r="B148" s="163" t="s">
        <v>205</v>
      </c>
      <c r="C148" s="151" t="s">
        <v>105</v>
      </c>
      <c r="D148" s="85" t="s">
        <v>106</v>
      </c>
      <c r="E148" s="86">
        <v>20000</v>
      </c>
      <c r="F148" s="9">
        <v>0</v>
      </c>
      <c r="G148" s="10">
        <v>20000</v>
      </c>
      <c r="H148" s="9">
        <v>0</v>
      </c>
      <c r="I148" s="10"/>
      <c r="J148" s="152">
        <v>20000</v>
      </c>
      <c r="K148" s="10"/>
      <c r="L148" s="152">
        <v>0</v>
      </c>
      <c r="M148" s="10">
        <v>20000</v>
      </c>
      <c r="N148" s="152">
        <v>0</v>
      </c>
      <c r="O148" s="10"/>
      <c r="P148" s="152">
        <v>0</v>
      </c>
      <c r="Q148" s="10"/>
      <c r="R148" s="9">
        <v>0</v>
      </c>
      <c r="S148" s="10"/>
      <c r="T148" s="9">
        <v>0</v>
      </c>
      <c r="U148" s="10"/>
      <c r="V148" s="9">
        <v>0</v>
      </c>
      <c r="W148" s="10"/>
      <c r="X148" s="9">
        <v>0</v>
      </c>
      <c r="Y148" s="10"/>
      <c r="Z148" s="9">
        <v>0</v>
      </c>
      <c r="AA148" s="10"/>
      <c r="AB148" s="11">
        <v>0</v>
      </c>
      <c r="AC148" s="10"/>
      <c r="AD148" s="7">
        <f>SUM(F148+H148+J148+L148+N148+P148+R148+T148+V148+X148+Z148+AB148)</f>
        <v>20000</v>
      </c>
      <c r="AE148" s="7">
        <f>E148+AD148</f>
        <v>40000</v>
      </c>
      <c r="AF148" s="8">
        <f>G148+I148+K148+M148+O148+Q148+S148+U148+W148+Y148+AA148+AC148</f>
        <v>40000</v>
      </c>
      <c r="AG148" s="153">
        <f>SUM(AE148-AF148)</f>
        <v>0</v>
      </c>
      <c r="AH148" s="99" t="s">
        <v>206</v>
      </c>
      <c r="AI148" s="99">
        <v>4</v>
      </c>
    </row>
    <row r="149" spans="1:42" customHeight="1" ht="11.5">
      <c r="A149" s="5">
        <v>141</v>
      </c>
      <c r="B149" s="163" t="s">
        <v>207</v>
      </c>
      <c r="C149" s="151" t="s">
        <v>36</v>
      </c>
      <c r="D149" s="85" t="s">
        <v>37</v>
      </c>
      <c r="E149" s="86">
        <v>20000</v>
      </c>
      <c r="F149" s="9">
        <v>20000</v>
      </c>
      <c r="G149" s="10">
        <v>20000</v>
      </c>
      <c r="H149" s="9">
        <v>20000</v>
      </c>
      <c r="I149" s="10">
        <v>20000</v>
      </c>
      <c r="J149" s="152">
        <v>30000</v>
      </c>
      <c r="K149" s="10">
        <v>20000</v>
      </c>
      <c r="L149" s="152">
        <v>10000</v>
      </c>
      <c r="M149" s="10">
        <v>30000</v>
      </c>
      <c r="N149" s="152">
        <v>30000</v>
      </c>
      <c r="O149" s="10">
        <v>10000</v>
      </c>
      <c r="P149" s="152">
        <v>20000</v>
      </c>
      <c r="Q149" s="10">
        <v>30000</v>
      </c>
      <c r="R149" s="9">
        <v>30000</v>
      </c>
      <c r="S149" s="10"/>
      <c r="T149" s="9">
        <v>0</v>
      </c>
      <c r="U149" s="10"/>
      <c r="V149" s="9">
        <v>0</v>
      </c>
      <c r="W149" s="10"/>
      <c r="X149" s="9">
        <v>0</v>
      </c>
      <c r="Y149" s="10"/>
      <c r="Z149" s="9">
        <v>0</v>
      </c>
      <c r="AA149" s="10"/>
      <c r="AB149" s="11">
        <v>0</v>
      </c>
      <c r="AC149" s="10"/>
      <c r="AD149" s="7">
        <f>SUM(F149+H149+J149+L149+N149+P149+R149+T149+V149+X149+Z149+AB149)</f>
        <v>160000</v>
      </c>
      <c r="AE149" s="7">
        <f>E149+AD149</f>
        <v>180000</v>
      </c>
      <c r="AF149" s="8">
        <f>G149+I149+K149+M149+O149+Q149+S149+U149+W149+Y149+AA149+AC149</f>
        <v>130000</v>
      </c>
      <c r="AG149" s="153">
        <f>SUM(AE149-AF149)</f>
        <v>50000</v>
      </c>
      <c r="AH149" s="99" t="s">
        <v>208</v>
      </c>
      <c r="AI149" s="99">
        <v>4</v>
      </c>
    </row>
    <row r="150" spans="1:42" customHeight="1" ht="11.5">
      <c r="A150" s="5">
        <v>142</v>
      </c>
      <c r="B150" s="163" t="s">
        <v>209</v>
      </c>
      <c r="C150" s="151" t="s">
        <v>36</v>
      </c>
      <c r="D150" s="85" t="s">
        <v>37</v>
      </c>
      <c r="E150" s="86">
        <v>0</v>
      </c>
      <c r="F150" s="9">
        <v>0</v>
      </c>
      <c r="G150" s="10"/>
      <c r="H150" s="9">
        <v>0</v>
      </c>
      <c r="I150" s="10"/>
      <c r="J150" s="152">
        <v>0</v>
      </c>
      <c r="K150" s="10"/>
      <c r="L150" s="152">
        <v>0</v>
      </c>
      <c r="M150" s="10"/>
      <c r="N150" s="152">
        <v>0</v>
      </c>
      <c r="O150" s="10"/>
      <c r="P150" s="152">
        <v>0</v>
      </c>
      <c r="Q150" s="10"/>
      <c r="R150" s="9">
        <v>0</v>
      </c>
      <c r="S150" s="10"/>
      <c r="T150" s="9">
        <v>0</v>
      </c>
      <c r="U150" s="10"/>
      <c r="V150" s="9">
        <v>0</v>
      </c>
      <c r="W150" s="10"/>
      <c r="X150" s="9">
        <v>0</v>
      </c>
      <c r="Y150" s="10"/>
      <c r="Z150" s="9">
        <v>0</v>
      </c>
      <c r="AA150" s="10"/>
      <c r="AB150" s="11">
        <v>0</v>
      </c>
      <c r="AC150" s="10"/>
      <c r="AD150" s="7">
        <f>SUM(F150+H150+J150+L150+N150+P150+R150+T150+V150+X150+Z150+AB150)</f>
        <v>0</v>
      </c>
      <c r="AE150" s="7">
        <f>E150+AD150</f>
        <v>0</v>
      </c>
      <c r="AF150" s="8">
        <f>G150+I150+K150+M150+O150+Q150+S150+U150+W150+Y150+AA150+AC150</f>
        <v>0</v>
      </c>
      <c r="AG150" s="153">
        <f>SUM(AE150-AF150)</f>
        <v>0</v>
      </c>
      <c r="AH150" s="99" t="s">
        <v>210</v>
      </c>
      <c r="AI150" s="99">
        <v>4</v>
      </c>
    </row>
    <row r="151" spans="1:42" customHeight="1" ht="11.5">
      <c r="A151" s="5">
        <v>143</v>
      </c>
      <c r="B151" s="163" t="s">
        <v>211</v>
      </c>
      <c r="C151" s="151" t="s">
        <v>36</v>
      </c>
      <c r="D151" s="85" t="s">
        <v>37</v>
      </c>
      <c r="E151" s="86">
        <v>10000</v>
      </c>
      <c r="F151" s="9">
        <v>10000</v>
      </c>
      <c r="G151" s="10">
        <v>10000</v>
      </c>
      <c r="H151" s="9">
        <v>20000</v>
      </c>
      <c r="I151" s="10">
        <v>10000</v>
      </c>
      <c r="J151" s="152">
        <v>10000</v>
      </c>
      <c r="K151" s="10">
        <v>20000</v>
      </c>
      <c r="L151" s="152">
        <v>10000</v>
      </c>
      <c r="M151" s="10">
        <v>10000</v>
      </c>
      <c r="N151" s="152">
        <v>0</v>
      </c>
      <c r="O151" s="10">
        <v>10000</v>
      </c>
      <c r="P151" s="152">
        <v>20000</v>
      </c>
      <c r="Q151" s="10"/>
      <c r="R151" s="9">
        <v>20000</v>
      </c>
      <c r="S151" s="10"/>
      <c r="T151" s="9">
        <v>0</v>
      </c>
      <c r="U151" s="10"/>
      <c r="V151" s="9">
        <v>0</v>
      </c>
      <c r="W151" s="10"/>
      <c r="X151" s="9">
        <v>0</v>
      </c>
      <c r="Y151" s="10"/>
      <c r="Z151" s="9">
        <v>0</v>
      </c>
      <c r="AA151" s="10"/>
      <c r="AB151" s="11">
        <v>0</v>
      </c>
      <c r="AC151" s="10"/>
      <c r="AD151" s="7">
        <f>SUM(F151+H151+J151+L151+N151+P151+R151+T151+V151+X151+Z151+AB151)</f>
        <v>90000</v>
      </c>
      <c r="AE151" s="7">
        <f>E151+AD151</f>
        <v>100000</v>
      </c>
      <c r="AF151" s="8">
        <f>G151+I151+K151+M151+O151+Q151+S151+U151+W151+Y151+AA151+AC151</f>
        <v>60000</v>
      </c>
      <c r="AG151" s="153">
        <f>SUM(AE151-AF151)</f>
        <v>40000</v>
      </c>
      <c r="AH151" s="99" t="s">
        <v>212</v>
      </c>
      <c r="AI151" s="99">
        <v>4</v>
      </c>
    </row>
    <row r="152" spans="1:42" customHeight="1" ht="11.5">
      <c r="A152" s="5">
        <v>144</v>
      </c>
      <c r="B152" s="163" t="s">
        <v>213</v>
      </c>
      <c r="C152" s="151" t="s">
        <v>36</v>
      </c>
      <c r="D152" s="85" t="s">
        <v>37</v>
      </c>
      <c r="E152" s="86">
        <v>20000</v>
      </c>
      <c r="F152" s="9">
        <v>30000</v>
      </c>
      <c r="G152" s="10">
        <v>20000</v>
      </c>
      <c r="H152" s="9">
        <v>10000</v>
      </c>
      <c r="I152" s="10">
        <v>30000</v>
      </c>
      <c r="J152" s="152">
        <v>10000</v>
      </c>
      <c r="K152" s="10">
        <v>10000</v>
      </c>
      <c r="L152" s="152">
        <v>10000</v>
      </c>
      <c r="M152" s="10">
        <v>10000</v>
      </c>
      <c r="N152" s="152">
        <v>10000</v>
      </c>
      <c r="O152" s="10">
        <v>10000</v>
      </c>
      <c r="P152" s="152">
        <v>20000</v>
      </c>
      <c r="Q152" s="10">
        <v>10000</v>
      </c>
      <c r="R152" s="9">
        <v>20000</v>
      </c>
      <c r="S152" s="10"/>
      <c r="T152" s="9">
        <v>0</v>
      </c>
      <c r="U152" s="10"/>
      <c r="V152" s="9">
        <v>0</v>
      </c>
      <c r="W152" s="10"/>
      <c r="X152" s="9">
        <v>0</v>
      </c>
      <c r="Y152" s="10"/>
      <c r="Z152" s="9">
        <v>0</v>
      </c>
      <c r="AA152" s="10"/>
      <c r="AB152" s="11">
        <v>0</v>
      </c>
      <c r="AC152" s="10"/>
      <c r="AD152" s="7">
        <f>SUM(F152+H152+J152+L152+N152+P152+R152+T152+V152+X152+Z152+AB152)</f>
        <v>110000</v>
      </c>
      <c r="AE152" s="7">
        <f>E152+AD152</f>
        <v>130000</v>
      </c>
      <c r="AF152" s="8">
        <f>G152+I152+K152+M152+O152+Q152+S152+U152+W152+Y152+AA152+AC152</f>
        <v>90000</v>
      </c>
      <c r="AG152" s="153">
        <f>SUM(AE152-AF152)</f>
        <v>40000</v>
      </c>
      <c r="AH152" s="99" t="s">
        <v>214</v>
      </c>
      <c r="AI152" s="99">
        <v>4</v>
      </c>
    </row>
    <row r="153" spans="1:42" customHeight="1" ht="11.5">
      <c r="A153" s="5">
        <v>145</v>
      </c>
      <c r="B153" s="163" t="s">
        <v>215</v>
      </c>
      <c r="C153" s="151" t="s">
        <v>36</v>
      </c>
      <c r="D153" s="85" t="s">
        <v>37</v>
      </c>
      <c r="E153" s="86">
        <v>30000</v>
      </c>
      <c r="F153" s="9">
        <v>20000</v>
      </c>
      <c r="G153" s="10">
        <v>30000</v>
      </c>
      <c r="H153" s="9">
        <v>20000</v>
      </c>
      <c r="I153" s="10">
        <v>20000</v>
      </c>
      <c r="J153" s="152">
        <v>10000</v>
      </c>
      <c r="K153" s="10">
        <v>20000</v>
      </c>
      <c r="L153" s="152">
        <v>10000</v>
      </c>
      <c r="M153" s="10">
        <v>10000</v>
      </c>
      <c r="N153" s="152">
        <v>20000</v>
      </c>
      <c r="O153" s="10">
        <v>10000</v>
      </c>
      <c r="P153" s="152">
        <v>20000</v>
      </c>
      <c r="Q153" s="10">
        <v>20000</v>
      </c>
      <c r="R153" s="9">
        <v>20000</v>
      </c>
      <c r="S153" s="10"/>
      <c r="T153" s="9">
        <v>0</v>
      </c>
      <c r="U153" s="10"/>
      <c r="V153" s="9">
        <v>0</v>
      </c>
      <c r="W153" s="10"/>
      <c r="X153" s="9">
        <v>0</v>
      </c>
      <c r="Y153" s="10"/>
      <c r="Z153" s="9">
        <v>0</v>
      </c>
      <c r="AA153" s="10"/>
      <c r="AB153" s="11">
        <v>0</v>
      </c>
      <c r="AC153" s="10"/>
      <c r="AD153" s="7">
        <f>SUM(F153+H153+J153+L153+N153+P153+R153+T153+V153+X153+Z153+AB153)</f>
        <v>120000</v>
      </c>
      <c r="AE153" s="7">
        <f>E153+AD153</f>
        <v>150000</v>
      </c>
      <c r="AF153" s="8">
        <f>G153+I153+K153+M153+O153+Q153+S153+U153+W153+Y153+AA153+AC153</f>
        <v>110000</v>
      </c>
      <c r="AG153" s="153">
        <f>SUM(AE153-AF153)</f>
        <v>40000</v>
      </c>
      <c r="AH153" s="99" t="s">
        <v>216</v>
      </c>
      <c r="AI153" s="99">
        <v>4</v>
      </c>
    </row>
    <row r="154" spans="1:42" customHeight="1" ht="11.5">
      <c r="A154" s="5">
        <v>146</v>
      </c>
      <c r="B154" s="163" t="s">
        <v>217</v>
      </c>
      <c r="C154" s="151" t="s">
        <v>112</v>
      </c>
      <c r="D154" s="85" t="s">
        <v>113</v>
      </c>
      <c r="E154" s="86">
        <v>10000</v>
      </c>
      <c r="F154" s="9">
        <v>10000</v>
      </c>
      <c r="G154" s="10">
        <v>10000</v>
      </c>
      <c r="H154" s="9">
        <v>0</v>
      </c>
      <c r="I154" s="10">
        <v>10000</v>
      </c>
      <c r="J154" s="152">
        <v>0</v>
      </c>
      <c r="K154" s="10"/>
      <c r="L154" s="152">
        <v>10000</v>
      </c>
      <c r="M154" s="10"/>
      <c r="N154" s="152">
        <v>0</v>
      </c>
      <c r="O154" s="10">
        <v>10000</v>
      </c>
      <c r="P154" s="152">
        <v>10000</v>
      </c>
      <c r="Q154" s="10"/>
      <c r="R154" s="9">
        <v>0</v>
      </c>
      <c r="S154" s="10"/>
      <c r="T154" s="9">
        <v>0</v>
      </c>
      <c r="U154" s="10"/>
      <c r="V154" s="9">
        <v>0</v>
      </c>
      <c r="W154" s="10"/>
      <c r="X154" s="9">
        <v>0</v>
      </c>
      <c r="Y154" s="10"/>
      <c r="Z154" s="9">
        <v>0</v>
      </c>
      <c r="AA154" s="10"/>
      <c r="AB154" s="11">
        <v>0</v>
      </c>
      <c r="AC154" s="10"/>
      <c r="AD154" s="7">
        <f>SUM(F154+H154+J154+L154+N154+P154+R154+T154+V154+X154+Z154+AB154)</f>
        <v>30000</v>
      </c>
      <c r="AE154" s="7">
        <f>E154+AD154</f>
        <v>40000</v>
      </c>
      <c r="AF154" s="8">
        <f>G154+I154+K154+M154+O154+Q154+S154+U154+W154+Y154+AA154+AC154</f>
        <v>30000</v>
      </c>
      <c r="AG154" s="153">
        <f>SUM(AE154-AF154)</f>
        <v>10000</v>
      </c>
      <c r="AH154" s="99" t="s">
        <v>218</v>
      </c>
      <c r="AI154" s="99">
        <v>4</v>
      </c>
    </row>
    <row r="155" spans="1:42" customHeight="1" ht="11.5">
      <c r="A155" s="5">
        <v>147</v>
      </c>
      <c r="B155" s="163" t="s">
        <v>219</v>
      </c>
      <c r="C155" s="151" t="s">
        <v>36</v>
      </c>
      <c r="D155" s="85" t="s">
        <v>37</v>
      </c>
      <c r="E155" s="86">
        <v>0</v>
      </c>
      <c r="F155" s="9">
        <v>0</v>
      </c>
      <c r="G155" s="10"/>
      <c r="H155" s="9">
        <v>0</v>
      </c>
      <c r="I155" s="10"/>
      <c r="J155" s="152">
        <v>0</v>
      </c>
      <c r="K155" s="10"/>
      <c r="L155" s="152">
        <v>0</v>
      </c>
      <c r="M155" s="10"/>
      <c r="N155" s="152">
        <v>0</v>
      </c>
      <c r="O155" s="10"/>
      <c r="P155" s="152">
        <v>0</v>
      </c>
      <c r="Q155" s="10"/>
      <c r="R155" s="9">
        <v>0</v>
      </c>
      <c r="S155" s="10"/>
      <c r="T155" s="9">
        <v>0</v>
      </c>
      <c r="U155" s="10"/>
      <c r="V155" s="9">
        <v>0</v>
      </c>
      <c r="W155" s="10"/>
      <c r="X155" s="9">
        <v>0</v>
      </c>
      <c r="Y155" s="10"/>
      <c r="Z155" s="9">
        <v>0</v>
      </c>
      <c r="AA155" s="10"/>
      <c r="AB155" s="11">
        <v>0</v>
      </c>
      <c r="AC155" s="10"/>
      <c r="AD155" s="7">
        <f>SUM(F155+H155+J155+L155+N155+P155+R155+T155+V155+X155+Z155+AB155)</f>
        <v>0</v>
      </c>
      <c r="AE155" s="7">
        <f>E155+AD155</f>
        <v>0</v>
      </c>
      <c r="AF155" s="8">
        <f>G155+I155+K155+M155+O155+Q155+S155+U155+W155+Y155+AA155+AC155</f>
        <v>0</v>
      </c>
      <c r="AG155" s="153">
        <f>SUM(AE155-AF155)</f>
        <v>0</v>
      </c>
      <c r="AH155" s="99" t="s">
        <v>220</v>
      </c>
      <c r="AI155" s="99">
        <v>4</v>
      </c>
    </row>
    <row r="156" spans="1:42" customHeight="1" ht="11.5">
      <c r="A156" s="5">
        <v>148</v>
      </c>
      <c r="B156" s="150" t="s">
        <v>221</v>
      </c>
      <c r="C156" s="151" t="s">
        <v>36</v>
      </c>
      <c r="D156" s="85" t="s">
        <v>37</v>
      </c>
      <c r="E156" s="86">
        <v>100000</v>
      </c>
      <c r="F156" s="9">
        <v>110000</v>
      </c>
      <c r="G156" s="10">
        <v>100000</v>
      </c>
      <c r="H156" s="9">
        <v>90000</v>
      </c>
      <c r="I156" s="10">
        <v>110000</v>
      </c>
      <c r="J156" s="152">
        <v>110000</v>
      </c>
      <c r="K156" s="10">
        <v>90000</v>
      </c>
      <c r="L156" s="152">
        <v>140000</v>
      </c>
      <c r="M156" s="10">
        <v>110000</v>
      </c>
      <c r="N156" s="152">
        <v>120000</v>
      </c>
      <c r="O156" s="10">
        <v>140000</v>
      </c>
      <c r="P156" s="152">
        <v>100000</v>
      </c>
      <c r="Q156" s="10">
        <v>120000</v>
      </c>
      <c r="R156" s="9">
        <v>110000</v>
      </c>
      <c r="S156" s="10"/>
      <c r="T156" s="9">
        <v>0</v>
      </c>
      <c r="U156" s="10"/>
      <c r="V156" s="9">
        <v>0</v>
      </c>
      <c r="W156" s="10"/>
      <c r="X156" s="9">
        <v>0</v>
      </c>
      <c r="Y156" s="10"/>
      <c r="Z156" s="9">
        <v>0</v>
      </c>
      <c r="AA156" s="10"/>
      <c r="AB156" s="11">
        <v>0</v>
      </c>
      <c r="AC156" s="10"/>
      <c r="AD156" s="7">
        <f>SUM(F156+H156+J156+L156+N156+P156+R156+T156+V156+X156+Z156+AB156)</f>
        <v>780000</v>
      </c>
      <c r="AE156" s="7">
        <f>E156+AD156</f>
        <v>880000</v>
      </c>
      <c r="AF156" s="8">
        <f>G156+I156+K156+M156+O156+Q156+S156+U156+W156+Y156+AA156+AC156</f>
        <v>670000</v>
      </c>
      <c r="AG156" s="153">
        <f>SUM(AE156-AF156)</f>
        <v>210000</v>
      </c>
      <c r="AH156" s="99" t="s">
        <v>222</v>
      </c>
      <c r="AI156" s="99">
        <v>4</v>
      </c>
    </row>
    <row r="157" spans="1:42" customHeight="1" ht="11.5">
      <c r="A157" s="5">
        <v>149</v>
      </c>
      <c r="B157" s="150" t="s">
        <v>223</v>
      </c>
      <c r="C157" s="151" t="s">
        <v>36</v>
      </c>
      <c r="D157" s="85" t="s">
        <v>37</v>
      </c>
      <c r="E157" s="86">
        <v>0</v>
      </c>
      <c r="F157" s="9">
        <v>0</v>
      </c>
      <c r="G157" s="10"/>
      <c r="H157" s="9">
        <v>0</v>
      </c>
      <c r="I157" s="10"/>
      <c r="J157" s="152">
        <v>0</v>
      </c>
      <c r="K157" s="10"/>
      <c r="L157" s="152">
        <v>0</v>
      </c>
      <c r="M157" s="10"/>
      <c r="N157" s="152">
        <v>0</v>
      </c>
      <c r="O157" s="10"/>
      <c r="P157" s="152">
        <v>0</v>
      </c>
      <c r="Q157" s="10"/>
      <c r="R157" s="9">
        <v>0</v>
      </c>
      <c r="S157" s="10"/>
      <c r="T157" s="9">
        <v>0</v>
      </c>
      <c r="U157" s="10"/>
      <c r="V157" s="9">
        <v>0</v>
      </c>
      <c r="W157" s="10"/>
      <c r="X157" s="9">
        <v>0</v>
      </c>
      <c r="Y157" s="10"/>
      <c r="Z157" s="9">
        <v>0</v>
      </c>
      <c r="AA157" s="10"/>
      <c r="AB157" s="11">
        <v>0</v>
      </c>
      <c r="AC157" s="10"/>
      <c r="AD157" s="7">
        <f>SUM(F157+H157+J157+L157+N157+P157+R157+T157+V157+X157+Z157+AB157)</f>
        <v>0</v>
      </c>
      <c r="AE157" s="7">
        <f>E157+AD157</f>
        <v>0</v>
      </c>
      <c r="AF157" s="8">
        <f>G157+I157+K157+M157+O157+Q157+S157+U157+W157+Y157+AA157+AC157</f>
        <v>0</v>
      </c>
      <c r="AG157" s="153">
        <f>SUM(AE157-AF157)</f>
        <v>0</v>
      </c>
      <c r="AH157" s="99" t="s">
        <v>224</v>
      </c>
      <c r="AI157" s="99">
        <v>4</v>
      </c>
    </row>
    <row r="158" spans="1:42" customHeight="1" ht="11.5">
      <c r="A158" s="5">
        <v>150</v>
      </c>
      <c r="B158" s="150" t="s">
        <v>225</v>
      </c>
      <c r="C158" s="151" t="s">
        <v>36</v>
      </c>
      <c r="D158" s="85" t="s">
        <v>37</v>
      </c>
      <c r="E158" s="86">
        <v>10000</v>
      </c>
      <c r="F158" s="9">
        <v>5000</v>
      </c>
      <c r="G158" s="10">
        <v>10000</v>
      </c>
      <c r="H158" s="9">
        <v>0</v>
      </c>
      <c r="I158" s="10">
        <v>5000</v>
      </c>
      <c r="J158" s="152">
        <v>5000</v>
      </c>
      <c r="K158" s="10"/>
      <c r="L158" s="152">
        <v>5000</v>
      </c>
      <c r="M158" s="10">
        <v>5000</v>
      </c>
      <c r="N158" s="152">
        <v>0</v>
      </c>
      <c r="O158" s="10">
        <v>5000</v>
      </c>
      <c r="P158" s="152">
        <v>5000</v>
      </c>
      <c r="Q158" s="10"/>
      <c r="R158" s="9">
        <v>10000</v>
      </c>
      <c r="S158" s="10"/>
      <c r="T158" s="9">
        <v>0</v>
      </c>
      <c r="U158" s="10"/>
      <c r="V158" s="9">
        <v>0</v>
      </c>
      <c r="W158" s="10"/>
      <c r="X158" s="9">
        <v>0</v>
      </c>
      <c r="Y158" s="10"/>
      <c r="Z158" s="9">
        <v>0</v>
      </c>
      <c r="AA158" s="10"/>
      <c r="AB158" s="11">
        <v>0</v>
      </c>
      <c r="AC158" s="10"/>
      <c r="AD158" s="7">
        <f>SUM(F158+H158+J158+L158+N158+P158+R158+T158+V158+X158+Z158+AB158)</f>
        <v>30000</v>
      </c>
      <c r="AE158" s="7">
        <f>E158+AD158</f>
        <v>40000</v>
      </c>
      <c r="AF158" s="8">
        <f>G158+I158+K158+M158+O158+Q158+S158+U158+W158+Y158+AA158+AC158</f>
        <v>25000</v>
      </c>
      <c r="AG158" s="153">
        <f>SUM(AE158-AF158)</f>
        <v>15000</v>
      </c>
      <c r="AH158" s="99" t="s">
        <v>226</v>
      </c>
      <c r="AI158" s="99">
        <v>4</v>
      </c>
    </row>
    <row r="159" spans="1:42" customHeight="1" ht="11.5">
      <c r="A159" s="5">
        <v>151</v>
      </c>
      <c r="B159" s="150" t="s">
        <v>227</v>
      </c>
      <c r="C159" s="151" t="s">
        <v>112</v>
      </c>
      <c r="D159" s="85" t="s">
        <v>113</v>
      </c>
      <c r="E159" s="86">
        <v>10000</v>
      </c>
      <c r="F159" s="9">
        <v>0</v>
      </c>
      <c r="G159" s="10">
        <v>10000</v>
      </c>
      <c r="H159" s="9">
        <v>0</v>
      </c>
      <c r="I159" s="10"/>
      <c r="J159" s="152">
        <v>0</v>
      </c>
      <c r="K159" s="10"/>
      <c r="L159" s="152">
        <v>0</v>
      </c>
      <c r="M159" s="10"/>
      <c r="N159" s="152">
        <v>10000</v>
      </c>
      <c r="O159" s="10"/>
      <c r="P159" s="152">
        <v>0</v>
      </c>
      <c r="Q159" s="10">
        <v>10000</v>
      </c>
      <c r="R159" s="9">
        <v>0</v>
      </c>
      <c r="S159" s="10"/>
      <c r="T159" s="9">
        <v>0</v>
      </c>
      <c r="U159" s="10"/>
      <c r="V159" s="9">
        <v>0</v>
      </c>
      <c r="W159" s="10"/>
      <c r="X159" s="9">
        <v>0</v>
      </c>
      <c r="Y159" s="10"/>
      <c r="Z159" s="9">
        <v>0</v>
      </c>
      <c r="AA159" s="10"/>
      <c r="AB159" s="11">
        <v>0</v>
      </c>
      <c r="AC159" s="10"/>
      <c r="AD159" s="7">
        <f>SUM(F159+H159+J159+L159+N159+P159+R159+T159+V159+X159+Z159+AB159)</f>
        <v>10000</v>
      </c>
      <c r="AE159" s="7">
        <f>E159+AD159</f>
        <v>20000</v>
      </c>
      <c r="AF159" s="8">
        <f>G159+I159+K159+M159+O159+Q159+S159+U159+W159+Y159+AA159+AC159</f>
        <v>20000</v>
      </c>
      <c r="AG159" s="153">
        <f>SUM(AE159-AF159)</f>
        <v>0</v>
      </c>
      <c r="AH159" s="99" t="s">
        <v>228</v>
      </c>
      <c r="AI159" s="99">
        <v>4</v>
      </c>
    </row>
    <row r="160" spans="1:42" customHeight="1" ht="11.5">
      <c r="A160" s="5">
        <v>152</v>
      </c>
      <c r="B160" s="150" t="s">
        <v>229</v>
      </c>
      <c r="C160" s="151" t="s">
        <v>36</v>
      </c>
      <c r="D160" s="85" t="s">
        <v>37</v>
      </c>
      <c r="E160" s="86">
        <v>30000</v>
      </c>
      <c r="F160" s="9">
        <v>30000</v>
      </c>
      <c r="G160" s="10">
        <v>30000</v>
      </c>
      <c r="H160" s="9">
        <v>20000</v>
      </c>
      <c r="I160" s="10">
        <v>30000</v>
      </c>
      <c r="J160" s="152">
        <v>20000</v>
      </c>
      <c r="K160" s="10">
        <v>20000</v>
      </c>
      <c r="L160" s="152">
        <v>20000</v>
      </c>
      <c r="M160" s="10">
        <v>20000</v>
      </c>
      <c r="N160" s="152">
        <v>10000</v>
      </c>
      <c r="O160" s="10">
        <v>20000</v>
      </c>
      <c r="P160" s="152">
        <v>20000</v>
      </c>
      <c r="Q160" s="10">
        <v>10000</v>
      </c>
      <c r="R160" s="9">
        <v>20000</v>
      </c>
      <c r="S160" s="10"/>
      <c r="T160" s="9">
        <v>0</v>
      </c>
      <c r="U160" s="10"/>
      <c r="V160" s="9">
        <v>0</v>
      </c>
      <c r="W160" s="10"/>
      <c r="X160" s="9">
        <v>0</v>
      </c>
      <c r="Y160" s="10"/>
      <c r="Z160" s="9">
        <v>0</v>
      </c>
      <c r="AA160" s="10"/>
      <c r="AB160" s="11">
        <v>0</v>
      </c>
      <c r="AC160" s="10"/>
      <c r="AD160" s="7">
        <f>SUM(F160+H160+J160+L160+N160+P160+R160+T160+V160+X160+Z160+AB160)</f>
        <v>140000</v>
      </c>
      <c r="AE160" s="7">
        <f>E160+AD160</f>
        <v>170000</v>
      </c>
      <c r="AF160" s="8">
        <f>G160+I160+K160+M160+O160+Q160+S160+U160+W160+Y160+AA160+AC160</f>
        <v>130000</v>
      </c>
      <c r="AG160" s="153">
        <f>SUM(AE160-AF160)</f>
        <v>40000</v>
      </c>
      <c r="AH160" s="99" t="s">
        <v>230</v>
      </c>
      <c r="AI160" s="99">
        <v>4</v>
      </c>
    </row>
    <row r="161" spans="1:42" customHeight="1" ht="11.5">
      <c r="A161" s="5">
        <v>153</v>
      </c>
      <c r="B161" s="150" t="s">
        <v>231</v>
      </c>
      <c r="C161" s="151" t="s">
        <v>36</v>
      </c>
      <c r="D161" s="85" t="s">
        <v>37</v>
      </c>
      <c r="E161" s="86">
        <v>40000</v>
      </c>
      <c r="F161" s="9">
        <v>30000</v>
      </c>
      <c r="G161" s="10">
        <v>40000</v>
      </c>
      <c r="H161" s="9">
        <v>15000</v>
      </c>
      <c r="I161" s="10">
        <v>30000</v>
      </c>
      <c r="J161" s="152">
        <v>20000</v>
      </c>
      <c r="K161" s="10">
        <v>15000</v>
      </c>
      <c r="L161" s="152">
        <v>15000</v>
      </c>
      <c r="M161" s="10">
        <v>20000</v>
      </c>
      <c r="N161" s="152">
        <v>25000</v>
      </c>
      <c r="O161" s="10">
        <v>15000</v>
      </c>
      <c r="P161" s="152">
        <v>25000</v>
      </c>
      <c r="Q161" s="10">
        <v>25000</v>
      </c>
      <c r="R161" s="9">
        <v>30000</v>
      </c>
      <c r="S161" s="10"/>
      <c r="T161" s="9">
        <v>0</v>
      </c>
      <c r="U161" s="10"/>
      <c r="V161" s="9">
        <v>0</v>
      </c>
      <c r="W161" s="10"/>
      <c r="X161" s="9">
        <v>0</v>
      </c>
      <c r="Y161" s="10"/>
      <c r="Z161" s="9">
        <v>0</v>
      </c>
      <c r="AA161" s="10"/>
      <c r="AB161" s="11">
        <v>0</v>
      </c>
      <c r="AC161" s="10"/>
      <c r="AD161" s="7">
        <f>SUM(F161+H161+J161+L161+N161+P161+R161+T161+V161+X161+Z161+AB161)</f>
        <v>160000</v>
      </c>
      <c r="AE161" s="7">
        <f>E161+AD161</f>
        <v>200000</v>
      </c>
      <c r="AF161" s="8">
        <f>G161+I161+K161+M161+O161+Q161+S161+U161+W161+Y161+AA161+AC161</f>
        <v>145000</v>
      </c>
      <c r="AG161" s="153">
        <f>SUM(AE161-AF161)</f>
        <v>55000</v>
      </c>
      <c r="AH161" s="99" t="s">
        <v>232</v>
      </c>
      <c r="AI161" s="99">
        <v>4</v>
      </c>
    </row>
    <row r="162" spans="1:42" customHeight="1" ht="11.5">
      <c r="A162" s="5">
        <v>154</v>
      </c>
      <c r="B162" s="154" t="s">
        <v>233</v>
      </c>
      <c r="C162" s="4" t="s">
        <v>36</v>
      </c>
      <c r="D162" s="85" t="s">
        <v>37</v>
      </c>
      <c r="E162" s="86">
        <v>10000</v>
      </c>
      <c r="F162" s="9">
        <v>20000</v>
      </c>
      <c r="G162" s="10">
        <v>10000</v>
      </c>
      <c r="H162" s="9">
        <v>0</v>
      </c>
      <c r="I162" s="10">
        <v>20000</v>
      </c>
      <c r="J162" s="152">
        <v>10000</v>
      </c>
      <c r="K162" s="10"/>
      <c r="L162" s="152">
        <v>10000</v>
      </c>
      <c r="M162" s="10">
        <v>10000</v>
      </c>
      <c r="N162" s="152">
        <v>10000</v>
      </c>
      <c r="O162" s="10">
        <v>10000</v>
      </c>
      <c r="P162" s="152">
        <v>0</v>
      </c>
      <c r="Q162" s="10">
        <v>10000</v>
      </c>
      <c r="R162" s="9">
        <v>20000</v>
      </c>
      <c r="S162" s="10"/>
      <c r="T162" s="9">
        <v>0</v>
      </c>
      <c r="U162" s="10"/>
      <c r="V162" s="9">
        <v>0</v>
      </c>
      <c r="W162" s="10"/>
      <c r="X162" s="9">
        <v>0</v>
      </c>
      <c r="Y162" s="10"/>
      <c r="Z162" s="9">
        <v>0</v>
      </c>
      <c r="AA162" s="10"/>
      <c r="AB162" s="11">
        <v>0</v>
      </c>
      <c r="AC162" s="10"/>
      <c r="AD162" s="7">
        <f>SUM(F162+H162+J162+L162+N162+P162+R162+T162+V162+X162+Z162+AB162)</f>
        <v>70000</v>
      </c>
      <c r="AE162" s="7">
        <f>E162+AD162</f>
        <v>80000</v>
      </c>
      <c r="AF162" s="8">
        <f>G162+I162+K162+M162+O162+Q162+S162+U162+W162+Y162+AA162+AC162</f>
        <v>60000</v>
      </c>
      <c r="AG162" s="153">
        <f>SUM(AE162-AF162)</f>
        <v>20000</v>
      </c>
      <c r="AH162" s="99" t="s">
        <v>234</v>
      </c>
      <c r="AI162" s="99">
        <v>4</v>
      </c>
    </row>
    <row r="163" spans="1:42" customHeight="1" ht="11.5">
      <c r="A163" s="5">
        <v>155</v>
      </c>
      <c r="B163" s="150" t="s">
        <v>235</v>
      </c>
      <c r="C163" s="151" t="s">
        <v>36</v>
      </c>
      <c r="D163" s="85" t="s">
        <v>37</v>
      </c>
      <c r="E163" s="86">
        <v>0</v>
      </c>
      <c r="F163" s="9">
        <v>0</v>
      </c>
      <c r="G163" s="10"/>
      <c r="H163" s="9">
        <v>0</v>
      </c>
      <c r="I163" s="10"/>
      <c r="J163" s="152">
        <v>20000</v>
      </c>
      <c r="K163" s="10"/>
      <c r="L163" s="152">
        <v>0</v>
      </c>
      <c r="M163" s="10">
        <v>20000</v>
      </c>
      <c r="N163" s="152">
        <v>0</v>
      </c>
      <c r="O163" s="10"/>
      <c r="P163" s="152">
        <v>0</v>
      </c>
      <c r="Q163" s="10"/>
      <c r="R163" s="9">
        <v>0</v>
      </c>
      <c r="S163" s="10"/>
      <c r="T163" s="9">
        <v>0</v>
      </c>
      <c r="U163" s="10"/>
      <c r="V163" s="9">
        <v>0</v>
      </c>
      <c r="W163" s="10"/>
      <c r="X163" s="9">
        <v>0</v>
      </c>
      <c r="Y163" s="10"/>
      <c r="Z163" s="9">
        <v>0</v>
      </c>
      <c r="AA163" s="10"/>
      <c r="AB163" s="11">
        <v>0</v>
      </c>
      <c r="AC163" s="10"/>
      <c r="AD163" s="7">
        <f>SUM(F163+H163+J163+L163+N163+P163+R163+T163+V163+X163+Z163+AB163)</f>
        <v>20000</v>
      </c>
      <c r="AE163" s="7">
        <f>E163+AD163</f>
        <v>20000</v>
      </c>
      <c r="AF163" s="8">
        <f>G163+I163+K163+M163+O163+Q163+S163+U163+W163+Y163+AA163+AC163</f>
        <v>20000</v>
      </c>
      <c r="AG163" s="153">
        <f>SUM(AE163-AF163)</f>
        <v>0</v>
      </c>
      <c r="AH163" s="99" t="s">
        <v>236</v>
      </c>
      <c r="AI163" s="99">
        <v>4</v>
      </c>
    </row>
    <row r="164" spans="1:42" customHeight="1" ht="11.5">
      <c r="A164" s="5">
        <v>156</v>
      </c>
      <c r="B164" s="154" t="s">
        <v>237</v>
      </c>
      <c r="C164" s="4" t="s">
        <v>36</v>
      </c>
      <c r="D164" s="85" t="s">
        <v>37</v>
      </c>
      <c r="E164" s="86">
        <v>0</v>
      </c>
      <c r="F164" s="9">
        <v>0</v>
      </c>
      <c r="G164" s="10"/>
      <c r="H164" s="9">
        <v>0</v>
      </c>
      <c r="I164" s="10"/>
      <c r="J164" s="152">
        <v>0</v>
      </c>
      <c r="K164" s="10"/>
      <c r="L164" s="152">
        <v>0</v>
      </c>
      <c r="M164" s="10"/>
      <c r="N164" s="152">
        <v>0</v>
      </c>
      <c r="O164" s="10"/>
      <c r="P164" s="152">
        <v>0</v>
      </c>
      <c r="Q164" s="10"/>
      <c r="R164" s="9">
        <v>0</v>
      </c>
      <c r="S164" s="10"/>
      <c r="T164" s="9">
        <v>0</v>
      </c>
      <c r="U164" s="10"/>
      <c r="V164" s="9">
        <v>0</v>
      </c>
      <c r="W164" s="10"/>
      <c r="X164" s="9">
        <v>0</v>
      </c>
      <c r="Y164" s="10"/>
      <c r="Z164" s="9">
        <v>0</v>
      </c>
      <c r="AA164" s="10"/>
      <c r="AB164" s="11">
        <v>0</v>
      </c>
      <c r="AC164" s="10"/>
      <c r="AD164" s="7">
        <f>SUM(F164+H164+J164+L164+N164+P164+R164+T164+V164+X164+Z164+AB164)</f>
        <v>0</v>
      </c>
      <c r="AE164" s="7">
        <f>E164+AD164</f>
        <v>0</v>
      </c>
      <c r="AF164" s="8">
        <f>G164+I164+K164+M164+O164+Q164+S164+U164+W164+Y164+AA164+AC164</f>
        <v>0</v>
      </c>
      <c r="AG164" s="153">
        <f>SUM(AE164-AF164)</f>
        <v>0</v>
      </c>
      <c r="AH164" s="99" t="s">
        <v>238</v>
      </c>
      <c r="AI164" s="99">
        <v>4</v>
      </c>
    </row>
    <row r="165" spans="1:42" customHeight="1" ht="11.5">
      <c r="A165" s="5">
        <v>157</v>
      </c>
      <c r="B165" s="150" t="s">
        <v>239</v>
      </c>
      <c r="C165" s="151" t="s">
        <v>36</v>
      </c>
      <c r="D165" s="85" t="s">
        <v>37</v>
      </c>
      <c r="E165" s="86">
        <v>0</v>
      </c>
      <c r="F165" s="9">
        <v>0</v>
      </c>
      <c r="G165" s="10"/>
      <c r="H165" s="9">
        <v>0</v>
      </c>
      <c r="I165" s="10"/>
      <c r="J165" s="152">
        <v>0</v>
      </c>
      <c r="K165" s="10"/>
      <c r="L165" s="152">
        <v>0</v>
      </c>
      <c r="M165" s="10"/>
      <c r="N165" s="152">
        <v>0</v>
      </c>
      <c r="O165" s="10"/>
      <c r="P165" s="152">
        <v>0</v>
      </c>
      <c r="Q165" s="10"/>
      <c r="R165" s="9">
        <v>0</v>
      </c>
      <c r="S165" s="10"/>
      <c r="T165" s="9">
        <v>0</v>
      </c>
      <c r="U165" s="10"/>
      <c r="V165" s="9">
        <v>0</v>
      </c>
      <c r="W165" s="10"/>
      <c r="X165" s="9">
        <v>0</v>
      </c>
      <c r="Y165" s="10"/>
      <c r="Z165" s="9">
        <v>0</v>
      </c>
      <c r="AA165" s="10"/>
      <c r="AB165" s="11">
        <v>0</v>
      </c>
      <c r="AC165" s="10"/>
      <c r="AD165" s="7">
        <f>SUM(F165+H165+J165+L165+N165+P165+R165+T165+V165+X165+Z165+AB165)</f>
        <v>0</v>
      </c>
      <c r="AE165" s="7">
        <f>E165+AD165</f>
        <v>0</v>
      </c>
      <c r="AF165" s="8">
        <f>G165+I165+K165+M165+O165+Q165+S165+U165+W165+Y165+AA165+AC165</f>
        <v>0</v>
      </c>
      <c r="AG165" s="153">
        <f>SUM(AE165-AF165)</f>
        <v>0</v>
      </c>
      <c r="AH165" s="99" t="s">
        <v>240</v>
      </c>
      <c r="AI165" s="99">
        <v>4</v>
      </c>
    </row>
    <row r="166" spans="1:42" customHeight="1" ht="11.5">
      <c r="A166" s="5">
        <v>158</v>
      </c>
      <c r="B166" s="150" t="s">
        <v>241</v>
      </c>
      <c r="C166" s="151" t="s">
        <v>36</v>
      </c>
      <c r="D166" s="85" t="s">
        <v>37</v>
      </c>
      <c r="E166" s="86">
        <v>5000</v>
      </c>
      <c r="F166" s="9">
        <v>0</v>
      </c>
      <c r="G166" s="10">
        <v>5000</v>
      </c>
      <c r="H166" s="9">
        <v>5000</v>
      </c>
      <c r="I166" s="10"/>
      <c r="J166" s="152">
        <v>0</v>
      </c>
      <c r="K166" s="10">
        <v>5000</v>
      </c>
      <c r="L166" s="152">
        <v>5000</v>
      </c>
      <c r="M166" s="10"/>
      <c r="N166" s="152">
        <v>0</v>
      </c>
      <c r="O166" s="10">
        <v>5000</v>
      </c>
      <c r="P166" s="152">
        <v>5000</v>
      </c>
      <c r="Q166" s="10"/>
      <c r="R166" s="9">
        <v>5000</v>
      </c>
      <c r="S166" s="10"/>
      <c r="T166" s="9">
        <v>0</v>
      </c>
      <c r="U166" s="10"/>
      <c r="V166" s="9">
        <v>0</v>
      </c>
      <c r="W166" s="10"/>
      <c r="X166" s="9">
        <v>0</v>
      </c>
      <c r="Y166" s="10"/>
      <c r="Z166" s="9">
        <v>0</v>
      </c>
      <c r="AA166" s="10"/>
      <c r="AB166" s="11">
        <v>0</v>
      </c>
      <c r="AC166" s="10"/>
      <c r="AD166" s="7">
        <f>SUM(F166+H166+J166+L166+N166+P166+R166+T166+V166+X166+Z166+AB166)</f>
        <v>20000</v>
      </c>
      <c r="AE166" s="7">
        <f>E166+AD166</f>
        <v>25000</v>
      </c>
      <c r="AF166" s="8">
        <f>G166+I166+K166+M166+O166+Q166+S166+U166+W166+Y166+AA166+AC166</f>
        <v>15000</v>
      </c>
      <c r="AG166" s="153">
        <f>SUM(AE166-AF166)</f>
        <v>10000</v>
      </c>
      <c r="AH166" s="99" t="s">
        <v>242</v>
      </c>
      <c r="AI166" s="99">
        <v>4</v>
      </c>
    </row>
    <row r="167" spans="1:42" customHeight="1" ht="11.5">
      <c r="A167" s="5">
        <v>159</v>
      </c>
      <c r="B167" s="150" t="s">
        <v>243</v>
      </c>
      <c r="C167" s="151" t="s">
        <v>36</v>
      </c>
      <c r="D167" s="85" t="s">
        <v>37</v>
      </c>
      <c r="E167" s="86">
        <v>5000</v>
      </c>
      <c r="F167" s="9">
        <v>5000</v>
      </c>
      <c r="G167" s="10">
        <v>5000</v>
      </c>
      <c r="H167" s="9">
        <v>5000</v>
      </c>
      <c r="I167" s="10">
        <v>5000</v>
      </c>
      <c r="J167" s="152">
        <v>5000</v>
      </c>
      <c r="K167" s="10">
        <v>5000</v>
      </c>
      <c r="L167" s="152">
        <v>5000</v>
      </c>
      <c r="M167" s="10">
        <v>5000</v>
      </c>
      <c r="N167" s="152">
        <v>0</v>
      </c>
      <c r="O167" s="10">
        <v>5000</v>
      </c>
      <c r="P167" s="152">
        <v>10000</v>
      </c>
      <c r="Q167" s="10"/>
      <c r="R167" s="9">
        <v>5000</v>
      </c>
      <c r="S167" s="10"/>
      <c r="T167" s="9">
        <v>0</v>
      </c>
      <c r="U167" s="10"/>
      <c r="V167" s="9">
        <v>0</v>
      </c>
      <c r="W167" s="10"/>
      <c r="X167" s="9">
        <v>0</v>
      </c>
      <c r="Y167" s="10"/>
      <c r="Z167" s="9">
        <v>0</v>
      </c>
      <c r="AA167" s="10"/>
      <c r="AB167" s="11">
        <v>0</v>
      </c>
      <c r="AC167" s="10"/>
      <c r="AD167" s="7">
        <f>SUM(F167+H167+J167+L167+N167+P167+R167+T167+V167+X167+Z167+AB167)</f>
        <v>35000</v>
      </c>
      <c r="AE167" s="7">
        <f>E167+AD167</f>
        <v>40000</v>
      </c>
      <c r="AF167" s="8">
        <f>G167+I167+K167+M167+O167+Q167+S167+U167+W167+Y167+AA167+AC167</f>
        <v>25000</v>
      </c>
      <c r="AG167" s="153">
        <f>SUM(AE167-AF167)</f>
        <v>15000</v>
      </c>
      <c r="AH167" s="99" t="s">
        <v>244</v>
      </c>
      <c r="AI167" s="99">
        <v>4</v>
      </c>
    </row>
    <row r="168" spans="1:42" customHeight="1" ht="11.5">
      <c r="A168" s="5">
        <v>160</v>
      </c>
      <c r="B168" s="150" t="s">
        <v>245</v>
      </c>
      <c r="C168" s="151" t="s">
        <v>36</v>
      </c>
      <c r="D168" s="85" t="s">
        <v>37</v>
      </c>
      <c r="E168" s="86">
        <v>5000</v>
      </c>
      <c r="F168" s="9">
        <v>5000</v>
      </c>
      <c r="G168" s="10">
        <v>5000</v>
      </c>
      <c r="H168" s="9">
        <v>0</v>
      </c>
      <c r="I168" s="10">
        <v>5000</v>
      </c>
      <c r="J168" s="152">
        <v>5000</v>
      </c>
      <c r="K168" s="10"/>
      <c r="L168" s="152">
        <v>0</v>
      </c>
      <c r="M168" s="10">
        <v>5000</v>
      </c>
      <c r="N168" s="152">
        <v>10000</v>
      </c>
      <c r="O168" s="10"/>
      <c r="P168" s="152">
        <v>0</v>
      </c>
      <c r="Q168" s="10">
        <v>10000</v>
      </c>
      <c r="R168" s="9">
        <v>5000</v>
      </c>
      <c r="S168" s="10"/>
      <c r="T168" s="9">
        <v>0</v>
      </c>
      <c r="U168" s="10"/>
      <c r="V168" s="9">
        <v>0</v>
      </c>
      <c r="W168" s="10"/>
      <c r="X168" s="9">
        <v>0</v>
      </c>
      <c r="Y168" s="10"/>
      <c r="Z168" s="9">
        <v>0</v>
      </c>
      <c r="AA168" s="10"/>
      <c r="AB168" s="11">
        <v>0</v>
      </c>
      <c r="AC168" s="10"/>
      <c r="AD168" s="7">
        <f>SUM(F168+H168+J168+L168+N168+P168+R168+T168+V168+X168+Z168+AB168)</f>
        <v>25000</v>
      </c>
      <c r="AE168" s="7">
        <f>E168+AD168</f>
        <v>30000</v>
      </c>
      <c r="AF168" s="8">
        <f>G168+I168+K168+M168+O168+Q168+S168+U168+W168+Y168+AA168+AC168</f>
        <v>25000</v>
      </c>
      <c r="AG168" s="153">
        <f>SUM(AE168-AF168)</f>
        <v>5000</v>
      </c>
      <c r="AH168" s="99" t="s">
        <v>246</v>
      </c>
      <c r="AI168" s="99">
        <v>4</v>
      </c>
    </row>
    <row r="169" spans="1:42" customHeight="1" ht="11.5">
      <c r="A169" s="5">
        <v>161</v>
      </c>
      <c r="B169" s="150" t="s">
        <v>247</v>
      </c>
      <c r="C169" s="151" t="s">
        <v>36</v>
      </c>
      <c r="D169" s="85" t="s">
        <v>37</v>
      </c>
      <c r="E169" s="86">
        <v>10000</v>
      </c>
      <c r="F169" s="9">
        <v>5000</v>
      </c>
      <c r="G169" s="10">
        <v>10000</v>
      </c>
      <c r="H169" s="9">
        <v>5000</v>
      </c>
      <c r="I169" s="10">
        <v>5000</v>
      </c>
      <c r="J169" s="152">
        <v>5000</v>
      </c>
      <c r="K169" s="10">
        <v>5000</v>
      </c>
      <c r="L169" s="152">
        <v>5000</v>
      </c>
      <c r="M169" s="10">
        <v>5000</v>
      </c>
      <c r="N169" s="152">
        <v>0</v>
      </c>
      <c r="O169" s="10">
        <v>5000</v>
      </c>
      <c r="P169" s="152">
        <v>5000</v>
      </c>
      <c r="Q169" s="10"/>
      <c r="R169" s="9">
        <v>10000</v>
      </c>
      <c r="S169" s="10"/>
      <c r="T169" s="9">
        <v>0</v>
      </c>
      <c r="U169" s="10"/>
      <c r="V169" s="9">
        <v>0</v>
      </c>
      <c r="W169" s="10"/>
      <c r="X169" s="9">
        <v>0</v>
      </c>
      <c r="Y169" s="10"/>
      <c r="Z169" s="9">
        <v>0</v>
      </c>
      <c r="AA169" s="10"/>
      <c r="AB169" s="11">
        <v>0</v>
      </c>
      <c r="AC169" s="10"/>
      <c r="AD169" s="7">
        <f>SUM(F169+H169+J169+L169+N169+P169+R169+T169+V169+X169+Z169+AB169)</f>
        <v>35000</v>
      </c>
      <c r="AE169" s="7">
        <f>E169+AD169</f>
        <v>45000</v>
      </c>
      <c r="AF169" s="8">
        <f>G169+I169+K169+M169+O169+Q169+S169+U169+W169+Y169+AA169+AC169</f>
        <v>30000</v>
      </c>
      <c r="AG169" s="153">
        <f>SUM(AE169-AF169)</f>
        <v>15000</v>
      </c>
      <c r="AH169" s="99" t="s">
        <v>248</v>
      </c>
      <c r="AI169" s="99">
        <v>4</v>
      </c>
    </row>
    <row r="170" spans="1:42" customHeight="1" ht="11.5">
      <c r="A170" s="5">
        <v>162</v>
      </c>
      <c r="B170" s="163" t="s">
        <v>249</v>
      </c>
      <c r="C170" s="151" t="s">
        <v>36</v>
      </c>
      <c r="D170" s="85" t="s">
        <v>37</v>
      </c>
      <c r="E170" s="86">
        <v>50214</v>
      </c>
      <c r="F170" s="9">
        <v>50000</v>
      </c>
      <c r="G170" s="10">
        <v>50214</v>
      </c>
      <c r="H170" s="9">
        <v>50000</v>
      </c>
      <c r="I170" s="10">
        <v>50000</v>
      </c>
      <c r="J170" s="152">
        <v>60000</v>
      </c>
      <c r="K170" s="10">
        <v>50000</v>
      </c>
      <c r="L170" s="152">
        <v>50000</v>
      </c>
      <c r="M170" s="10">
        <v>60000</v>
      </c>
      <c r="N170" s="152">
        <v>60000</v>
      </c>
      <c r="O170" s="10">
        <v>50000</v>
      </c>
      <c r="P170" s="152">
        <v>60000</v>
      </c>
      <c r="Q170" s="10">
        <v>60000</v>
      </c>
      <c r="R170" s="9">
        <v>50000</v>
      </c>
      <c r="S170" s="10"/>
      <c r="T170" s="9">
        <v>0</v>
      </c>
      <c r="U170" s="10"/>
      <c r="V170" s="9">
        <v>0</v>
      </c>
      <c r="W170" s="10"/>
      <c r="X170" s="9">
        <v>0</v>
      </c>
      <c r="Y170" s="10"/>
      <c r="Z170" s="9">
        <v>0</v>
      </c>
      <c r="AA170" s="10"/>
      <c r="AB170" s="11">
        <v>0</v>
      </c>
      <c r="AC170" s="10"/>
      <c r="AD170" s="7">
        <f>SUM(F170+H170+J170+L170+N170+P170+R170+T170+V170+X170+Z170+AB170)</f>
        <v>380000</v>
      </c>
      <c r="AE170" s="7">
        <f>E170+AD170</f>
        <v>430214</v>
      </c>
      <c r="AF170" s="8">
        <f>G170+I170+K170+M170+O170+Q170+S170+U170+W170+Y170+AA170+AC170</f>
        <v>320214</v>
      </c>
      <c r="AG170" s="153">
        <f>SUM(AE170-AF170)</f>
        <v>110000</v>
      </c>
      <c r="AH170" s="99" t="s">
        <v>250</v>
      </c>
      <c r="AI170" s="99">
        <v>4</v>
      </c>
    </row>
    <row r="171" spans="1:42" customHeight="1" ht="11.5">
      <c r="A171" s="5">
        <v>163</v>
      </c>
      <c r="B171" s="163" t="s">
        <v>251</v>
      </c>
      <c r="C171" s="151" t="s">
        <v>36</v>
      </c>
      <c r="D171" s="85" t="s">
        <v>37</v>
      </c>
      <c r="E171" s="86">
        <v>5000</v>
      </c>
      <c r="F171" s="9">
        <v>0</v>
      </c>
      <c r="G171" s="10">
        <v>5000</v>
      </c>
      <c r="H171" s="9">
        <v>0</v>
      </c>
      <c r="I171" s="10"/>
      <c r="J171" s="152">
        <v>5000</v>
      </c>
      <c r="K171" s="10"/>
      <c r="L171" s="152">
        <v>0</v>
      </c>
      <c r="M171" s="10">
        <v>5000</v>
      </c>
      <c r="N171" s="152">
        <v>5000</v>
      </c>
      <c r="O171" s="10"/>
      <c r="P171" s="152">
        <v>0</v>
      </c>
      <c r="Q171" s="10">
        <v>5000</v>
      </c>
      <c r="R171" s="9">
        <v>5000</v>
      </c>
      <c r="S171" s="10"/>
      <c r="T171" s="9">
        <v>0</v>
      </c>
      <c r="U171" s="10"/>
      <c r="V171" s="9">
        <v>0</v>
      </c>
      <c r="W171" s="10"/>
      <c r="X171" s="9">
        <v>0</v>
      </c>
      <c r="Y171" s="10"/>
      <c r="Z171" s="9">
        <v>0</v>
      </c>
      <c r="AA171" s="10"/>
      <c r="AB171" s="11">
        <v>0</v>
      </c>
      <c r="AC171" s="10"/>
      <c r="AD171" s="7">
        <f>SUM(F171+H171+J171+L171+N171+P171+R171+T171+V171+X171+Z171+AB171)</f>
        <v>15000</v>
      </c>
      <c r="AE171" s="7">
        <f>E171+AD171</f>
        <v>20000</v>
      </c>
      <c r="AF171" s="8">
        <f>G171+I171+K171+M171+O171+Q171+S171+U171+W171+Y171+AA171+AC171</f>
        <v>15000</v>
      </c>
      <c r="AG171" s="153">
        <f>SUM(AE171-AF171)</f>
        <v>5000</v>
      </c>
      <c r="AH171" s="99" t="s">
        <v>252</v>
      </c>
      <c r="AI171" s="99">
        <v>4</v>
      </c>
    </row>
    <row r="172" spans="1:42" customHeight="1" ht="11.5">
      <c r="A172" s="5">
        <v>164</v>
      </c>
      <c r="B172" s="163" t="s">
        <v>253</v>
      </c>
      <c r="C172" s="151" t="s">
        <v>36</v>
      </c>
      <c r="D172" s="85" t="s">
        <v>37</v>
      </c>
      <c r="E172" s="86">
        <v>0</v>
      </c>
      <c r="F172" s="9">
        <v>0</v>
      </c>
      <c r="G172" s="10"/>
      <c r="H172" s="9">
        <v>0</v>
      </c>
      <c r="I172" s="10"/>
      <c r="J172" s="152">
        <v>0</v>
      </c>
      <c r="K172" s="10"/>
      <c r="L172" s="152">
        <v>0</v>
      </c>
      <c r="M172" s="10"/>
      <c r="N172" s="152">
        <v>10000</v>
      </c>
      <c r="O172" s="10"/>
      <c r="P172" s="152">
        <v>0</v>
      </c>
      <c r="Q172" s="10">
        <v>10000</v>
      </c>
      <c r="R172" s="9">
        <v>0</v>
      </c>
      <c r="S172" s="10"/>
      <c r="T172" s="9">
        <v>0</v>
      </c>
      <c r="U172" s="10"/>
      <c r="V172" s="9">
        <v>0</v>
      </c>
      <c r="W172" s="10"/>
      <c r="X172" s="9">
        <v>0</v>
      </c>
      <c r="Y172" s="10"/>
      <c r="Z172" s="9">
        <v>0</v>
      </c>
      <c r="AA172" s="10"/>
      <c r="AB172" s="11">
        <v>0</v>
      </c>
      <c r="AC172" s="10"/>
      <c r="AD172" s="7">
        <f>SUM(F172+H172+J172+L172+N172+P172+R172+T172+V172+X172+Z172+AB172)</f>
        <v>10000</v>
      </c>
      <c r="AE172" s="7">
        <f>E172+AD172</f>
        <v>10000</v>
      </c>
      <c r="AF172" s="8">
        <f>G172+I172+K172+M172+O172+Q172+S172+U172+W172+Y172+AA172+AC172</f>
        <v>10000</v>
      </c>
      <c r="AG172" s="153">
        <f>SUM(AE172-AF172)</f>
        <v>0</v>
      </c>
      <c r="AH172" s="99" t="s">
        <v>254</v>
      </c>
      <c r="AI172" s="99">
        <v>4</v>
      </c>
    </row>
    <row r="173" spans="1:42" customHeight="1" ht="11.5">
      <c r="A173" s="5">
        <v>165</v>
      </c>
      <c r="B173" s="163" t="s">
        <v>255</v>
      </c>
      <c r="C173" s="151" t="s">
        <v>36</v>
      </c>
      <c r="D173" s="85" t="s">
        <v>37</v>
      </c>
      <c r="E173" s="86">
        <v>0</v>
      </c>
      <c r="F173" s="9">
        <v>0</v>
      </c>
      <c r="G173" s="10"/>
      <c r="H173" s="9">
        <v>0</v>
      </c>
      <c r="I173" s="10"/>
      <c r="J173" s="152">
        <v>0</v>
      </c>
      <c r="K173" s="10"/>
      <c r="L173" s="152">
        <v>5000</v>
      </c>
      <c r="M173" s="10"/>
      <c r="N173" s="152">
        <v>0</v>
      </c>
      <c r="O173" s="10">
        <v>5000</v>
      </c>
      <c r="P173" s="152">
        <v>0</v>
      </c>
      <c r="Q173" s="10"/>
      <c r="R173" s="9">
        <v>0</v>
      </c>
      <c r="S173" s="10"/>
      <c r="T173" s="9">
        <v>0</v>
      </c>
      <c r="U173" s="10"/>
      <c r="V173" s="9">
        <v>0</v>
      </c>
      <c r="W173" s="10"/>
      <c r="X173" s="9">
        <v>0</v>
      </c>
      <c r="Y173" s="10"/>
      <c r="Z173" s="9">
        <v>0</v>
      </c>
      <c r="AA173" s="10"/>
      <c r="AB173" s="11">
        <v>0</v>
      </c>
      <c r="AC173" s="10"/>
      <c r="AD173" s="7">
        <f>SUM(F173+H173+J173+L173+N173+P173+R173+T173+V173+X173+Z173+AB173)</f>
        <v>5000</v>
      </c>
      <c r="AE173" s="7">
        <f>E173+AD173</f>
        <v>5000</v>
      </c>
      <c r="AF173" s="8">
        <f>G173+I173+K173+M173+O173+Q173+S173+U173+W173+Y173+AA173+AC173</f>
        <v>5000</v>
      </c>
      <c r="AG173" s="153">
        <f>SUM(AE173-AF173)</f>
        <v>0</v>
      </c>
      <c r="AH173" s="99" t="s">
        <v>256</v>
      </c>
      <c r="AI173" s="99">
        <v>4</v>
      </c>
    </row>
    <row r="174" spans="1:42" customHeight="1" ht="11.5">
      <c r="A174" s="5">
        <v>166</v>
      </c>
      <c r="B174" s="163" t="s">
        <v>257</v>
      </c>
      <c r="C174" s="151" t="s">
        <v>36</v>
      </c>
      <c r="D174" s="85" t="s">
        <v>37</v>
      </c>
      <c r="E174" s="86">
        <v>10000</v>
      </c>
      <c r="F174" s="9">
        <v>0</v>
      </c>
      <c r="G174" s="10">
        <v>10000</v>
      </c>
      <c r="H174" s="9">
        <v>0</v>
      </c>
      <c r="I174" s="10"/>
      <c r="J174" s="152">
        <v>1000</v>
      </c>
      <c r="K174" s="10"/>
      <c r="L174" s="152">
        <v>0</v>
      </c>
      <c r="M174" s="10">
        <v>1000</v>
      </c>
      <c r="N174" s="152">
        <v>0</v>
      </c>
      <c r="O174" s="10"/>
      <c r="P174" s="152">
        <v>0</v>
      </c>
      <c r="Q174" s="10"/>
      <c r="R174" s="9">
        <v>0</v>
      </c>
      <c r="S174" s="10"/>
      <c r="T174" s="9">
        <v>0</v>
      </c>
      <c r="U174" s="10"/>
      <c r="V174" s="9">
        <v>0</v>
      </c>
      <c r="W174" s="10"/>
      <c r="X174" s="9">
        <v>0</v>
      </c>
      <c r="Y174" s="10"/>
      <c r="Z174" s="9">
        <v>0</v>
      </c>
      <c r="AA174" s="10"/>
      <c r="AB174" s="11">
        <v>0</v>
      </c>
      <c r="AC174" s="10"/>
      <c r="AD174" s="7">
        <f>SUM(F174+H174+J174+L174+N174+P174+R174+T174+V174+X174+Z174+AB174)</f>
        <v>1000</v>
      </c>
      <c r="AE174" s="7">
        <f>E174+AD174</f>
        <v>11000</v>
      </c>
      <c r="AF174" s="8">
        <f>G174+I174+K174+M174+O174+Q174+S174+U174+W174+Y174+AA174+AC174</f>
        <v>11000</v>
      </c>
      <c r="AG174" s="153">
        <f>SUM(AE174-AF174)</f>
        <v>0</v>
      </c>
      <c r="AH174" s="99" t="s">
        <v>258</v>
      </c>
      <c r="AI174" s="99">
        <v>4</v>
      </c>
    </row>
    <row r="175" spans="1:42" customHeight="1" ht="11.5">
      <c r="A175" s="5">
        <v>167</v>
      </c>
      <c r="B175" s="163" t="s">
        <v>259</v>
      </c>
      <c r="C175" s="151" t="s">
        <v>36</v>
      </c>
      <c r="D175" s="85" t="s">
        <v>37</v>
      </c>
      <c r="E175" s="86">
        <v>8000</v>
      </c>
      <c r="F175" s="9">
        <v>0</v>
      </c>
      <c r="G175" s="10">
        <v>8000</v>
      </c>
      <c r="H175" s="9">
        <v>0</v>
      </c>
      <c r="I175" s="10"/>
      <c r="J175" s="152">
        <v>0</v>
      </c>
      <c r="K175" s="10"/>
      <c r="L175" s="152">
        <v>8000</v>
      </c>
      <c r="M175" s="10"/>
      <c r="N175" s="152">
        <v>0</v>
      </c>
      <c r="O175" s="10">
        <v>8000</v>
      </c>
      <c r="P175" s="152">
        <v>0</v>
      </c>
      <c r="Q175" s="10"/>
      <c r="R175" s="9">
        <v>8000</v>
      </c>
      <c r="S175" s="10"/>
      <c r="T175" s="9">
        <v>0</v>
      </c>
      <c r="U175" s="10"/>
      <c r="V175" s="9">
        <v>0</v>
      </c>
      <c r="W175" s="10"/>
      <c r="X175" s="9">
        <v>0</v>
      </c>
      <c r="Y175" s="10"/>
      <c r="Z175" s="9">
        <v>0</v>
      </c>
      <c r="AA175" s="10"/>
      <c r="AB175" s="11">
        <v>0</v>
      </c>
      <c r="AC175" s="10"/>
      <c r="AD175" s="7">
        <f>SUM(F175+H175+J175+L175+N175+P175+R175+T175+V175+X175+Z175+AB175)</f>
        <v>16000</v>
      </c>
      <c r="AE175" s="7">
        <f>E175+AD175</f>
        <v>24000</v>
      </c>
      <c r="AF175" s="8">
        <f>G175+I175+K175+M175+O175+Q175+S175+U175+W175+Y175+AA175+AC175</f>
        <v>16000</v>
      </c>
      <c r="AG175" s="153">
        <f>SUM(AE175-AF175)</f>
        <v>8000</v>
      </c>
      <c r="AH175" s="99" t="s">
        <v>260</v>
      </c>
      <c r="AI175" s="99">
        <v>4</v>
      </c>
    </row>
    <row r="176" spans="1:42" customHeight="1" ht="11.5">
      <c r="A176" s="5">
        <v>168</v>
      </c>
      <c r="B176" s="163" t="s">
        <v>261</v>
      </c>
      <c r="C176" s="151" t="s">
        <v>36</v>
      </c>
      <c r="D176" s="85" t="s">
        <v>37</v>
      </c>
      <c r="E176" s="86">
        <v>5000</v>
      </c>
      <c r="F176" s="9">
        <v>5000</v>
      </c>
      <c r="G176" s="10">
        <v>5000</v>
      </c>
      <c r="H176" s="9">
        <v>0</v>
      </c>
      <c r="I176" s="10">
        <v>5000</v>
      </c>
      <c r="J176" s="152">
        <v>5000</v>
      </c>
      <c r="K176" s="10"/>
      <c r="L176" s="152">
        <v>5000</v>
      </c>
      <c r="M176" s="10">
        <v>5000</v>
      </c>
      <c r="N176" s="152">
        <v>5000</v>
      </c>
      <c r="O176" s="10">
        <v>5000</v>
      </c>
      <c r="P176" s="152">
        <v>5000</v>
      </c>
      <c r="Q176" s="10">
        <v>5000</v>
      </c>
      <c r="R176" s="9">
        <v>4960</v>
      </c>
      <c r="S176" s="10"/>
      <c r="T176" s="9">
        <v>0</v>
      </c>
      <c r="U176" s="10"/>
      <c r="V176" s="9">
        <v>0</v>
      </c>
      <c r="W176" s="10"/>
      <c r="X176" s="9">
        <v>0</v>
      </c>
      <c r="Y176" s="10"/>
      <c r="Z176" s="9">
        <v>0</v>
      </c>
      <c r="AA176" s="10"/>
      <c r="AB176" s="11">
        <v>0</v>
      </c>
      <c r="AC176" s="10"/>
      <c r="AD176" s="7">
        <f>SUM(F176+H176+J176+L176+N176+P176+R176+T176+V176+X176+Z176+AB176)</f>
        <v>29960</v>
      </c>
      <c r="AE176" s="7">
        <f>E176+AD176</f>
        <v>34960</v>
      </c>
      <c r="AF176" s="8">
        <f>G176+I176+K176+M176+O176+Q176+S176+U176+W176+Y176+AA176+AC176</f>
        <v>25000</v>
      </c>
      <c r="AG176" s="153">
        <f>SUM(AE176-AF176)</f>
        <v>9960</v>
      </c>
      <c r="AH176" s="99" t="s">
        <v>262</v>
      </c>
      <c r="AI176" s="99">
        <v>4</v>
      </c>
    </row>
    <row r="177" spans="1:42" customHeight="1" ht="11.5">
      <c r="A177" s="5">
        <v>169</v>
      </c>
      <c r="B177" s="163" t="s">
        <v>263</v>
      </c>
      <c r="C177" s="151" t="s">
        <v>36</v>
      </c>
      <c r="D177" s="85" t="s">
        <v>37</v>
      </c>
      <c r="E177" s="86">
        <v>10000</v>
      </c>
      <c r="F177" s="9">
        <v>5000</v>
      </c>
      <c r="G177" s="10">
        <v>10000</v>
      </c>
      <c r="H177" s="9">
        <v>5000</v>
      </c>
      <c r="I177" s="10">
        <v>5000</v>
      </c>
      <c r="J177" s="152">
        <v>5000</v>
      </c>
      <c r="K177" s="10">
        <v>5000</v>
      </c>
      <c r="L177" s="152">
        <v>10000</v>
      </c>
      <c r="M177" s="10">
        <v>5000</v>
      </c>
      <c r="N177" s="152">
        <v>10000</v>
      </c>
      <c r="O177" s="10">
        <v>10000</v>
      </c>
      <c r="P177" s="152">
        <v>10000</v>
      </c>
      <c r="Q177" s="10">
        <v>10000</v>
      </c>
      <c r="R177" s="9">
        <v>15000</v>
      </c>
      <c r="S177" s="10"/>
      <c r="T177" s="9">
        <v>0</v>
      </c>
      <c r="U177" s="10"/>
      <c r="V177" s="9">
        <v>0</v>
      </c>
      <c r="W177" s="10"/>
      <c r="X177" s="9">
        <v>0</v>
      </c>
      <c r="Y177" s="10"/>
      <c r="Z177" s="9">
        <v>0</v>
      </c>
      <c r="AA177" s="10"/>
      <c r="AB177" s="11">
        <v>0</v>
      </c>
      <c r="AC177" s="10"/>
      <c r="AD177" s="7">
        <f>SUM(F177+H177+J177+L177+N177+P177+R177+T177+V177+X177+Z177+AB177)</f>
        <v>60000</v>
      </c>
      <c r="AE177" s="7">
        <f>E177+AD177</f>
        <v>70000</v>
      </c>
      <c r="AF177" s="8">
        <f>G177+I177+K177+M177+O177+Q177+S177+U177+W177+Y177+AA177+AC177</f>
        <v>45000</v>
      </c>
      <c r="AG177" s="153">
        <f>SUM(AE177-AF177)</f>
        <v>25000</v>
      </c>
      <c r="AH177" s="99" t="s">
        <v>264</v>
      </c>
      <c r="AI177" s="99">
        <v>4</v>
      </c>
    </row>
    <row r="178" spans="1:42" customHeight="1" ht="11.5">
      <c r="A178" s="5">
        <v>170</v>
      </c>
      <c r="B178" s="163" t="s">
        <v>265</v>
      </c>
      <c r="C178" s="151" t="s">
        <v>36</v>
      </c>
      <c r="D178" s="85" t="s">
        <v>37</v>
      </c>
      <c r="E178" s="86">
        <v>5000</v>
      </c>
      <c r="F178" s="9">
        <v>5000</v>
      </c>
      <c r="G178" s="10">
        <v>5000</v>
      </c>
      <c r="H178" s="9">
        <v>5000</v>
      </c>
      <c r="I178" s="10">
        <v>5000</v>
      </c>
      <c r="J178" s="152">
        <v>5000</v>
      </c>
      <c r="K178" s="10">
        <v>5000</v>
      </c>
      <c r="L178" s="152">
        <v>5000</v>
      </c>
      <c r="M178" s="10">
        <v>5000</v>
      </c>
      <c r="N178" s="152">
        <v>0</v>
      </c>
      <c r="O178" s="10">
        <v>5000</v>
      </c>
      <c r="P178" s="152">
        <v>10000</v>
      </c>
      <c r="Q178" s="10"/>
      <c r="R178" s="9">
        <v>5000</v>
      </c>
      <c r="S178" s="10"/>
      <c r="T178" s="9">
        <v>0</v>
      </c>
      <c r="U178" s="10"/>
      <c r="V178" s="9">
        <v>0</v>
      </c>
      <c r="W178" s="10"/>
      <c r="X178" s="9">
        <v>0</v>
      </c>
      <c r="Y178" s="10"/>
      <c r="Z178" s="9">
        <v>0</v>
      </c>
      <c r="AA178" s="10"/>
      <c r="AB178" s="11">
        <v>0</v>
      </c>
      <c r="AC178" s="10"/>
      <c r="AD178" s="7">
        <f>SUM(F178+H178+J178+L178+N178+P178+R178+T178+V178+X178+Z178+AB178)</f>
        <v>35000</v>
      </c>
      <c r="AE178" s="7">
        <f>E178+AD178</f>
        <v>40000</v>
      </c>
      <c r="AF178" s="8">
        <f>G178+I178+K178+M178+O178+Q178+S178+U178+W178+Y178+AA178+AC178</f>
        <v>25000</v>
      </c>
      <c r="AG178" s="153">
        <f>SUM(AE178-AF178)</f>
        <v>15000</v>
      </c>
      <c r="AH178" s="99" t="s">
        <v>266</v>
      </c>
      <c r="AI178" s="99">
        <v>4</v>
      </c>
    </row>
    <row r="179" spans="1:42" customHeight="1" ht="11.5">
      <c r="A179" s="5">
        <v>171</v>
      </c>
      <c r="B179" s="163" t="s">
        <v>267</v>
      </c>
      <c r="C179" s="151" t="s">
        <v>36</v>
      </c>
      <c r="D179" s="85" t="s">
        <v>37</v>
      </c>
      <c r="E179" s="86">
        <v>10000</v>
      </c>
      <c r="F179" s="9">
        <v>5000</v>
      </c>
      <c r="G179" s="10">
        <v>10000</v>
      </c>
      <c r="H179" s="9">
        <v>5000</v>
      </c>
      <c r="I179" s="10">
        <v>5000</v>
      </c>
      <c r="J179" s="152">
        <v>5000</v>
      </c>
      <c r="K179" s="10">
        <v>5000</v>
      </c>
      <c r="L179" s="152">
        <v>5000</v>
      </c>
      <c r="M179" s="10">
        <v>5000</v>
      </c>
      <c r="N179" s="152">
        <v>5000</v>
      </c>
      <c r="O179" s="10">
        <v>5000</v>
      </c>
      <c r="P179" s="152">
        <v>5000</v>
      </c>
      <c r="Q179" s="10">
        <v>5000</v>
      </c>
      <c r="R179" s="9">
        <v>5000</v>
      </c>
      <c r="S179" s="10"/>
      <c r="T179" s="9">
        <v>0</v>
      </c>
      <c r="U179" s="10"/>
      <c r="V179" s="9">
        <v>0</v>
      </c>
      <c r="W179" s="10"/>
      <c r="X179" s="9">
        <v>0</v>
      </c>
      <c r="Y179" s="10"/>
      <c r="Z179" s="9">
        <v>0</v>
      </c>
      <c r="AA179" s="10"/>
      <c r="AB179" s="11">
        <v>0</v>
      </c>
      <c r="AC179" s="10"/>
      <c r="AD179" s="7">
        <f>SUM(F179+H179+J179+L179+N179+P179+R179+T179+V179+X179+Z179+AB179)</f>
        <v>35000</v>
      </c>
      <c r="AE179" s="7">
        <f>E179+AD179</f>
        <v>45000</v>
      </c>
      <c r="AF179" s="8">
        <f>G179+I179+K179+M179+O179+Q179+S179+U179+W179+Y179+AA179+AC179</f>
        <v>35000</v>
      </c>
      <c r="AG179" s="153">
        <f>SUM(AE179-AF179)</f>
        <v>10000</v>
      </c>
      <c r="AH179" s="99" t="s">
        <v>268</v>
      </c>
      <c r="AI179" s="99">
        <v>4</v>
      </c>
    </row>
    <row r="180" spans="1:42" customHeight="1" ht="11.5">
      <c r="A180" s="5">
        <v>172</v>
      </c>
      <c r="B180" s="163" t="s">
        <v>269</v>
      </c>
      <c r="C180" s="151" t="s">
        <v>36</v>
      </c>
      <c r="D180" s="85" t="s">
        <v>37</v>
      </c>
      <c r="E180" s="86">
        <v>5000</v>
      </c>
      <c r="F180" s="9">
        <v>5000</v>
      </c>
      <c r="G180" s="10">
        <v>5000</v>
      </c>
      <c r="H180" s="9">
        <v>0</v>
      </c>
      <c r="I180" s="10">
        <v>5000</v>
      </c>
      <c r="J180" s="152">
        <v>1000</v>
      </c>
      <c r="K180" s="10"/>
      <c r="L180" s="152">
        <v>0</v>
      </c>
      <c r="M180" s="10">
        <v>1000</v>
      </c>
      <c r="N180" s="152">
        <v>5000</v>
      </c>
      <c r="O180" s="10"/>
      <c r="P180" s="152">
        <v>5000</v>
      </c>
      <c r="Q180" s="10">
        <v>5000</v>
      </c>
      <c r="R180" s="9">
        <v>5000</v>
      </c>
      <c r="S180" s="10"/>
      <c r="T180" s="9">
        <v>0</v>
      </c>
      <c r="U180" s="10"/>
      <c r="V180" s="9">
        <v>0</v>
      </c>
      <c r="W180" s="10"/>
      <c r="X180" s="9">
        <v>0</v>
      </c>
      <c r="Y180" s="10"/>
      <c r="Z180" s="9">
        <v>0</v>
      </c>
      <c r="AA180" s="10"/>
      <c r="AB180" s="11">
        <v>0</v>
      </c>
      <c r="AC180" s="10"/>
      <c r="AD180" s="7">
        <f>SUM(F180+H180+J180+L180+N180+P180+R180+T180+V180+X180+Z180+AB180)</f>
        <v>21000</v>
      </c>
      <c r="AE180" s="7">
        <f>E180+AD180</f>
        <v>26000</v>
      </c>
      <c r="AF180" s="8">
        <f>G180+I180+K180+M180+O180+Q180+S180+U180+W180+Y180+AA180+AC180</f>
        <v>16000</v>
      </c>
      <c r="AG180" s="153">
        <f>SUM(AE180-AF180)</f>
        <v>10000</v>
      </c>
      <c r="AH180" s="99" t="s">
        <v>270</v>
      </c>
      <c r="AI180" s="99">
        <v>4</v>
      </c>
    </row>
    <row r="181" spans="1:42" customHeight="1" ht="11.5">
      <c r="A181" s="5">
        <v>173</v>
      </c>
      <c r="B181" s="163" t="s">
        <v>271</v>
      </c>
      <c r="C181" s="151" t="s">
        <v>91</v>
      </c>
      <c r="D181" s="85" t="s">
        <v>92</v>
      </c>
      <c r="E181" s="86">
        <v>5000</v>
      </c>
      <c r="F181" s="9">
        <v>0</v>
      </c>
      <c r="G181" s="10">
        <v>5000</v>
      </c>
      <c r="H181" s="9">
        <v>0</v>
      </c>
      <c r="I181" s="10"/>
      <c r="J181" s="152">
        <v>0</v>
      </c>
      <c r="K181" s="10"/>
      <c r="L181" s="152">
        <v>0</v>
      </c>
      <c r="M181" s="10"/>
      <c r="N181" s="152">
        <v>5000</v>
      </c>
      <c r="O181" s="10"/>
      <c r="P181" s="152">
        <v>0</v>
      </c>
      <c r="Q181" s="10">
        <v>5000</v>
      </c>
      <c r="R181" s="9">
        <v>0</v>
      </c>
      <c r="S181" s="10"/>
      <c r="T181" s="9">
        <v>0</v>
      </c>
      <c r="U181" s="10"/>
      <c r="V181" s="9">
        <v>0</v>
      </c>
      <c r="W181" s="10"/>
      <c r="X181" s="9">
        <v>0</v>
      </c>
      <c r="Y181" s="10"/>
      <c r="Z181" s="9">
        <v>0</v>
      </c>
      <c r="AA181" s="10"/>
      <c r="AB181" s="11">
        <v>0</v>
      </c>
      <c r="AC181" s="10"/>
      <c r="AD181" s="7">
        <f>SUM(F181+H181+J181+L181+N181+P181+R181+T181+V181+X181+Z181+AB181)</f>
        <v>5000</v>
      </c>
      <c r="AE181" s="7">
        <f>E181+AD181</f>
        <v>10000</v>
      </c>
      <c r="AF181" s="8">
        <f>G181+I181+K181+M181+O181+Q181+S181+U181+W181+Y181+AA181+AC181</f>
        <v>10000</v>
      </c>
      <c r="AG181" s="153">
        <f>SUM(AE181-AF181)</f>
        <v>0</v>
      </c>
      <c r="AH181" s="99" t="s">
        <v>272</v>
      </c>
      <c r="AI181" s="99">
        <v>4</v>
      </c>
    </row>
    <row r="182" spans="1:42" customHeight="1" ht="11.5">
      <c r="A182" s="5">
        <v>174</v>
      </c>
      <c r="B182" s="163" t="s">
        <v>273</v>
      </c>
      <c r="C182" s="151" t="s">
        <v>112</v>
      </c>
      <c r="D182" s="85" t="s">
        <v>113</v>
      </c>
      <c r="E182" s="86">
        <v>10000</v>
      </c>
      <c r="F182" s="9">
        <v>5000</v>
      </c>
      <c r="G182" s="10">
        <v>10000</v>
      </c>
      <c r="H182" s="9">
        <v>0</v>
      </c>
      <c r="I182" s="10">
        <v>5000</v>
      </c>
      <c r="J182" s="152">
        <v>0</v>
      </c>
      <c r="K182" s="10"/>
      <c r="L182" s="152">
        <v>5000</v>
      </c>
      <c r="M182" s="10"/>
      <c r="N182" s="152">
        <v>0</v>
      </c>
      <c r="O182" s="10">
        <v>5000</v>
      </c>
      <c r="P182" s="152">
        <v>5000</v>
      </c>
      <c r="Q182" s="10"/>
      <c r="R182" s="9">
        <v>0</v>
      </c>
      <c r="S182" s="10"/>
      <c r="T182" s="9">
        <v>0</v>
      </c>
      <c r="U182" s="10"/>
      <c r="V182" s="9">
        <v>0</v>
      </c>
      <c r="W182" s="10"/>
      <c r="X182" s="9">
        <v>0</v>
      </c>
      <c r="Y182" s="10"/>
      <c r="Z182" s="9">
        <v>0</v>
      </c>
      <c r="AA182" s="10"/>
      <c r="AB182" s="11">
        <v>0</v>
      </c>
      <c r="AC182" s="10"/>
      <c r="AD182" s="7">
        <f>SUM(F182+H182+J182+L182+N182+P182+R182+T182+V182+X182+Z182+AB182)</f>
        <v>15000</v>
      </c>
      <c r="AE182" s="7">
        <f>E182+AD182</f>
        <v>25000</v>
      </c>
      <c r="AF182" s="8">
        <f>G182+I182+K182+M182+O182+Q182+S182+U182+W182+Y182+AA182+AC182</f>
        <v>20000</v>
      </c>
      <c r="AG182" s="153">
        <f>SUM(AE182-AF182)</f>
        <v>5000</v>
      </c>
      <c r="AH182" s="99" t="s">
        <v>274</v>
      </c>
      <c r="AI182" s="99">
        <v>4</v>
      </c>
    </row>
    <row r="183" spans="1:42" customHeight="1" ht="11.5">
      <c r="A183" s="5">
        <v>175</v>
      </c>
      <c r="B183" s="162" t="s">
        <v>275</v>
      </c>
      <c r="C183" s="4" t="s">
        <v>36</v>
      </c>
      <c r="D183" s="85" t="s">
        <v>37</v>
      </c>
      <c r="E183" s="86">
        <v>0</v>
      </c>
      <c r="F183" s="9">
        <v>10000</v>
      </c>
      <c r="G183" s="10"/>
      <c r="H183" s="9">
        <v>0</v>
      </c>
      <c r="I183" s="10">
        <v>10000</v>
      </c>
      <c r="J183" s="152">
        <v>10000</v>
      </c>
      <c r="K183" s="10"/>
      <c r="L183" s="152">
        <v>0</v>
      </c>
      <c r="M183" s="10">
        <v>10000</v>
      </c>
      <c r="N183" s="152">
        <v>10000</v>
      </c>
      <c r="O183" s="10"/>
      <c r="P183" s="152">
        <v>0</v>
      </c>
      <c r="Q183" s="10">
        <v>10000</v>
      </c>
      <c r="R183" s="9">
        <v>10000</v>
      </c>
      <c r="S183" s="10"/>
      <c r="T183" s="9">
        <v>0</v>
      </c>
      <c r="U183" s="10"/>
      <c r="V183" s="9">
        <v>0</v>
      </c>
      <c r="W183" s="10"/>
      <c r="X183" s="9">
        <v>0</v>
      </c>
      <c r="Y183" s="10"/>
      <c r="Z183" s="9">
        <v>0</v>
      </c>
      <c r="AA183" s="10"/>
      <c r="AB183" s="11">
        <v>0</v>
      </c>
      <c r="AC183" s="10"/>
      <c r="AD183" s="7">
        <f>SUM(F183+H183+J183+L183+N183+P183+R183+T183+V183+X183+Z183+AB183)</f>
        <v>40000</v>
      </c>
      <c r="AE183" s="7">
        <f>E183+AD183</f>
        <v>40000</v>
      </c>
      <c r="AF183" s="8">
        <f>G183+I183+K183+M183+O183+Q183+S183+U183+W183+Y183+AA183+AC183</f>
        <v>30000</v>
      </c>
      <c r="AG183" s="153">
        <f>SUM(AE183-AF183)</f>
        <v>10000</v>
      </c>
      <c r="AH183" s="99" t="s">
        <v>276</v>
      </c>
      <c r="AI183" s="99">
        <v>4</v>
      </c>
    </row>
    <row r="184" spans="1:42" customHeight="1" ht="11.5">
      <c r="A184" s="5">
        <v>176</v>
      </c>
      <c r="B184" s="162" t="s">
        <v>277</v>
      </c>
      <c r="C184" s="4" t="s">
        <v>36</v>
      </c>
      <c r="D184" s="85" t="s">
        <v>37</v>
      </c>
      <c r="E184" s="86">
        <v>0</v>
      </c>
      <c r="F184" s="9">
        <v>10000</v>
      </c>
      <c r="G184" s="10"/>
      <c r="H184" s="9">
        <v>0</v>
      </c>
      <c r="I184" s="10">
        <v>10000</v>
      </c>
      <c r="J184" s="152">
        <v>0</v>
      </c>
      <c r="K184" s="10"/>
      <c r="L184" s="152">
        <v>0</v>
      </c>
      <c r="M184" s="10"/>
      <c r="N184" s="152">
        <v>0</v>
      </c>
      <c r="O184" s="10"/>
      <c r="P184" s="152">
        <v>10000</v>
      </c>
      <c r="Q184" s="10"/>
      <c r="R184" s="9">
        <v>0</v>
      </c>
      <c r="S184" s="10"/>
      <c r="T184" s="9">
        <v>0</v>
      </c>
      <c r="U184" s="10"/>
      <c r="V184" s="9">
        <v>0</v>
      </c>
      <c r="W184" s="10"/>
      <c r="X184" s="9">
        <v>0</v>
      </c>
      <c r="Y184" s="10"/>
      <c r="Z184" s="9">
        <v>0</v>
      </c>
      <c r="AA184" s="10"/>
      <c r="AB184" s="11">
        <v>0</v>
      </c>
      <c r="AC184" s="10"/>
      <c r="AD184" s="7">
        <f>SUM(F184+H184+J184+L184+N184+P184+R184+T184+V184+X184+Z184+AB184)</f>
        <v>20000</v>
      </c>
      <c r="AE184" s="7">
        <f>E184+AD184</f>
        <v>20000</v>
      </c>
      <c r="AF184" s="8">
        <f>G184+I184+K184+M184+O184+Q184+S184+U184+W184+Y184+AA184+AC184</f>
        <v>10000</v>
      </c>
      <c r="AG184" s="153">
        <f>SUM(AE184-AF184)</f>
        <v>10000</v>
      </c>
      <c r="AH184" s="99" t="s">
        <v>278</v>
      </c>
      <c r="AI184" s="99">
        <v>4</v>
      </c>
    </row>
    <row r="185" spans="1:42" customHeight="1" ht="11.5">
      <c r="A185" s="5">
        <v>177</v>
      </c>
      <c r="B185" s="162" t="s">
        <v>279</v>
      </c>
      <c r="C185" s="4" t="s">
        <v>112</v>
      </c>
      <c r="D185" s="85" t="s">
        <v>113</v>
      </c>
      <c r="E185" s="86">
        <v>10000</v>
      </c>
      <c r="F185" s="9">
        <v>0</v>
      </c>
      <c r="G185" s="10">
        <v>10000</v>
      </c>
      <c r="H185" s="9">
        <v>0</v>
      </c>
      <c r="I185" s="10"/>
      <c r="J185" s="152">
        <v>10000</v>
      </c>
      <c r="K185" s="10"/>
      <c r="L185" s="152">
        <v>0</v>
      </c>
      <c r="M185" s="10">
        <v>10000</v>
      </c>
      <c r="N185" s="152">
        <v>0</v>
      </c>
      <c r="O185" s="10"/>
      <c r="P185" s="152">
        <v>0</v>
      </c>
      <c r="Q185" s="10"/>
      <c r="R185" s="9">
        <v>10000</v>
      </c>
      <c r="S185" s="10"/>
      <c r="T185" s="9">
        <v>0</v>
      </c>
      <c r="U185" s="10"/>
      <c r="V185" s="9">
        <v>0</v>
      </c>
      <c r="W185" s="10"/>
      <c r="X185" s="9">
        <v>0</v>
      </c>
      <c r="Y185" s="10"/>
      <c r="Z185" s="9">
        <v>0</v>
      </c>
      <c r="AA185" s="10"/>
      <c r="AB185" s="11">
        <v>0</v>
      </c>
      <c r="AC185" s="10"/>
      <c r="AD185" s="7">
        <f>SUM(F185+H185+J185+L185+N185+P185+R185+T185+V185+X185+Z185+AB185)</f>
        <v>20000</v>
      </c>
      <c r="AE185" s="7">
        <f>E185+AD185</f>
        <v>30000</v>
      </c>
      <c r="AF185" s="8">
        <f>G185+I185+K185+M185+O185+Q185+S185+U185+W185+Y185+AA185+AC185</f>
        <v>20000</v>
      </c>
      <c r="AG185" s="153">
        <f>SUM(AE185-AF185)</f>
        <v>10000</v>
      </c>
      <c r="AH185" s="99" t="s">
        <v>280</v>
      </c>
      <c r="AI185" s="99">
        <v>4</v>
      </c>
    </row>
    <row r="186" spans="1:42" customHeight="1" ht="11.5">
      <c r="A186" s="5">
        <v>178</v>
      </c>
      <c r="B186" s="162" t="s">
        <v>281</v>
      </c>
      <c r="C186" s="4" t="s">
        <v>36</v>
      </c>
      <c r="D186" s="85" t="s">
        <v>37</v>
      </c>
      <c r="E186" s="86">
        <v>10000</v>
      </c>
      <c r="F186" s="9">
        <v>0</v>
      </c>
      <c r="G186" s="10">
        <v>10000</v>
      </c>
      <c r="H186" s="9">
        <v>0</v>
      </c>
      <c r="I186" s="10"/>
      <c r="J186" s="152">
        <v>10000</v>
      </c>
      <c r="K186" s="10"/>
      <c r="L186" s="152">
        <v>0</v>
      </c>
      <c r="M186" s="10">
        <v>10000</v>
      </c>
      <c r="N186" s="152">
        <v>10000</v>
      </c>
      <c r="O186" s="10"/>
      <c r="P186" s="152">
        <v>0</v>
      </c>
      <c r="Q186" s="10">
        <v>10000</v>
      </c>
      <c r="R186" s="9">
        <v>10000</v>
      </c>
      <c r="S186" s="10"/>
      <c r="T186" s="9">
        <v>0</v>
      </c>
      <c r="U186" s="10"/>
      <c r="V186" s="9">
        <v>0</v>
      </c>
      <c r="W186" s="10"/>
      <c r="X186" s="9">
        <v>0</v>
      </c>
      <c r="Y186" s="10"/>
      <c r="Z186" s="9">
        <v>0</v>
      </c>
      <c r="AA186" s="10"/>
      <c r="AB186" s="11">
        <v>0</v>
      </c>
      <c r="AC186" s="10"/>
      <c r="AD186" s="7">
        <f>SUM(F186+H186+J186+L186+N186+P186+R186+T186+V186+X186+Z186+AB186)</f>
        <v>30000</v>
      </c>
      <c r="AE186" s="7">
        <f>E186+AD186</f>
        <v>40000</v>
      </c>
      <c r="AF186" s="8">
        <f>G186+I186+K186+M186+O186+Q186+S186+U186+W186+Y186+AA186+AC186</f>
        <v>30000</v>
      </c>
      <c r="AG186" s="153">
        <f>SUM(AE186-AF186)</f>
        <v>10000</v>
      </c>
      <c r="AH186" s="99" t="s">
        <v>282</v>
      </c>
      <c r="AI186" s="99">
        <v>4</v>
      </c>
    </row>
    <row r="187" spans="1:42" customHeight="1" ht="11.5">
      <c r="A187" s="5">
        <v>179</v>
      </c>
      <c r="B187" s="163" t="s">
        <v>283</v>
      </c>
      <c r="C187" s="151" t="s">
        <v>36</v>
      </c>
      <c r="D187" s="85" t="s">
        <v>37</v>
      </c>
      <c r="E187" s="86">
        <v>5000</v>
      </c>
      <c r="F187" s="9">
        <v>0</v>
      </c>
      <c r="G187" s="10">
        <v>5000</v>
      </c>
      <c r="H187" s="9">
        <v>5000</v>
      </c>
      <c r="I187" s="10"/>
      <c r="J187" s="152">
        <v>0</v>
      </c>
      <c r="K187" s="10">
        <v>5000</v>
      </c>
      <c r="L187" s="152">
        <v>0</v>
      </c>
      <c r="M187" s="10"/>
      <c r="N187" s="152">
        <v>5000</v>
      </c>
      <c r="O187" s="10"/>
      <c r="P187" s="152">
        <v>0</v>
      </c>
      <c r="Q187" s="10">
        <v>5000</v>
      </c>
      <c r="R187" s="9">
        <v>5000</v>
      </c>
      <c r="S187" s="10"/>
      <c r="T187" s="9">
        <v>0</v>
      </c>
      <c r="U187" s="10"/>
      <c r="V187" s="9">
        <v>0</v>
      </c>
      <c r="W187" s="10"/>
      <c r="X187" s="9">
        <v>0</v>
      </c>
      <c r="Y187" s="10"/>
      <c r="Z187" s="9">
        <v>0</v>
      </c>
      <c r="AA187" s="10"/>
      <c r="AB187" s="11">
        <v>0</v>
      </c>
      <c r="AC187" s="10"/>
      <c r="AD187" s="7">
        <f>SUM(F187+H187+J187+L187+N187+P187+R187+T187+V187+X187+Z187+AB187)</f>
        <v>15000</v>
      </c>
      <c r="AE187" s="7">
        <f>E187+AD187</f>
        <v>20000</v>
      </c>
      <c r="AF187" s="8">
        <f>G187+I187+K187+M187+O187+Q187+S187+U187+W187+Y187+AA187+AC187</f>
        <v>15000</v>
      </c>
      <c r="AG187" s="153">
        <f>SUM(AE187-AF187)</f>
        <v>5000</v>
      </c>
      <c r="AH187" s="99" t="s">
        <v>284</v>
      </c>
      <c r="AI187" s="99">
        <v>4</v>
      </c>
    </row>
    <row r="188" spans="1:42" customHeight="1" ht="11.5">
      <c r="A188" s="5">
        <v>180</v>
      </c>
      <c r="B188" s="162" t="s">
        <v>285</v>
      </c>
      <c r="C188" s="4" t="s">
        <v>36</v>
      </c>
      <c r="D188" s="85" t="s">
        <v>37</v>
      </c>
      <c r="E188" s="86">
        <v>0</v>
      </c>
      <c r="F188" s="9">
        <v>10000</v>
      </c>
      <c r="G188" s="10"/>
      <c r="H188" s="9">
        <v>0</v>
      </c>
      <c r="I188" s="10">
        <v>10000</v>
      </c>
      <c r="J188" s="152">
        <v>0</v>
      </c>
      <c r="K188" s="10"/>
      <c r="L188" s="152">
        <v>0</v>
      </c>
      <c r="M188" s="10"/>
      <c r="N188" s="152">
        <v>0</v>
      </c>
      <c r="O188" s="10"/>
      <c r="P188" s="152">
        <v>0</v>
      </c>
      <c r="Q188" s="10"/>
      <c r="R188" s="9">
        <v>0</v>
      </c>
      <c r="S188" s="10"/>
      <c r="T188" s="9">
        <v>0</v>
      </c>
      <c r="U188" s="10"/>
      <c r="V188" s="9">
        <v>0</v>
      </c>
      <c r="W188" s="10"/>
      <c r="X188" s="9">
        <v>0</v>
      </c>
      <c r="Y188" s="10"/>
      <c r="Z188" s="9">
        <v>0</v>
      </c>
      <c r="AA188" s="10"/>
      <c r="AB188" s="11">
        <v>0</v>
      </c>
      <c r="AC188" s="10"/>
      <c r="AD188" s="7">
        <f>SUM(F188+H188+J188+L188+N188+P188+R188+T188+V188+X188+Z188+AB188)</f>
        <v>10000</v>
      </c>
      <c r="AE188" s="7">
        <f>E188+AD188</f>
        <v>10000</v>
      </c>
      <c r="AF188" s="8">
        <f>G188+I188+K188+M188+O188+Q188+S188+U188+W188+Y188+AA188+AC188</f>
        <v>10000</v>
      </c>
      <c r="AG188" s="153">
        <f>SUM(AE188-AF188)</f>
        <v>0</v>
      </c>
      <c r="AH188" s="99" t="s">
        <v>286</v>
      </c>
      <c r="AI188" s="99">
        <v>4</v>
      </c>
    </row>
    <row r="189" spans="1:42" customHeight="1" ht="11.5">
      <c r="A189" s="5">
        <v>181</v>
      </c>
      <c r="B189" s="162" t="s">
        <v>287</v>
      </c>
      <c r="C189" s="4" t="s">
        <v>36</v>
      </c>
      <c r="D189" s="85" t="s">
        <v>37</v>
      </c>
      <c r="E189" s="86">
        <v>0</v>
      </c>
      <c r="F189" s="9">
        <v>0</v>
      </c>
      <c r="G189" s="10"/>
      <c r="H189" s="9">
        <v>0</v>
      </c>
      <c r="I189" s="10"/>
      <c r="J189" s="152">
        <v>5000</v>
      </c>
      <c r="K189" s="10"/>
      <c r="L189" s="152">
        <v>0</v>
      </c>
      <c r="M189" s="10">
        <v>5000</v>
      </c>
      <c r="N189" s="152">
        <v>0</v>
      </c>
      <c r="O189" s="10"/>
      <c r="P189" s="152">
        <v>0</v>
      </c>
      <c r="Q189" s="10"/>
      <c r="R189" s="9">
        <v>5000</v>
      </c>
      <c r="S189" s="10"/>
      <c r="T189" s="9">
        <v>0</v>
      </c>
      <c r="U189" s="10"/>
      <c r="V189" s="9">
        <v>0</v>
      </c>
      <c r="W189" s="10"/>
      <c r="X189" s="9">
        <v>0</v>
      </c>
      <c r="Y189" s="10"/>
      <c r="Z189" s="9">
        <v>0</v>
      </c>
      <c r="AA189" s="10"/>
      <c r="AB189" s="11">
        <v>0</v>
      </c>
      <c r="AC189" s="10"/>
      <c r="AD189" s="7">
        <f>SUM(F189+H189+J189+L189+N189+P189+R189+T189+V189+X189+Z189+AB189)</f>
        <v>10000</v>
      </c>
      <c r="AE189" s="7">
        <f>E189+AD189</f>
        <v>10000</v>
      </c>
      <c r="AF189" s="8">
        <f>G189+I189+K189+M189+O189+Q189+S189+U189+W189+Y189+AA189+AC189</f>
        <v>5000</v>
      </c>
      <c r="AG189" s="153">
        <f>SUM(AE189-AF189)</f>
        <v>5000</v>
      </c>
      <c r="AH189" s="99" t="s">
        <v>288</v>
      </c>
      <c r="AI189" s="99">
        <v>4</v>
      </c>
    </row>
    <row r="190" spans="1:42" customHeight="1" ht="11.5">
      <c r="A190" s="5">
        <v>182</v>
      </c>
      <c r="B190" s="162" t="s">
        <v>289</v>
      </c>
      <c r="C190" s="4" t="s">
        <v>112</v>
      </c>
      <c r="D190" s="85" t="s">
        <v>113</v>
      </c>
      <c r="E190" s="86">
        <v>6000</v>
      </c>
      <c r="F190" s="9">
        <v>2000</v>
      </c>
      <c r="G190" s="10">
        <v>6000</v>
      </c>
      <c r="H190" s="9">
        <v>0</v>
      </c>
      <c r="I190" s="10">
        <v>2000</v>
      </c>
      <c r="J190" s="152">
        <v>0</v>
      </c>
      <c r="K190" s="10"/>
      <c r="L190" s="152">
        <v>2000</v>
      </c>
      <c r="M190" s="10"/>
      <c r="N190" s="152">
        <v>2000</v>
      </c>
      <c r="O190" s="10">
        <v>2000</v>
      </c>
      <c r="P190" s="152">
        <v>0</v>
      </c>
      <c r="Q190" s="10">
        <v>2000</v>
      </c>
      <c r="R190" s="9">
        <v>2000</v>
      </c>
      <c r="S190" s="10"/>
      <c r="T190" s="9">
        <v>0</v>
      </c>
      <c r="U190" s="10"/>
      <c r="V190" s="9">
        <v>0</v>
      </c>
      <c r="W190" s="10"/>
      <c r="X190" s="9">
        <v>0</v>
      </c>
      <c r="Y190" s="10"/>
      <c r="Z190" s="9">
        <v>0</v>
      </c>
      <c r="AA190" s="10"/>
      <c r="AB190" s="11">
        <v>0</v>
      </c>
      <c r="AC190" s="10"/>
      <c r="AD190" s="7">
        <f>SUM(F190+H190+J190+L190+N190+P190+R190+T190+V190+X190+Z190+AB190)</f>
        <v>8000</v>
      </c>
      <c r="AE190" s="7">
        <f>E190+AD190</f>
        <v>14000</v>
      </c>
      <c r="AF190" s="8">
        <f>G190+I190+K190+M190+O190+Q190+S190+U190+W190+Y190+AA190+AC190</f>
        <v>12000</v>
      </c>
      <c r="AG190" s="153">
        <f>SUM(AE190-AF190)</f>
        <v>2000</v>
      </c>
      <c r="AH190" s="99" t="s">
        <v>290</v>
      </c>
      <c r="AI190" s="99">
        <v>4</v>
      </c>
    </row>
    <row r="191" spans="1:42" customHeight="1" ht="11.5">
      <c r="A191" s="5">
        <v>183</v>
      </c>
      <c r="B191" s="162" t="s">
        <v>291</v>
      </c>
      <c r="C191" s="4" t="s">
        <v>36</v>
      </c>
      <c r="D191" s="85" t="s">
        <v>37</v>
      </c>
      <c r="E191" s="86">
        <v>10000</v>
      </c>
      <c r="F191" s="9">
        <v>0</v>
      </c>
      <c r="G191" s="10">
        <v>10000</v>
      </c>
      <c r="H191" s="9">
        <v>0</v>
      </c>
      <c r="I191" s="10"/>
      <c r="J191" s="152">
        <v>0</v>
      </c>
      <c r="K191" s="10"/>
      <c r="L191" s="152">
        <v>0</v>
      </c>
      <c r="M191" s="10"/>
      <c r="N191" s="152">
        <v>10000</v>
      </c>
      <c r="O191" s="10"/>
      <c r="P191" s="152">
        <v>0</v>
      </c>
      <c r="Q191" s="10">
        <v>10000</v>
      </c>
      <c r="R191" s="9">
        <v>0</v>
      </c>
      <c r="S191" s="10"/>
      <c r="T191" s="9">
        <v>0</v>
      </c>
      <c r="U191" s="10"/>
      <c r="V191" s="9">
        <v>0</v>
      </c>
      <c r="W191" s="10"/>
      <c r="X191" s="9">
        <v>0</v>
      </c>
      <c r="Y191" s="10"/>
      <c r="Z191" s="9">
        <v>0</v>
      </c>
      <c r="AA191" s="10"/>
      <c r="AB191" s="11">
        <v>0</v>
      </c>
      <c r="AC191" s="10"/>
      <c r="AD191" s="7">
        <f>SUM(F191+H191+J191+L191+N191+P191+R191+T191+V191+X191+Z191+AB191)</f>
        <v>10000</v>
      </c>
      <c r="AE191" s="7">
        <f>E191+AD191</f>
        <v>20000</v>
      </c>
      <c r="AF191" s="8">
        <f>G191+I191+K191+M191+O191+Q191+S191+U191+W191+Y191+AA191+AC191</f>
        <v>20000</v>
      </c>
      <c r="AG191" s="153">
        <f>SUM(AE191-AF191)</f>
        <v>0</v>
      </c>
      <c r="AH191" s="99" t="s">
        <v>292</v>
      </c>
      <c r="AI191" s="99">
        <v>4</v>
      </c>
    </row>
    <row r="192" spans="1:42" customHeight="1" ht="11.5">
      <c r="A192" s="5">
        <v>184</v>
      </c>
      <c r="B192" s="163" t="s">
        <v>293</v>
      </c>
      <c r="C192" s="151" t="s">
        <v>36</v>
      </c>
      <c r="D192" s="85" t="s">
        <v>37</v>
      </c>
      <c r="E192" s="86">
        <v>10000</v>
      </c>
      <c r="F192" s="9">
        <v>0</v>
      </c>
      <c r="G192" s="10">
        <v>10000</v>
      </c>
      <c r="H192" s="9">
        <v>0</v>
      </c>
      <c r="I192" s="10"/>
      <c r="J192" s="152">
        <v>0</v>
      </c>
      <c r="K192" s="10"/>
      <c r="L192" s="152">
        <v>0</v>
      </c>
      <c r="M192" s="10"/>
      <c r="N192" s="152">
        <v>0</v>
      </c>
      <c r="O192" s="10"/>
      <c r="P192" s="152">
        <v>0</v>
      </c>
      <c r="Q192" s="10"/>
      <c r="R192" s="9">
        <v>0</v>
      </c>
      <c r="S192" s="10"/>
      <c r="T192" s="9">
        <v>0</v>
      </c>
      <c r="U192" s="10"/>
      <c r="V192" s="9">
        <v>0</v>
      </c>
      <c r="W192" s="10"/>
      <c r="X192" s="9">
        <v>0</v>
      </c>
      <c r="Y192" s="10"/>
      <c r="Z192" s="9">
        <v>0</v>
      </c>
      <c r="AA192" s="10"/>
      <c r="AB192" s="11">
        <v>0</v>
      </c>
      <c r="AC192" s="10"/>
      <c r="AD192" s="7">
        <f>SUM(F192+H192+J192+L192+N192+P192+R192+T192+V192+X192+Z192+AB192)</f>
        <v>0</v>
      </c>
      <c r="AE192" s="7">
        <f>E192+AD192</f>
        <v>10000</v>
      </c>
      <c r="AF192" s="8">
        <f>G192+I192+K192+M192+O192+Q192+S192+U192+W192+Y192+AA192+AC192</f>
        <v>10000</v>
      </c>
      <c r="AG192" s="153">
        <f>SUM(AE192-AF192)</f>
        <v>0</v>
      </c>
      <c r="AH192" s="99" t="s">
        <v>294</v>
      </c>
      <c r="AI192" s="99">
        <v>4</v>
      </c>
    </row>
    <row r="193" spans="1:42" customHeight="1" ht="11.5">
      <c r="A193" s="5">
        <v>185</v>
      </c>
      <c r="B193" s="163" t="s">
        <v>295</v>
      </c>
      <c r="C193" s="151" t="s">
        <v>132</v>
      </c>
      <c r="D193" s="85" t="s">
        <v>133</v>
      </c>
      <c r="E193" s="86">
        <v>0</v>
      </c>
      <c r="F193" s="9">
        <v>0</v>
      </c>
      <c r="G193" s="10"/>
      <c r="H193" s="9">
        <v>0</v>
      </c>
      <c r="I193" s="10"/>
      <c r="J193" s="152">
        <v>0</v>
      </c>
      <c r="K193" s="10"/>
      <c r="L193" s="152">
        <v>0</v>
      </c>
      <c r="M193" s="10"/>
      <c r="N193" s="152">
        <v>0</v>
      </c>
      <c r="O193" s="10"/>
      <c r="P193" s="152">
        <v>0</v>
      </c>
      <c r="Q193" s="10"/>
      <c r="R193" s="9">
        <v>0</v>
      </c>
      <c r="S193" s="10"/>
      <c r="T193" s="9">
        <v>0</v>
      </c>
      <c r="U193" s="10"/>
      <c r="V193" s="9">
        <v>0</v>
      </c>
      <c r="W193" s="10"/>
      <c r="X193" s="9">
        <v>0</v>
      </c>
      <c r="Y193" s="10"/>
      <c r="Z193" s="9">
        <v>0</v>
      </c>
      <c r="AA193" s="10"/>
      <c r="AB193" s="11">
        <v>0</v>
      </c>
      <c r="AC193" s="10"/>
      <c r="AD193" s="7">
        <f>SUM(F193+H193+J193+L193+N193+P193+R193+T193+V193+X193+Z193+AB193)</f>
        <v>0</v>
      </c>
      <c r="AE193" s="7">
        <f>E193+AD193</f>
        <v>0</v>
      </c>
      <c r="AF193" s="8">
        <f>G193+I193+K193+M193+O193+Q193+S193+U193+W193+Y193+AA193+AC193</f>
        <v>0</v>
      </c>
      <c r="AG193" s="153">
        <f>SUM(AE193-AF193)</f>
        <v>0</v>
      </c>
      <c r="AH193" s="99" t="s">
        <v>296</v>
      </c>
      <c r="AI193" s="99">
        <v>4</v>
      </c>
    </row>
    <row r="194" spans="1:42" customHeight="1" ht="11.5">
      <c r="A194" s="5">
        <v>186</v>
      </c>
      <c r="B194" s="163" t="s">
        <v>297</v>
      </c>
      <c r="C194" s="151" t="s">
        <v>36</v>
      </c>
      <c r="D194" s="85" t="s">
        <v>37</v>
      </c>
      <c r="E194" s="86">
        <v>0</v>
      </c>
      <c r="F194" s="9">
        <v>0</v>
      </c>
      <c r="G194" s="10"/>
      <c r="H194" s="9">
        <v>0</v>
      </c>
      <c r="I194" s="10"/>
      <c r="J194" s="152">
        <v>5000</v>
      </c>
      <c r="K194" s="10"/>
      <c r="L194" s="152">
        <v>0</v>
      </c>
      <c r="M194" s="10">
        <v>5000</v>
      </c>
      <c r="N194" s="152">
        <v>0</v>
      </c>
      <c r="O194" s="10"/>
      <c r="P194" s="152">
        <v>0</v>
      </c>
      <c r="Q194" s="10"/>
      <c r="R194" s="9">
        <v>0</v>
      </c>
      <c r="S194" s="10"/>
      <c r="T194" s="9">
        <v>0</v>
      </c>
      <c r="U194" s="10"/>
      <c r="V194" s="9">
        <v>0</v>
      </c>
      <c r="W194" s="10"/>
      <c r="X194" s="9">
        <v>0</v>
      </c>
      <c r="Y194" s="10"/>
      <c r="Z194" s="9">
        <v>0</v>
      </c>
      <c r="AA194" s="10"/>
      <c r="AB194" s="11">
        <v>0</v>
      </c>
      <c r="AC194" s="10"/>
      <c r="AD194" s="7">
        <f>SUM(F194+H194+J194+L194+N194+P194+R194+T194+V194+X194+Z194+AB194)</f>
        <v>5000</v>
      </c>
      <c r="AE194" s="7">
        <f>E194+AD194</f>
        <v>5000</v>
      </c>
      <c r="AF194" s="8">
        <f>G194+I194+K194+M194+O194+Q194+S194+U194+W194+Y194+AA194+AC194</f>
        <v>5000</v>
      </c>
      <c r="AG194" s="153">
        <f>SUM(AE194-AF194)</f>
        <v>0</v>
      </c>
      <c r="AH194" s="99" t="s">
        <v>298</v>
      </c>
      <c r="AI194" s="99">
        <v>4</v>
      </c>
    </row>
    <row r="195" spans="1:42" customHeight="1" ht="11.5">
      <c r="A195" s="5">
        <v>187</v>
      </c>
      <c r="B195" s="163" t="s">
        <v>299</v>
      </c>
      <c r="C195" s="151" t="s">
        <v>36</v>
      </c>
      <c r="D195" s="85" t="s">
        <v>37</v>
      </c>
      <c r="E195" s="86">
        <v>20000</v>
      </c>
      <c r="F195" s="9">
        <v>30000</v>
      </c>
      <c r="G195" s="10">
        <v>20000</v>
      </c>
      <c r="H195" s="9">
        <v>20000</v>
      </c>
      <c r="I195" s="10">
        <v>30000</v>
      </c>
      <c r="J195" s="152">
        <v>20000</v>
      </c>
      <c r="K195" s="10">
        <v>20000</v>
      </c>
      <c r="L195" s="152">
        <v>20000</v>
      </c>
      <c r="M195" s="10">
        <v>20000</v>
      </c>
      <c r="N195" s="152">
        <v>30000</v>
      </c>
      <c r="O195" s="10">
        <v>20000</v>
      </c>
      <c r="P195" s="152">
        <v>20000</v>
      </c>
      <c r="Q195" s="10">
        <v>30000</v>
      </c>
      <c r="R195" s="9">
        <v>30000</v>
      </c>
      <c r="S195" s="10"/>
      <c r="T195" s="9">
        <v>0</v>
      </c>
      <c r="U195" s="10"/>
      <c r="V195" s="9">
        <v>0</v>
      </c>
      <c r="W195" s="10"/>
      <c r="X195" s="9">
        <v>0</v>
      </c>
      <c r="Y195" s="10"/>
      <c r="Z195" s="9">
        <v>0</v>
      </c>
      <c r="AA195" s="10"/>
      <c r="AB195" s="11">
        <v>0</v>
      </c>
      <c r="AC195" s="10"/>
      <c r="AD195" s="7">
        <f>SUM(F195+H195+J195+L195+N195+P195+R195+T195+V195+X195+Z195+AB195)</f>
        <v>170000</v>
      </c>
      <c r="AE195" s="7">
        <f>E195+AD195</f>
        <v>190000</v>
      </c>
      <c r="AF195" s="8">
        <f>G195+I195+K195+M195+O195+Q195+S195+U195+W195+Y195+AA195+AC195</f>
        <v>140000</v>
      </c>
      <c r="AG195" s="153">
        <f>SUM(AE195-AF195)</f>
        <v>50000</v>
      </c>
      <c r="AH195" s="99" t="s">
        <v>300</v>
      </c>
      <c r="AI195" s="99">
        <v>4</v>
      </c>
    </row>
    <row r="196" spans="1:42" customHeight="1" ht="11.5">
      <c r="A196" s="5">
        <v>188</v>
      </c>
      <c r="B196" s="163" t="s">
        <v>301</v>
      </c>
      <c r="C196" s="151" t="s">
        <v>36</v>
      </c>
      <c r="D196" s="85" t="s">
        <v>37</v>
      </c>
      <c r="E196" s="86">
        <v>20000</v>
      </c>
      <c r="F196" s="9">
        <v>20000</v>
      </c>
      <c r="G196" s="10">
        <v>20000</v>
      </c>
      <c r="H196" s="9">
        <v>20000</v>
      </c>
      <c r="I196" s="10">
        <v>20000</v>
      </c>
      <c r="J196" s="152">
        <v>20000</v>
      </c>
      <c r="K196" s="10">
        <v>20000</v>
      </c>
      <c r="L196" s="152">
        <v>20000</v>
      </c>
      <c r="M196" s="10">
        <v>20000</v>
      </c>
      <c r="N196" s="152">
        <v>20000</v>
      </c>
      <c r="O196" s="10">
        <v>20000</v>
      </c>
      <c r="P196" s="152">
        <v>20000</v>
      </c>
      <c r="Q196" s="10">
        <v>20000</v>
      </c>
      <c r="R196" s="9">
        <v>20000</v>
      </c>
      <c r="S196" s="10"/>
      <c r="T196" s="9">
        <v>0</v>
      </c>
      <c r="U196" s="10"/>
      <c r="V196" s="9">
        <v>0</v>
      </c>
      <c r="W196" s="10"/>
      <c r="X196" s="9">
        <v>0</v>
      </c>
      <c r="Y196" s="10"/>
      <c r="Z196" s="9">
        <v>0</v>
      </c>
      <c r="AA196" s="10"/>
      <c r="AB196" s="11">
        <v>0</v>
      </c>
      <c r="AC196" s="10"/>
      <c r="AD196" s="7">
        <f>SUM(F196+H196+J196+L196+N196+P196+R196+T196+V196+X196+Z196+AB196)</f>
        <v>140000</v>
      </c>
      <c r="AE196" s="7">
        <f>E196+AD196</f>
        <v>160000</v>
      </c>
      <c r="AF196" s="8">
        <f>G196+I196+K196+M196+O196+Q196+S196+U196+W196+Y196+AA196+AC196</f>
        <v>120000</v>
      </c>
      <c r="AG196" s="153">
        <f>SUM(AE196-AF196)</f>
        <v>40000</v>
      </c>
      <c r="AH196" s="99" t="s">
        <v>302</v>
      </c>
      <c r="AI196" s="99">
        <v>4</v>
      </c>
    </row>
    <row r="197" spans="1:42" customHeight="1" ht="11.5">
      <c r="A197" s="5">
        <v>189</v>
      </c>
      <c r="B197" s="163" t="s">
        <v>303</v>
      </c>
      <c r="C197" s="151" t="s">
        <v>36</v>
      </c>
      <c r="D197" s="85" t="s">
        <v>37</v>
      </c>
      <c r="E197" s="86">
        <v>5000</v>
      </c>
      <c r="F197" s="9">
        <v>5000</v>
      </c>
      <c r="G197" s="10">
        <v>5000</v>
      </c>
      <c r="H197" s="9">
        <v>5000</v>
      </c>
      <c r="I197" s="10">
        <v>5000</v>
      </c>
      <c r="J197" s="152">
        <v>0</v>
      </c>
      <c r="K197" s="10">
        <v>5000</v>
      </c>
      <c r="L197" s="152">
        <v>5000</v>
      </c>
      <c r="M197" s="10"/>
      <c r="N197" s="152">
        <v>5000</v>
      </c>
      <c r="O197" s="10">
        <v>5000</v>
      </c>
      <c r="P197" s="152">
        <v>0</v>
      </c>
      <c r="Q197" s="10">
        <v>5000</v>
      </c>
      <c r="R197" s="9">
        <v>5000</v>
      </c>
      <c r="S197" s="10"/>
      <c r="T197" s="9">
        <v>0</v>
      </c>
      <c r="U197" s="10"/>
      <c r="V197" s="9">
        <v>0</v>
      </c>
      <c r="W197" s="10"/>
      <c r="X197" s="9">
        <v>0</v>
      </c>
      <c r="Y197" s="10"/>
      <c r="Z197" s="9">
        <v>0</v>
      </c>
      <c r="AA197" s="10"/>
      <c r="AB197" s="11">
        <v>0</v>
      </c>
      <c r="AC197" s="10"/>
      <c r="AD197" s="7">
        <f>SUM(F197+H197+J197+L197+N197+P197+R197+T197+V197+X197+Z197+AB197)</f>
        <v>25000</v>
      </c>
      <c r="AE197" s="7">
        <f>E197+AD197</f>
        <v>30000</v>
      </c>
      <c r="AF197" s="8">
        <f>G197+I197+K197+M197+O197+Q197+S197+U197+W197+Y197+AA197+AC197</f>
        <v>25000</v>
      </c>
      <c r="AG197" s="153">
        <f>SUM(AE197-AF197)</f>
        <v>5000</v>
      </c>
      <c r="AH197" s="99" t="s">
        <v>304</v>
      </c>
      <c r="AI197" s="99">
        <v>4</v>
      </c>
    </row>
    <row r="198" spans="1:42" customHeight="1" ht="11.5">
      <c r="A198" s="5">
        <v>190</v>
      </c>
      <c r="B198" s="163" t="s">
        <v>305</v>
      </c>
      <c r="C198" s="151" t="s">
        <v>105</v>
      </c>
      <c r="D198" s="85" t="s">
        <v>106</v>
      </c>
      <c r="E198" s="86">
        <v>0</v>
      </c>
      <c r="F198" s="9">
        <v>0</v>
      </c>
      <c r="G198" s="10"/>
      <c r="H198" s="9">
        <v>20000</v>
      </c>
      <c r="I198" s="10"/>
      <c r="J198" s="152">
        <v>0</v>
      </c>
      <c r="K198" s="10">
        <v>20000</v>
      </c>
      <c r="L198" s="152">
        <v>20000</v>
      </c>
      <c r="M198" s="10"/>
      <c r="N198" s="152">
        <v>0</v>
      </c>
      <c r="O198" s="10">
        <v>20000</v>
      </c>
      <c r="P198" s="152">
        <v>20000</v>
      </c>
      <c r="Q198" s="10"/>
      <c r="R198" s="9">
        <v>0</v>
      </c>
      <c r="S198" s="10"/>
      <c r="T198" s="9">
        <v>0</v>
      </c>
      <c r="U198" s="10"/>
      <c r="V198" s="9">
        <v>0</v>
      </c>
      <c r="W198" s="10"/>
      <c r="X198" s="9">
        <v>0</v>
      </c>
      <c r="Y198" s="10"/>
      <c r="Z198" s="9">
        <v>0</v>
      </c>
      <c r="AA198" s="10"/>
      <c r="AB198" s="11">
        <v>0</v>
      </c>
      <c r="AC198" s="10"/>
      <c r="AD198" s="7">
        <f>SUM(F198+H198+J198+L198+N198+P198+R198+T198+V198+X198+Z198+AB198)</f>
        <v>60000</v>
      </c>
      <c r="AE198" s="7">
        <f>E198+AD198</f>
        <v>60000</v>
      </c>
      <c r="AF198" s="8">
        <f>G198+I198+K198+M198+O198+Q198+S198+U198+W198+Y198+AA198+AC198</f>
        <v>40000</v>
      </c>
      <c r="AG198" s="153">
        <f>SUM(AE198-AF198)</f>
        <v>20000</v>
      </c>
      <c r="AH198" s="99" t="s">
        <v>306</v>
      </c>
      <c r="AI198" s="99">
        <v>4</v>
      </c>
    </row>
    <row r="199" spans="1:42" customHeight="1" ht="11.5">
      <c r="A199" s="5">
        <v>191</v>
      </c>
      <c r="B199" s="163" t="s">
        <v>307</v>
      </c>
      <c r="C199" s="151" t="s">
        <v>36</v>
      </c>
      <c r="D199" s="85" t="s">
        <v>37</v>
      </c>
      <c r="E199" s="86">
        <v>15000</v>
      </c>
      <c r="F199" s="9">
        <v>15000</v>
      </c>
      <c r="G199" s="10">
        <v>15000</v>
      </c>
      <c r="H199" s="9">
        <v>15000</v>
      </c>
      <c r="I199" s="10">
        <v>15000</v>
      </c>
      <c r="J199" s="152">
        <v>15000</v>
      </c>
      <c r="K199" s="10">
        <v>15000</v>
      </c>
      <c r="L199" s="152">
        <v>15000</v>
      </c>
      <c r="M199" s="10">
        <v>15000</v>
      </c>
      <c r="N199" s="152">
        <v>10000</v>
      </c>
      <c r="O199" s="10">
        <v>15000</v>
      </c>
      <c r="P199" s="152">
        <v>10000</v>
      </c>
      <c r="Q199" s="10">
        <v>10000</v>
      </c>
      <c r="R199" s="9">
        <v>20000</v>
      </c>
      <c r="S199" s="10"/>
      <c r="T199" s="9">
        <v>0</v>
      </c>
      <c r="U199" s="10"/>
      <c r="V199" s="9">
        <v>0</v>
      </c>
      <c r="W199" s="10"/>
      <c r="X199" s="9">
        <v>0</v>
      </c>
      <c r="Y199" s="10"/>
      <c r="Z199" s="9">
        <v>0</v>
      </c>
      <c r="AA199" s="10"/>
      <c r="AB199" s="11">
        <v>0</v>
      </c>
      <c r="AC199" s="10"/>
      <c r="AD199" s="7">
        <f>SUM(F199+H199+J199+L199+N199+P199+R199+T199+V199+X199+Z199+AB199)</f>
        <v>100000</v>
      </c>
      <c r="AE199" s="7">
        <f>E199+AD199</f>
        <v>115000</v>
      </c>
      <c r="AF199" s="8">
        <f>G199+I199+K199+M199+O199+Q199+S199+U199+W199+Y199+AA199+AC199</f>
        <v>85000</v>
      </c>
      <c r="AG199" s="153">
        <f>SUM(AE199-AF199)</f>
        <v>30000</v>
      </c>
      <c r="AH199" s="99" t="s">
        <v>308</v>
      </c>
      <c r="AI199" s="99">
        <v>4</v>
      </c>
    </row>
    <row r="200" spans="1:42" customHeight="1" ht="11.5">
      <c r="A200" s="5">
        <v>192</v>
      </c>
      <c r="B200" s="163" t="s">
        <v>309</v>
      </c>
      <c r="C200" s="151" t="s">
        <v>36</v>
      </c>
      <c r="D200" s="85" t="s">
        <v>37</v>
      </c>
      <c r="E200" s="86">
        <v>5000</v>
      </c>
      <c r="F200" s="9">
        <v>5000</v>
      </c>
      <c r="G200" s="10">
        <v>5000</v>
      </c>
      <c r="H200" s="9">
        <v>5000</v>
      </c>
      <c r="I200" s="10">
        <v>5000</v>
      </c>
      <c r="J200" s="152">
        <v>5000</v>
      </c>
      <c r="K200" s="10">
        <v>5000</v>
      </c>
      <c r="L200" s="152">
        <v>5000</v>
      </c>
      <c r="M200" s="10">
        <v>5000</v>
      </c>
      <c r="N200" s="152">
        <v>5000</v>
      </c>
      <c r="O200" s="10">
        <v>5000</v>
      </c>
      <c r="P200" s="152">
        <v>5000</v>
      </c>
      <c r="Q200" s="10">
        <v>5000</v>
      </c>
      <c r="R200" s="9">
        <v>0</v>
      </c>
      <c r="S200" s="10"/>
      <c r="T200" s="9">
        <v>0</v>
      </c>
      <c r="U200" s="10"/>
      <c r="V200" s="9">
        <v>0</v>
      </c>
      <c r="W200" s="10"/>
      <c r="X200" s="9">
        <v>0</v>
      </c>
      <c r="Y200" s="10"/>
      <c r="Z200" s="9">
        <v>0</v>
      </c>
      <c r="AA200" s="10"/>
      <c r="AB200" s="11">
        <v>0</v>
      </c>
      <c r="AC200" s="10"/>
      <c r="AD200" s="7">
        <f>SUM(F200+H200+J200+L200+N200+P200+R200+T200+V200+X200+Z200+AB200)</f>
        <v>30000</v>
      </c>
      <c r="AE200" s="7">
        <f>E200+AD200</f>
        <v>35000</v>
      </c>
      <c r="AF200" s="8">
        <f>G200+I200+K200+M200+O200+Q200+S200+U200+W200+Y200+AA200+AC200</f>
        <v>30000</v>
      </c>
      <c r="AG200" s="153">
        <f>SUM(AE200-AF200)</f>
        <v>5000</v>
      </c>
      <c r="AH200" s="99" t="s">
        <v>310</v>
      </c>
      <c r="AI200" s="99">
        <v>4</v>
      </c>
    </row>
    <row r="201" spans="1:42" customHeight="1" ht="11.5">
      <c r="A201" s="5">
        <v>193</v>
      </c>
      <c r="B201" s="163" t="s">
        <v>311</v>
      </c>
      <c r="C201" s="151" t="s">
        <v>105</v>
      </c>
      <c r="D201" s="85" t="s">
        <v>106</v>
      </c>
      <c r="E201" s="86">
        <v>0</v>
      </c>
      <c r="F201" s="9">
        <v>0</v>
      </c>
      <c r="G201" s="10"/>
      <c r="H201" s="9">
        <v>0</v>
      </c>
      <c r="I201" s="10"/>
      <c r="J201" s="152">
        <v>0</v>
      </c>
      <c r="K201" s="10"/>
      <c r="L201" s="152">
        <v>0</v>
      </c>
      <c r="M201" s="10"/>
      <c r="N201" s="152">
        <v>0</v>
      </c>
      <c r="O201" s="10"/>
      <c r="P201" s="152">
        <v>10000</v>
      </c>
      <c r="Q201" s="10"/>
      <c r="R201" s="9">
        <v>0</v>
      </c>
      <c r="S201" s="10"/>
      <c r="T201" s="9">
        <v>0</v>
      </c>
      <c r="U201" s="10"/>
      <c r="V201" s="9">
        <v>0</v>
      </c>
      <c r="W201" s="10"/>
      <c r="X201" s="9">
        <v>0</v>
      </c>
      <c r="Y201" s="10"/>
      <c r="Z201" s="9">
        <v>0</v>
      </c>
      <c r="AA201" s="10"/>
      <c r="AB201" s="11">
        <v>0</v>
      </c>
      <c r="AC201" s="10"/>
      <c r="AD201" s="7">
        <f>SUM(F201+H201+J201+L201+N201+P201+R201+T201+V201+X201+Z201+AB201)</f>
        <v>10000</v>
      </c>
      <c r="AE201" s="7">
        <f>E201+AD201</f>
        <v>10000</v>
      </c>
      <c r="AF201" s="8">
        <f>G201+I201+K201+M201+O201+Q201+S201+U201+W201+Y201+AA201+AC201</f>
        <v>0</v>
      </c>
      <c r="AG201" s="153">
        <f>SUM(AE201-AF201)</f>
        <v>10000</v>
      </c>
      <c r="AH201" s="99" t="s">
        <v>312</v>
      </c>
      <c r="AI201" s="99">
        <v>4</v>
      </c>
    </row>
    <row r="202" spans="1:42" customHeight="1" ht="11.5">
      <c r="A202" s="5">
        <v>194</v>
      </c>
      <c r="B202" s="163" t="s">
        <v>313</v>
      </c>
      <c r="C202" s="151" t="s">
        <v>36</v>
      </c>
      <c r="D202" s="85" t="s">
        <v>37</v>
      </c>
      <c r="E202" s="86">
        <v>15000</v>
      </c>
      <c r="F202" s="9">
        <v>15000</v>
      </c>
      <c r="G202" s="10">
        <v>15000</v>
      </c>
      <c r="H202" s="9">
        <v>25000</v>
      </c>
      <c r="I202" s="10">
        <v>15000</v>
      </c>
      <c r="J202" s="152">
        <v>5000</v>
      </c>
      <c r="K202" s="10">
        <v>25000</v>
      </c>
      <c r="L202" s="152">
        <v>15000</v>
      </c>
      <c r="M202" s="10">
        <v>5000</v>
      </c>
      <c r="N202" s="152">
        <v>10000</v>
      </c>
      <c r="O202" s="10">
        <v>15000</v>
      </c>
      <c r="P202" s="152">
        <v>15000</v>
      </c>
      <c r="Q202" s="10">
        <v>10000</v>
      </c>
      <c r="R202" s="9">
        <v>15000</v>
      </c>
      <c r="S202" s="10"/>
      <c r="T202" s="9">
        <v>0</v>
      </c>
      <c r="U202" s="10"/>
      <c r="V202" s="9">
        <v>0</v>
      </c>
      <c r="W202" s="10"/>
      <c r="X202" s="9">
        <v>0</v>
      </c>
      <c r="Y202" s="10"/>
      <c r="Z202" s="9">
        <v>0</v>
      </c>
      <c r="AA202" s="10"/>
      <c r="AB202" s="11">
        <v>0</v>
      </c>
      <c r="AC202" s="10"/>
      <c r="AD202" s="7">
        <f>SUM(F202+H202+J202+L202+N202+P202+R202+T202+V202+X202+Z202+AB202)</f>
        <v>100000</v>
      </c>
      <c r="AE202" s="7">
        <f>E202+AD202</f>
        <v>115000</v>
      </c>
      <c r="AF202" s="8">
        <f>G202+I202+K202+M202+O202+Q202+S202+U202+W202+Y202+AA202+AC202</f>
        <v>85000</v>
      </c>
      <c r="AG202" s="153">
        <f>SUM(AE202-AF202)</f>
        <v>30000</v>
      </c>
      <c r="AH202" s="99" t="s">
        <v>314</v>
      </c>
      <c r="AI202" s="99">
        <v>4</v>
      </c>
    </row>
    <row r="203" spans="1:42" customHeight="1" ht="11.5">
      <c r="A203" s="5">
        <v>195</v>
      </c>
      <c r="B203" s="163" t="s">
        <v>315</v>
      </c>
      <c r="C203" s="151" t="s">
        <v>36</v>
      </c>
      <c r="D203" s="85" t="s">
        <v>37</v>
      </c>
      <c r="E203" s="86">
        <v>20000</v>
      </c>
      <c r="F203" s="9">
        <v>35000</v>
      </c>
      <c r="G203" s="10">
        <v>20000</v>
      </c>
      <c r="H203" s="9">
        <v>35000</v>
      </c>
      <c r="I203" s="10">
        <v>35000</v>
      </c>
      <c r="J203" s="152">
        <v>15000</v>
      </c>
      <c r="K203" s="10">
        <v>35000</v>
      </c>
      <c r="L203" s="152">
        <v>30000</v>
      </c>
      <c r="M203" s="10">
        <v>15000</v>
      </c>
      <c r="N203" s="152">
        <v>20000</v>
      </c>
      <c r="O203" s="10">
        <v>30000</v>
      </c>
      <c r="P203" s="152">
        <v>35000</v>
      </c>
      <c r="Q203" s="10">
        <v>20000</v>
      </c>
      <c r="R203" s="9">
        <v>30000</v>
      </c>
      <c r="S203" s="10"/>
      <c r="T203" s="9">
        <v>0</v>
      </c>
      <c r="U203" s="10"/>
      <c r="V203" s="9">
        <v>0</v>
      </c>
      <c r="W203" s="10"/>
      <c r="X203" s="9">
        <v>0</v>
      </c>
      <c r="Y203" s="10"/>
      <c r="Z203" s="9">
        <v>0</v>
      </c>
      <c r="AA203" s="10"/>
      <c r="AB203" s="11">
        <v>0</v>
      </c>
      <c r="AC203" s="10"/>
      <c r="AD203" s="7">
        <f>SUM(F203+H203+J203+L203+N203+P203+R203+T203+V203+X203+Z203+AB203)</f>
        <v>200000</v>
      </c>
      <c r="AE203" s="7">
        <f>E203+AD203</f>
        <v>220000</v>
      </c>
      <c r="AF203" s="8">
        <f>G203+I203+K203+M203+O203+Q203+S203+U203+W203+Y203+AA203+AC203</f>
        <v>155000</v>
      </c>
      <c r="AG203" s="153">
        <f>SUM(AE203-AF203)</f>
        <v>65000</v>
      </c>
      <c r="AH203" s="99" t="s">
        <v>316</v>
      </c>
      <c r="AI203" s="99">
        <v>4</v>
      </c>
    </row>
    <row r="204" spans="1:42" customHeight="1" ht="11.5">
      <c r="A204" s="5">
        <v>196</v>
      </c>
      <c r="B204" s="163" t="s">
        <v>317</v>
      </c>
      <c r="C204" s="151" t="s">
        <v>112</v>
      </c>
      <c r="D204" s="85" t="s">
        <v>113</v>
      </c>
      <c r="E204" s="86">
        <v>0</v>
      </c>
      <c r="F204" s="9">
        <v>0</v>
      </c>
      <c r="G204" s="10"/>
      <c r="H204" s="9">
        <v>0</v>
      </c>
      <c r="I204" s="10"/>
      <c r="J204" s="152">
        <v>0</v>
      </c>
      <c r="K204" s="10"/>
      <c r="L204" s="152">
        <v>10000</v>
      </c>
      <c r="M204" s="10"/>
      <c r="N204" s="152">
        <v>0</v>
      </c>
      <c r="O204" s="10">
        <v>10000</v>
      </c>
      <c r="P204" s="152">
        <v>0</v>
      </c>
      <c r="Q204" s="10"/>
      <c r="R204" s="9">
        <v>0</v>
      </c>
      <c r="S204" s="10"/>
      <c r="T204" s="9">
        <v>0</v>
      </c>
      <c r="U204" s="10"/>
      <c r="V204" s="9">
        <v>0</v>
      </c>
      <c r="W204" s="10"/>
      <c r="X204" s="9">
        <v>0</v>
      </c>
      <c r="Y204" s="10"/>
      <c r="Z204" s="9">
        <v>0</v>
      </c>
      <c r="AA204" s="10"/>
      <c r="AB204" s="11">
        <v>0</v>
      </c>
      <c r="AC204" s="10"/>
      <c r="AD204" s="7">
        <f>SUM(F204+H204+J204+L204+N204+P204+R204+T204+V204+X204+Z204+AB204)</f>
        <v>10000</v>
      </c>
      <c r="AE204" s="7">
        <f>E204+AD204</f>
        <v>10000</v>
      </c>
      <c r="AF204" s="8">
        <f>G204+I204+K204+M204+O204+Q204+S204+U204+W204+Y204+AA204+AC204</f>
        <v>10000</v>
      </c>
      <c r="AG204" s="153">
        <f>SUM(AE204-AF204)</f>
        <v>0</v>
      </c>
      <c r="AH204" s="99" t="s">
        <v>318</v>
      </c>
      <c r="AI204" s="99">
        <v>4</v>
      </c>
    </row>
    <row r="205" spans="1:42" customHeight="1" ht="11.5">
      <c r="A205" s="5">
        <v>197</v>
      </c>
      <c r="B205" s="163" t="s">
        <v>319</v>
      </c>
      <c r="C205" s="151" t="s">
        <v>36</v>
      </c>
      <c r="D205" s="85" t="s">
        <v>37</v>
      </c>
      <c r="E205" s="86">
        <v>10000</v>
      </c>
      <c r="F205" s="9">
        <v>5000</v>
      </c>
      <c r="G205" s="10">
        <v>10000</v>
      </c>
      <c r="H205" s="9">
        <v>5000</v>
      </c>
      <c r="I205" s="10">
        <v>5000</v>
      </c>
      <c r="J205" s="152">
        <v>5000</v>
      </c>
      <c r="K205" s="10">
        <v>5000</v>
      </c>
      <c r="L205" s="152">
        <v>10000</v>
      </c>
      <c r="M205" s="10">
        <v>5000</v>
      </c>
      <c r="N205" s="152">
        <v>5000</v>
      </c>
      <c r="O205" s="10">
        <v>10000</v>
      </c>
      <c r="P205" s="152">
        <v>5000</v>
      </c>
      <c r="Q205" s="10">
        <v>5000</v>
      </c>
      <c r="R205" s="9">
        <v>0</v>
      </c>
      <c r="S205" s="10"/>
      <c r="T205" s="9">
        <v>0</v>
      </c>
      <c r="U205" s="10"/>
      <c r="V205" s="9">
        <v>0</v>
      </c>
      <c r="W205" s="10"/>
      <c r="X205" s="9">
        <v>0</v>
      </c>
      <c r="Y205" s="10"/>
      <c r="Z205" s="9">
        <v>0</v>
      </c>
      <c r="AA205" s="10"/>
      <c r="AB205" s="11">
        <v>0</v>
      </c>
      <c r="AC205" s="10"/>
      <c r="AD205" s="7">
        <f>SUM(F205+H205+J205+L205+N205+P205+R205+T205+V205+X205+Z205+AB205)</f>
        <v>35000</v>
      </c>
      <c r="AE205" s="7">
        <f>E205+AD205</f>
        <v>45000</v>
      </c>
      <c r="AF205" s="8">
        <f>G205+I205+K205+M205+O205+Q205+S205+U205+W205+Y205+AA205+AC205</f>
        <v>40000</v>
      </c>
      <c r="AG205" s="153">
        <f>SUM(AE205-AF205)</f>
        <v>5000</v>
      </c>
      <c r="AH205" s="99" t="s">
        <v>320</v>
      </c>
      <c r="AI205" s="99">
        <v>4</v>
      </c>
    </row>
    <row r="206" spans="1:42" customHeight="1" ht="11.5">
      <c r="A206" s="5">
        <v>198</v>
      </c>
      <c r="B206" s="163" t="s">
        <v>321</v>
      </c>
      <c r="C206" s="151" t="s">
        <v>36</v>
      </c>
      <c r="D206" s="85" t="s">
        <v>37</v>
      </c>
      <c r="E206" s="86">
        <v>5000</v>
      </c>
      <c r="F206" s="9">
        <v>5000</v>
      </c>
      <c r="G206" s="10">
        <v>5000</v>
      </c>
      <c r="H206" s="9">
        <v>0</v>
      </c>
      <c r="I206" s="10">
        <v>5000</v>
      </c>
      <c r="J206" s="152">
        <v>5000</v>
      </c>
      <c r="K206" s="10"/>
      <c r="L206" s="152">
        <v>5000</v>
      </c>
      <c r="M206" s="10">
        <v>5000</v>
      </c>
      <c r="N206" s="152">
        <v>0</v>
      </c>
      <c r="O206" s="10">
        <v>5000</v>
      </c>
      <c r="P206" s="152">
        <v>0</v>
      </c>
      <c r="Q206" s="10"/>
      <c r="R206" s="9">
        <v>0</v>
      </c>
      <c r="S206" s="10"/>
      <c r="T206" s="9">
        <v>0</v>
      </c>
      <c r="U206" s="10"/>
      <c r="V206" s="9">
        <v>0</v>
      </c>
      <c r="W206" s="10"/>
      <c r="X206" s="9">
        <v>0</v>
      </c>
      <c r="Y206" s="10"/>
      <c r="Z206" s="9">
        <v>0</v>
      </c>
      <c r="AA206" s="10"/>
      <c r="AB206" s="11">
        <v>0</v>
      </c>
      <c r="AC206" s="10"/>
      <c r="AD206" s="7">
        <f>SUM(F206+H206+J206+L206+N206+P206+R206+T206+V206+X206+Z206+AB206)</f>
        <v>15000</v>
      </c>
      <c r="AE206" s="7">
        <f>E206+AD206</f>
        <v>20000</v>
      </c>
      <c r="AF206" s="8">
        <f>G206+I206+K206+M206+O206+Q206+S206+U206+W206+Y206+AA206+AC206</f>
        <v>20000</v>
      </c>
      <c r="AG206" s="153">
        <f>SUM(AE206-AF206)</f>
        <v>0</v>
      </c>
      <c r="AH206" s="99" t="s">
        <v>322</v>
      </c>
      <c r="AI206" s="99">
        <v>4</v>
      </c>
    </row>
    <row r="207" spans="1:42" customHeight="1" ht="11.5">
      <c r="A207" s="5">
        <v>199</v>
      </c>
      <c r="B207" s="163" t="s">
        <v>323</v>
      </c>
      <c r="C207" s="151" t="s">
        <v>36</v>
      </c>
      <c r="D207" s="85" t="s">
        <v>37</v>
      </c>
      <c r="E207" s="86">
        <v>90000</v>
      </c>
      <c r="F207" s="9">
        <v>140000</v>
      </c>
      <c r="G207" s="10">
        <v>90000</v>
      </c>
      <c r="H207" s="9">
        <v>120000</v>
      </c>
      <c r="I207" s="10">
        <v>140000</v>
      </c>
      <c r="J207" s="152">
        <v>120000</v>
      </c>
      <c r="K207" s="10">
        <v>120000</v>
      </c>
      <c r="L207" s="152">
        <v>120000</v>
      </c>
      <c r="M207" s="10">
        <v>120000</v>
      </c>
      <c r="N207" s="152">
        <v>130000</v>
      </c>
      <c r="O207" s="10">
        <v>120000</v>
      </c>
      <c r="P207" s="152">
        <v>90000</v>
      </c>
      <c r="Q207" s="10">
        <v>130000</v>
      </c>
      <c r="R207" s="9">
        <v>130000</v>
      </c>
      <c r="S207" s="10"/>
      <c r="T207" s="9">
        <v>0</v>
      </c>
      <c r="U207" s="10"/>
      <c r="V207" s="9">
        <v>0</v>
      </c>
      <c r="W207" s="10"/>
      <c r="X207" s="9">
        <v>0</v>
      </c>
      <c r="Y207" s="10"/>
      <c r="Z207" s="9">
        <v>0</v>
      </c>
      <c r="AA207" s="10"/>
      <c r="AB207" s="11">
        <v>0</v>
      </c>
      <c r="AC207" s="10"/>
      <c r="AD207" s="7">
        <f>SUM(F207+H207+J207+L207+N207+P207+R207+T207+V207+X207+Z207+AB207)</f>
        <v>850000</v>
      </c>
      <c r="AE207" s="7">
        <f>E207+AD207</f>
        <v>940000</v>
      </c>
      <c r="AF207" s="8">
        <f>G207+I207+K207+M207+O207+Q207+S207+U207+W207+Y207+AA207+AC207</f>
        <v>720000</v>
      </c>
      <c r="AG207" s="153">
        <f>SUM(AE207-AF207)</f>
        <v>220000</v>
      </c>
      <c r="AH207" s="99" t="s">
        <v>324</v>
      </c>
      <c r="AI207" s="99">
        <v>3</v>
      </c>
    </row>
    <row r="208" spans="1:42" customHeight="1" ht="11.5">
      <c r="A208" s="5">
        <v>200</v>
      </c>
      <c r="B208" s="163" t="s">
        <v>325</v>
      </c>
      <c r="C208" s="151" t="s">
        <v>36</v>
      </c>
      <c r="D208" s="85" t="s">
        <v>37</v>
      </c>
      <c r="E208" s="86">
        <v>40000</v>
      </c>
      <c r="F208" s="9">
        <v>45000</v>
      </c>
      <c r="G208" s="10">
        <v>40000</v>
      </c>
      <c r="H208" s="9">
        <v>40000</v>
      </c>
      <c r="I208" s="10">
        <v>45000</v>
      </c>
      <c r="J208" s="152">
        <v>35000</v>
      </c>
      <c r="K208" s="10">
        <v>40000</v>
      </c>
      <c r="L208" s="152">
        <v>60000</v>
      </c>
      <c r="M208" s="10">
        <v>35000</v>
      </c>
      <c r="N208" s="152">
        <v>45000</v>
      </c>
      <c r="O208" s="10">
        <v>60000</v>
      </c>
      <c r="P208" s="152">
        <v>60000</v>
      </c>
      <c r="Q208" s="10">
        <v>45000</v>
      </c>
      <c r="R208" s="9">
        <v>55000</v>
      </c>
      <c r="S208" s="10"/>
      <c r="T208" s="9">
        <v>0</v>
      </c>
      <c r="U208" s="10"/>
      <c r="V208" s="9">
        <v>0</v>
      </c>
      <c r="W208" s="10"/>
      <c r="X208" s="9">
        <v>0</v>
      </c>
      <c r="Y208" s="10"/>
      <c r="Z208" s="9">
        <v>0</v>
      </c>
      <c r="AA208" s="10"/>
      <c r="AB208" s="11">
        <v>0</v>
      </c>
      <c r="AC208" s="10"/>
      <c r="AD208" s="7">
        <f>SUM(F208+H208+J208+L208+N208+P208+R208+T208+V208+X208+Z208+AB208)</f>
        <v>340000</v>
      </c>
      <c r="AE208" s="7">
        <f>E208+AD208</f>
        <v>380000</v>
      </c>
      <c r="AF208" s="8">
        <f>G208+I208+K208+M208+O208+Q208+S208+U208+W208+Y208+AA208+AC208</f>
        <v>265000</v>
      </c>
      <c r="AG208" s="153">
        <f>SUM(AE208-AF208)</f>
        <v>115000</v>
      </c>
      <c r="AH208" s="99" t="s">
        <v>326</v>
      </c>
      <c r="AI208" s="99">
        <v>3</v>
      </c>
    </row>
    <row r="209" spans="1:42" customHeight="1" ht="11.5">
      <c r="A209" s="5">
        <v>201</v>
      </c>
      <c r="B209" s="163" t="s">
        <v>327</v>
      </c>
      <c r="C209" s="151" t="s">
        <v>36</v>
      </c>
      <c r="D209" s="85" t="s">
        <v>37</v>
      </c>
      <c r="E209" s="86">
        <v>30000</v>
      </c>
      <c r="F209" s="9">
        <v>40000</v>
      </c>
      <c r="G209" s="10">
        <v>30000</v>
      </c>
      <c r="H209" s="9">
        <v>30000</v>
      </c>
      <c r="I209" s="10">
        <v>40000</v>
      </c>
      <c r="J209" s="152">
        <v>40000</v>
      </c>
      <c r="K209" s="10">
        <v>30000</v>
      </c>
      <c r="L209" s="152">
        <v>30000</v>
      </c>
      <c r="M209" s="10">
        <v>40000</v>
      </c>
      <c r="N209" s="152">
        <v>40000</v>
      </c>
      <c r="O209" s="10">
        <v>30000</v>
      </c>
      <c r="P209" s="152">
        <v>40000</v>
      </c>
      <c r="Q209" s="10">
        <v>40000</v>
      </c>
      <c r="R209" s="9">
        <v>40000</v>
      </c>
      <c r="S209" s="10"/>
      <c r="T209" s="9">
        <v>0</v>
      </c>
      <c r="U209" s="10"/>
      <c r="V209" s="9">
        <v>0</v>
      </c>
      <c r="W209" s="10"/>
      <c r="X209" s="9">
        <v>0</v>
      </c>
      <c r="Y209" s="10"/>
      <c r="Z209" s="9">
        <v>0</v>
      </c>
      <c r="AA209" s="10"/>
      <c r="AB209" s="11">
        <v>0</v>
      </c>
      <c r="AC209" s="10"/>
      <c r="AD209" s="7">
        <f>SUM(F209+H209+J209+L209+N209+P209+R209+T209+V209+X209+Z209+AB209)</f>
        <v>260000</v>
      </c>
      <c r="AE209" s="7">
        <f>E209+AD209</f>
        <v>290000</v>
      </c>
      <c r="AF209" s="8">
        <f>G209+I209+K209+M209+O209+Q209+S209+U209+W209+Y209+AA209+AC209</f>
        <v>210000</v>
      </c>
      <c r="AG209" s="153">
        <f>SUM(AE209-AF209)</f>
        <v>80000</v>
      </c>
      <c r="AH209" s="99" t="s">
        <v>328</v>
      </c>
      <c r="AI209" s="99">
        <v>4</v>
      </c>
    </row>
    <row r="210" spans="1:42" customHeight="1" ht="11.5">
      <c r="A210" s="5">
        <v>202</v>
      </c>
      <c r="B210" s="163" t="s">
        <v>329</v>
      </c>
      <c r="C210" s="151" t="s">
        <v>101</v>
      </c>
      <c r="D210" s="85" t="s">
        <v>102</v>
      </c>
      <c r="E210" s="86">
        <v>10000</v>
      </c>
      <c r="F210" s="9">
        <v>0</v>
      </c>
      <c r="G210" s="10">
        <v>10000</v>
      </c>
      <c r="H210" s="9">
        <v>0</v>
      </c>
      <c r="I210" s="10"/>
      <c r="J210" s="152">
        <v>0</v>
      </c>
      <c r="K210" s="10"/>
      <c r="L210" s="152">
        <v>0</v>
      </c>
      <c r="M210" s="10"/>
      <c r="N210" s="152">
        <v>0</v>
      </c>
      <c r="O210" s="10"/>
      <c r="P210" s="152">
        <v>0</v>
      </c>
      <c r="Q210" s="10"/>
      <c r="R210" s="9">
        <v>0</v>
      </c>
      <c r="S210" s="10"/>
      <c r="T210" s="9">
        <v>0</v>
      </c>
      <c r="U210" s="10"/>
      <c r="V210" s="9">
        <v>0</v>
      </c>
      <c r="W210" s="10"/>
      <c r="X210" s="9">
        <v>0</v>
      </c>
      <c r="Y210" s="10"/>
      <c r="Z210" s="9">
        <v>0</v>
      </c>
      <c r="AA210" s="10"/>
      <c r="AB210" s="11">
        <v>0</v>
      </c>
      <c r="AC210" s="10"/>
      <c r="AD210" s="7">
        <f>SUM(F210+H210+J210+L210+N210+P210+R210+T210+V210+X210+Z210+AB210)</f>
        <v>0</v>
      </c>
      <c r="AE210" s="7">
        <f>E210+AD210</f>
        <v>10000</v>
      </c>
      <c r="AF210" s="8">
        <f>G210+I210+K210+M210+O210+Q210+S210+U210+W210+Y210+AA210+AC210</f>
        <v>10000</v>
      </c>
      <c r="AG210" s="153">
        <f>SUM(AE210-AF210)</f>
        <v>0</v>
      </c>
      <c r="AH210" s="99" t="s">
        <v>330</v>
      </c>
      <c r="AI210" s="99">
        <v>4</v>
      </c>
    </row>
    <row r="211" spans="1:42" customHeight="1" ht="11.5">
      <c r="A211" s="5">
        <v>203</v>
      </c>
      <c r="B211" s="163" t="s">
        <v>331</v>
      </c>
      <c r="C211" s="151" t="s">
        <v>105</v>
      </c>
      <c r="D211" s="85" t="s">
        <v>106</v>
      </c>
      <c r="E211" s="86">
        <v>572590</v>
      </c>
      <c r="F211" s="9">
        <v>60000</v>
      </c>
      <c r="G211" s="10"/>
      <c r="H211" s="9">
        <v>60000</v>
      </c>
      <c r="I211" s="10"/>
      <c r="J211" s="152">
        <v>30000</v>
      </c>
      <c r="K211" s="10">
        <v>56185</v>
      </c>
      <c r="L211" s="152">
        <v>90000</v>
      </c>
      <c r="M211" s="10"/>
      <c r="N211" s="152">
        <v>30000</v>
      </c>
      <c r="O211" s="10">
        <v>37561</v>
      </c>
      <c r="P211" s="152">
        <v>30000</v>
      </c>
      <c r="Q211" s="10">
        <v>450762</v>
      </c>
      <c r="R211" s="9">
        <v>90000</v>
      </c>
      <c r="S211" s="10"/>
      <c r="T211" s="9">
        <v>0</v>
      </c>
      <c r="U211" s="10"/>
      <c r="V211" s="9">
        <v>0</v>
      </c>
      <c r="W211" s="10"/>
      <c r="X211" s="9">
        <v>0</v>
      </c>
      <c r="Y211" s="10"/>
      <c r="Z211" s="9">
        <v>0</v>
      </c>
      <c r="AA211" s="10"/>
      <c r="AB211" s="11">
        <v>0</v>
      </c>
      <c r="AC211" s="10"/>
      <c r="AD211" s="7">
        <f>SUM(F211+H211+J211+L211+N211+P211+R211+T211+V211+X211+Z211+AB211)</f>
        <v>390000</v>
      </c>
      <c r="AE211" s="7">
        <f>E211+AD211</f>
        <v>962590</v>
      </c>
      <c r="AF211" s="8">
        <f>G211+I211+K211+M211+O211+Q211+S211+U211+W211+Y211+AA211+AC211</f>
        <v>544508</v>
      </c>
      <c r="AG211" s="153">
        <f>SUM(AE211-AF211)</f>
        <v>418082</v>
      </c>
      <c r="AH211" s="99" t="s">
        <v>332</v>
      </c>
      <c r="AI211" s="99">
        <v>4</v>
      </c>
    </row>
    <row r="212" spans="1:42" customHeight="1" ht="11.5">
      <c r="A212" s="5">
        <v>204</v>
      </c>
      <c r="B212" s="163" t="s">
        <v>333</v>
      </c>
      <c r="C212" s="151" t="s">
        <v>36</v>
      </c>
      <c r="D212" s="85" t="s">
        <v>37</v>
      </c>
      <c r="E212" s="86">
        <v>15000</v>
      </c>
      <c r="F212" s="9">
        <v>20000</v>
      </c>
      <c r="G212" s="10">
        <v>15000</v>
      </c>
      <c r="H212" s="9">
        <v>15000</v>
      </c>
      <c r="I212" s="10">
        <v>20000</v>
      </c>
      <c r="J212" s="152">
        <v>15000</v>
      </c>
      <c r="K212" s="10">
        <v>15000</v>
      </c>
      <c r="L212" s="152">
        <v>20000</v>
      </c>
      <c r="M212" s="10">
        <v>15000</v>
      </c>
      <c r="N212" s="152">
        <v>15000</v>
      </c>
      <c r="O212" s="10">
        <v>20000</v>
      </c>
      <c r="P212" s="152">
        <v>20000</v>
      </c>
      <c r="Q212" s="10">
        <v>15000</v>
      </c>
      <c r="R212" s="9">
        <v>25000</v>
      </c>
      <c r="S212" s="10"/>
      <c r="T212" s="9">
        <v>0</v>
      </c>
      <c r="U212" s="10"/>
      <c r="V212" s="9">
        <v>0</v>
      </c>
      <c r="W212" s="10"/>
      <c r="X212" s="9">
        <v>0</v>
      </c>
      <c r="Y212" s="10"/>
      <c r="Z212" s="9">
        <v>0</v>
      </c>
      <c r="AA212" s="10"/>
      <c r="AB212" s="11">
        <v>0</v>
      </c>
      <c r="AC212" s="10"/>
      <c r="AD212" s="7">
        <f>SUM(F212+H212+J212+L212+N212+P212+R212+T212+V212+X212+Z212+AB212)</f>
        <v>130000</v>
      </c>
      <c r="AE212" s="7">
        <f>E212+AD212</f>
        <v>145000</v>
      </c>
      <c r="AF212" s="8">
        <f>G212+I212+K212+M212+O212+Q212+S212+U212+W212+Y212+AA212+AC212</f>
        <v>100000</v>
      </c>
      <c r="AG212" s="153">
        <f>SUM(AE212-AF212)</f>
        <v>45000</v>
      </c>
      <c r="AH212" s="99" t="s">
        <v>334</v>
      </c>
      <c r="AI212" s="99">
        <v>4</v>
      </c>
    </row>
    <row r="213" spans="1:42" customHeight="1" ht="11.5">
      <c r="A213" s="5">
        <v>205</v>
      </c>
      <c r="B213" s="163" t="s">
        <v>335</v>
      </c>
      <c r="C213" s="151" t="s">
        <v>36</v>
      </c>
      <c r="D213" s="85" t="s">
        <v>37</v>
      </c>
      <c r="E213" s="86">
        <v>20000</v>
      </c>
      <c r="F213" s="9">
        <v>20000</v>
      </c>
      <c r="G213" s="10">
        <v>20000</v>
      </c>
      <c r="H213" s="9">
        <v>10000</v>
      </c>
      <c r="I213" s="10">
        <v>20000</v>
      </c>
      <c r="J213" s="152">
        <v>10000</v>
      </c>
      <c r="K213" s="10">
        <v>10000</v>
      </c>
      <c r="L213" s="152">
        <v>0</v>
      </c>
      <c r="M213" s="10">
        <v>10000</v>
      </c>
      <c r="N213" s="152">
        <v>10000</v>
      </c>
      <c r="O213" s="10"/>
      <c r="P213" s="152">
        <v>10000</v>
      </c>
      <c r="Q213" s="10">
        <v>10000</v>
      </c>
      <c r="R213" s="9">
        <v>10000</v>
      </c>
      <c r="S213" s="10"/>
      <c r="T213" s="9">
        <v>0</v>
      </c>
      <c r="U213" s="10"/>
      <c r="V213" s="9">
        <v>0</v>
      </c>
      <c r="W213" s="10"/>
      <c r="X213" s="9">
        <v>0</v>
      </c>
      <c r="Y213" s="10"/>
      <c r="Z213" s="9">
        <v>0</v>
      </c>
      <c r="AA213" s="10"/>
      <c r="AB213" s="11">
        <v>0</v>
      </c>
      <c r="AC213" s="10"/>
      <c r="AD213" s="7">
        <f>SUM(F213+H213+J213+L213+N213+P213+R213+T213+V213+X213+Z213+AB213)</f>
        <v>70000</v>
      </c>
      <c r="AE213" s="7">
        <f>E213+AD213</f>
        <v>90000</v>
      </c>
      <c r="AF213" s="8">
        <f>G213+I213+K213+M213+O213+Q213+S213+U213+W213+Y213+AA213+AC213</f>
        <v>70000</v>
      </c>
      <c r="AG213" s="153">
        <f>SUM(AE213-AF213)</f>
        <v>20000</v>
      </c>
      <c r="AH213" s="99" t="s">
        <v>336</v>
      </c>
      <c r="AI213" s="99">
        <v>4</v>
      </c>
    </row>
    <row r="214" spans="1:42" customHeight="1" ht="11.5">
      <c r="A214" s="5">
        <v>206</v>
      </c>
      <c r="B214" s="163" t="s">
        <v>337</v>
      </c>
      <c r="C214" s="151" t="s">
        <v>36</v>
      </c>
      <c r="D214" s="85" t="s">
        <v>37</v>
      </c>
      <c r="E214" s="86">
        <v>20000</v>
      </c>
      <c r="F214" s="9">
        <v>20000</v>
      </c>
      <c r="G214" s="10">
        <v>20000</v>
      </c>
      <c r="H214" s="9">
        <v>20000</v>
      </c>
      <c r="I214" s="10">
        <v>20000</v>
      </c>
      <c r="J214" s="152">
        <v>20000</v>
      </c>
      <c r="K214" s="10">
        <v>20000</v>
      </c>
      <c r="L214" s="152">
        <v>30000</v>
      </c>
      <c r="M214" s="10">
        <v>20000</v>
      </c>
      <c r="N214" s="152">
        <v>20000</v>
      </c>
      <c r="O214" s="10">
        <v>30000</v>
      </c>
      <c r="P214" s="152">
        <v>30000</v>
      </c>
      <c r="Q214" s="10">
        <v>20000</v>
      </c>
      <c r="R214" s="9">
        <v>20000</v>
      </c>
      <c r="S214" s="10"/>
      <c r="T214" s="9">
        <v>0</v>
      </c>
      <c r="U214" s="10"/>
      <c r="V214" s="9">
        <v>0</v>
      </c>
      <c r="W214" s="10"/>
      <c r="X214" s="9">
        <v>0</v>
      </c>
      <c r="Y214" s="10"/>
      <c r="Z214" s="9">
        <v>0</v>
      </c>
      <c r="AA214" s="10"/>
      <c r="AB214" s="11">
        <v>0</v>
      </c>
      <c r="AC214" s="10"/>
      <c r="AD214" s="7">
        <f>SUM(F214+H214+J214+L214+N214+P214+R214+T214+V214+X214+Z214+AB214)</f>
        <v>160000</v>
      </c>
      <c r="AE214" s="7">
        <f>E214+AD214</f>
        <v>180000</v>
      </c>
      <c r="AF214" s="8">
        <f>G214+I214+K214+M214+O214+Q214+S214+U214+W214+Y214+AA214+AC214</f>
        <v>130000</v>
      </c>
      <c r="AG214" s="153">
        <f>SUM(AE214-AF214)</f>
        <v>50000</v>
      </c>
      <c r="AH214" s="99" t="s">
        <v>338</v>
      </c>
      <c r="AI214" s="99">
        <v>4</v>
      </c>
    </row>
    <row r="215" spans="1:42" customHeight="1" ht="11.5">
      <c r="A215" s="5">
        <v>207</v>
      </c>
      <c r="B215" s="163" t="s">
        <v>339</v>
      </c>
      <c r="C215" s="151" t="s">
        <v>36</v>
      </c>
      <c r="D215" s="85" t="s">
        <v>37</v>
      </c>
      <c r="E215" s="86">
        <v>10000</v>
      </c>
      <c r="F215" s="9">
        <v>15000</v>
      </c>
      <c r="G215" s="10">
        <v>10000</v>
      </c>
      <c r="H215" s="9">
        <v>15000</v>
      </c>
      <c r="I215" s="10">
        <v>15000</v>
      </c>
      <c r="J215" s="152">
        <v>15000</v>
      </c>
      <c r="K215" s="10">
        <v>15000</v>
      </c>
      <c r="L215" s="152">
        <v>5000</v>
      </c>
      <c r="M215" s="10">
        <v>15000</v>
      </c>
      <c r="N215" s="152">
        <v>10000</v>
      </c>
      <c r="O215" s="10">
        <v>5000</v>
      </c>
      <c r="P215" s="152">
        <v>10000</v>
      </c>
      <c r="Q215" s="10">
        <v>10000</v>
      </c>
      <c r="R215" s="9">
        <v>20000</v>
      </c>
      <c r="S215" s="10"/>
      <c r="T215" s="9">
        <v>0</v>
      </c>
      <c r="U215" s="10"/>
      <c r="V215" s="9">
        <v>0</v>
      </c>
      <c r="W215" s="10"/>
      <c r="X215" s="9">
        <v>0</v>
      </c>
      <c r="Y215" s="10"/>
      <c r="Z215" s="9">
        <v>0</v>
      </c>
      <c r="AA215" s="10"/>
      <c r="AB215" s="11">
        <v>0</v>
      </c>
      <c r="AC215" s="10"/>
      <c r="AD215" s="7">
        <f>SUM(F215+H215+J215+L215+N215+P215+R215+T215+V215+X215+Z215+AB215)</f>
        <v>90000</v>
      </c>
      <c r="AE215" s="7">
        <f>E215+AD215</f>
        <v>100000</v>
      </c>
      <c r="AF215" s="8">
        <f>G215+I215+K215+M215+O215+Q215+S215+U215+W215+Y215+AA215+AC215</f>
        <v>70000</v>
      </c>
      <c r="AG215" s="153">
        <f>SUM(AE215-AF215)</f>
        <v>30000</v>
      </c>
      <c r="AH215" s="99" t="s">
        <v>340</v>
      </c>
      <c r="AI215" s="99">
        <v>4</v>
      </c>
    </row>
    <row r="216" spans="1:42" customHeight="1" ht="11.5">
      <c r="A216" s="5">
        <v>208</v>
      </c>
      <c r="B216" s="163" t="s">
        <v>341</v>
      </c>
      <c r="C216" s="151" t="s">
        <v>36</v>
      </c>
      <c r="D216" s="85" t="s">
        <v>37</v>
      </c>
      <c r="E216" s="86">
        <v>10000</v>
      </c>
      <c r="F216" s="9">
        <v>14144</v>
      </c>
      <c r="G216" s="10">
        <v>10000</v>
      </c>
      <c r="H216" s="9">
        <v>10000</v>
      </c>
      <c r="I216" s="10">
        <v>14144</v>
      </c>
      <c r="J216" s="152">
        <v>5000</v>
      </c>
      <c r="K216" s="10">
        <v>10000</v>
      </c>
      <c r="L216" s="152">
        <v>5000</v>
      </c>
      <c r="M216" s="10">
        <v>5000</v>
      </c>
      <c r="N216" s="152">
        <v>5000</v>
      </c>
      <c r="O216" s="10">
        <v>5000</v>
      </c>
      <c r="P216" s="152">
        <v>10000</v>
      </c>
      <c r="Q216" s="10">
        <v>5000</v>
      </c>
      <c r="R216" s="9">
        <v>10000</v>
      </c>
      <c r="S216" s="10"/>
      <c r="T216" s="9">
        <v>0</v>
      </c>
      <c r="U216" s="10"/>
      <c r="V216" s="9">
        <v>0</v>
      </c>
      <c r="W216" s="10"/>
      <c r="X216" s="9">
        <v>0</v>
      </c>
      <c r="Y216" s="10"/>
      <c r="Z216" s="9">
        <v>0</v>
      </c>
      <c r="AA216" s="10"/>
      <c r="AB216" s="11">
        <v>0</v>
      </c>
      <c r="AC216" s="10"/>
      <c r="AD216" s="7">
        <f>SUM(F216+H216+J216+L216+N216+P216+R216+T216+V216+X216+Z216+AB216)</f>
        <v>59144</v>
      </c>
      <c r="AE216" s="7">
        <f>E216+AD216</f>
        <v>69144</v>
      </c>
      <c r="AF216" s="8">
        <f>G216+I216+K216+M216+O216+Q216+S216+U216+W216+Y216+AA216+AC216</f>
        <v>49144</v>
      </c>
      <c r="AG216" s="153">
        <f>SUM(AE216-AF216)</f>
        <v>20000</v>
      </c>
      <c r="AH216" s="99" t="s">
        <v>342</v>
      </c>
      <c r="AI216" s="99">
        <v>4</v>
      </c>
    </row>
    <row r="217" spans="1:42" customHeight="1" ht="11.5">
      <c r="A217" s="5">
        <v>209</v>
      </c>
      <c r="B217" s="163" t="s">
        <v>343</v>
      </c>
      <c r="C217" s="151" t="s">
        <v>36</v>
      </c>
      <c r="D217" s="85" t="s">
        <v>37</v>
      </c>
      <c r="E217" s="86">
        <v>40000</v>
      </c>
      <c r="F217" s="9">
        <v>40000</v>
      </c>
      <c r="G217" s="10">
        <v>40000</v>
      </c>
      <c r="H217" s="9">
        <v>30000</v>
      </c>
      <c r="I217" s="10">
        <v>40000</v>
      </c>
      <c r="J217" s="152">
        <v>30000</v>
      </c>
      <c r="K217" s="10">
        <v>30000</v>
      </c>
      <c r="L217" s="152">
        <v>10000</v>
      </c>
      <c r="M217" s="10">
        <v>30000</v>
      </c>
      <c r="N217" s="152">
        <v>40000</v>
      </c>
      <c r="O217" s="10">
        <v>10000</v>
      </c>
      <c r="P217" s="152">
        <v>10000</v>
      </c>
      <c r="Q217" s="10">
        <v>40000</v>
      </c>
      <c r="R217" s="9">
        <v>60000</v>
      </c>
      <c r="S217" s="10"/>
      <c r="T217" s="9">
        <v>0</v>
      </c>
      <c r="U217" s="10"/>
      <c r="V217" s="9">
        <v>0</v>
      </c>
      <c r="W217" s="10"/>
      <c r="X217" s="9">
        <v>0</v>
      </c>
      <c r="Y217" s="10"/>
      <c r="Z217" s="9">
        <v>0</v>
      </c>
      <c r="AA217" s="10"/>
      <c r="AB217" s="11">
        <v>0</v>
      </c>
      <c r="AC217" s="10"/>
      <c r="AD217" s="7">
        <f>SUM(F217+H217+J217+L217+N217+P217+R217+T217+V217+X217+Z217+AB217)</f>
        <v>220000</v>
      </c>
      <c r="AE217" s="7">
        <f>E217+AD217</f>
        <v>260000</v>
      </c>
      <c r="AF217" s="8">
        <f>G217+I217+K217+M217+O217+Q217+S217+U217+W217+Y217+AA217+AC217</f>
        <v>190000</v>
      </c>
      <c r="AG217" s="153">
        <f>SUM(AE217-AF217)</f>
        <v>70000</v>
      </c>
      <c r="AH217" s="99" t="s">
        <v>344</v>
      </c>
      <c r="AI217" s="99">
        <v>4</v>
      </c>
    </row>
    <row r="218" spans="1:42" customHeight="1" ht="11.5">
      <c r="A218" s="5">
        <v>210</v>
      </c>
      <c r="B218" s="163" t="s">
        <v>345</v>
      </c>
      <c r="C218" s="151" t="s">
        <v>36</v>
      </c>
      <c r="D218" s="85" t="s">
        <v>37</v>
      </c>
      <c r="E218" s="86">
        <v>10000</v>
      </c>
      <c r="F218" s="9">
        <v>20000</v>
      </c>
      <c r="G218" s="10">
        <v>10000</v>
      </c>
      <c r="H218" s="9">
        <v>15000</v>
      </c>
      <c r="I218" s="10">
        <v>20000</v>
      </c>
      <c r="J218" s="152">
        <v>10000</v>
      </c>
      <c r="K218" s="10">
        <v>15000</v>
      </c>
      <c r="L218" s="152">
        <v>10000</v>
      </c>
      <c r="M218" s="10">
        <v>10000</v>
      </c>
      <c r="N218" s="152">
        <v>10000</v>
      </c>
      <c r="O218" s="10">
        <v>10000</v>
      </c>
      <c r="P218" s="152">
        <v>15000</v>
      </c>
      <c r="Q218" s="10">
        <v>10000</v>
      </c>
      <c r="R218" s="9">
        <v>15000</v>
      </c>
      <c r="S218" s="10"/>
      <c r="T218" s="9">
        <v>0</v>
      </c>
      <c r="U218" s="10"/>
      <c r="V218" s="9">
        <v>0</v>
      </c>
      <c r="W218" s="10"/>
      <c r="X218" s="9">
        <v>0</v>
      </c>
      <c r="Y218" s="10"/>
      <c r="Z218" s="9">
        <v>0</v>
      </c>
      <c r="AA218" s="10"/>
      <c r="AB218" s="11">
        <v>0</v>
      </c>
      <c r="AC218" s="10"/>
      <c r="AD218" s="7">
        <f>SUM(F218+H218+J218+L218+N218+P218+R218+T218+V218+X218+Z218+AB218)</f>
        <v>95000</v>
      </c>
      <c r="AE218" s="7">
        <f>E218+AD218</f>
        <v>105000</v>
      </c>
      <c r="AF218" s="8">
        <f>G218+I218+K218+M218+O218+Q218+S218+U218+W218+Y218+AA218+AC218</f>
        <v>75000</v>
      </c>
      <c r="AG218" s="153">
        <f>SUM(AE218-AF218)</f>
        <v>30000</v>
      </c>
      <c r="AH218" s="99" t="s">
        <v>346</v>
      </c>
      <c r="AI218" s="99">
        <v>4</v>
      </c>
    </row>
    <row r="219" spans="1:42" customHeight="1" ht="11.5">
      <c r="A219" s="5">
        <v>211</v>
      </c>
      <c r="B219" s="163" t="s">
        <v>347</v>
      </c>
      <c r="C219" s="151" t="s">
        <v>112</v>
      </c>
      <c r="D219" s="85" t="s">
        <v>113</v>
      </c>
      <c r="E219" s="86">
        <v>18000</v>
      </c>
      <c r="F219" s="9">
        <v>12000</v>
      </c>
      <c r="G219" s="10">
        <v>18000</v>
      </c>
      <c r="H219" s="9">
        <v>22000</v>
      </c>
      <c r="I219" s="10">
        <v>12000</v>
      </c>
      <c r="J219" s="152">
        <v>14000</v>
      </c>
      <c r="K219" s="10">
        <v>22000</v>
      </c>
      <c r="L219" s="152">
        <v>6000</v>
      </c>
      <c r="M219" s="10">
        <v>14000</v>
      </c>
      <c r="N219" s="152">
        <v>12000</v>
      </c>
      <c r="O219" s="10">
        <v>6000</v>
      </c>
      <c r="P219" s="152">
        <v>4000</v>
      </c>
      <c r="Q219" s="10">
        <v>12000</v>
      </c>
      <c r="R219" s="9">
        <v>10000</v>
      </c>
      <c r="S219" s="10"/>
      <c r="T219" s="9">
        <v>0</v>
      </c>
      <c r="U219" s="10"/>
      <c r="V219" s="9">
        <v>0</v>
      </c>
      <c r="W219" s="10"/>
      <c r="X219" s="9">
        <v>0</v>
      </c>
      <c r="Y219" s="10"/>
      <c r="Z219" s="9">
        <v>0</v>
      </c>
      <c r="AA219" s="10"/>
      <c r="AB219" s="11">
        <v>0</v>
      </c>
      <c r="AC219" s="10"/>
      <c r="AD219" s="7">
        <f>SUM(F219+H219+J219+L219+N219+P219+R219+T219+V219+X219+Z219+AB219)</f>
        <v>80000</v>
      </c>
      <c r="AE219" s="7">
        <f>E219+AD219</f>
        <v>98000</v>
      </c>
      <c r="AF219" s="8">
        <f>G219+I219+K219+M219+O219+Q219+S219+U219+W219+Y219+AA219+AC219</f>
        <v>84000</v>
      </c>
      <c r="AG219" s="153">
        <f>SUM(AE219-AF219)</f>
        <v>14000</v>
      </c>
      <c r="AH219" s="99" t="s">
        <v>348</v>
      </c>
      <c r="AI219" s="99">
        <v>4</v>
      </c>
    </row>
    <row r="220" spans="1:42" customHeight="1" ht="11.5">
      <c r="A220" s="5">
        <v>212</v>
      </c>
      <c r="B220" s="164" t="s">
        <v>349</v>
      </c>
      <c r="C220" s="151" t="s">
        <v>157</v>
      </c>
      <c r="D220" s="85" t="s">
        <v>158</v>
      </c>
      <c r="E220" s="86">
        <v>28000</v>
      </c>
      <c r="F220" s="9">
        <v>18000</v>
      </c>
      <c r="G220" s="10">
        <v>28000</v>
      </c>
      <c r="H220" s="9">
        <v>26000</v>
      </c>
      <c r="I220" s="10"/>
      <c r="J220" s="152">
        <v>6000</v>
      </c>
      <c r="K220" s="10"/>
      <c r="L220" s="152">
        <v>6000</v>
      </c>
      <c r="M220" s="10"/>
      <c r="N220" s="152">
        <v>14000</v>
      </c>
      <c r="O220" s="10"/>
      <c r="P220" s="152">
        <v>4000</v>
      </c>
      <c r="Q220" s="10"/>
      <c r="R220" s="9">
        <v>10050</v>
      </c>
      <c r="S220" s="10"/>
      <c r="T220" s="9">
        <v>0</v>
      </c>
      <c r="U220" s="10"/>
      <c r="V220" s="9">
        <v>0</v>
      </c>
      <c r="W220" s="10"/>
      <c r="X220" s="9">
        <v>0</v>
      </c>
      <c r="Y220" s="10"/>
      <c r="Z220" s="9">
        <v>0</v>
      </c>
      <c r="AA220" s="10"/>
      <c r="AB220" s="11">
        <v>0</v>
      </c>
      <c r="AC220" s="10"/>
      <c r="AD220" s="7">
        <f>SUM(F220+H220+J220+L220+N220+P220+R220+T220+V220+X220+Z220+AB220)</f>
        <v>84050</v>
      </c>
      <c r="AE220" s="7">
        <f>E220+AD220</f>
        <v>112050</v>
      </c>
      <c r="AF220" s="8">
        <f>G220+I220+K220+M220+O220+Q220+S220+U220+W220+Y220+AA220+AC220</f>
        <v>28000</v>
      </c>
      <c r="AG220" s="153">
        <f>SUM(AE220-AF220)</f>
        <v>84050</v>
      </c>
      <c r="AH220" s="99" t="s">
        <v>350</v>
      </c>
      <c r="AI220" s="99">
        <v>4</v>
      </c>
    </row>
    <row r="221" spans="1:42" customHeight="1" ht="11.5">
      <c r="A221" s="5">
        <v>213</v>
      </c>
      <c r="B221" s="164" t="s">
        <v>351</v>
      </c>
      <c r="C221" s="151" t="s">
        <v>157</v>
      </c>
      <c r="D221" s="85" t="s">
        <v>158</v>
      </c>
      <c r="E221" s="86">
        <v>21000</v>
      </c>
      <c r="F221" s="9">
        <v>18000</v>
      </c>
      <c r="G221" s="10">
        <v>21000</v>
      </c>
      <c r="H221" s="9">
        <v>20000</v>
      </c>
      <c r="I221" s="10"/>
      <c r="J221" s="152">
        <v>10000</v>
      </c>
      <c r="K221" s="10"/>
      <c r="L221" s="152">
        <v>8000</v>
      </c>
      <c r="M221" s="10"/>
      <c r="N221" s="152">
        <v>12000</v>
      </c>
      <c r="O221" s="10"/>
      <c r="P221" s="152">
        <v>4000</v>
      </c>
      <c r="Q221" s="10"/>
      <c r="R221" s="9">
        <v>12000</v>
      </c>
      <c r="S221" s="10"/>
      <c r="T221" s="9">
        <v>0</v>
      </c>
      <c r="U221" s="10"/>
      <c r="V221" s="9">
        <v>0</v>
      </c>
      <c r="W221" s="10"/>
      <c r="X221" s="9">
        <v>0</v>
      </c>
      <c r="Y221" s="10"/>
      <c r="Z221" s="9">
        <v>0</v>
      </c>
      <c r="AA221" s="10"/>
      <c r="AB221" s="11">
        <v>0</v>
      </c>
      <c r="AC221" s="10"/>
      <c r="AD221" s="7">
        <f>SUM(F221+H221+J221+L221+N221+P221+R221+T221+V221+X221+Z221+AB221)</f>
        <v>84000</v>
      </c>
      <c r="AE221" s="7">
        <f>E221+AD221</f>
        <v>105000</v>
      </c>
      <c r="AF221" s="8">
        <f>G221+I221+K221+M221+O221+Q221+S221+U221+W221+Y221+AA221+AC221</f>
        <v>21000</v>
      </c>
      <c r="AG221" s="153">
        <f>SUM(AE221-AF221)</f>
        <v>84000</v>
      </c>
      <c r="AH221" s="99" t="s">
        <v>352</v>
      </c>
      <c r="AI221" s="99">
        <v>4</v>
      </c>
    </row>
    <row r="222" spans="1:42" customHeight="1" ht="11.5">
      <c r="A222" s="5">
        <v>214</v>
      </c>
      <c r="B222" s="163" t="s">
        <v>353</v>
      </c>
      <c r="C222" s="151" t="s">
        <v>36</v>
      </c>
      <c r="D222" s="85" t="s">
        <v>37</v>
      </c>
      <c r="E222" s="86">
        <v>20000</v>
      </c>
      <c r="F222" s="9">
        <v>10000</v>
      </c>
      <c r="G222" s="10">
        <v>20000</v>
      </c>
      <c r="H222" s="9">
        <v>20000</v>
      </c>
      <c r="I222" s="10">
        <v>10000</v>
      </c>
      <c r="J222" s="152">
        <v>15000</v>
      </c>
      <c r="K222" s="10">
        <v>20000</v>
      </c>
      <c r="L222" s="152">
        <v>5000</v>
      </c>
      <c r="M222" s="10">
        <v>15000</v>
      </c>
      <c r="N222" s="152">
        <v>15000</v>
      </c>
      <c r="O222" s="10">
        <v>5000</v>
      </c>
      <c r="P222" s="152">
        <v>0</v>
      </c>
      <c r="Q222" s="10">
        <v>15000</v>
      </c>
      <c r="R222" s="9">
        <v>20000</v>
      </c>
      <c r="S222" s="10"/>
      <c r="T222" s="9">
        <v>0</v>
      </c>
      <c r="U222" s="10"/>
      <c r="V222" s="9">
        <v>0</v>
      </c>
      <c r="W222" s="10"/>
      <c r="X222" s="9">
        <v>0</v>
      </c>
      <c r="Y222" s="10"/>
      <c r="Z222" s="9">
        <v>0</v>
      </c>
      <c r="AA222" s="10"/>
      <c r="AB222" s="11">
        <v>0</v>
      </c>
      <c r="AC222" s="10"/>
      <c r="AD222" s="7">
        <f>SUM(F222+H222+J222+L222+N222+P222+R222+T222+V222+X222+Z222+AB222)</f>
        <v>85000</v>
      </c>
      <c r="AE222" s="7">
        <f>E222+AD222</f>
        <v>105000</v>
      </c>
      <c r="AF222" s="8">
        <f>G222+I222+K222+M222+O222+Q222+S222+U222+W222+Y222+AA222+AC222</f>
        <v>85000</v>
      </c>
      <c r="AG222" s="153">
        <f>SUM(AE222-AF222)</f>
        <v>20000</v>
      </c>
      <c r="AH222" s="99" t="s">
        <v>354</v>
      </c>
      <c r="AI222" s="99">
        <v>4</v>
      </c>
    </row>
    <row r="223" spans="1:42" customHeight="1" ht="11.5">
      <c r="A223" s="5">
        <v>215</v>
      </c>
      <c r="B223" s="163" t="s">
        <v>355</v>
      </c>
      <c r="C223" s="151" t="s">
        <v>36</v>
      </c>
      <c r="D223" s="85" t="s">
        <v>37</v>
      </c>
      <c r="E223" s="86">
        <v>8000</v>
      </c>
      <c r="F223" s="9">
        <v>10000</v>
      </c>
      <c r="G223" s="10">
        <v>8000</v>
      </c>
      <c r="H223" s="9">
        <v>8000</v>
      </c>
      <c r="I223" s="10">
        <v>10000</v>
      </c>
      <c r="J223" s="152">
        <v>16000</v>
      </c>
      <c r="K223" s="10">
        <v>8000</v>
      </c>
      <c r="L223" s="152">
        <v>4000</v>
      </c>
      <c r="M223" s="10">
        <v>16000</v>
      </c>
      <c r="N223" s="152">
        <v>8000</v>
      </c>
      <c r="O223" s="10">
        <v>4000</v>
      </c>
      <c r="P223" s="152">
        <v>2000</v>
      </c>
      <c r="Q223" s="10">
        <v>8000</v>
      </c>
      <c r="R223" s="9">
        <v>6000</v>
      </c>
      <c r="S223" s="10"/>
      <c r="T223" s="9">
        <v>0</v>
      </c>
      <c r="U223" s="10"/>
      <c r="V223" s="9">
        <v>0</v>
      </c>
      <c r="W223" s="10"/>
      <c r="X223" s="9">
        <v>0</v>
      </c>
      <c r="Y223" s="10"/>
      <c r="Z223" s="9">
        <v>0</v>
      </c>
      <c r="AA223" s="10"/>
      <c r="AB223" s="11">
        <v>0</v>
      </c>
      <c r="AC223" s="10"/>
      <c r="AD223" s="7">
        <f>SUM(F223+H223+J223+L223+N223+P223+R223+T223+V223+X223+Z223+AB223)</f>
        <v>54000</v>
      </c>
      <c r="AE223" s="7">
        <f>E223+AD223</f>
        <v>62000</v>
      </c>
      <c r="AF223" s="8">
        <f>G223+I223+K223+M223+O223+Q223+S223+U223+W223+Y223+AA223+AC223</f>
        <v>54000</v>
      </c>
      <c r="AG223" s="153">
        <f>SUM(AE223-AF223)</f>
        <v>8000</v>
      </c>
      <c r="AH223" s="99" t="s">
        <v>356</v>
      </c>
      <c r="AI223" s="99">
        <v>4</v>
      </c>
    </row>
    <row r="224" spans="1:42" customHeight="1" ht="11.5">
      <c r="A224" s="5">
        <v>216</v>
      </c>
      <c r="B224" s="163" t="s">
        <v>357</v>
      </c>
      <c r="C224" s="151" t="s">
        <v>36</v>
      </c>
      <c r="D224" s="85" t="s">
        <v>37</v>
      </c>
      <c r="E224" s="86">
        <v>5000</v>
      </c>
      <c r="F224" s="9">
        <v>5000</v>
      </c>
      <c r="G224" s="10">
        <v>5000</v>
      </c>
      <c r="H224" s="9">
        <v>5000</v>
      </c>
      <c r="I224" s="10">
        <v>5000</v>
      </c>
      <c r="J224" s="152">
        <v>10000</v>
      </c>
      <c r="K224" s="10">
        <v>5000</v>
      </c>
      <c r="L224" s="152">
        <v>0</v>
      </c>
      <c r="M224" s="10">
        <v>10000</v>
      </c>
      <c r="N224" s="152">
        <v>5000</v>
      </c>
      <c r="O224" s="10"/>
      <c r="P224" s="152">
        <v>0</v>
      </c>
      <c r="Q224" s="10">
        <v>5000</v>
      </c>
      <c r="R224" s="9">
        <v>5000</v>
      </c>
      <c r="S224" s="10"/>
      <c r="T224" s="9">
        <v>0</v>
      </c>
      <c r="U224" s="10"/>
      <c r="V224" s="9">
        <v>0</v>
      </c>
      <c r="W224" s="10"/>
      <c r="X224" s="9">
        <v>0</v>
      </c>
      <c r="Y224" s="10"/>
      <c r="Z224" s="9">
        <v>0</v>
      </c>
      <c r="AA224" s="10"/>
      <c r="AB224" s="11">
        <v>0</v>
      </c>
      <c r="AC224" s="10"/>
      <c r="AD224" s="7">
        <f>SUM(F224+H224+J224+L224+N224+P224+R224+T224+V224+X224+Z224+AB224)</f>
        <v>30000</v>
      </c>
      <c r="AE224" s="7">
        <f>E224+AD224</f>
        <v>35000</v>
      </c>
      <c r="AF224" s="8">
        <f>G224+I224+K224+M224+O224+Q224+S224+U224+W224+Y224+AA224+AC224</f>
        <v>30000</v>
      </c>
      <c r="AG224" s="153">
        <f>SUM(AE224-AF224)</f>
        <v>5000</v>
      </c>
      <c r="AH224" s="99" t="s">
        <v>358</v>
      </c>
      <c r="AI224" s="99">
        <v>4</v>
      </c>
    </row>
    <row r="225" spans="1:42" customHeight="1" ht="11.5">
      <c r="A225" s="5">
        <v>217</v>
      </c>
      <c r="B225" s="163" t="s">
        <v>359</v>
      </c>
      <c r="C225" s="151" t="s">
        <v>36</v>
      </c>
      <c r="D225" s="85" t="s">
        <v>37</v>
      </c>
      <c r="E225" s="86">
        <v>10000</v>
      </c>
      <c r="F225" s="9">
        <v>20000</v>
      </c>
      <c r="G225" s="10">
        <v>10000</v>
      </c>
      <c r="H225" s="9">
        <v>10000</v>
      </c>
      <c r="I225" s="10">
        <v>20000</v>
      </c>
      <c r="J225" s="152">
        <v>20000</v>
      </c>
      <c r="K225" s="10">
        <v>10000</v>
      </c>
      <c r="L225" s="152">
        <v>10000</v>
      </c>
      <c r="M225" s="10">
        <v>20000</v>
      </c>
      <c r="N225" s="152">
        <v>10000</v>
      </c>
      <c r="O225" s="10">
        <v>10000</v>
      </c>
      <c r="P225" s="152">
        <v>0</v>
      </c>
      <c r="Q225" s="10">
        <v>10000</v>
      </c>
      <c r="R225" s="9">
        <v>20000</v>
      </c>
      <c r="S225" s="10"/>
      <c r="T225" s="9">
        <v>0</v>
      </c>
      <c r="U225" s="10"/>
      <c r="V225" s="9">
        <v>0</v>
      </c>
      <c r="W225" s="10"/>
      <c r="X225" s="9">
        <v>0</v>
      </c>
      <c r="Y225" s="10"/>
      <c r="Z225" s="9">
        <v>0</v>
      </c>
      <c r="AA225" s="10"/>
      <c r="AB225" s="11">
        <v>0</v>
      </c>
      <c r="AC225" s="10"/>
      <c r="AD225" s="7">
        <f>SUM(F225+H225+J225+L225+N225+P225+R225+T225+V225+X225+Z225+AB225)</f>
        <v>90000</v>
      </c>
      <c r="AE225" s="7">
        <f>E225+AD225</f>
        <v>100000</v>
      </c>
      <c r="AF225" s="8">
        <f>G225+I225+K225+M225+O225+Q225+S225+U225+W225+Y225+AA225+AC225</f>
        <v>80000</v>
      </c>
      <c r="AG225" s="153">
        <f>SUM(AE225-AF225)</f>
        <v>20000</v>
      </c>
      <c r="AH225" s="99" t="s">
        <v>360</v>
      </c>
      <c r="AI225" s="99">
        <v>4</v>
      </c>
    </row>
    <row r="226" spans="1:42" customHeight="1" ht="11.5">
      <c r="A226" s="5">
        <v>218</v>
      </c>
      <c r="B226" s="163" t="s">
        <v>361</v>
      </c>
      <c r="C226" s="151" t="s">
        <v>36</v>
      </c>
      <c r="D226" s="85" t="s">
        <v>37</v>
      </c>
      <c r="E226" s="86">
        <v>10000</v>
      </c>
      <c r="F226" s="9">
        <v>0</v>
      </c>
      <c r="G226" s="10">
        <v>10000</v>
      </c>
      <c r="H226" s="9">
        <v>10000</v>
      </c>
      <c r="I226" s="10"/>
      <c r="J226" s="152">
        <v>0</v>
      </c>
      <c r="K226" s="10">
        <v>10000</v>
      </c>
      <c r="L226" s="152">
        <v>10000</v>
      </c>
      <c r="M226" s="10"/>
      <c r="N226" s="152">
        <v>10000</v>
      </c>
      <c r="O226" s="10">
        <v>10000</v>
      </c>
      <c r="P226" s="152">
        <v>0</v>
      </c>
      <c r="Q226" s="10">
        <v>10000</v>
      </c>
      <c r="R226" s="9">
        <v>0</v>
      </c>
      <c r="S226" s="10"/>
      <c r="T226" s="9">
        <v>0</v>
      </c>
      <c r="U226" s="10"/>
      <c r="V226" s="9">
        <v>0</v>
      </c>
      <c r="W226" s="10"/>
      <c r="X226" s="9">
        <v>0</v>
      </c>
      <c r="Y226" s="10"/>
      <c r="Z226" s="9">
        <v>0</v>
      </c>
      <c r="AA226" s="10"/>
      <c r="AB226" s="11">
        <v>0</v>
      </c>
      <c r="AC226" s="10"/>
      <c r="AD226" s="7">
        <f>SUM(F226+H226+J226+L226+N226+P226+R226+T226+V226+X226+Z226+AB226)</f>
        <v>30000</v>
      </c>
      <c r="AE226" s="7">
        <f>E226+AD226</f>
        <v>40000</v>
      </c>
      <c r="AF226" s="8">
        <f>G226+I226+K226+M226+O226+Q226+S226+U226+W226+Y226+AA226+AC226</f>
        <v>40000</v>
      </c>
      <c r="AG226" s="153">
        <f>SUM(AE226-AF226)</f>
        <v>0</v>
      </c>
      <c r="AH226" s="99" t="s">
        <v>362</v>
      </c>
      <c r="AI226" s="99">
        <v>4</v>
      </c>
    </row>
    <row r="227" spans="1:42" customHeight="1" ht="11.5">
      <c r="A227" s="5">
        <v>219</v>
      </c>
      <c r="B227" s="163" t="s">
        <v>363</v>
      </c>
      <c r="C227" s="151" t="s">
        <v>36</v>
      </c>
      <c r="D227" s="85" t="s">
        <v>37</v>
      </c>
      <c r="E227" s="86">
        <v>0</v>
      </c>
      <c r="F227" s="9">
        <v>0</v>
      </c>
      <c r="G227" s="10"/>
      <c r="H227" s="9">
        <v>0</v>
      </c>
      <c r="I227" s="10"/>
      <c r="J227" s="152">
        <v>10000</v>
      </c>
      <c r="K227" s="10"/>
      <c r="L227" s="152">
        <v>0</v>
      </c>
      <c r="M227" s="10">
        <v>10000</v>
      </c>
      <c r="N227" s="152">
        <v>0</v>
      </c>
      <c r="O227" s="10"/>
      <c r="P227" s="152">
        <v>10000</v>
      </c>
      <c r="Q227" s="10"/>
      <c r="R227" s="9">
        <v>0</v>
      </c>
      <c r="S227" s="10"/>
      <c r="T227" s="9">
        <v>0</v>
      </c>
      <c r="U227" s="10"/>
      <c r="V227" s="9">
        <v>0</v>
      </c>
      <c r="W227" s="10"/>
      <c r="X227" s="9">
        <v>0</v>
      </c>
      <c r="Y227" s="10"/>
      <c r="Z227" s="9">
        <v>0</v>
      </c>
      <c r="AA227" s="10"/>
      <c r="AB227" s="11">
        <v>0</v>
      </c>
      <c r="AC227" s="10"/>
      <c r="AD227" s="7">
        <f>SUM(F227+H227+J227+L227+N227+P227+R227+T227+V227+X227+Z227+AB227)</f>
        <v>20000</v>
      </c>
      <c r="AE227" s="7">
        <f>E227+AD227</f>
        <v>20000</v>
      </c>
      <c r="AF227" s="8">
        <f>G227+I227+K227+M227+O227+Q227+S227+U227+W227+Y227+AA227+AC227</f>
        <v>10000</v>
      </c>
      <c r="AG227" s="153">
        <f>SUM(AE227-AF227)</f>
        <v>10000</v>
      </c>
      <c r="AH227" s="99" t="s">
        <v>364</v>
      </c>
      <c r="AI227" s="99">
        <v>4</v>
      </c>
    </row>
    <row r="228" spans="1:42" customHeight="1" ht="11.5">
      <c r="A228" s="5">
        <v>220</v>
      </c>
      <c r="B228" s="163" t="s">
        <v>365</v>
      </c>
      <c r="C228" s="151" t="s">
        <v>36</v>
      </c>
      <c r="D228" s="85" t="s">
        <v>37</v>
      </c>
      <c r="E228" s="86">
        <v>6000</v>
      </c>
      <c r="F228" s="9">
        <v>6000</v>
      </c>
      <c r="G228" s="10">
        <v>6000</v>
      </c>
      <c r="H228" s="9">
        <v>4000</v>
      </c>
      <c r="I228" s="10">
        <v>6000</v>
      </c>
      <c r="J228" s="152">
        <v>6000</v>
      </c>
      <c r="K228" s="10">
        <v>4000</v>
      </c>
      <c r="L228" s="152">
        <v>2000</v>
      </c>
      <c r="M228" s="10">
        <v>6000</v>
      </c>
      <c r="N228" s="152">
        <v>6000</v>
      </c>
      <c r="O228" s="10">
        <v>2000</v>
      </c>
      <c r="P228" s="152">
        <v>0</v>
      </c>
      <c r="Q228" s="10">
        <v>6000</v>
      </c>
      <c r="R228" s="9">
        <v>4000</v>
      </c>
      <c r="S228" s="10"/>
      <c r="T228" s="9">
        <v>0</v>
      </c>
      <c r="U228" s="10"/>
      <c r="V228" s="9">
        <v>0</v>
      </c>
      <c r="W228" s="10"/>
      <c r="X228" s="9">
        <v>0</v>
      </c>
      <c r="Y228" s="10"/>
      <c r="Z228" s="9">
        <v>0</v>
      </c>
      <c r="AA228" s="10"/>
      <c r="AB228" s="11">
        <v>0</v>
      </c>
      <c r="AC228" s="10"/>
      <c r="AD228" s="7">
        <f>SUM(F228+H228+J228+L228+N228+P228+R228+T228+V228+X228+Z228+AB228)</f>
        <v>28000</v>
      </c>
      <c r="AE228" s="7">
        <f>E228+AD228</f>
        <v>34000</v>
      </c>
      <c r="AF228" s="8">
        <f>G228+I228+K228+M228+O228+Q228+S228+U228+W228+Y228+AA228+AC228</f>
        <v>30000</v>
      </c>
      <c r="AG228" s="153">
        <f>SUM(AE228-AF228)</f>
        <v>4000</v>
      </c>
      <c r="AH228" s="99" t="s">
        <v>366</v>
      </c>
      <c r="AI228" s="99">
        <v>4</v>
      </c>
    </row>
    <row r="229" spans="1:42" customHeight="1" ht="11.5">
      <c r="A229" s="5">
        <v>221</v>
      </c>
      <c r="B229" s="163" t="s">
        <v>367</v>
      </c>
      <c r="C229" s="151" t="s">
        <v>36</v>
      </c>
      <c r="D229" s="85" t="s">
        <v>37</v>
      </c>
      <c r="E229" s="86">
        <v>20000</v>
      </c>
      <c r="F229" s="9">
        <v>10000</v>
      </c>
      <c r="G229" s="10">
        <v>20000</v>
      </c>
      <c r="H229" s="9">
        <v>10000</v>
      </c>
      <c r="I229" s="10">
        <v>10000</v>
      </c>
      <c r="J229" s="152">
        <v>0</v>
      </c>
      <c r="K229" s="10">
        <v>10000</v>
      </c>
      <c r="L229" s="152">
        <v>10000</v>
      </c>
      <c r="M229" s="10"/>
      <c r="N229" s="152">
        <v>10000</v>
      </c>
      <c r="O229" s="10">
        <v>10000</v>
      </c>
      <c r="P229" s="152">
        <v>10000</v>
      </c>
      <c r="Q229" s="10">
        <v>10000</v>
      </c>
      <c r="R229" s="9">
        <v>10030</v>
      </c>
      <c r="S229" s="10"/>
      <c r="T229" s="9">
        <v>0</v>
      </c>
      <c r="U229" s="10"/>
      <c r="V229" s="9">
        <v>0</v>
      </c>
      <c r="W229" s="10"/>
      <c r="X229" s="9">
        <v>0</v>
      </c>
      <c r="Y229" s="10"/>
      <c r="Z229" s="9">
        <v>0</v>
      </c>
      <c r="AA229" s="10"/>
      <c r="AB229" s="11">
        <v>0</v>
      </c>
      <c r="AC229" s="10"/>
      <c r="AD229" s="7">
        <f>SUM(F229+H229+J229+L229+N229+P229+R229+T229+V229+X229+Z229+AB229)</f>
        <v>60030</v>
      </c>
      <c r="AE229" s="7">
        <f>E229+AD229</f>
        <v>80030</v>
      </c>
      <c r="AF229" s="8">
        <f>G229+I229+K229+M229+O229+Q229+S229+U229+W229+Y229+AA229+AC229</f>
        <v>60000</v>
      </c>
      <c r="AG229" s="153">
        <f>SUM(AE229-AF229)</f>
        <v>20030</v>
      </c>
      <c r="AH229" s="99" t="s">
        <v>368</v>
      </c>
      <c r="AI229" s="99">
        <v>4</v>
      </c>
    </row>
    <row r="230" spans="1:42" customHeight="1" ht="11.5">
      <c r="A230" s="5">
        <v>222</v>
      </c>
      <c r="B230" s="163" t="s">
        <v>369</v>
      </c>
      <c r="C230" s="151" t="s">
        <v>36</v>
      </c>
      <c r="D230" s="85" t="s">
        <v>37</v>
      </c>
      <c r="E230" s="86">
        <v>5000</v>
      </c>
      <c r="F230" s="9">
        <v>5000</v>
      </c>
      <c r="G230" s="10">
        <v>5000</v>
      </c>
      <c r="H230" s="9">
        <v>5000</v>
      </c>
      <c r="I230" s="10">
        <v>5000</v>
      </c>
      <c r="J230" s="152">
        <v>5000</v>
      </c>
      <c r="K230" s="10">
        <v>5000</v>
      </c>
      <c r="L230" s="152">
        <v>0</v>
      </c>
      <c r="M230" s="10">
        <v>5000</v>
      </c>
      <c r="N230" s="152">
        <v>5000</v>
      </c>
      <c r="O230" s="10"/>
      <c r="P230" s="152">
        <v>0</v>
      </c>
      <c r="Q230" s="10">
        <v>5000</v>
      </c>
      <c r="R230" s="9">
        <v>10000</v>
      </c>
      <c r="S230" s="10"/>
      <c r="T230" s="9">
        <v>0</v>
      </c>
      <c r="U230" s="10"/>
      <c r="V230" s="9">
        <v>0</v>
      </c>
      <c r="W230" s="10"/>
      <c r="X230" s="9">
        <v>0</v>
      </c>
      <c r="Y230" s="10"/>
      <c r="Z230" s="9">
        <v>0</v>
      </c>
      <c r="AA230" s="10"/>
      <c r="AB230" s="11">
        <v>0</v>
      </c>
      <c r="AC230" s="10"/>
      <c r="AD230" s="7">
        <f>SUM(F230+H230+J230+L230+N230+P230+R230+T230+V230+X230+Z230+AB230)</f>
        <v>30000</v>
      </c>
      <c r="AE230" s="7">
        <f>E230+AD230</f>
        <v>35000</v>
      </c>
      <c r="AF230" s="8">
        <f>G230+I230+K230+M230+O230+Q230+S230+U230+W230+Y230+AA230+AC230</f>
        <v>25000</v>
      </c>
      <c r="AG230" s="153">
        <f>SUM(AE230-AF230)</f>
        <v>10000</v>
      </c>
      <c r="AH230" s="99" t="s">
        <v>370</v>
      </c>
      <c r="AI230" s="99">
        <v>4</v>
      </c>
    </row>
    <row r="231" spans="1:42" customHeight="1" ht="11.5">
      <c r="A231" s="5">
        <v>223</v>
      </c>
      <c r="B231" s="163" t="s">
        <v>371</v>
      </c>
      <c r="C231" s="151" t="s">
        <v>36</v>
      </c>
      <c r="D231" s="85" t="s">
        <v>37</v>
      </c>
      <c r="E231" s="86">
        <v>10000</v>
      </c>
      <c r="F231" s="9">
        <v>0</v>
      </c>
      <c r="G231" s="10">
        <v>10000</v>
      </c>
      <c r="H231" s="9">
        <v>10000</v>
      </c>
      <c r="I231" s="10"/>
      <c r="J231" s="152">
        <v>0</v>
      </c>
      <c r="K231" s="10">
        <v>10000</v>
      </c>
      <c r="L231" s="152">
        <v>10000</v>
      </c>
      <c r="M231" s="10"/>
      <c r="N231" s="152">
        <v>10000</v>
      </c>
      <c r="O231" s="10">
        <v>10000</v>
      </c>
      <c r="P231" s="152">
        <v>0</v>
      </c>
      <c r="Q231" s="10">
        <v>10000</v>
      </c>
      <c r="R231" s="9">
        <v>0</v>
      </c>
      <c r="S231" s="10"/>
      <c r="T231" s="9">
        <v>0</v>
      </c>
      <c r="U231" s="10"/>
      <c r="V231" s="9">
        <v>0</v>
      </c>
      <c r="W231" s="10"/>
      <c r="X231" s="9">
        <v>0</v>
      </c>
      <c r="Y231" s="10"/>
      <c r="Z231" s="9">
        <v>0</v>
      </c>
      <c r="AA231" s="10"/>
      <c r="AB231" s="11">
        <v>0</v>
      </c>
      <c r="AC231" s="10"/>
      <c r="AD231" s="7">
        <f>SUM(F231+H231+J231+L231+N231+P231+R231+T231+V231+X231+Z231+AB231)</f>
        <v>30000</v>
      </c>
      <c r="AE231" s="7">
        <f>E231+AD231</f>
        <v>40000</v>
      </c>
      <c r="AF231" s="8">
        <f>G231+I231+K231+M231+O231+Q231+S231+U231+W231+Y231+AA231+AC231</f>
        <v>40000</v>
      </c>
      <c r="AG231" s="153">
        <f>SUM(AE231-AF231)</f>
        <v>0</v>
      </c>
      <c r="AH231" s="99" t="s">
        <v>372</v>
      </c>
      <c r="AI231" s="99">
        <v>4</v>
      </c>
    </row>
    <row r="232" spans="1:42" customHeight="1" ht="11.5">
      <c r="A232" s="5">
        <v>224</v>
      </c>
      <c r="B232" s="163" t="s">
        <v>373</v>
      </c>
      <c r="C232" s="151" t="s">
        <v>36</v>
      </c>
      <c r="D232" s="85" t="s">
        <v>37</v>
      </c>
      <c r="E232" s="86">
        <v>20000</v>
      </c>
      <c r="F232" s="9">
        <v>10000</v>
      </c>
      <c r="G232" s="10">
        <v>20000</v>
      </c>
      <c r="H232" s="9">
        <v>10000</v>
      </c>
      <c r="I232" s="10">
        <v>10000</v>
      </c>
      <c r="J232" s="152">
        <v>20000</v>
      </c>
      <c r="K232" s="10">
        <v>10000</v>
      </c>
      <c r="L232" s="152">
        <v>0</v>
      </c>
      <c r="M232" s="10">
        <v>20000</v>
      </c>
      <c r="N232" s="152">
        <v>10000</v>
      </c>
      <c r="O232" s="10"/>
      <c r="P232" s="152">
        <v>10000</v>
      </c>
      <c r="Q232" s="10">
        <v>10000</v>
      </c>
      <c r="R232" s="9">
        <v>20000</v>
      </c>
      <c r="S232" s="10"/>
      <c r="T232" s="9">
        <v>0</v>
      </c>
      <c r="U232" s="10"/>
      <c r="V232" s="9">
        <v>0</v>
      </c>
      <c r="W232" s="10"/>
      <c r="X232" s="9">
        <v>0</v>
      </c>
      <c r="Y232" s="10"/>
      <c r="Z232" s="9">
        <v>0</v>
      </c>
      <c r="AA232" s="10"/>
      <c r="AB232" s="11">
        <v>0</v>
      </c>
      <c r="AC232" s="10"/>
      <c r="AD232" s="7">
        <f>SUM(F232+H232+J232+L232+N232+P232+R232+T232+V232+X232+Z232+AB232)</f>
        <v>80000</v>
      </c>
      <c r="AE232" s="7">
        <f>E232+AD232</f>
        <v>100000</v>
      </c>
      <c r="AF232" s="8">
        <f>G232+I232+K232+M232+O232+Q232+S232+U232+W232+Y232+AA232+AC232</f>
        <v>70000</v>
      </c>
      <c r="AG232" s="153">
        <f>SUM(AE232-AF232)</f>
        <v>30000</v>
      </c>
      <c r="AH232" s="99" t="s">
        <v>374</v>
      </c>
      <c r="AI232" s="99">
        <v>4</v>
      </c>
    </row>
    <row r="233" spans="1:42" customHeight="1" ht="11.5">
      <c r="A233" s="5">
        <v>225</v>
      </c>
      <c r="B233" s="163" t="s">
        <v>375</v>
      </c>
      <c r="C233" s="151" t="s">
        <v>36</v>
      </c>
      <c r="D233" s="85" t="s">
        <v>37</v>
      </c>
      <c r="E233" s="86">
        <v>20000</v>
      </c>
      <c r="F233" s="9">
        <v>20000</v>
      </c>
      <c r="G233" s="10">
        <v>20000</v>
      </c>
      <c r="H233" s="9">
        <v>10000</v>
      </c>
      <c r="I233" s="10">
        <v>20000</v>
      </c>
      <c r="J233" s="152">
        <v>10000</v>
      </c>
      <c r="K233" s="10">
        <v>10000</v>
      </c>
      <c r="L233" s="152">
        <v>10000</v>
      </c>
      <c r="M233" s="10">
        <v>10000</v>
      </c>
      <c r="N233" s="152">
        <v>10000</v>
      </c>
      <c r="O233" s="10">
        <v>10000</v>
      </c>
      <c r="P233" s="152">
        <v>10000</v>
      </c>
      <c r="Q233" s="10">
        <v>10000</v>
      </c>
      <c r="R233" s="9">
        <v>20000</v>
      </c>
      <c r="S233" s="10"/>
      <c r="T233" s="9">
        <v>0</v>
      </c>
      <c r="U233" s="10"/>
      <c r="V233" s="9">
        <v>0</v>
      </c>
      <c r="W233" s="10"/>
      <c r="X233" s="9">
        <v>0</v>
      </c>
      <c r="Y233" s="10"/>
      <c r="Z233" s="9">
        <v>0</v>
      </c>
      <c r="AA233" s="10"/>
      <c r="AB233" s="11">
        <v>0</v>
      </c>
      <c r="AC233" s="10"/>
      <c r="AD233" s="7">
        <f>SUM(F233+H233+J233+L233+N233+P233+R233+T233+V233+X233+Z233+AB233)</f>
        <v>90000</v>
      </c>
      <c r="AE233" s="7">
        <f>E233+AD233</f>
        <v>110000</v>
      </c>
      <c r="AF233" s="8">
        <f>G233+I233+K233+M233+O233+Q233+S233+U233+W233+Y233+AA233+AC233</f>
        <v>80000</v>
      </c>
      <c r="AG233" s="153">
        <f>SUM(AE233-AF233)</f>
        <v>30000</v>
      </c>
      <c r="AH233" s="99" t="s">
        <v>376</v>
      </c>
      <c r="AI233" s="99">
        <v>4</v>
      </c>
    </row>
    <row r="234" spans="1:42" customHeight="1" ht="11.5">
      <c r="A234" s="5">
        <v>226</v>
      </c>
      <c r="B234" s="163" t="s">
        <v>377</v>
      </c>
      <c r="C234" s="151" t="s">
        <v>36</v>
      </c>
      <c r="D234" s="85" t="s">
        <v>37</v>
      </c>
      <c r="E234" s="86">
        <v>30000</v>
      </c>
      <c r="F234" s="9">
        <v>20000</v>
      </c>
      <c r="G234" s="10">
        <v>30000</v>
      </c>
      <c r="H234" s="9">
        <v>30000</v>
      </c>
      <c r="I234" s="10">
        <v>20000</v>
      </c>
      <c r="J234" s="152">
        <v>30000</v>
      </c>
      <c r="K234" s="10">
        <v>30000</v>
      </c>
      <c r="L234" s="152">
        <v>30000</v>
      </c>
      <c r="M234" s="10">
        <v>30000</v>
      </c>
      <c r="N234" s="152">
        <v>30000</v>
      </c>
      <c r="O234" s="10">
        <v>30000</v>
      </c>
      <c r="P234" s="152">
        <v>30000</v>
      </c>
      <c r="Q234" s="10">
        <v>30000</v>
      </c>
      <c r="R234" s="9">
        <v>30000</v>
      </c>
      <c r="S234" s="10"/>
      <c r="T234" s="9">
        <v>0</v>
      </c>
      <c r="U234" s="10"/>
      <c r="V234" s="9">
        <v>0</v>
      </c>
      <c r="W234" s="10"/>
      <c r="X234" s="9">
        <v>0</v>
      </c>
      <c r="Y234" s="10"/>
      <c r="Z234" s="9">
        <v>0</v>
      </c>
      <c r="AA234" s="10"/>
      <c r="AB234" s="11">
        <v>0</v>
      </c>
      <c r="AC234" s="10"/>
      <c r="AD234" s="7">
        <f>SUM(F234+H234+J234+L234+N234+P234+R234+T234+V234+X234+Z234+AB234)</f>
        <v>200000</v>
      </c>
      <c r="AE234" s="7">
        <f>E234+AD234</f>
        <v>230000</v>
      </c>
      <c r="AF234" s="8">
        <f>G234+I234+K234+M234+O234+Q234+S234+U234+W234+Y234+AA234+AC234</f>
        <v>170000</v>
      </c>
      <c r="AG234" s="153">
        <f>SUM(AE234-AF234)</f>
        <v>60000</v>
      </c>
      <c r="AH234" s="99" t="s">
        <v>378</v>
      </c>
      <c r="AI234" s="99">
        <v>4</v>
      </c>
    </row>
    <row r="235" spans="1:42" customHeight="1" ht="11.5">
      <c r="A235" s="5">
        <v>227</v>
      </c>
      <c r="B235" s="163" t="s">
        <v>379</v>
      </c>
      <c r="C235" s="151" t="s">
        <v>36</v>
      </c>
      <c r="D235" s="85" t="s">
        <v>37</v>
      </c>
      <c r="E235" s="86">
        <v>0</v>
      </c>
      <c r="F235" s="9">
        <v>5000</v>
      </c>
      <c r="G235" s="10"/>
      <c r="H235" s="9">
        <v>0</v>
      </c>
      <c r="I235" s="10">
        <v>5000</v>
      </c>
      <c r="J235" s="152">
        <v>5000</v>
      </c>
      <c r="K235" s="10"/>
      <c r="L235" s="152">
        <v>5000</v>
      </c>
      <c r="M235" s="10">
        <v>5000</v>
      </c>
      <c r="N235" s="152">
        <v>5000</v>
      </c>
      <c r="O235" s="10">
        <v>5000</v>
      </c>
      <c r="P235" s="152">
        <v>5000</v>
      </c>
      <c r="Q235" s="10">
        <v>5000</v>
      </c>
      <c r="R235" s="9">
        <v>10000</v>
      </c>
      <c r="S235" s="10"/>
      <c r="T235" s="9">
        <v>0</v>
      </c>
      <c r="U235" s="10"/>
      <c r="V235" s="9">
        <v>0</v>
      </c>
      <c r="W235" s="10"/>
      <c r="X235" s="9">
        <v>0</v>
      </c>
      <c r="Y235" s="10"/>
      <c r="Z235" s="9">
        <v>0</v>
      </c>
      <c r="AA235" s="10"/>
      <c r="AB235" s="11">
        <v>0</v>
      </c>
      <c r="AC235" s="10"/>
      <c r="AD235" s="7">
        <f>SUM(F235+H235+J235+L235+N235+P235+R235+T235+V235+X235+Z235+AB235)</f>
        <v>35000</v>
      </c>
      <c r="AE235" s="7">
        <f>E235+AD235</f>
        <v>35000</v>
      </c>
      <c r="AF235" s="8">
        <f>G235+I235+K235+M235+O235+Q235+S235+U235+W235+Y235+AA235+AC235</f>
        <v>20000</v>
      </c>
      <c r="AG235" s="153">
        <f>SUM(AE235-AF235)</f>
        <v>15000</v>
      </c>
      <c r="AH235" s="99" t="s">
        <v>380</v>
      </c>
      <c r="AI235" s="99">
        <v>4</v>
      </c>
    </row>
    <row r="236" spans="1:42" customHeight="1" ht="11.5">
      <c r="A236" s="5">
        <v>228</v>
      </c>
      <c r="B236" s="162" t="s">
        <v>381</v>
      </c>
      <c r="C236" s="4" t="s">
        <v>132</v>
      </c>
      <c r="D236" s="85" t="s">
        <v>133</v>
      </c>
      <c r="E236" s="86">
        <v>10000</v>
      </c>
      <c r="F236" s="9">
        <v>5000</v>
      </c>
      <c r="G236" s="10">
        <v>10000</v>
      </c>
      <c r="H236" s="9">
        <v>5000</v>
      </c>
      <c r="I236" s="10">
        <v>5000</v>
      </c>
      <c r="J236" s="152">
        <v>5000</v>
      </c>
      <c r="K236" s="10">
        <v>5000</v>
      </c>
      <c r="L236" s="152">
        <v>10000</v>
      </c>
      <c r="M236" s="10">
        <v>5000</v>
      </c>
      <c r="N236" s="152">
        <v>9500</v>
      </c>
      <c r="O236" s="10">
        <v>10000</v>
      </c>
      <c r="P236" s="152">
        <v>10000</v>
      </c>
      <c r="Q236" s="10"/>
      <c r="R236" s="9">
        <v>15000</v>
      </c>
      <c r="S236" s="10"/>
      <c r="T236" s="9">
        <v>0</v>
      </c>
      <c r="U236" s="10"/>
      <c r="V236" s="9">
        <v>0</v>
      </c>
      <c r="W236" s="10"/>
      <c r="X236" s="9">
        <v>0</v>
      </c>
      <c r="Y236" s="10"/>
      <c r="Z236" s="9">
        <v>0</v>
      </c>
      <c r="AA236" s="10"/>
      <c r="AB236" s="11">
        <v>0</v>
      </c>
      <c r="AC236" s="10"/>
      <c r="AD236" s="7">
        <f>SUM(F236+H236+J236+L236+N236+P236+R236+T236+V236+X236+Z236+AB236)</f>
        <v>59500</v>
      </c>
      <c r="AE236" s="7">
        <f>E236+AD236</f>
        <v>69500</v>
      </c>
      <c r="AF236" s="8">
        <f>G236+I236+K236+M236+O236+Q236+S236+U236+W236+Y236+AA236+AC236</f>
        <v>35000</v>
      </c>
      <c r="AG236" s="153">
        <f>SUM(AE236-AF236)</f>
        <v>34500</v>
      </c>
      <c r="AH236" s="99" t="s">
        <v>382</v>
      </c>
      <c r="AI236" s="99">
        <v>4</v>
      </c>
    </row>
    <row r="237" spans="1:42" customHeight="1" ht="11.5">
      <c r="A237" s="5">
        <v>229</v>
      </c>
      <c r="B237" s="163" t="s">
        <v>383</v>
      </c>
      <c r="C237" s="151" t="s">
        <v>36</v>
      </c>
      <c r="D237" s="85" t="s">
        <v>37</v>
      </c>
      <c r="E237" s="86">
        <v>10000</v>
      </c>
      <c r="F237" s="9">
        <v>10000</v>
      </c>
      <c r="G237" s="10">
        <v>10000</v>
      </c>
      <c r="H237" s="9">
        <v>0</v>
      </c>
      <c r="I237" s="10">
        <v>10000</v>
      </c>
      <c r="J237" s="152">
        <v>10000</v>
      </c>
      <c r="K237" s="10"/>
      <c r="L237" s="152">
        <v>10000</v>
      </c>
      <c r="M237" s="10">
        <v>10000</v>
      </c>
      <c r="N237" s="152">
        <v>10000</v>
      </c>
      <c r="O237" s="10">
        <v>10000</v>
      </c>
      <c r="P237" s="152">
        <v>10000</v>
      </c>
      <c r="Q237" s="10">
        <v>10000</v>
      </c>
      <c r="R237" s="9">
        <v>10000</v>
      </c>
      <c r="S237" s="10"/>
      <c r="T237" s="9">
        <v>0</v>
      </c>
      <c r="U237" s="10"/>
      <c r="V237" s="9">
        <v>0</v>
      </c>
      <c r="W237" s="10"/>
      <c r="X237" s="9">
        <v>0</v>
      </c>
      <c r="Y237" s="10"/>
      <c r="Z237" s="9">
        <v>0</v>
      </c>
      <c r="AA237" s="10"/>
      <c r="AB237" s="11">
        <v>0</v>
      </c>
      <c r="AC237" s="10"/>
      <c r="AD237" s="7">
        <f>SUM(F237+H237+J237+L237+N237+P237+R237+T237+V237+X237+Z237+AB237)</f>
        <v>60000</v>
      </c>
      <c r="AE237" s="7">
        <f>E237+AD237</f>
        <v>70000</v>
      </c>
      <c r="AF237" s="8">
        <f>G237+I237+K237+M237+O237+Q237+S237+U237+W237+Y237+AA237+AC237</f>
        <v>50000</v>
      </c>
      <c r="AG237" s="153">
        <f>SUM(AE237-AF237)</f>
        <v>20000</v>
      </c>
      <c r="AH237" s="99" t="s">
        <v>384</v>
      </c>
      <c r="AI237" s="99">
        <v>4</v>
      </c>
    </row>
    <row r="238" spans="1:42" customHeight="1" ht="11.5">
      <c r="A238" s="5">
        <v>230</v>
      </c>
      <c r="B238" s="163" t="s">
        <v>385</v>
      </c>
      <c r="C238" s="151" t="s">
        <v>36</v>
      </c>
      <c r="D238" s="85" t="s">
        <v>37</v>
      </c>
      <c r="E238" s="86">
        <v>9000</v>
      </c>
      <c r="F238" s="9">
        <v>9000</v>
      </c>
      <c r="G238" s="10">
        <v>9000</v>
      </c>
      <c r="H238" s="9">
        <v>9000</v>
      </c>
      <c r="I238" s="10">
        <v>9000</v>
      </c>
      <c r="J238" s="152">
        <v>9000</v>
      </c>
      <c r="K238" s="10">
        <v>9000</v>
      </c>
      <c r="L238" s="152">
        <v>12000</v>
      </c>
      <c r="M238" s="10">
        <v>9000</v>
      </c>
      <c r="N238" s="152">
        <v>12000</v>
      </c>
      <c r="O238" s="10">
        <v>12000</v>
      </c>
      <c r="P238" s="152">
        <v>18000</v>
      </c>
      <c r="Q238" s="10">
        <v>12000</v>
      </c>
      <c r="R238" s="9">
        <v>12000</v>
      </c>
      <c r="S238" s="10"/>
      <c r="T238" s="9">
        <v>0</v>
      </c>
      <c r="U238" s="10"/>
      <c r="V238" s="9">
        <v>0</v>
      </c>
      <c r="W238" s="10"/>
      <c r="X238" s="9">
        <v>0</v>
      </c>
      <c r="Y238" s="10"/>
      <c r="Z238" s="9">
        <v>0</v>
      </c>
      <c r="AA238" s="10"/>
      <c r="AB238" s="11">
        <v>0</v>
      </c>
      <c r="AC238" s="10"/>
      <c r="AD238" s="7">
        <f>SUM(F238+H238+J238+L238+N238+P238+R238+T238+V238+X238+Z238+AB238)</f>
        <v>81000</v>
      </c>
      <c r="AE238" s="7">
        <f>E238+AD238</f>
        <v>90000</v>
      </c>
      <c r="AF238" s="8">
        <f>G238+I238+K238+M238+O238+Q238+S238+U238+W238+Y238+AA238+AC238</f>
        <v>60000</v>
      </c>
      <c r="AG238" s="153">
        <f>SUM(AE238-AF238)</f>
        <v>30000</v>
      </c>
      <c r="AH238" s="99" t="s">
        <v>386</v>
      </c>
      <c r="AI238" s="99">
        <v>4</v>
      </c>
    </row>
    <row r="239" spans="1:42" customHeight="1" ht="11.5">
      <c r="A239" s="5">
        <v>231</v>
      </c>
      <c r="B239" s="163" t="s">
        <v>387</v>
      </c>
      <c r="C239" s="151" t="s">
        <v>132</v>
      </c>
      <c r="D239" s="85" t="s">
        <v>133</v>
      </c>
      <c r="E239" s="86">
        <v>0</v>
      </c>
      <c r="F239" s="9">
        <v>0</v>
      </c>
      <c r="G239" s="10"/>
      <c r="H239" s="9">
        <v>0</v>
      </c>
      <c r="I239" s="10"/>
      <c r="J239" s="152">
        <v>0</v>
      </c>
      <c r="K239" s="10"/>
      <c r="L239" s="152">
        <v>0</v>
      </c>
      <c r="M239" s="10"/>
      <c r="N239" s="152">
        <v>20000</v>
      </c>
      <c r="O239" s="10"/>
      <c r="P239" s="152">
        <v>0</v>
      </c>
      <c r="Q239" s="10"/>
      <c r="R239" s="9">
        <v>0</v>
      </c>
      <c r="S239" s="10"/>
      <c r="T239" s="9">
        <v>0</v>
      </c>
      <c r="U239" s="10"/>
      <c r="V239" s="9">
        <v>0</v>
      </c>
      <c r="W239" s="10"/>
      <c r="X239" s="9">
        <v>0</v>
      </c>
      <c r="Y239" s="10"/>
      <c r="Z239" s="9">
        <v>0</v>
      </c>
      <c r="AA239" s="10"/>
      <c r="AB239" s="11">
        <v>0</v>
      </c>
      <c r="AC239" s="10"/>
      <c r="AD239" s="7">
        <f>SUM(F239+H239+J239+L239+N239+P239+R239+T239+V239+X239+Z239+AB239)</f>
        <v>20000</v>
      </c>
      <c r="AE239" s="7">
        <f>E239+AD239</f>
        <v>20000</v>
      </c>
      <c r="AF239" s="8">
        <f>G239+I239+K239+M239+O239+Q239+S239+U239+W239+Y239+AA239+AC239</f>
        <v>0</v>
      </c>
      <c r="AG239" s="153">
        <f>SUM(AE239-AF239)</f>
        <v>20000</v>
      </c>
      <c r="AH239" s="99" t="s">
        <v>388</v>
      </c>
      <c r="AI239" s="99">
        <v>4</v>
      </c>
    </row>
    <row r="240" spans="1:42" customHeight="1" ht="11.5">
      <c r="A240" s="5">
        <v>232</v>
      </c>
      <c r="B240" s="163" t="s">
        <v>389</v>
      </c>
      <c r="C240" s="151" t="s">
        <v>36</v>
      </c>
      <c r="D240" s="85" t="s">
        <v>37</v>
      </c>
      <c r="E240" s="86">
        <v>0</v>
      </c>
      <c r="F240" s="9">
        <v>0</v>
      </c>
      <c r="G240" s="10">
        <v>310000</v>
      </c>
      <c r="H240" s="9">
        <v>0</v>
      </c>
      <c r="I240" s="10"/>
      <c r="J240" s="152">
        <v>0</v>
      </c>
      <c r="K240" s="10"/>
      <c r="L240" s="152">
        <v>0</v>
      </c>
      <c r="M240" s="10"/>
      <c r="N240" s="152">
        <v>0</v>
      </c>
      <c r="O240" s="10"/>
      <c r="P240" s="152">
        <v>0</v>
      </c>
      <c r="Q240" s="10"/>
      <c r="R240" s="9">
        <v>0</v>
      </c>
      <c r="S240" s="10"/>
      <c r="T240" s="9">
        <v>0</v>
      </c>
      <c r="U240" s="10"/>
      <c r="V240" s="9">
        <v>0</v>
      </c>
      <c r="W240" s="10"/>
      <c r="X240" s="9">
        <v>0</v>
      </c>
      <c r="Y240" s="10"/>
      <c r="Z240" s="9">
        <v>0</v>
      </c>
      <c r="AA240" s="10"/>
      <c r="AB240" s="11">
        <v>0</v>
      </c>
      <c r="AC240" s="10"/>
      <c r="AD240" s="7">
        <f>SUM(F240+H240+J240+L240+N240+P240+R240+T240+V240+X240+Z240+AB240)</f>
        <v>0</v>
      </c>
      <c r="AE240" s="7">
        <f>E240+AD240</f>
        <v>0</v>
      </c>
      <c r="AF240" s="8">
        <f>G240+I240+K240+M240+O240+Q240+S240+U240+W240+Y240+AA240+AC240</f>
        <v>310000</v>
      </c>
      <c r="AG240" s="153">
        <f>SUM(AE240-AF240)</f>
        <v>-310000</v>
      </c>
      <c r="AH240" s="99" t="s">
        <v>390</v>
      </c>
      <c r="AI240" s="99">
        <v>4</v>
      </c>
    </row>
    <row r="241" spans="1:42" customHeight="1" ht="11.5">
      <c r="A241" s="5">
        <v>233</v>
      </c>
      <c r="B241" s="163" t="s">
        <v>391</v>
      </c>
      <c r="C241" s="151" t="s">
        <v>132</v>
      </c>
      <c r="D241" s="85" t="s">
        <v>133</v>
      </c>
      <c r="E241" s="86">
        <v>40000</v>
      </c>
      <c r="F241" s="9">
        <v>10000</v>
      </c>
      <c r="G241" s="10"/>
      <c r="H241" s="9">
        <v>0</v>
      </c>
      <c r="I241" s="10"/>
      <c r="J241" s="152">
        <v>10000</v>
      </c>
      <c r="K241" s="10">
        <v>50000</v>
      </c>
      <c r="L241" s="152">
        <v>0</v>
      </c>
      <c r="M241" s="10"/>
      <c r="N241" s="152">
        <v>10000</v>
      </c>
      <c r="O241" s="10"/>
      <c r="P241" s="152">
        <v>0</v>
      </c>
      <c r="Q241" s="10"/>
      <c r="R241" s="9">
        <v>10000</v>
      </c>
      <c r="S241" s="10"/>
      <c r="T241" s="9">
        <v>0</v>
      </c>
      <c r="U241" s="10"/>
      <c r="V241" s="9">
        <v>0</v>
      </c>
      <c r="W241" s="10"/>
      <c r="X241" s="9">
        <v>0</v>
      </c>
      <c r="Y241" s="10"/>
      <c r="Z241" s="9">
        <v>0</v>
      </c>
      <c r="AA241" s="10"/>
      <c r="AB241" s="11">
        <v>0</v>
      </c>
      <c r="AC241" s="10"/>
      <c r="AD241" s="7">
        <f>SUM(F241+H241+J241+L241+N241+P241+R241+T241+V241+X241+Z241+AB241)</f>
        <v>40000</v>
      </c>
      <c r="AE241" s="7">
        <f>E241+AD241</f>
        <v>80000</v>
      </c>
      <c r="AF241" s="8">
        <f>G241+I241+K241+M241+O241+Q241+S241+U241+W241+Y241+AA241+AC241</f>
        <v>50000</v>
      </c>
      <c r="AG241" s="153">
        <f>SUM(AE241-AF241)</f>
        <v>30000</v>
      </c>
      <c r="AH241" s="99" t="s">
        <v>392</v>
      </c>
      <c r="AI241" s="99">
        <v>4</v>
      </c>
    </row>
    <row r="242" spans="1:42" customHeight="1" ht="11.5">
      <c r="A242" s="5">
        <v>234</v>
      </c>
      <c r="B242" s="163" t="s">
        <v>393</v>
      </c>
      <c r="C242" s="151" t="s">
        <v>36</v>
      </c>
      <c r="D242" s="85" t="s">
        <v>37</v>
      </c>
      <c r="E242" s="86">
        <v>20000</v>
      </c>
      <c r="F242" s="9">
        <v>40000</v>
      </c>
      <c r="G242" s="10">
        <v>20000</v>
      </c>
      <c r="H242" s="9">
        <v>15000</v>
      </c>
      <c r="I242" s="10">
        <v>40000</v>
      </c>
      <c r="J242" s="152">
        <v>25000</v>
      </c>
      <c r="K242" s="10">
        <v>15000</v>
      </c>
      <c r="L242" s="152">
        <v>25000</v>
      </c>
      <c r="M242" s="10">
        <v>25000</v>
      </c>
      <c r="N242" s="152">
        <v>15000</v>
      </c>
      <c r="O242" s="10">
        <v>25000</v>
      </c>
      <c r="P242" s="152">
        <v>15000</v>
      </c>
      <c r="Q242" s="10">
        <v>15000</v>
      </c>
      <c r="R242" s="9">
        <v>20000</v>
      </c>
      <c r="S242" s="10"/>
      <c r="T242" s="9">
        <v>0</v>
      </c>
      <c r="U242" s="10"/>
      <c r="V242" s="9">
        <v>0</v>
      </c>
      <c r="W242" s="10"/>
      <c r="X242" s="9">
        <v>0</v>
      </c>
      <c r="Y242" s="10"/>
      <c r="Z242" s="9">
        <v>0</v>
      </c>
      <c r="AA242" s="10"/>
      <c r="AB242" s="11">
        <v>0</v>
      </c>
      <c r="AC242" s="10"/>
      <c r="AD242" s="7">
        <f>SUM(F242+H242+J242+L242+N242+P242+R242+T242+V242+X242+Z242+AB242)</f>
        <v>155000</v>
      </c>
      <c r="AE242" s="7">
        <f>E242+AD242</f>
        <v>175000</v>
      </c>
      <c r="AF242" s="8">
        <f>G242+I242+K242+M242+O242+Q242+S242+U242+W242+Y242+AA242+AC242</f>
        <v>140000</v>
      </c>
      <c r="AG242" s="153">
        <f>SUM(AE242-AF242)</f>
        <v>35000</v>
      </c>
      <c r="AH242" s="99" t="s">
        <v>394</v>
      </c>
      <c r="AI242" s="99">
        <v>4</v>
      </c>
    </row>
    <row r="243" spans="1:42" customHeight="1" ht="11.5">
      <c r="A243" s="5">
        <v>235</v>
      </c>
      <c r="B243" s="163" t="s">
        <v>395</v>
      </c>
      <c r="C243" s="151" t="s">
        <v>112</v>
      </c>
      <c r="D243" s="85" t="s">
        <v>113</v>
      </c>
      <c r="E243" s="86">
        <v>20000</v>
      </c>
      <c r="F243" s="9">
        <v>20000</v>
      </c>
      <c r="G243" s="10">
        <v>20000</v>
      </c>
      <c r="H243" s="9">
        <v>10000</v>
      </c>
      <c r="I243" s="10">
        <v>20000</v>
      </c>
      <c r="J243" s="152">
        <v>0</v>
      </c>
      <c r="K243" s="10">
        <v>10000</v>
      </c>
      <c r="L243" s="152">
        <v>10000</v>
      </c>
      <c r="M243" s="10"/>
      <c r="N243" s="152">
        <v>10000</v>
      </c>
      <c r="O243" s="10">
        <v>10000</v>
      </c>
      <c r="P243" s="152">
        <v>10000</v>
      </c>
      <c r="Q243" s="10">
        <v>10000</v>
      </c>
      <c r="R243" s="9">
        <v>10000</v>
      </c>
      <c r="S243" s="10"/>
      <c r="T243" s="9">
        <v>0</v>
      </c>
      <c r="U243" s="10"/>
      <c r="V243" s="9">
        <v>0</v>
      </c>
      <c r="W243" s="10"/>
      <c r="X243" s="9">
        <v>0</v>
      </c>
      <c r="Y243" s="10"/>
      <c r="Z243" s="9">
        <v>0</v>
      </c>
      <c r="AA243" s="10"/>
      <c r="AB243" s="11">
        <v>0</v>
      </c>
      <c r="AC243" s="10"/>
      <c r="AD243" s="7">
        <f>SUM(F243+H243+J243+L243+N243+P243+R243+T243+V243+X243+Z243+AB243)</f>
        <v>70000</v>
      </c>
      <c r="AE243" s="7">
        <f>E243+AD243</f>
        <v>90000</v>
      </c>
      <c r="AF243" s="8">
        <f>G243+I243+K243+M243+O243+Q243+S243+U243+W243+Y243+AA243+AC243</f>
        <v>70000</v>
      </c>
      <c r="AG243" s="153">
        <f>SUM(AE243-AF243)</f>
        <v>20000</v>
      </c>
      <c r="AH243" s="99" t="s">
        <v>396</v>
      </c>
      <c r="AI243" s="99">
        <v>4</v>
      </c>
    </row>
    <row r="244" spans="1:42" customHeight="1" ht="11.5">
      <c r="A244" s="5">
        <v>236</v>
      </c>
      <c r="B244" s="163" t="s">
        <v>397</v>
      </c>
      <c r="C244" s="151" t="s">
        <v>36</v>
      </c>
      <c r="D244" s="85" t="s">
        <v>37</v>
      </c>
      <c r="E244" s="86">
        <v>10000</v>
      </c>
      <c r="F244" s="9">
        <v>10000</v>
      </c>
      <c r="G244" s="10">
        <v>10000</v>
      </c>
      <c r="H244" s="9">
        <v>0</v>
      </c>
      <c r="I244" s="10">
        <v>10000</v>
      </c>
      <c r="J244" s="152">
        <v>10000</v>
      </c>
      <c r="K244" s="10"/>
      <c r="L244" s="152">
        <v>0</v>
      </c>
      <c r="M244" s="10">
        <v>10000</v>
      </c>
      <c r="N244" s="152">
        <v>20000</v>
      </c>
      <c r="O244" s="10"/>
      <c r="P244" s="152">
        <v>0</v>
      </c>
      <c r="Q244" s="10">
        <v>20000</v>
      </c>
      <c r="R244" s="9">
        <v>0</v>
      </c>
      <c r="S244" s="10"/>
      <c r="T244" s="9">
        <v>0</v>
      </c>
      <c r="U244" s="10"/>
      <c r="V244" s="9">
        <v>0</v>
      </c>
      <c r="W244" s="10"/>
      <c r="X244" s="9">
        <v>0</v>
      </c>
      <c r="Y244" s="10"/>
      <c r="Z244" s="9">
        <v>0</v>
      </c>
      <c r="AA244" s="10"/>
      <c r="AB244" s="11">
        <v>0</v>
      </c>
      <c r="AC244" s="10"/>
      <c r="AD244" s="7">
        <f>SUM(F244+H244+J244+L244+N244+P244+R244+T244+V244+X244+Z244+AB244)</f>
        <v>40000</v>
      </c>
      <c r="AE244" s="7">
        <f>E244+AD244</f>
        <v>50000</v>
      </c>
      <c r="AF244" s="8">
        <f>G244+I244+K244+M244+O244+Q244+S244+U244+W244+Y244+AA244+AC244</f>
        <v>50000</v>
      </c>
      <c r="AG244" s="153">
        <f>SUM(AE244-AF244)</f>
        <v>0</v>
      </c>
      <c r="AH244" s="99" t="s">
        <v>398</v>
      </c>
      <c r="AI244" s="99">
        <v>4</v>
      </c>
    </row>
    <row r="245" spans="1:42" customHeight="1" ht="11.5">
      <c r="A245" s="5">
        <v>237</v>
      </c>
      <c r="B245" s="163" t="s">
        <v>399</v>
      </c>
      <c r="C245" s="151" t="s">
        <v>112</v>
      </c>
      <c r="D245" s="85" t="s">
        <v>113</v>
      </c>
      <c r="E245" s="86">
        <v>20000</v>
      </c>
      <c r="F245" s="9">
        <v>10000</v>
      </c>
      <c r="G245" s="10">
        <v>20000</v>
      </c>
      <c r="H245" s="9">
        <v>10000</v>
      </c>
      <c r="I245" s="10">
        <v>10000</v>
      </c>
      <c r="J245" s="152">
        <v>10000</v>
      </c>
      <c r="K245" s="10">
        <v>10000</v>
      </c>
      <c r="L245" s="152">
        <v>10000</v>
      </c>
      <c r="M245" s="10">
        <v>10000</v>
      </c>
      <c r="N245" s="152">
        <v>10000</v>
      </c>
      <c r="O245" s="10">
        <v>10000</v>
      </c>
      <c r="P245" s="152">
        <v>10000</v>
      </c>
      <c r="Q245" s="10">
        <v>10000</v>
      </c>
      <c r="R245" s="9">
        <v>10000</v>
      </c>
      <c r="S245" s="10"/>
      <c r="T245" s="9">
        <v>0</v>
      </c>
      <c r="U245" s="10"/>
      <c r="V245" s="9">
        <v>0</v>
      </c>
      <c r="W245" s="10"/>
      <c r="X245" s="9">
        <v>0</v>
      </c>
      <c r="Y245" s="10"/>
      <c r="Z245" s="9">
        <v>0</v>
      </c>
      <c r="AA245" s="10"/>
      <c r="AB245" s="11">
        <v>0</v>
      </c>
      <c r="AC245" s="10"/>
      <c r="AD245" s="7">
        <f>SUM(F245+H245+J245+L245+N245+P245+R245+T245+V245+X245+Z245+AB245)</f>
        <v>70000</v>
      </c>
      <c r="AE245" s="7">
        <f>E245+AD245</f>
        <v>90000</v>
      </c>
      <c r="AF245" s="8">
        <f>G245+I245+K245+M245+O245+Q245+S245+U245+W245+Y245+AA245+AC245</f>
        <v>70000</v>
      </c>
      <c r="AG245" s="153">
        <f>SUM(AE245-AF245)</f>
        <v>20000</v>
      </c>
      <c r="AH245" s="99" t="s">
        <v>400</v>
      </c>
      <c r="AI245" s="99">
        <v>4</v>
      </c>
    </row>
    <row r="246" spans="1:42" customHeight="1" ht="11.5">
      <c r="A246" s="5">
        <v>238</v>
      </c>
      <c r="B246" s="163" t="s">
        <v>401</v>
      </c>
      <c r="C246" s="151" t="s">
        <v>112</v>
      </c>
      <c r="D246" s="85" t="s">
        <v>113</v>
      </c>
      <c r="E246" s="86">
        <v>80000</v>
      </c>
      <c r="F246" s="9">
        <v>20000</v>
      </c>
      <c r="G246" s="10"/>
      <c r="H246" s="9">
        <v>10000</v>
      </c>
      <c r="I246" s="10">
        <v>100000</v>
      </c>
      <c r="J246" s="152">
        <v>10000</v>
      </c>
      <c r="K246" s="10">
        <v>10000</v>
      </c>
      <c r="L246" s="152">
        <v>15000</v>
      </c>
      <c r="M246" s="10">
        <v>10000</v>
      </c>
      <c r="N246" s="152">
        <v>10000</v>
      </c>
      <c r="O246" s="10">
        <v>15000</v>
      </c>
      <c r="P246" s="152">
        <v>10000</v>
      </c>
      <c r="Q246" s="10">
        <v>10000</v>
      </c>
      <c r="R246" s="9">
        <v>15000</v>
      </c>
      <c r="S246" s="10"/>
      <c r="T246" s="9">
        <v>0</v>
      </c>
      <c r="U246" s="10"/>
      <c r="V246" s="9">
        <v>0</v>
      </c>
      <c r="W246" s="10"/>
      <c r="X246" s="9">
        <v>0</v>
      </c>
      <c r="Y246" s="10"/>
      <c r="Z246" s="9">
        <v>0</v>
      </c>
      <c r="AA246" s="10"/>
      <c r="AB246" s="11">
        <v>0</v>
      </c>
      <c r="AC246" s="10"/>
      <c r="AD246" s="7">
        <f>SUM(F246+H246+J246+L246+N246+P246+R246+T246+V246+X246+Z246+AB246)</f>
        <v>90000</v>
      </c>
      <c r="AE246" s="7">
        <f>E246+AD246</f>
        <v>170000</v>
      </c>
      <c r="AF246" s="8">
        <f>G246+I246+K246+M246+O246+Q246+S246+U246+W246+Y246+AA246+AC246</f>
        <v>145000</v>
      </c>
      <c r="AG246" s="153">
        <f>SUM(AE246-AF246)</f>
        <v>25000</v>
      </c>
      <c r="AH246" s="99" t="s">
        <v>402</v>
      </c>
      <c r="AI246" s="99">
        <v>4</v>
      </c>
    </row>
    <row r="247" spans="1:42" customHeight="1" ht="11.5">
      <c r="A247" s="5">
        <v>239</v>
      </c>
      <c r="B247" s="163" t="s">
        <v>403</v>
      </c>
      <c r="C247" s="151" t="s">
        <v>36</v>
      </c>
      <c r="D247" s="85" t="s">
        <v>37</v>
      </c>
      <c r="E247" s="86">
        <v>20000</v>
      </c>
      <c r="F247" s="9">
        <v>15000</v>
      </c>
      <c r="G247" s="10">
        <v>20000</v>
      </c>
      <c r="H247" s="9">
        <v>10000</v>
      </c>
      <c r="I247" s="10">
        <v>15000</v>
      </c>
      <c r="J247" s="152">
        <v>15000</v>
      </c>
      <c r="K247" s="10">
        <v>10000</v>
      </c>
      <c r="L247" s="152">
        <v>5000</v>
      </c>
      <c r="M247" s="10">
        <v>15000</v>
      </c>
      <c r="N247" s="152">
        <v>15000</v>
      </c>
      <c r="O247" s="10">
        <v>5000</v>
      </c>
      <c r="P247" s="152">
        <v>5000</v>
      </c>
      <c r="Q247" s="10">
        <v>15000</v>
      </c>
      <c r="R247" s="9">
        <v>10000</v>
      </c>
      <c r="S247" s="10"/>
      <c r="T247" s="9">
        <v>0</v>
      </c>
      <c r="U247" s="10"/>
      <c r="V247" s="9">
        <v>0</v>
      </c>
      <c r="W247" s="10"/>
      <c r="X247" s="9">
        <v>0</v>
      </c>
      <c r="Y247" s="10"/>
      <c r="Z247" s="9">
        <v>0</v>
      </c>
      <c r="AA247" s="10"/>
      <c r="AB247" s="11">
        <v>0</v>
      </c>
      <c r="AC247" s="10"/>
      <c r="AD247" s="7">
        <f>SUM(F247+H247+J247+L247+N247+P247+R247+T247+V247+X247+Z247+AB247)</f>
        <v>75000</v>
      </c>
      <c r="AE247" s="7">
        <f>E247+AD247</f>
        <v>95000</v>
      </c>
      <c r="AF247" s="8">
        <f>G247+I247+K247+M247+O247+Q247+S247+U247+W247+Y247+AA247+AC247</f>
        <v>80000</v>
      </c>
      <c r="AG247" s="153">
        <f>SUM(AE247-AF247)</f>
        <v>15000</v>
      </c>
      <c r="AH247" s="99" t="s">
        <v>404</v>
      </c>
      <c r="AI247" s="99">
        <v>4</v>
      </c>
    </row>
    <row r="248" spans="1:42" customHeight="1" ht="11.5">
      <c r="A248" s="5">
        <v>240</v>
      </c>
      <c r="B248" s="163" t="s">
        <v>405</v>
      </c>
      <c r="C248" s="151" t="s">
        <v>36</v>
      </c>
      <c r="D248" s="85" t="s">
        <v>37</v>
      </c>
      <c r="E248" s="86">
        <v>10000</v>
      </c>
      <c r="F248" s="9">
        <v>0</v>
      </c>
      <c r="G248" s="10">
        <v>10000</v>
      </c>
      <c r="H248" s="9">
        <v>10000</v>
      </c>
      <c r="I248" s="10"/>
      <c r="J248" s="152">
        <v>10000</v>
      </c>
      <c r="K248" s="10">
        <v>10000</v>
      </c>
      <c r="L248" s="152">
        <v>0</v>
      </c>
      <c r="M248" s="10">
        <v>10000</v>
      </c>
      <c r="N248" s="152">
        <v>10000</v>
      </c>
      <c r="O248" s="10"/>
      <c r="P248" s="152">
        <v>0</v>
      </c>
      <c r="Q248" s="10">
        <v>10000</v>
      </c>
      <c r="R248" s="9">
        <v>10000</v>
      </c>
      <c r="S248" s="10"/>
      <c r="T248" s="9">
        <v>0</v>
      </c>
      <c r="U248" s="10"/>
      <c r="V248" s="9">
        <v>0</v>
      </c>
      <c r="W248" s="10"/>
      <c r="X248" s="9">
        <v>0</v>
      </c>
      <c r="Y248" s="10"/>
      <c r="Z248" s="9">
        <v>0</v>
      </c>
      <c r="AA248" s="10"/>
      <c r="AB248" s="11">
        <v>0</v>
      </c>
      <c r="AC248" s="10"/>
      <c r="AD248" s="7">
        <f>SUM(F248+H248+J248+L248+N248+P248+R248+T248+V248+X248+Z248+AB248)</f>
        <v>40000</v>
      </c>
      <c r="AE248" s="7">
        <f>E248+AD248</f>
        <v>50000</v>
      </c>
      <c r="AF248" s="8">
        <f>G248+I248+K248+M248+O248+Q248+S248+U248+W248+Y248+AA248+AC248</f>
        <v>40000</v>
      </c>
      <c r="AG248" s="153">
        <f>SUM(AE248-AF248)</f>
        <v>10000</v>
      </c>
      <c r="AH248" s="99" t="s">
        <v>406</v>
      </c>
      <c r="AI248" s="99">
        <v>4</v>
      </c>
    </row>
    <row r="249" spans="1:42" customHeight="1" ht="11.5">
      <c r="A249" s="5">
        <v>241</v>
      </c>
      <c r="B249" s="163" t="s">
        <v>407</v>
      </c>
      <c r="C249" s="151" t="s">
        <v>36</v>
      </c>
      <c r="D249" s="85" t="s">
        <v>37</v>
      </c>
      <c r="E249" s="86">
        <v>20000</v>
      </c>
      <c r="F249" s="9">
        <v>30000</v>
      </c>
      <c r="G249" s="10">
        <v>20000</v>
      </c>
      <c r="H249" s="9">
        <v>15000</v>
      </c>
      <c r="I249" s="10">
        <v>30000</v>
      </c>
      <c r="J249" s="152">
        <v>15000</v>
      </c>
      <c r="K249" s="10">
        <v>15000</v>
      </c>
      <c r="L249" s="152">
        <v>20000</v>
      </c>
      <c r="M249" s="10">
        <v>15000</v>
      </c>
      <c r="N249" s="152">
        <v>15000</v>
      </c>
      <c r="O249" s="10">
        <v>20000</v>
      </c>
      <c r="P249" s="152">
        <v>10000</v>
      </c>
      <c r="Q249" s="10">
        <v>15000</v>
      </c>
      <c r="R249" s="9">
        <v>15000</v>
      </c>
      <c r="S249" s="10"/>
      <c r="T249" s="9">
        <v>0</v>
      </c>
      <c r="U249" s="10"/>
      <c r="V249" s="9">
        <v>0</v>
      </c>
      <c r="W249" s="10"/>
      <c r="X249" s="9">
        <v>0</v>
      </c>
      <c r="Y249" s="10"/>
      <c r="Z249" s="9">
        <v>0</v>
      </c>
      <c r="AA249" s="10"/>
      <c r="AB249" s="11">
        <v>0</v>
      </c>
      <c r="AC249" s="10"/>
      <c r="AD249" s="7">
        <f>SUM(F249+H249+J249+L249+N249+P249+R249+T249+V249+X249+Z249+AB249)</f>
        <v>120000</v>
      </c>
      <c r="AE249" s="7">
        <f>E249+AD249</f>
        <v>140000</v>
      </c>
      <c r="AF249" s="8">
        <f>G249+I249+K249+M249+O249+Q249+S249+U249+W249+Y249+AA249+AC249</f>
        <v>115000</v>
      </c>
      <c r="AG249" s="153">
        <f>SUM(AE249-AF249)</f>
        <v>25000</v>
      </c>
      <c r="AH249" s="99" t="s">
        <v>408</v>
      </c>
      <c r="AI249" s="99">
        <v>4</v>
      </c>
    </row>
    <row r="250" spans="1:42" customHeight="1" ht="11.5">
      <c r="A250" s="5">
        <v>242</v>
      </c>
      <c r="B250" s="163" t="s">
        <v>409</v>
      </c>
      <c r="C250" s="151" t="s">
        <v>112</v>
      </c>
      <c r="D250" s="85" t="s">
        <v>113</v>
      </c>
      <c r="E250" s="86">
        <v>10000</v>
      </c>
      <c r="F250" s="9">
        <v>10000</v>
      </c>
      <c r="G250" s="10">
        <v>10000</v>
      </c>
      <c r="H250" s="9">
        <v>0</v>
      </c>
      <c r="I250" s="10">
        <v>10000</v>
      </c>
      <c r="J250" s="152">
        <v>10000</v>
      </c>
      <c r="K250" s="10"/>
      <c r="L250" s="152">
        <v>0</v>
      </c>
      <c r="M250" s="10">
        <v>10000</v>
      </c>
      <c r="N250" s="152">
        <v>10000</v>
      </c>
      <c r="O250" s="10"/>
      <c r="P250" s="152">
        <v>0</v>
      </c>
      <c r="Q250" s="10">
        <v>10000</v>
      </c>
      <c r="R250" s="9">
        <v>10000</v>
      </c>
      <c r="S250" s="10"/>
      <c r="T250" s="9">
        <v>0</v>
      </c>
      <c r="U250" s="10"/>
      <c r="V250" s="9">
        <v>0</v>
      </c>
      <c r="W250" s="10"/>
      <c r="X250" s="9">
        <v>0</v>
      </c>
      <c r="Y250" s="10"/>
      <c r="Z250" s="9">
        <v>0</v>
      </c>
      <c r="AA250" s="10"/>
      <c r="AB250" s="11">
        <v>0</v>
      </c>
      <c r="AC250" s="10"/>
      <c r="AD250" s="7">
        <f>SUM(F250+H250+J250+L250+N250+P250+R250+T250+V250+X250+Z250+AB250)</f>
        <v>40000</v>
      </c>
      <c r="AE250" s="7">
        <f>E250+AD250</f>
        <v>50000</v>
      </c>
      <c r="AF250" s="8">
        <f>G250+I250+K250+M250+O250+Q250+S250+U250+W250+Y250+AA250+AC250</f>
        <v>40000</v>
      </c>
      <c r="AG250" s="153">
        <f>SUM(AE250-AF250)</f>
        <v>10000</v>
      </c>
      <c r="AH250" s="99" t="s">
        <v>410</v>
      </c>
      <c r="AI250" s="99">
        <v>4</v>
      </c>
    </row>
    <row r="251" spans="1:42" customHeight="1" ht="11.5">
      <c r="A251" s="5">
        <v>243</v>
      </c>
      <c r="B251" s="163" t="s">
        <v>411</v>
      </c>
      <c r="C251" s="151" t="s">
        <v>36</v>
      </c>
      <c r="D251" s="85" t="s">
        <v>37</v>
      </c>
      <c r="E251" s="86">
        <v>20000</v>
      </c>
      <c r="F251" s="9">
        <v>10000</v>
      </c>
      <c r="G251" s="10">
        <v>20000</v>
      </c>
      <c r="H251" s="9">
        <v>20000</v>
      </c>
      <c r="I251" s="10">
        <v>10000</v>
      </c>
      <c r="J251" s="152">
        <v>10000</v>
      </c>
      <c r="K251" s="10">
        <v>20000</v>
      </c>
      <c r="L251" s="152">
        <v>0</v>
      </c>
      <c r="M251" s="10">
        <v>10000</v>
      </c>
      <c r="N251" s="152">
        <v>20000</v>
      </c>
      <c r="O251" s="10"/>
      <c r="P251" s="152">
        <v>0</v>
      </c>
      <c r="Q251" s="10">
        <v>20000</v>
      </c>
      <c r="R251" s="9">
        <v>10000</v>
      </c>
      <c r="S251" s="10"/>
      <c r="T251" s="9">
        <v>0</v>
      </c>
      <c r="U251" s="10"/>
      <c r="V251" s="9">
        <v>0</v>
      </c>
      <c r="W251" s="10"/>
      <c r="X251" s="9">
        <v>0</v>
      </c>
      <c r="Y251" s="10"/>
      <c r="Z251" s="9">
        <v>0</v>
      </c>
      <c r="AA251" s="10"/>
      <c r="AB251" s="11">
        <v>0</v>
      </c>
      <c r="AC251" s="10"/>
      <c r="AD251" s="7">
        <f>SUM(F251+H251+J251+L251+N251+P251+R251+T251+V251+X251+Z251+AB251)</f>
        <v>70000</v>
      </c>
      <c r="AE251" s="7">
        <f>E251+AD251</f>
        <v>90000</v>
      </c>
      <c r="AF251" s="8">
        <f>G251+I251+K251+M251+O251+Q251+S251+U251+W251+Y251+AA251+AC251</f>
        <v>80000</v>
      </c>
      <c r="AG251" s="153">
        <f>SUM(AE251-AF251)</f>
        <v>10000</v>
      </c>
      <c r="AH251" s="99" t="s">
        <v>412</v>
      </c>
      <c r="AI251" s="99">
        <v>4</v>
      </c>
    </row>
    <row r="252" spans="1:42" customHeight="1" ht="11.5">
      <c r="A252" s="5">
        <v>244</v>
      </c>
      <c r="B252" s="163" t="s">
        <v>413</v>
      </c>
      <c r="C252" s="151" t="s">
        <v>36</v>
      </c>
      <c r="D252" s="85" t="s">
        <v>37</v>
      </c>
      <c r="E252" s="86">
        <v>10000</v>
      </c>
      <c r="F252" s="9">
        <v>10000</v>
      </c>
      <c r="G252" s="10">
        <v>10000</v>
      </c>
      <c r="H252" s="9">
        <v>0</v>
      </c>
      <c r="I252" s="10">
        <v>10000</v>
      </c>
      <c r="J252" s="152">
        <v>10000</v>
      </c>
      <c r="K252" s="10"/>
      <c r="L252" s="152">
        <v>10000</v>
      </c>
      <c r="M252" s="10">
        <v>10000</v>
      </c>
      <c r="N252" s="152">
        <v>0</v>
      </c>
      <c r="O252" s="10">
        <v>10000</v>
      </c>
      <c r="P252" s="152">
        <v>0</v>
      </c>
      <c r="Q252" s="10"/>
      <c r="R252" s="9">
        <v>10000</v>
      </c>
      <c r="S252" s="10"/>
      <c r="T252" s="9">
        <v>0</v>
      </c>
      <c r="U252" s="10"/>
      <c r="V252" s="9">
        <v>0</v>
      </c>
      <c r="W252" s="10"/>
      <c r="X252" s="9">
        <v>0</v>
      </c>
      <c r="Y252" s="10"/>
      <c r="Z252" s="9">
        <v>0</v>
      </c>
      <c r="AA252" s="10"/>
      <c r="AB252" s="11">
        <v>0</v>
      </c>
      <c r="AC252" s="10"/>
      <c r="AD252" s="7">
        <f>SUM(F252+H252+J252+L252+N252+P252+R252+T252+V252+X252+Z252+AB252)</f>
        <v>40000</v>
      </c>
      <c r="AE252" s="7">
        <f>E252+AD252</f>
        <v>50000</v>
      </c>
      <c r="AF252" s="8">
        <f>G252+I252+K252+M252+O252+Q252+S252+U252+W252+Y252+AA252+AC252</f>
        <v>40000</v>
      </c>
      <c r="AG252" s="153">
        <f>SUM(AE252-AF252)</f>
        <v>10000</v>
      </c>
      <c r="AH252" s="99" t="s">
        <v>414</v>
      </c>
      <c r="AI252" s="99">
        <v>4</v>
      </c>
    </row>
    <row r="253" spans="1:42" customHeight="1" ht="11.5">
      <c r="A253" s="5">
        <v>245</v>
      </c>
      <c r="B253" s="162" t="s">
        <v>415</v>
      </c>
      <c r="C253" s="4" t="s">
        <v>36</v>
      </c>
      <c r="D253" s="85" t="s">
        <v>37</v>
      </c>
      <c r="E253" s="86">
        <v>5000</v>
      </c>
      <c r="F253" s="9">
        <v>5000</v>
      </c>
      <c r="G253" s="10">
        <v>5000</v>
      </c>
      <c r="H253" s="9">
        <v>10000</v>
      </c>
      <c r="I253" s="10">
        <v>5000</v>
      </c>
      <c r="J253" s="152">
        <v>5000</v>
      </c>
      <c r="K253" s="10">
        <v>10000</v>
      </c>
      <c r="L253" s="152">
        <v>5000</v>
      </c>
      <c r="M253" s="10">
        <v>5000</v>
      </c>
      <c r="N253" s="152">
        <v>5000</v>
      </c>
      <c r="O253" s="10">
        <v>5000</v>
      </c>
      <c r="P253" s="152">
        <v>10000</v>
      </c>
      <c r="Q253" s="10">
        <v>5000</v>
      </c>
      <c r="R253" s="9">
        <v>10000</v>
      </c>
      <c r="S253" s="10"/>
      <c r="T253" s="9">
        <v>0</v>
      </c>
      <c r="U253" s="10"/>
      <c r="V253" s="9">
        <v>0</v>
      </c>
      <c r="W253" s="10"/>
      <c r="X253" s="9">
        <v>0</v>
      </c>
      <c r="Y253" s="10"/>
      <c r="Z253" s="9">
        <v>0</v>
      </c>
      <c r="AA253" s="10"/>
      <c r="AB253" s="11">
        <v>0</v>
      </c>
      <c r="AC253" s="10"/>
      <c r="AD253" s="7">
        <f>SUM(F253+H253+J253+L253+N253+P253+R253+T253+V253+X253+Z253+AB253)</f>
        <v>50000</v>
      </c>
      <c r="AE253" s="7">
        <f>E253+AD253</f>
        <v>55000</v>
      </c>
      <c r="AF253" s="8">
        <f>G253+I253+K253+M253+O253+Q253+S253+U253+W253+Y253+AA253+AC253</f>
        <v>35000</v>
      </c>
      <c r="AG253" s="153">
        <f>SUM(AE253-AF253)</f>
        <v>20000</v>
      </c>
      <c r="AH253" s="99" t="s">
        <v>416</v>
      </c>
      <c r="AI253" s="99">
        <v>4</v>
      </c>
    </row>
    <row r="254" spans="1:42" customHeight="1" ht="11.5">
      <c r="A254" s="5">
        <v>246</v>
      </c>
      <c r="B254" s="163" t="s">
        <v>417</v>
      </c>
      <c r="C254" s="151" t="s">
        <v>36</v>
      </c>
      <c r="D254" s="85" t="s">
        <v>37</v>
      </c>
      <c r="E254" s="86">
        <v>0</v>
      </c>
      <c r="F254" s="9">
        <v>0</v>
      </c>
      <c r="G254" s="10"/>
      <c r="H254" s="9">
        <v>0</v>
      </c>
      <c r="I254" s="10"/>
      <c r="J254" s="152">
        <v>10000</v>
      </c>
      <c r="K254" s="10"/>
      <c r="L254" s="152">
        <v>0</v>
      </c>
      <c r="M254" s="10">
        <v>10000</v>
      </c>
      <c r="N254" s="152">
        <v>0</v>
      </c>
      <c r="O254" s="10"/>
      <c r="P254" s="152">
        <v>10000</v>
      </c>
      <c r="Q254" s="10"/>
      <c r="R254" s="9">
        <v>0</v>
      </c>
      <c r="S254" s="10"/>
      <c r="T254" s="9">
        <v>0</v>
      </c>
      <c r="U254" s="10"/>
      <c r="V254" s="9">
        <v>0</v>
      </c>
      <c r="W254" s="10"/>
      <c r="X254" s="9">
        <v>0</v>
      </c>
      <c r="Y254" s="10"/>
      <c r="Z254" s="9">
        <v>0</v>
      </c>
      <c r="AA254" s="10"/>
      <c r="AB254" s="11">
        <v>0</v>
      </c>
      <c r="AC254" s="10"/>
      <c r="AD254" s="7">
        <f>SUM(F254+H254+J254+L254+N254+P254+R254+T254+V254+X254+Z254+AB254)</f>
        <v>20000</v>
      </c>
      <c r="AE254" s="7">
        <f>E254+AD254</f>
        <v>20000</v>
      </c>
      <c r="AF254" s="8">
        <f>G254+I254+K254+M254+O254+Q254+S254+U254+W254+Y254+AA254+AC254</f>
        <v>10000</v>
      </c>
      <c r="AG254" s="153">
        <f>SUM(AE254-AF254)</f>
        <v>10000</v>
      </c>
      <c r="AH254" s="99" t="s">
        <v>418</v>
      </c>
      <c r="AI254" s="99">
        <v>4</v>
      </c>
    </row>
    <row r="255" spans="1:42" customHeight="1" ht="11.5">
      <c r="A255" s="5">
        <v>247</v>
      </c>
      <c r="B255" s="163" t="s">
        <v>419</v>
      </c>
      <c r="C255" s="151" t="s">
        <v>132</v>
      </c>
      <c r="D255" s="85" t="s">
        <v>133</v>
      </c>
      <c r="E255" s="86">
        <v>20000</v>
      </c>
      <c r="F255" s="9">
        <v>10000</v>
      </c>
      <c r="G255" s="10">
        <v>20000</v>
      </c>
      <c r="H255" s="9">
        <v>15000</v>
      </c>
      <c r="I255" s="10">
        <v>10000</v>
      </c>
      <c r="J255" s="152">
        <v>10000</v>
      </c>
      <c r="K255" s="10">
        <v>15000</v>
      </c>
      <c r="L255" s="152">
        <v>15000</v>
      </c>
      <c r="M255" s="10">
        <v>10000</v>
      </c>
      <c r="N255" s="152">
        <v>10000</v>
      </c>
      <c r="O255" s="10">
        <v>15000</v>
      </c>
      <c r="P255" s="152">
        <v>15000</v>
      </c>
      <c r="Q255" s="10"/>
      <c r="R255" s="9">
        <v>15000</v>
      </c>
      <c r="S255" s="10"/>
      <c r="T255" s="9">
        <v>0</v>
      </c>
      <c r="U255" s="10"/>
      <c r="V255" s="9">
        <v>0</v>
      </c>
      <c r="W255" s="10"/>
      <c r="X255" s="9">
        <v>0</v>
      </c>
      <c r="Y255" s="10"/>
      <c r="Z255" s="9">
        <v>0</v>
      </c>
      <c r="AA255" s="10"/>
      <c r="AB255" s="11">
        <v>0</v>
      </c>
      <c r="AC255" s="10"/>
      <c r="AD255" s="7">
        <f>SUM(F255+H255+J255+L255+N255+P255+R255+T255+V255+X255+Z255+AB255)</f>
        <v>90000</v>
      </c>
      <c r="AE255" s="7">
        <f>E255+AD255</f>
        <v>110000</v>
      </c>
      <c r="AF255" s="8">
        <f>G255+I255+K255+M255+O255+Q255+S255+U255+W255+Y255+AA255+AC255</f>
        <v>70000</v>
      </c>
      <c r="AG255" s="153">
        <f>SUM(AE255-AF255)</f>
        <v>40000</v>
      </c>
      <c r="AH255" s="99" t="s">
        <v>420</v>
      </c>
      <c r="AI255" s="99">
        <v>4</v>
      </c>
    </row>
    <row r="256" spans="1:42" customHeight="1" ht="11.5">
      <c r="A256" s="5">
        <v>248</v>
      </c>
      <c r="B256" s="163" t="s">
        <v>421</v>
      </c>
      <c r="C256" s="151" t="s">
        <v>132</v>
      </c>
      <c r="D256" s="85" t="s">
        <v>133</v>
      </c>
      <c r="E256" s="86">
        <v>20000</v>
      </c>
      <c r="F256" s="9">
        <v>10000</v>
      </c>
      <c r="G256" s="10">
        <v>20000</v>
      </c>
      <c r="H256" s="9">
        <v>15000</v>
      </c>
      <c r="I256" s="10">
        <v>10000</v>
      </c>
      <c r="J256" s="152">
        <v>10000</v>
      </c>
      <c r="K256" s="10">
        <v>15000</v>
      </c>
      <c r="L256" s="152">
        <v>15000</v>
      </c>
      <c r="M256" s="10">
        <v>10000</v>
      </c>
      <c r="N256" s="152">
        <v>10000</v>
      </c>
      <c r="O256" s="10">
        <v>15000</v>
      </c>
      <c r="P256" s="152">
        <v>15000</v>
      </c>
      <c r="Q256" s="10"/>
      <c r="R256" s="9">
        <v>15000</v>
      </c>
      <c r="S256" s="10"/>
      <c r="T256" s="9">
        <v>0</v>
      </c>
      <c r="U256" s="10"/>
      <c r="V256" s="9">
        <v>0</v>
      </c>
      <c r="W256" s="10"/>
      <c r="X256" s="9">
        <v>0</v>
      </c>
      <c r="Y256" s="10"/>
      <c r="Z256" s="9">
        <v>0</v>
      </c>
      <c r="AA256" s="10"/>
      <c r="AB256" s="11">
        <v>0</v>
      </c>
      <c r="AC256" s="10"/>
      <c r="AD256" s="7">
        <f>SUM(F256+H256+J256+L256+N256+P256+R256+T256+V256+X256+Z256+AB256)</f>
        <v>90000</v>
      </c>
      <c r="AE256" s="7">
        <f>E256+AD256</f>
        <v>110000</v>
      </c>
      <c r="AF256" s="8">
        <f>G256+I256+K256+M256+O256+Q256+S256+U256+W256+Y256+AA256+AC256</f>
        <v>70000</v>
      </c>
      <c r="AG256" s="153">
        <f>SUM(AE256-AF256)</f>
        <v>40000</v>
      </c>
      <c r="AH256" s="99" t="s">
        <v>422</v>
      </c>
      <c r="AI256" s="99">
        <v>4</v>
      </c>
    </row>
    <row r="257" spans="1:42" customHeight="1" ht="11.5">
      <c r="A257" s="5">
        <v>249</v>
      </c>
      <c r="B257" s="162" t="s">
        <v>423</v>
      </c>
      <c r="C257" s="4" t="s">
        <v>36</v>
      </c>
      <c r="D257" s="85" t="s">
        <v>37</v>
      </c>
      <c r="E257" s="86">
        <v>30000</v>
      </c>
      <c r="F257" s="9">
        <v>20000</v>
      </c>
      <c r="G257" s="10">
        <v>30000</v>
      </c>
      <c r="H257" s="9">
        <v>20000</v>
      </c>
      <c r="I257" s="10">
        <v>20000</v>
      </c>
      <c r="J257" s="152">
        <v>20000</v>
      </c>
      <c r="K257" s="10">
        <v>20000</v>
      </c>
      <c r="L257" s="152">
        <v>30000</v>
      </c>
      <c r="M257" s="10">
        <v>20000</v>
      </c>
      <c r="N257" s="152">
        <v>20000</v>
      </c>
      <c r="O257" s="10">
        <v>30000</v>
      </c>
      <c r="P257" s="152">
        <v>20000</v>
      </c>
      <c r="Q257" s="10">
        <v>20000</v>
      </c>
      <c r="R257" s="9">
        <v>30000</v>
      </c>
      <c r="S257" s="10"/>
      <c r="T257" s="9">
        <v>0</v>
      </c>
      <c r="U257" s="10"/>
      <c r="V257" s="9">
        <v>0</v>
      </c>
      <c r="W257" s="10"/>
      <c r="X257" s="9">
        <v>0</v>
      </c>
      <c r="Y257" s="10"/>
      <c r="Z257" s="9">
        <v>0</v>
      </c>
      <c r="AA257" s="10"/>
      <c r="AB257" s="11">
        <v>0</v>
      </c>
      <c r="AC257" s="10"/>
      <c r="AD257" s="7">
        <f>SUM(F257+H257+J257+L257+N257+P257+R257+T257+V257+X257+Z257+AB257)</f>
        <v>160000</v>
      </c>
      <c r="AE257" s="7">
        <f>E257+AD257</f>
        <v>190000</v>
      </c>
      <c r="AF257" s="8">
        <f>G257+I257+K257+M257+O257+Q257+S257+U257+W257+Y257+AA257+AC257</f>
        <v>140000</v>
      </c>
      <c r="AG257" s="153">
        <f>SUM(AE257-AF257)</f>
        <v>50000</v>
      </c>
      <c r="AH257" s="99" t="s">
        <v>424</v>
      </c>
      <c r="AI257" s="99">
        <v>4</v>
      </c>
    </row>
    <row r="258" spans="1:42" customHeight="1" ht="11.5">
      <c r="A258" s="5">
        <v>250</v>
      </c>
      <c r="B258" s="163" t="s">
        <v>425</v>
      </c>
      <c r="C258" s="151" t="s">
        <v>36</v>
      </c>
      <c r="D258" s="85" t="s">
        <v>37</v>
      </c>
      <c r="E258" s="86">
        <v>30000</v>
      </c>
      <c r="F258" s="9">
        <v>30000</v>
      </c>
      <c r="G258" s="10">
        <v>30000</v>
      </c>
      <c r="H258" s="9">
        <v>40000</v>
      </c>
      <c r="I258" s="10">
        <v>30000</v>
      </c>
      <c r="J258" s="152">
        <v>30000</v>
      </c>
      <c r="K258" s="10">
        <v>40000</v>
      </c>
      <c r="L258" s="152">
        <v>30000</v>
      </c>
      <c r="M258" s="10">
        <v>30000</v>
      </c>
      <c r="N258" s="152">
        <v>40000</v>
      </c>
      <c r="O258" s="10">
        <v>30000</v>
      </c>
      <c r="P258" s="152">
        <v>40000</v>
      </c>
      <c r="Q258" s="10">
        <v>40000</v>
      </c>
      <c r="R258" s="9">
        <v>40000</v>
      </c>
      <c r="S258" s="10"/>
      <c r="T258" s="9">
        <v>0</v>
      </c>
      <c r="U258" s="10"/>
      <c r="V258" s="9">
        <v>0</v>
      </c>
      <c r="W258" s="10"/>
      <c r="X258" s="9">
        <v>0</v>
      </c>
      <c r="Y258" s="10"/>
      <c r="Z258" s="9">
        <v>0</v>
      </c>
      <c r="AA258" s="10"/>
      <c r="AB258" s="11">
        <v>0</v>
      </c>
      <c r="AC258" s="10"/>
      <c r="AD258" s="7">
        <f>SUM(F258+H258+J258+L258+N258+P258+R258+T258+V258+X258+Z258+AB258)</f>
        <v>250000</v>
      </c>
      <c r="AE258" s="7">
        <f>E258+AD258</f>
        <v>280000</v>
      </c>
      <c r="AF258" s="8">
        <f>G258+I258+K258+M258+O258+Q258+S258+U258+W258+Y258+AA258+AC258</f>
        <v>200000</v>
      </c>
      <c r="AG258" s="153">
        <f>SUM(AE258-AF258)</f>
        <v>80000</v>
      </c>
      <c r="AH258" s="99" t="s">
        <v>426</v>
      </c>
      <c r="AI258" s="99">
        <v>4</v>
      </c>
    </row>
    <row r="259" spans="1:42" customHeight="1" ht="11.5">
      <c r="A259" s="5">
        <v>251</v>
      </c>
      <c r="B259" s="163" t="s">
        <v>427</v>
      </c>
      <c r="C259" s="151" t="s">
        <v>36</v>
      </c>
      <c r="D259" s="85" t="s">
        <v>37</v>
      </c>
      <c r="E259" s="86">
        <v>40000</v>
      </c>
      <c r="F259" s="9">
        <v>30000</v>
      </c>
      <c r="G259" s="10">
        <v>40000</v>
      </c>
      <c r="H259" s="9">
        <v>40000</v>
      </c>
      <c r="I259" s="10">
        <v>30000</v>
      </c>
      <c r="J259" s="152">
        <v>30000</v>
      </c>
      <c r="K259" s="10">
        <v>40000</v>
      </c>
      <c r="L259" s="152">
        <v>30000</v>
      </c>
      <c r="M259" s="10">
        <v>30000</v>
      </c>
      <c r="N259" s="152">
        <v>40000</v>
      </c>
      <c r="O259" s="10">
        <v>30000</v>
      </c>
      <c r="P259" s="152">
        <v>40000</v>
      </c>
      <c r="Q259" s="10">
        <v>40000</v>
      </c>
      <c r="R259" s="9">
        <v>40000</v>
      </c>
      <c r="S259" s="10"/>
      <c r="T259" s="9">
        <v>0</v>
      </c>
      <c r="U259" s="10"/>
      <c r="V259" s="9">
        <v>0</v>
      </c>
      <c r="W259" s="10"/>
      <c r="X259" s="9">
        <v>0</v>
      </c>
      <c r="Y259" s="10"/>
      <c r="Z259" s="9">
        <v>0</v>
      </c>
      <c r="AA259" s="10"/>
      <c r="AB259" s="11">
        <v>0</v>
      </c>
      <c r="AC259" s="10"/>
      <c r="AD259" s="7">
        <f>SUM(F259+H259+J259+L259+N259+P259+R259+T259+V259+X259+Z259+AB259)</f>
        <v>250000</v>
      </c>
      <c r="AE259" s="7">
        <f>E259+AD259</f>
        <v>290000</v>
      </c>
      <c r="AF259" s="8">
        <f>G259+I259+K259+M259+O259+Q259+S259+U259+W259+Y259+AA259+AC259</f>
        <v>210000</v>
      </c>
      <c r="AG259" s="153">
        <f>SUM(AE259-AF259)</f>
        <v>80000</v>
      </c>
      <c r="AH259" s="99" t="s">
        <v>428</v>
      </c>
      <c r="AI259" s="99">
        <v>4</v>
      </c>
    </row>
    <row r="260" spans="1:42" customHeight="1" ht="11.5">
      <c r="A260" s="5">
        <v>252</v>
      </c>
      <c r="B260" s="163" t="s">
        <v>429</v>
      </c>
      <c r="C260" s="151" t="s">
        <v>36</v>
      </c>
      <c r="D260" s="85" t="s">
        <v>37</v>
      </c>
      <c r="E260" s="86">
        <v>30000</v>
      </c>
      <c r="F260" s="9">
        <v>30000</v>
      </c>
      <c r="G260" s="10">
        <v>30000</v>
      </c>
      <c r="H260" s="9">
        <v>40000</v>
      </c>
      <c r="I260" s="10">
        <v>30000</v>
      </c>
      <c r="J260" s="152">
        <v>30000</v>
      </c>
      <c r="K260" s="10">
        <v>40000</v>
      </c>
      <c r="L260" s="152">
        <v>30000</v>
      </c>
      <c r="M260" s="10">
        <v>30000</v>
      </c>
      <c r="N260" s="152">
        <v>40000</v>
      </c>
      <c r="O260" s="10">
        <v>30000</v>
      </c>
      <c r="P260" s="152">
        <v>40000</v>
      </c>
      <c r="Q260" s="10">
        <v>40000</v>
      </c>
      <c r="R260" s="9">
        <v>40000</v>
      </c>
      <c r="S260" s="10"/>
      <c r="T260" s="9">
        <v>0</v>
      </c>
      <c r="U260" s="10"/>
      <c r="V260" s="9">
        <v>0</v>
      </c>
      <c r="W260" s="10"/>
      <c r="X260" s="9">
        <v>0</v>
      </c>
      <c r="Y260" s="10"/>
      <c r="Z260" s="9">
        <v>0</v>
      </c>
      <c r="AA260" s="10"/>
      <c r="AB260" s="11">
        <v>0</v>
      </c>
      <c r="AC260" s="10"/>
      <c r="AD260" s="7">
        <f>SUM(F260+H260+J260+L260+N260+P260+R260+T260+V260+X260+Z260+AB260)</f>
        <v>250000</v>
      </c>
      <c r="AE260" s="7">
        <f>E260+AD260</f>
        <v>280000</v>
      </c>
      <c r="AF260" s="8">
        <f>G260+I260+K260+M260+O260+Q260+S260+U260+W260+Y260+AA260+AC260</f>
        <v>200000</v>
      </c>
      <c r="AG260" s="153">
        <f>SUM(AE260-AF260)</f>
        <v>80000</v>
      </c>
      <c r="AH260" s="99" t="s">
        <v>430</v>
      </c>
      <c r="AI260" s="99">
        <v>4</v>
      </c>
    </row>
    <row r="261" spans="1:42" customHeight="1" ht="11.5">
      <c r="A261" s="5">
        <v>253</v>
      </c>
      <c r="B261" s="163" t="s">
        <v>431</v>
      </c>
      <c r="C261" s="151" t="s">
        <v>36</v>
      </c>
      <c r="D261" s="85" t="s">
        <v>37</v>
      </c>
      <c r="E261" s="86">
        <v>10000</v>
      </c>
      <c r="F261" s="9">
        <v>10000</v>
      </c>
      <c r="G261" s="10">
        <v>10000</v>
      </c>
      <c r="H261" s="9">
        <v>20000</v>
      </c>
      <c r="I261" s="10">
        <v>10000</v>
      </c>
      <c r="J261" s="152">
        <v>10000</v>
      </c>
      <c r="K261" s="10">
        <v>20000</v>
      </c>
      <c r="L261" s="152">
        <v>20000</v>
      </c>
      <c r="M261" s="10">
        <v>10000</v>
      </c>
      <c r="N261" s="152">
        <v>10000</v>
      </c>
      <c r="O261" s="10">
        <v>20000</v>
      </c>
      <c r="P261" s="152">
        <v>20000</v>
      </c>
      <c r="Q261" s="10">
        <v>10000</v>
      </c>
      <c r="R261" s="9">
        <v>20000</v>
      </c>
      <c r="S261" s="10"/>
      <c r="T261" s="9">
        <v>0</v>
      </c>
      <c r="U261" s="10"/>
      <c r="V261" s="9">
        <v>0</v>
      </c>
      <c r="W261" s="10"/>
      <c r="X261" s="9">
        <v>0</v>
      </c>
      <c r="Y261" s="10"/>
      <c r="Z261" s="9">
        <v>0</v>
      </c>
      <c r="AA261" s="10"/>
      <c r="AB261" s="11">
        <v>0</v>
      </c>
      <c r="AC261" s="10"/>
      <c r="AD261" s="7">
        <f>SUM(F261+H261+J261+L261+N261+P261+R261+T261+V261+X261+Z261+AB261)</f>
        <v>110000</v>
      </c>
      <c r="AE261" s="7">
        <f>E261+AD261</f>
        <v>120000</v>
      </c>
      <c r="AF261" s="8">
        <f>G261+I261+K261+M261+O261+Q261+S261+U261+W261+Y261+AA261+AC261</f>
        <v>80000</v>
      </c>
      <c r="AG261" s="153">
        <f>SUM(AE261-AF261)</f>
        <v>40000</v>
      </c>
      <c r="AH261" s="99" t="s">
        <v>432</v>
      </c>
      <c r="AI261" s="99">
        <v>4</v>
      </c>
    </row>
    <row r="262" spans="1:42" customHeight="1" ht="11.5">
      <c r="A262" s="5">
        <v>254</v>
      </c>
      <c r="B262" s="163" t="s">
        <v>433</v>
      </c>
      <c r="C262" s="151" t="s">
        <v>36</v>
      </c>
      <c r="D262" s="165" t="s">
        <v>37</v>
      </c>
      <c r="E262" s="86">
        <v>60000</v>
      </c>
      <c r="F262" s="9">
        <v>80000</v>
      </c>
      <c r="G262" s="10">
        <v>60000</v>
      </c>
      <c r="H262" s="9">
        <v>60000</v>
      </c>
      <c r="I262" s="10">
        <v>80000</v>
      </c>
      <c r="J262" s="152">
        <v>60000</v>
      </c>
      <c r="K262" s="10">
        <v>60000</v>
      </c>
      <c r="L262" s="152">
        <v>80000</v>
      </c>
      <c r="M262" s="10">
        <v>60000</v>
      </c>
      <c r="N262" s="152">
        <v>60000</v>
      </c>
      <c r="O262" s="10">
        <v>80000</v>
      </c>
      <c r="P262" s="152">
        <v>80000</v>
      </c>
      <c r="Q262" s="10">
        <v>60000</v>
      </c>
      <c r="R262" s="9">
        <v>70000</v>
      </c>
      <c r="S262" s="10"/>
      <c r="T262" s="9">
        <v>0</v>
      </c>
      <c r="U262" s="10"/>
      <c r="V262" s="9">
        <v>0</v>
      </c>
      <c r="W262" s="10"/>
      <c r="X262" s="9">
        <v>0</v>
      </c>
      <c r="Y262" s="10"/>
      <c r="Z262" s="9">
        <v>0</v>
      </c>
      <c r="AA262" s="10"/>
      <c r="AB262" s="11">
        <v>0</v>
      </c>
      <c r="AC262" s="10"/>
      <c r="AD262" s="7">
        <f>SUM(F262+H262+J262+L262+N262+P262+R262+T262+V262+X262+Z262+AB262)</f>
        <v>490000</v>
      </c>
      <c r="AE262" s="7">
        <f>E262+AD262</f>
        <v>550000</v>
      </c>
      <c r="AF262" s="8">
        <f>G262+I262+K262+M262+O262+Q262+S262+U262+W262+Y262+AA262+AC262</f>
        <v>400000</v>
      </c>
      <c r="AG262" s="153">
        <f>SUM(AE262-AF262)</f>
        <v>150000</v>
      </c>
      <c r="AH262" s="99" t="s">
        <v>434</v>
      </c>
      <c r="AI262" s="99">
        <v>4</v>
      </c>
    </row>
    <row r="263" spans="1:42" customHeight="1" ht="11.5">
      <c r="A263" s="5">
        <v>255</v>
      </c>
      <c r="B263" s="163" t="s">
        <v>435</v>
      </c>
      <c r="C263" s="151" t="s">
        <v>36</v>
      </c>
      <c r="D263" s="165" t="s">
        <v>37</v>
      </c>
      <c r="E263" s="86">
        <v>50000</v>
      </c>
      <c r="F263" s="9">
        <v>80000</v>
      </c>
      <c r="G263" s="10">
        <v>50000</v>
      </c>
      <c r="H263" s="9">
        <v>80000</v>
      </c>
      <c r="I263" s="10">
        <v>80000</v>
      </c>
      <c r="J263" s="152">
        <v>80000</v>
      </c>
      <c r="K263" s="10">
        <v>80000</v>
      </c>
      <c r="L263" s="152">
        <v>70000</v>
      </c>
      <c r="M263" s="10">
        <v>80000</v>
      </c>
      <c r="N263" s="152">
        <v>100000</v>
      </c>
      <c r="O263" s="10">
        <v>70000</v>
      </c>
      <c r="P263" s="152">
        <v>90000</v>
      </c>
      <c r="Q263" s="10">
        <v>100000</v>
      </c>
      <c r="R263" s="9">
        <v>80000</v>
      </c>
      <c r="S263" s="10"/>
      <c r="T263" s="9">
        <v>0</v>
      </c>
      <c r="U263" s="10"/>
      <c r="V263" s="9">
        <v>0</v>
      </c>
      <c r="W263" s="10"/>
      <c r="X263" s="9">
        <v>0</v>
      </c>
      <c r="Y263" s="10"/>
      <c r="Z263" s="9">
        <v>0</v>
      </c>
      <c r="AA263" s="10"/>
      <c r="AB263" s="11">
        <v>0</v>
      </c>
      <c r="AC263" s="10"/>
      <c r="AD263" s="7">
        <f>SUM(F263+H263+J263+L263+N263+P263+R263+T263+V263+X263+Z263+AB263)</f>
        <v>580000</v>
      </c>
      <c r="AE263" s="7">
        <f>E263+AD263</f>
        <v>630000</v>
      </c>
      <c r="AF263" s="8">
        <f>G263+I263+K263+M263+O263+Q263+S263+U263+W263+Y263+AA263+AC263</f>
        <v>460000</v>
      </c>
      <c r="AG263" s="153">
        <f>SUM(AE263-AF263)</f>
        <v>170000</v>
      </c>
      <c r="AH263" s="99" t="s">
        <v>436</v>
      </c>
      <c r="AI263" s="99">
        <v>4</v>
      </c>
    </row>
    <row r="264" spans="1:42" customHeight="1" ht="11.5">
      <c r="A264" s="5">
        <v>256</v>
      </c>
      <c r="B264" s="163" t="s">
        <v>437</v>
      </c>
      <c r="C264" s="151" t="s">
        <v>36</v>
      </c>
      <c r="D264" s="85" t="s">
        <v>37</v>
      </c>
      <c r="E264" s="86">
        <v>20000</v>
      </c>
      <c r="F264" s="9">
        <v>30000</v>
      </c>
      <c r="G264" s="10">
        <v>20000</v>
      </c>
      <c r="H264" s="9">
        <v>20000</v>
      </c>
      <c r="I264" s="10">
        <v>30000</v>
      </c>
      <c r="J264" s="152">
        <v>30000</v>
      </c>
      <c r="K264" s="10">
        <v>20000</v>
      </c>
      <c r="L264" s="152">
        <v>20000</v>
      </c>
      <c r="M264" s="10">
        <v>30000</v>
      </c>
      <c r="N264" s="152">
        <v>30000</v>
      </c>
      <c r="O264" s="10">
        <v>20000</v>
      </c>
      <c r="P264" s="152">
        <v>30000</v>
      </c>
      <c r="Q264" s="10">
        <v>30000</v>
      </c>
      <c r="R264" s="9">
        <v>20000</v>
      </c>
      <c r="S264" s="10"/>
      <c r="T264" s="9">
        <v>0</v>
      </c>
      <c r="U264" s="10"/>
      <c r="V264" s="9">
        <v>0</v>
      </c>
      <c r="W264" s="10"/>
      <c r="X264" s="9">
        <v>0</v>
      </c>
      <c r="Y264" s="10"/>
      <c r="Z264" s="9">
        <v>0</v>
      </c>
      <c r="AA264" s="10"/>
      <c r="AB264" s="11">
        <v>0</v>
      </c>
      <c r="AC264" s="10"/>
      <c r="AD264" s="7">
        <f>SUM(F264+H264+J264+L264+N264+P264+R264+T264+V264+X264+Z264+AB264)</f>
        <v>180000</v>
      </c>
      <c r="AE264" s="7">
        <f>E264+AD264</f>
        <v>200000</v>
      </c>
      <c r="AF264" s="8">
        <f>G264+I264+K264+M264+O264+Q264+S264+U264+W264+Y264+AA264+AC264</f>
        <v>150000</v>
      </c>
      <c r="AG264" s="153">
        <f>SUM(AE264-AF264)</f>
        <v>50000</v>
      </c>
      <c r="AH264" s="99" t="s">
        <v>438</v>
      </c>
      <c r="AI264" s="99">
        <v>4</v>
      </c>
    </row>
    <row r="265" spans="1:42" customHeight="1" ht="11.5">
      <c r="A265" s="5">
        <v>257</v>
      </c>
      <c r="B265" s="163" t="s">
        <v>439</v>
      </c>
      <c r="C265" s="151" t="s">
        <v>36</v>
      </c>
      <c r="D265" s="85" t="s">
        <v>37</v>
      </c>
      <c r="E265" s="86">
        <v>0</v>
      </c>
      <c r="F265" s="9">
        <v>0</v>
      </c>
      <c r="G265" s="10"/>
      <c r="H265" s="9">
        <v>0</v>
      </c>
      <c r="I265" s="10"/>
      <c r="J265" s="152">
        <v>0</v>
      </c>
      <c r="K265" s="10"/>
      <c r="L265" s="152">
        <v>0</v>
      </c>
      <c r="M265" s="10"/>
      <c r="N265" s="152">
        <v>0</v>
      </c>
      <c r="O265" s="10"/>
      <c r="P265" s="152">
        <v>0</v>
      </c>
      <c r="Q265" s="10"/>
      <c r="R265" s="9">
        <v>0</v>
      </c>
      <c r="S265" s="10"/>
      <c r="T265" s="9">
        <v>0</v>
      </c>
      <c r="U265" s="10"/>
      <c r="V265" s="9">
        <v>0</v>
      </c>
      <c r="W265" s="10"/>
      <c r="X265" s="9">
        <v>0</v>
      </c>
      <c r="Y265" s="10"/>
      <c r="Z265" s="9">
        <v>0</v>
      </c>
      <c r="AA265" s="10"/>
      <c r="AB265" s="11">
        <v>0</v>
      </c>
      <c r="AC265" s="10"/>
      <c r="AD265" s="7">
        <f>SUM(F265+H265+J265+L265+N265+P265+R265+T265+V265+X265+Z265+AB265)</f>
        <v>0</v>
      </c>
      <c r="AE265" s="7">
        <f>E265+AD265</f>
        <v>0</v>
      </c>
      <c r="AF265" s="8">
        <f>G265+I265+K265+M265+O265+Q265+S265+U265+W265+Y265+AA265+AC265</f>
        <v>0</v>
      </c>
      <c r="AG265" s="153">
        <f>SUM(AE265-AF265)</f>
        <v>0</v>
      </c>
      <c r="AH265" s="99" t="s">
        <v>440</v>
      </c>
      <c r="AI265" s="99">
        <v>4</v>
      </c>
    </row>
    <row r="266" spans="1:42" customHeight="1" ht="11.5">
      <c r="A266" s="5">
        <v>258</v>
      </c>
      <c r="B266" s="163" t="s">
        <v>441</v>
      </c>
      <c r="C266" s="151" t="s">
        <v>132</v>
      </c>
      <c r="D266" s="85" t="s">
        <v>133</v>
      </c>
      <c r="E266" s="86">
        <v>34000</v>
      </c>
      <c r="F266" s="9">
        <v>26000</v>
      </c>
      <c r="G266" s="10">
        <v>34000</v>
      </c>
      <c r="H266" s="9">
        <v>26000</v>
      </c>
      <c r="I266" s="10">
        <v>26000</v>
      </c>
      <c r="J266" s="152">
        <v>36000</v>
      </c>
      <c r="K266" s="10">
        <v>26000</v>
      </c>
      <c r="L266" s="152">
        <v>18000</v>
      </c>
      <c r="M266" s="10">
        <v>36000</v>
      </c>
      <c r="N266" s="152">
        <v>38000</v>
      </c>
      <c r="O266" s="10">
        <v>18000</v>
      </c>
      <c r="P266" s="152">
        <v>18000</v>
      </c>
      <c r="Q266" s="10"/>
      <c r="R266" s="9">
        <v>38000</v>
      </c>
      <c r="S266" s="10"/>
      <c r="T266" s="9">
        <v>0</v>
      </c>
      <c r="U266" s="10"/>
      <c r="V266" s="9">
        <v>0</v>
      </c>
      <c r="W266" s="10"/>
      <c r="X266" s="9">
        <v>0</v>
      </c>
      <c r="Y266" s="10"/>
      <c r="Z266" s="9">
        <v>0</v>
      </c>
      <c r="AA266" s="10"/>
      <c r="AB266" s="11">
        <v>0</v>
      </c>
      <c r="AC266" s="10"/>
      <c r="AD266" s="7">
        <f>SUM(F266+H266+J266+L266+N266+P266+R266+T266+V266+X266+Z266+AB266)</f>
        <v>200000</v>
      </c>
      <c r="AE266" s="7">
        <f>E266+AD266</f>
        <v>234000</v>
      </c>
      <c r="AF266" s="8">
        <f>G266+I266+K266+M266+O266+Q266+S266+U266+W266+Y266+AA266+AC266</f>
        <v>140000</v>
      </c>
      <c r="AG266" s="153">
        <f>SUM(AE266-AF266)</f>
        <v>94000</v>
      </c>
      <c r="AH266" s="99" t="s">
        <v>442</v>
      </c>
      <c r="AI266" s="99">
        <v>4</v>
      </c>
    </row>
    <row r="267" spans="1:42" customHeight="1" ht="11.5">
      <c r="A267" s="5">
        <v>259</v>
      </c>
      <c r="B267" s="163" t="s">
        <v>443</v>
      </c>
      <c r="C267" s="151" t="s">
        <v>132</v>
      </c>
      <c r="D267" s="85" t="s">
        <v>133</v>
      </c>
      <c r="E267" s="86">
        <v>40000</v>
      </c>
      <c r="F267" s="9">
        <v>20000</v>
      </c>
      <c r="G267" s="10">
        <v>2351</v>
      </c>
      <c r="H267" s="9">
        <v>28000</v>
      </c>
      <c r="I267" s="10">
        <v>57649</v>
      </c>
      <c r="J267" s="152">
        <v>32000</v>
      </c>
      <c r="K267" s="10">
        <v>28000</v>
      </c>
      <c r="L267" s="152">
        <v>24000</v>
      </c>
      <c r="M267" s="10">
        <v>32000</v>
      </c>
      <c r="N267" s="152">
        <v>36000</v>
      </c>
      <c r="O267" s="10">
        <v>24000</v>
      </c>
      <c r="P267" s="152">
        <v>18000</v>
      </c>
      <c r="Q267" s="10"/>
      <c r="R267" s="9">
        <v>38000</v>
      </c>
      <c r="S267" s="10"/>
      <c r="T267" s="9">
        <v>0</v>
      </c>
      <c r="U267" s="10"/>
      <c r="V267" s="9">
        <v>0</v>
      </c>
      <c r="W267" s="10"/>
      <c r="X267" s="9">
        <v>0</v>
      </c>
      <c r="Y267" s="10"/>
      <c r="Z267" s="9">
        <v>0</v>
      </c>
      <c r="AA267" s="10"/>
      <c r="AB267" s="11">
        <v>0</v>
      </c>
      <c r="AC267" s="10"/>
      <c r="AD267" s="7">
        <f>SUM(F267+H267+J267+L267+N267+P267+R267+T267+V267+X267+Z267+AB267)</f>
        <v>196000</v>
      </c>
      <c r="AE267" s="7">
        <f>E267+AD267</f>
        <v>236000</v>
      </c>
      <c r="AF267" s="8">
        <f>G267+I267+K267+M267+O267+Q267+S267+U267+W267+Y267+AA267+AC267</f>
        <v>144000</v>
      </c>
      <c r="AG267" s="153">
        <f>SUM(AE267-AF267)</f>
        <v>92000</v>
      </c>
      <c r="AH267" s="99" t="s">
        <v>444</v>
      </c>
      <c r="AI267" s="99">
        <v>4</v>
      </c>
    </row>
    <row r="268" spans="1:42" customHeight="1" ht="11.5">
      <c r="A268" s="5">
        <v>260</v>
      </c>
      <c r="B268" s="163" t="s">
        <v>445</v>
      </c>
      <c r="C268" s="151" t="s">
        <v>36</v>
      </c>
      <c r="D268" s="85" t="s">
        <v>37</v>
      </c>
      <c r="E268" s="86">
        <v>20000</v>
      </c>
      <c r="F268" s="9">
        <v>20000</v>
      </c>
      <c r="G268" s="10">
        <v>20000</v>
      </c>
      <c r="H268" s="9">
        <v>30000</v>
      </c>
      <c r="I268" s="10">
        <v>20000</v>
      </c>
      <c r="J268" s="152">
        <v>20000</v>
      </c>
      <c r="K268" s="10">
        <v>30000</v>
      </c>
      <c r="L268" s="152">
        <v>30000</v>
      </c>
      <c r="M268" s="10">
        <v>20000</v>
      </c>
      <c r="N268" s="152">
        <v>30000</v>
      </c>
      <c r="O268" s="10">
        <v>30000</v>
      </c>
      <c r="P268" s="152">
        <v>20000</v>
      </c>
      <c r="Q268" s="10">
        <v>30000</v>
      </c>
      <c r="R268" s="9">
        <v>30000</v>
      </c>
      <c r="S268" s="10"/>
      <c r="T268" s="9">
        <v>0</v>
      </c>
      <c r="U268" s="10"/>
      <c r="V268" s="9">
        <v>0</v>
      </c>
      <c r="W268" s="10"/>
      <c r="X268" s="9">
        <v>0</v>
      </c>
      <c r="Y268" s="10"/>
      <c r="Z268" s="9">
        <v>0</v>
      </c>
      <c r="AA268" s="10"/>
      <c r="AB268" s="11">
        <v>0</v>
      </c>
      <c r="AC268" s="10"/>
      <c r="AD268" s="7">
        <f>SUM(F268+H268+J268+L268+N268+P268+R268+T268+V268+X268+Z268+AB268)</f>
        <v>180000</v>
      </c>
      <c r="AE268" s="7">
        <f>E268+AD268</f>
        <v>200000</v>
      </c>
      <c r="AF268" s="8">
        <f>G268+I268+K268+M268+O268+Q268+S268+U268+W268+Y268+AA268+AC268</f>
        <v>150000</v>
      </c>
      <c r="AG268" s="153">
        <f>SUM(AE268-AF268)</f>
        <v>50000</v>
      </c>
      <c r="AH268" s="99" t="s">
        <v>446</v>
      </c>
      <c r="AI268" s="99">
        <v>4</v>
      </c>
    </row>
    <row r="269" spans="1:42" customHeight="1" ht="11.5">
      <c r="A269" s="5">
        <v>261</v>
      </c>
      <c r="B269" s="163" t="s">
        <v>447</v>
      </c>
      <c r="C269" s="151" t="s">
        <v>36</v>
      </c>
      <c r="D269" s="85" t="s">
        <v>37</v>
      </c>
      <c r="E269" s="86">
        <v>20000</v>
      </c>
      <c r="F269" s="9">
        <v>30000</v>
      </c>
      <c r="G269" s="10">
        <v>20000</v>
      </c>
      <c r="H269" s="9">
        <v>30000</v>
      </c>
      <c r="I269" s="10">
        <v>30000</v>
      </c>
      <c r="J269" s="152">
        <v>20000</v>
      </c>
      <c r="K269" s="10">
        <v>30000</v>
      </c>
      <c r="L269" s="152">
        <v>30000</v>
      </c>
      <c r="M269" s="10">
        <v>20000</v>
      </c>
      <c r="N269" s="152">
        <v>20000</v>
      </c>
      <c r="O269" s="10">
        <v>30000</v>
      </c>
      <c r="P269" s="152">
        <v>20000</v>
      </c>
      <c r="Q269" s="10">
        <v>20000</v>
      </c>
      <c r="R269" s="9">
        <v>20000</v>
      </c>
      <c r="S269" s="10"/>
      <c r="T269" s="9">
        <v>0</v>
      </c>
      <c r="U269" s="10"/>
      <c r="V269" s="9">
        <v>0</v>
      </c>
      <c r="W269" s="10"/>
      <c r="X269" s="9">
        <v>0</v>
      </c>
      <c r="Y269" s="10"/>
      <c r="Z269" s="9">
        <v>0</v>
      </c>
      <c r="AA269" s="10"/>
      <c r="AB269" s="11">
        <v>0</v>
      </c>
      <c r="AC269" s="10"/>
      <c r="AD269" s="7">
        <f>SUM(F269+H269+J269+L269+N269+P269+R269+T269+V269+X269+Z269+AB269)</f>
        <v>170000</v>
      </c>
      <c r="AE269" s="7">
        <f>E269+AD269</f>
        <v>190000</v>
      </c>
      <c r="AF269" s="8">
        <f>G269+I269+K269+M269+O269+Q269+S269+U269+W269+Y269+AA269+AC269</f>
        <v>150000</v>
      </c>
      <c r="AG269" s="153">
        <f>SUM(AE269-AF269)</f>
        <v>40000</v>
      </c>
      <c r="AH269" s="99" t="s">
        <v>448</v>
      </c>
      <c r="AI269" s="99">
        <v>4</v>
      </c>
    </row>
    <row r="270" spans="1:42" customHeight="1" ht="11.5">
      <c r="A270" s="5">
        <v>262</v>
      </c>
      <c r="B270" s="163" t="s">
        <v>449</v>
      </c>
      <c r="C270" s="151" t="s">
        <v>36</v>
      </c>
      <c r="D270" s="85" t="s">
        <v>37</v>
      </c>
      <c r="E270" s="86">
        <v>20000</v>
      </c>
      <c r="F270" s="9">
        <v>60000</v>
      </c>
      <c r="G270" s="10">
        <v>20000</v>
      </c>
      <c r="H270" s="9">
        <v>70000</v>
      </c>
      <c r="I270" s="10">
        <v>60000</v>
      </c>
      <c r="J270" s="152">
        <v>70000</v>
      </c>
      <c r="K270" s="10">
        <v>70000</v>
      </c>
      <c r="L270" s="152">
        <v>90000</v>
      </c>
      <c r="M270" s="10">
        <v>70000</v>
      </c>
      <c r="N270" s="152">
        <v>80000</v>
      </c>
      <c r="O270" s="10">
        <v>90000</v>
      </c>
      <c r="P270" s="152">
        <v>40000</v>
      </c>
      <c r="Q270" s="10">
        <v>80000</v>
      </c>
      <c r="R270" s="9">
        <v>100000</v>
      </c>
      <c r="S270" s="10"/>
      <c r="T270" s="9">
        <v>0</v>
      </c>
      <c r="U270" s="10"/>
      <c r="V270" s="9">
        <v>0</v>
      </c>
      <c r="W270" s="10"/>
      <c r="X270" s="9">
        <v>0</v>
      </c>
      <c r="Y270" s="10"/>
      <c r="Z270" s="9">
        <v>0</v>
      </c>
      <c r="AA270" s="10"/>
      <c r="AB270" s="11">
        <v>0</v>
      </c>
      <c r="AC270" s="10"/>
      <c r="AD270" s="7">
        <f>SUM(F270+H270+J270+L270+N270+P270+R270+T270+V270+X270+Z270+AB270)</f>
        <v>510000</v>
      </c>
      <c r="AE270" s="7">
        <f>E270+AD270</f>
        <v>530000</v>
      </c>
      <c r="AF270" s="8">
        <f>G270+I270+K270+M270+O270+Q270+S270+U270+W270+Y270+AA270+AC270</f>
        <v>390000</v>
      </c>
      <c r="AG270" s="153">
        <f>SUM(AE270-AF270)</f>
        <v>140000</v>
      </c>
      <c r="AH270" s="99" t="s">
        <v>450</v>
      </c>
      <c r="AI270" s="99">
        <v>3</v>
      </c>
    </row>
    <row r="271" spans="1:42" customHeight="1" ht="11.5">
      <c r="A271" s="5">
        <v>263</v>
      </c>
      <c r="B271" s="163" t="s">
        <v>451</v>
      </c>
      <c r="C271" s="151" t="s">
        <v>36</v>
      </c>
      <c r="D271" s="85" t="s">
        <v>37</v>
      </c>
      <c r="E271" s="86">
        <v>20000</v>
      </c>
      <c r="F271" s="9">
        <v>20000</v>
      </c>
      <c r="G271" s="10">
        <v>20000</v>
      </c>
      <c r="H271" s="9">
        <v>40000</v>
      </c>
      <c r="I271" s="10">
        <v>20000</v>
      </c>
      <c r="J271" s="152">
        <v>30000</v>
      </c>
      <c r="K271" s="10">
        <v>40000</v>
      </c>
      <c r="L271" s="152">
        <v>40000</v>
      </c>
      <c r="M271" s="10">
        <v>30000</v>
      </c>
      <c r="N271" s="152">
        <v>30000</v>
      </c>
      <c r="O271" s="10">
        <v>40000</v>
      </c>
      <c r="P271" s="152">
        <v>30000</v>
      </c>
      <c r="Q271" s="10">
        <v>30000</v>
      </c>
      <c r="R271" s="9">
        <v>40000</v>
      </c>
      <c r="S271" s="10"/>
      <c r="T271" s="9">
        <v>0</v>
      </c>
      <c r="U271" s="10"/>
      <c r="V271" s="9">
        <v>0</v>
      </c>
      <c r="W271" s="10"/>
      <c r="X271" s="9">
        <v>0</v>
      </c>
      <c r="Y271" s="10"/>
      <c r="Z271" s="9">
        <v>0</v>
      </c>
      <c r="AA271" s="10"/>
      <c r="AB271" s="11">
        <v>0</v>
      </c>
      <c r="AC271" s="10"/>
      <c r="AD271" s="7">
        <f>SUM(F271+H271+J271+L271+N271+P271+R271+T271+V271+X271+Z271+AB271)</f>
        <v>230000</v>
      </c>
      <c r="AE271" s="7">
        <f>E271+AD271</f>
        <v>250000</v>
      </c>
      <c r="AF271" s="8">
        <f>G271+I271+K271+M271+O271+Q271+S271+U271+W271+Y271+AA271+AC271</f>
        <v>180000</v>
      </c>
      <c r="AG271" s="153">
        <f>SUM(AE271-AF271)</f>
        <v>70000</v>
      </c>
      <c r="AH271" s="99" t="s">
        <v>452</v>
      </c>
      <c r="AI271" s="99">
        <v>3</v>
      </c>
    </row>
    <row r="272" spans="1:42" customHeight="1" ht="11.5">
      <c r="A272" s="5">
        <v>264</v>
      </c>
      <c r="B272" s="163" t="s">
        <v>453</v>
      </c>
      <c r="C272" s="151" t="s">
        <v>105</v>
      </c>
      <c r="D272" s="85" t="s">
        <v>106</v>
      </c>
      <c r="E272" s="86">
        <v>0</v>
      </c>
      <c r="F272" s="9">
        <v>40000</v>
      </c>
      <c r="G272" s="10"/>
      <c r="H272" s="9">
        <v>40000</v>
      </c>
      <c r="I272" s="10">
        <v>40000</v>
      </c>
      <c r="J272" s="152">
        <v>20000</v>
      </c>
      <c r="K272" s="10">
        <v>40000</v>
      </c>
      <c r="L272" s="152">
        <v>60000</v>
      </c>
      <c r="M272" s="10">
        <v>20000</v>
      </c>
      <c r="N272" s="152">
        <v>60000</v>
      </c>
      <c r="O272" s="10">
        <v>60000</v>
      </c>
      <c r="P272" s="152">
        <v>20000</v>
      </c>
      <c r="Q272" s="10">
        <v>60000</v>
      </c>
      <c r="R272" s="9">
        <v>60000</v>
      </c>
      <c r="S272" s="10"/>
      <c r="T272" s="9">
        <v>0</v>
      </c>
      <c r="U272" s="10"/>
      <c r="V272" s="9">
        <v>0</v>
      </c>
      <c r="W272" s="10"/>
      <c r="X272" s="9">
        <v>0</v>
      </c>
      <c r="Y272" s="10"/>
      <c r="Z272" s="9">
        <v>0</v>
      </c>
      <c r="AA272" s="10"/>
      <c r="AB272" s="11">
        <v>0</v>
      </c>
      <c r="AC272" s="10"/>
      <c r="AD272" s="7">
        <f>SUM(F272+H272+J272+L272+N272+P272+R272+T272+V272+X272+Z272+AB272)</f>
        <v>300000</v>
      </c>
      <c r="AE272" s="7">
        <f>E272+AD272</f>
        <v>300000</v>
      </c>
      <c r="AF272" s="8">
        <f>G272+I272+K272+M272+O272+Q272+S272+U272+W272+Y272+AA272+AC272</f>
        <v>220000</v>
      </c>
      <c r="AG272" s="153">
        <f>SUM(AE272-AF272)</f>
        <v>80000</v>
      </c>
      <c r="AH272" s="99" t="s">
        <v>454</v>
      </c>
      <c r="AI272" s="99">
        <v>4</v>
      </c>
    </row>
    <row r="273" spans="1:42" customHeight="1" ht="11.5">
      <c r="A273" s="5">
        <v>265</v>
      </c>
      <c r="B273" s="163" t="s">
        <v>455</v>
      </c>
      <c r="C273" s="151" t="s">
        <v>105</v>
      </c>
      <c r="D273" s="85" t="s">
        <v>106</v>
      </c>
      <c r="E273" s="86">
        <v>0</v>
      </c>
      <c r="F273" s="9">
        <v>40000</v>
      </c>
      <c r="G273" s="10"/>
      <c r="H273" s="9">
        <v>20000</v>
      </c>
      <c r="I273" s="10">
        <v>40000</v>
      </c>
      <c r="J273" s="152">
        <v>40000</v>
      </c>
      <c r="K273" s="10">
        <v>20000</v>
      </c>
      <c r="L273" s="152">
        <v>20000</v>
      </c>
      <c r="M273" s="10">
        <v>40000</v>
      </c>
      <c r="N273" s="152">
        <v>60000</v>
      </c>
      <c r="O273" s="10">
        <v>20000</v>
      </c>
      <c r="P273" s="152">
        <v>20000</v>
      </c>
      <c r="Q273" s="10">
        <v>60000</v>
      </c>
      <c r="R273" s="9">
        <v>40000</v>
      </c>
      <c r="S273" s="10"/>
      <c r="T273" s="9">
        <v>0</v>
      </c>
      <c r="U273" s="10"/>
      <c r="V273" s="9">
        <v>0</v>
      </c>
      <c r="W273" s="10"/>
      <c r="X273" s="9">
        <v>0</v>
      </c>
      <c r="Y273" s="10"/>
      <c r="Z273" s="9">
        <v>0</v>
      </c>
      <c r="AA273" s="10"/>
      <c r="AB273" s="11">
        <v>0</v>
      </c>
      <c r="AC273" s="10"/>
      <c r="AD273" s="7">
        <f>SUM(F273+H273+J273+L273+N273+P273+R273+T273+V273+X273+Z273+AB273)</f>
        <v>240000</v>
      </c>
      <c r="AE273" s="7">
        <f>E273+AD273</f>
        <v>240000</v>
      </c>
      <c r="AF273" s="8">
        <f>G273+I273+K273+M273+O273+Q273+S273+U273+W273+Y273+AA273+AC273</f>
        <v>180000</v>
      </c>
      <c r="AG273" s="153">
        <f>SUM(AE273-AF273)</f>
        <v>60000</v>
      </c>
      <c r="AH273" s="99" t="s">
        <v>456</v>
      </c>
      <c r="AI273" s="99">
        <v>4</v>
      </c>
    </row>
    <row r="274" spans="1:42" customHeight="1" ht="11.5">
      <c r="A274" s="5">
        <v>266</v>
      </c>
      <c r="B274" s="163" t="s">
        <v>457</v>
      </c>
      <c r="C274" s="151" t="s">
        <v>36</v>
      </c>
      <c r="D274" s="85" t="s">
        <v>37</v>
      </c>
      <c r="E274" s="86">
        <v>20000</v>
      </c>
      <c r="F274" s="9">
        <v>30000</v>
      </c>
      <c r="G274" s="10">
        <v>20000</v>
      </c>
      <c r="H274" s="9">
        <v>30000</v>
      </c>
      <c r="I274" s="10">
        <v>30000</v>
      </c>
      <c r="J274" s="152">
        <v>30000</v>
      </c>
      <c r="K274" s="10">
        <v>30000</v>
      </c>
      <c r="L274" s="152">
        <v>40000</v>
      </c>
      <c r="M274" s="10">
        <v>30000</v>
      </c>
      <c r="N274" s="152">
        <v>30000</v>
      </c>
      <c r="O274" s="10">
        <v>40000</v>
      </c>
      <c r="P274" s="152">
        <v>30000</v>
      </c>
      <c r="Q274" s="10">
        <v>30000</v>
      </c>
      <c r="R274" s="9">
        <v>40000</v>
      </c>
      <c r="S274" s="10"/>
      <c r="T274" s="9">
        <v>0</v>
      </c>
      <c r="U274" s="10"/>
      <c r="V274" s="9">
        <v>0</v>
      </c>
      <c r="W274" s="10"/>
      <c r="X274" s="9">
        <v>0</v>
      </c>
      <c r="Y274" s="10"/>
      <c r="Z274" s="9">
        <v>0</v>
      </c>
      <c r="AA274" s="10"/>
      <c r="AB274" s="11">
        <v>0</v>
      </c>
      <c r="AC274" s="10"/>
      <c r="AD274" s="7">
        <f>SUM(F274+H274+J274+L274+N274+P274+R274+T274+V274+X274+Z274+AB274)</f>
        <v>230000</v>
      </c>
      <c r="AE274" s="7">
        <f>E274+AD274</f>
        <v>250000</v>
      </c>
      <c r="AF274" s="8">
        <f>G274+I274+K274+M274+O274+Q274+S274+U274+W274+Y274+AA274+AC274</f>
        <v>180000</v>
      </c>
      <c r="AG274" s="153">
        <f>SUM(AE274-AF274)</f>
        <v>70000</v>
      </c>
      <c r="AH274" s="99" t="s">
        <v>458</v>
      </c>
      <c r="AI274" s="99">
        <v>3</v>
      </c>
    </row>
    <row r="275" spans="1:42" customHeight="1" ht="11.5">
      <c r="A275" s="5">
        <v>267</v>
      </c>
      <c r="B275" s="163" t="s">
        <v>459</v>
      </c>
      <c r="C275" s="151" t="s">
        <v>36</v>
      </c>
      <c r="D275" s="85" t="s">
        <v>37</v>
      </c>
      <c r="E275" s="86">
        <v>20000</v>
      </c>
      <c r="F275" s="9">
        <v>20000</v>
      </c>
      <c r="G275" s="10">
        <v>20000</v>
      </c>
      <c r="H275" s="9">
        <v>30000</v>
      </c>
      <c r="I275" s="10">
        <v>20000</v>
      </c>
      <c r="J275" s="152">
        <v>10000</v>
      </c>
      <c r="K275" s="10">
        <v>30000</v>
      </c>
      <c r="L275" s="152">
        <v>30000</v>
      </c>
      <c r="M275" s="10">
        <v>10000</v>
      </c>
      <c r="N275" s="152">
        <v>10000</v>
      </c>
      <c r="O275" s="10">
        <v>30000</v>
      </c>
      <c r="P275" s="152">
        <v>20000</v>
      </c>
      <c r="Q275" s="10">
        <v>10000</v>
      </c>
      <c r="R275" s="9">
        <v>30000</v>
      </c>
      <c r="S275" s="10"/>
      <c r="T275" s="9">
        <v>0</v>
      </c>
      <c r="U275" s="10"/>
      <c r="V275" s="9">
        <v>0</v>
      </c>
      <c r="W275" s="10"/>
      <c r="X275" s="9">
        <v>0</v>
      </c>
      <c r="Y275" s="10"/>
      <c r="Z275" s="9">
        <v>0</v>
      </c>
      <c r="AA275" s="10"/>
      <c r="AB275" s="11">
        <v>0</v>
      </c>
      <c r="AC275" s="10"/>
      <c r="AD275" s="7">
        <f>SUM(F275+H275+J275+L275+N275+P275+R275+T275+V275+X275+Z275+AB275)</f>
        <v>150000</v>
      </c>
      <c r="AE275" s="7">
        <f>E275+AD275</f>
        <v>170000</v>
      </c>
      <c r="AF275" s="8">
        <f>G275+I275+K275+M275+O275+Q275+S275+U275+W275+Y275+AA275+AC275</f>
        <v>120000</v>
      </c>
      <c r="AG275" s="153">
        <f>SUM(AE275-AF275)</f>
        <v>50000</v>
      </c>
      <c r="AH275" s="99" t="s">
        <v>460</v>
      </c>
      <c r="AI275" s="99">
        <v>4</v>
      </c>
    </row>
    <row r="276" spans="1:42" customHeight="1" ht="11.5">
      <c r="A276" s="5">
        <v>268</v>
      </c>
      <c r="B276" s="163" t="s">
        <v>461</v>
      </c>
      <c r="C276" s="151" t="s">
        <v>36</v>
      </c>
      <c r="D276" s="85" t="s">
        <v>37</v>
      </c>
      <c r="E276" s="86">
        <v>140000</v>
      </c>
      <c r="F276" s="9">
        <v>110000</v>
      </c>
      <c r="G276" s="10">
        <v>140000</v>
      </c>
      <c r="H276" s="9">
        <v>140000</v>
      </c>
      <c r="I276" s="10">
        <v>110000</v>
      </c>
      <c r="J276" s="152">
        <v>130000</v>
      </c>
      <c r="K276" s="10">
        <v>140000</v>
      </c>
      <c r="L276" s="152">
        <v>160000</v>
      </c>
      <c r="M276" s="10">
        <v>130000</v>
      </c>
      <c r="N276" s="152">
        <v>170000</v>
      </c>
      <c r="O276" s="10">
        <v>160000</v>
      </c>
      <c r="P276" s="152">
        <v>140000</v>
      </c>
      <c r="Q276" s="10">
        <v>170000</v>
      </c>
      <c r="R276" s="9">
        <v>250000</v>
      </c>
      <c r="S276" s="10"/>
      <c r="T276" s="9">
        <v>0</v>
      </c>
      <c r="U276" s="10"/>
      <c r="V276" s="9">
        <v>0</v>
      </c>
      <c r="W276" s="10"/>
      <c r="X276" s="9">
        <v>0</v>
      </c>
      <c r="Y276" s="10"/>
      <c r="Z276" s="9">
        <v>0</v>
      </c>
      <c r="AA276" s="10"/>
      <c r="AB276" s="11">
        <v>0</v>
      </c>
      <c r="AC276" s="10"/>
      <c r="AD276" s="7">
        <f>SUM(F276+H276+J276+L276+N276+P276+R276+T276+V276+X276+Z276+AB276)</f>
        <v>1100000</v>
      </c>
      <c r="AE276" s="7">
        <f>E276+AD276</f>
        <v>1240000</v>
      </c>
      <c r="AF276" s="8">
        <f>G276+I276+K276+M276+O276+Q276+S276+U276+W276+Y276+AA276+AC276</f>
        <v>850000</v>
      </c>
      <c r="AG276" s="153">
        <f>SUM(AE276-AF276)</f>
        <v>390000</v>
      </c>
      <c r="AH276" s="99" t="s">
        <v>462</v>
      </c>
      <c r="AI276" s="99">
        <v>4</v>
      </c>
    </row>
    <row r="277" spans="1:42" customHeight="1" ht="11.5">
      <c r="A277" s="5">
        <v>269</v>
      </c>
      <c r="B277" s="163" t="s">
        <v>463</v>
      </c>
      <c r="C277" s="151" t="s">
        <v>464</v>
      </c>
      <c r="D277" s="85" t="s">
        <v>465</v>
      </c>
      <c r="E277" s="86">
        <v>25000</v>
      </c>
      <c r="F277" s="9">
        <v>40000</v>
      </c>
      <c r="G277" s="10">
        <v>25000</v>
      </c>
      <c r="H277" s="9">
        <v>40000</v>
      </c>
      <c r="I277" s="10">
        <v>40000</v>
      </c>
      <c r="J277" s="152">
        <v>70000</v>
      </c>
      <c r="K277" s="10">
        <v>31560</v>
      </c>
      <c r="L277" s="152">
        <v>40000</v>
      </c>
      <c r="M277" s="10">
        <v>57018</v>
      </c>
      <c r="N277" s="152">
        <v>55000</v>
      </c>
      <c r="O277" s="10">
        <v>61422</v>
      </c>
      <c r="P277" s="152">
        <v>30000</v>
      </c>
      <c r="Q277" s="10">
        <v>55000</v>
      </c>
      <c r="R277" s="9">
        <v>80000</v>
      </c>
      <c r="S277" s="10"/>
      <c r="T277" s="9">
        <v>0</v>
      </c>
      <c r="U277" s="10"/>
      <c r="V277" s="9">
        <v>0</v>
      </c>
      <c r="W277" s="10"/>
      <c r="X277" s="9">
        <v>0</v>
      </c>
      <c r="Y277" s="10"/>
      <c r="Z277" s="9">
        <v>0</v>
      </c>
      <c r="AA277" s="10"/>
      <c r="AB277" s="11">
        <v>0</v>
      </c>
      <c r="AC277" s="10"/>
      <c r="AD277" s="7">
        <f>SUM(F277+H277+J277+L277+N277+P277+R277+T277+V277+X277+Z277+AB277)</f>
        <v>355000</v>
      </c>
      <c r="AE277" s="7">
        <f>E277+AD277</f>
        <v>380000</v>
      </c>
      <c r="AF277" s="8">
        <f>G277+I277+K277+M277+O277+Q277+S277+U277+W277+Y277+AA277+AC277</f>
        <v>270000</v>
      </c>
      <c r="AG277" s="153">
        <f>SUM(AE277-AF277)</f>
        <v>110000</v>
      </c>
      <c r="AH277" s="99" t="s">
        <v>466</v>
      </c>
      <c r="AI277" s="99">
        <v>4</v>
      </c>
    </row>
    <row r="278" spans="1:42" customHeight="1" ht="11.5">
      <c r="A278" s="5">
        <v>270</v>
      </c>
      <c r="B278" s="163" t="s">
        <v>467</v>
      </c>
      <c r="C278" s="151" t="s">
        <v>112</v>
      </c>
      <c r="D278" s="85" t="s">
        <v>113</v>
      </c>
      <c r="E278" s="86">
        <v>0</v>
      </c>
      <c r="F278" s="9">
        <v>0</v>
      </c>
      <c r="G278" s="10"/>
      <c r="H278" s="9">
        <v>0</v>
      </c>
      <c r="I278" s="10"/>
      <c r="J278" s="152">
        <v>0</v>
      </c>
      <c r="K278" s="10"/>
      <c r="L278" s="152">
        <v>600</v>
      </c>
      <c r="M278" s="10"/>
      <c r="N278" s="152">
        <v>0</v>
      </c>
      <c r="O278" s="10">
        <v>600</v>
      </c>
      <c r="P278" s="152">
        <v>0</v>
      </c>
      <c r="Q278" s="10"/>
      <c r="R278" s="9">
        <v>680</v>
      </c>
      <c r="S278" s="10"/>
      <c r="T278" s="9">
        <v>0</v>
      </c>
      <c r="U278" s="10"/>
      <c r="V278" s="9">
        <v>0</v>
      </c>
      <c r="W278" s="10"/>
      <c r="X278" s="9">
        <v>0</v>
      </c>
      <c r="Y278" s="10"/>
      <c r="Z278" s="9">
        <v>0</v>
      </c>
      <c r="AA278" s="10"/>
      <c r="AB278" s="11">
        <v>0</v>
      </c>
      <c r="AC278" s="10"/>
      <c r="AD278" s="7">
        <f>SUM(F278+H278+J278+L278+N278+P278+R278+T278+V278+X278+Z278+AB278)</f>
        <v>1280</v>
      </c>
      <c r="AE278" s="7">
        <f>E278+AD278</f>
        <v>1280</v>
      </c>
      <c r="AF278" s="8">
        <f>G278+I278+K278+M278+O278+Q278+S278+U278+W278+Y278+AA278+AC278</f>
        <v>600</v>
      </c>
      <c r="AG278" s="153">
        <f>SUM(AE278-AF278)</f>
        <v>680</v>
      </c>
      <c r="AH278" s="99" t="s">
        <v>468</v>
      </c>
      <c r="AI278" s="99">
        <v>4</v>
      </c>
    </row>
    <row r="279" spans="1:42" customHeight="1" ht="11.5">
      <c r="A279" s="5">
        <v>271</v>
      </c>
      <c r="B279" s="162" t="s">
        <v>469</v>
      </c>
      <c r="C279" s="4" t="s">
        <v>36</v>
      </c>
      <c r="D279" s="85" t="s">
        <v>37</v>
      </c>
      <c r="E279" s="86">
        <v>20000</v>
      </c>
      <c r="F279" s="9">
        <v>50000</v>
      </c>
      <c r="G279" s="10">
        <v>20000</v>
      </c>
      <c r="H279" s="9">
        <v>40000</v>
      </c>
      <c r="I279" s="10">
        <v>50000</v>
      </c>
      <c r="J279" s="152">
        <v>20000</v>
      </c>
      <c r="K279" s="10">
        <v>40000</v>
      </c>
      <c r="L279" s="152">
        <v>50000</v>
      </c>
      <c r="M279" s="10">
        <v>20000</v>
      </c>
      <c r="N279" s="152">
        <v>50000</v>
      </c>
      <c r="O279" s="10">
        <v>50000</v>
      </c>
      <c r="P279" s="152">
        <v>30000</v>
      </c>
      <c r="Q279" s="10">
        <v>50000</v>
      </c>
      <c r="R279" s="9">
        <v>30000</v>
      </c>
      <c r="S279" s="10"/>
      <c r="T279" s="9">
        <v>0</v>
      </c>
      <c r="U279" s="10"/>
      <c r="V279" s="9">
        <v>0</v>
      </c>
      <c r="W279" s="10"/>
      <c r="X279" s="9">
        <v>0</v>
      </c>
      <c r="Y279" s="10"/>
      <c r="Z279" s="9">
        <v>0</v>
      </c>
      <c r="AA279" s="10"/>
      <c r="AB279" s="11">
        <v>0</v>
      </c>
      <c r="AC279" s="10"/>
      <c r="AD279" s="7">
        <f>SUM(F279+H279+J279+L279+N279+P279+R279+T279+V279+X279+Z279+AB279)</f>
        <v>270000</v>
      </c>
      <c r="AE279" s="7">
        <f>E279+AD279</f>
        <v>290000</v>
      </c>
      <c r="AF279" s="8">
        <f>G279+I279+K279+M279+O279+Q279+S279+U279+W279+Y279+AA279+AC279</f>
        <v>230000</v>
      </c>
      <c r="AG279" s="153">
        <f>SUM(AE279-AF279)</f>
        <v>60000</v>
      </c>
      <c r="AH279" s="99" t="s">
        <v>470</v>
      </c>
      <c r="AI279" s="99">
        <v>4</v>
      </c>
    </row>
    <row r="280" spans="1:42" customHeight="1" ht="11.5">
      <c r="A280" s="5">
        <v>272</v>
      </c>
      <c r="B280" s="162" t="s">
        <v>471</v>
      </c>
      <c r="C280" s="4" t="s">
        <v>36</v>
      </c>
      <c r="D280" s="85" t="s">
        <v>37</v>
      </c>
      <c r="E280" s="86">
        <v>0</v>
      </c>
      <c r="F280" s="9">
        <v>10000</v>
      </c>
      <c r="G280" s="10"/>
      <c r="H280" s="9">
        <v>10000</v>
      </c>
      <c r="I280" s="10">
        <v>10000</v>
      </c>
      <c r="J280" s="152">
        <v>20000</v>
      </c>
      <c r="K280" s="10">
        <v>10000</v>
      </c>
      <c r="L280" s="152">
        <v>10000</v>
      </c>
      <c r="M280" s="10">
        <v>20000</v>
      </c>
      <c r="N280" s="152">
        <v>20000</v>
      </c>
      <c r="O280" s="10">
        <v>10000</v>
      </c>
      <c r="P280" s="152">
        <v>10000</v>
      </c>
      <c r="Q280" s="10">
        <v>20000</v>
      </c>
      <c r="R280" s="9">
        <v>20000</v>
      </c>
      <c r="S280" s="10"/>
      <c r="T280" s="9">
        <v>0</v>
      </c>
      <c r="U280" s="10"/>
      <c r="V280" s="9">
        <v>0</v>
      </c>
      <c r="W280" s="10"/>
      <c r="X280" s="9">
        <v>0</v>
      </c>
      <c r="Y280" s="10"/>
      <c r="Z280" s="9">
        <v>0</v>
      </c>
      <c r="AA280" s="10"/>
      <c r="AB280" s="11">
        <v>0</v>
      </c>
      <c r="AC280" s="10"/>
      <c r="AD280" s="7">
        <f>SUM(F280+H280+J280+L280+N280+P280+R280+T280+V280+X280+Z280+AB280)</f>
        <v>100000</v>
      </c>
      <c r="AE280" s="7">
        <f>E280+AD280</f>
        <v>100000</v>
      </c>
      <c r="AF280" s="8">
        <f>G280+I280+K280+M280+O280+Q280+S280+U280+W280+Y280+AA280+AC280</f>
        <v>70000</v>
      </c>
      <c r="AG280" s="153">
        <f>SUM(AE280-AF280)</f>
        <v>30000</v>
      </c>
      <c r="AH280" s="99" t="s">
        <v>472</v>
      </c>
      <c r="AI280" s="99">
        <v>4</v>
      </c>
    </row>
    <row r="281" spans="1:42" customHeight="1" ht="11.5">
      <c r="A281" s="5">
        <v>273</v>
      </c>
      <c r="B281" s="163" t="s">
        <v>473</v>
      </c>
      <c r="C281" s="151" t="s">
        <v>36</v>
      </c>
      <c r="D281" s="85" t="s">
        <v>37</v>
      </c>
      <c r="E281" s="86">
        <v>30000</v>
      </c>
      <c r="F281" s="9">
        <v>20000</v>
      </c>
      <c r="G281" s="10">
        <v>30000</v>
      </c>
      <c r="H281" s="9">
        <v>20000</v>
      </c>
      <c r="I281" s="10">
        <v>20000</v>
      </c>
      <c r="J281" s="152">
        <v>40000</v>
      </c>
      <c r="K281" s="10">
        <v>20000</v>
      </c>
      <c r="L281" s="152">
        <v>30000</v>
      </c>
      <c r="M281" s="10">
        <v>40000</v>
      </c>
      <c r="N281" s="152">
        <v>30000</v>
      </c>
      <c r="O281" s="10">
        <v>30000</v>
      </c>
      <c r="P281" s="152">
        <v>30000</v>
      </c>
      <c r="Q281" s="10">
        <v>30000</v>
      </c>
      <c r="R281" s="9">
        <v>40000</v>
      </c>
      <c r="S281" s="10"/>
      <c r="T281" s="9">
        <v>0</v>
      </c>
      <c r="U281" s="10"/>
      <c r="V281" s="9">
        <v>0</v>
      </c>
      <c r="W281" s="10"/>
      <c r="X281" s="9">
        <v>0</v>
      </c>
      <c r="Y281" s="10"/>
      <c r="Z281" s="9">
        <v>0</v>
      </c>
      <c r="AA281" s="10"/>
      <c r="AB281" s="11">
        <v>0</v>
      </c>
      <c r="AC281" s="10"/>
      <c r="AD281" s="7">
        <f>SUM(F281+H281+J281+L281+N281+P281+R281+T281+V281+X281+Z281+AB281)</f>
        <v>210000</v>
      </c>
      <c r="AE281" s="7">
        <f>E281+AD281</f>
        <v>240000</v>
      </c>
      <c r="AF281" s="8">
        <f>G281+I281+K281+M281+O281+Q281+S281+U281+W281+Y281+AA281+AC281</f>
        <v>170000</v>
      </c>
      <c r="AG281" s="153">
        <f>SUM(AE281-AF281)</f>
        <v>70000</v>
      </c>
      <c r="AH281" s="99" t="s">
        <v>474</v>
      </c>
      <c r="AI281" s="99">
        <v>4</v>
      </c>
    </row>
    <row r="282" spans="1:42" customHeight="1" ht="11.5">
      <c r="A282" s="5">
        <v>274</v>
      </c>
      <c r="B282" s="163" t="s">
        <v>475</v>
      </c>
      <c r="C282" s="151" t="s">
        <v>36</v>
      </c>
      <c r="D282" s="85" t="s">
        <v>37</v>
      </c>
      <c r="E282" s="86">
        <v>40000</v>
      </c>
      <c r="F282" s="9">
        <v>30000</v>
      </c>
      <c r="G282" s="10">
        <v>40000</v>
      </c>
      <c r="H282" s="9">
        <v>40000</v>
      </c>
      <c r="I282" s="10">
        <v>30000</v>
      </c>
      <c r="J282" s="152">
        <v>40000</v>
      </c>
      <c r="K282" s="10">
        <v>40000</v>
      </c>
      <c r="L282" s="152">
        <v>60000</v>
      </c>
      <c r="M282" s="10">
        <v>40000</v>
      </c>
      <c r="N282" s="152">
        <v>60000</v>
      </c>
      <c r="O282" s="10">
        <v>60000</v>
      </c>
      <c r="P282" s="152">
        <v>50000</v>
      </c>
      <c r="Q282" s="10">
        <v>60000</v>
      </c>
      <c r="R282" s="9">
        <v>50000</v>
      </c>
      <c r="S282" s="10"/>
      <c r="T282" s="9">
        <v>0</v>
      </c>
      <c r="U282" s="10"/>
      <c r="V282" s="9">
        <v>0</v>
      </c>
      <c r="W282" s="10"/>
      <c r="X282" s="9">
        <v>0</v>
      </c>
      <c r="Y282" s="10"/>
      <c r="Z282" s="9">
        <v>0</v>
      </c>
      <c r="AA282" s="10"/>
      <c r="AB282" s="11">
        <v>0</v>
      </c>
      <c r="AC282" s="10"/>
      <c r="AD282" s="7">
        <f>SUM(F282+H282+J282+L282+N282+P282+R282+T282+V282+X282+Z282+AB282)</f>
        <v>330000</v>
      </c>
      <c r="AE282" s="7">
        <f>E282+AD282</f>
        <v>370000</v>
      </c>
      <c r="AF282" s="8">
        <f>G282+I282+K282+M282+O282+Q282+S282+U282+W282+Y282+AA282+AC282</f>
        <v>270000</v>
      </c>
      <c r="AG282" s="153">
        <f>SUM(AE282-AF282)</f>
        <v>100000</v>
      </c>
      <c r="AH282" s="99" t="s">
        <v>476</v>
      </c>
      <c r="AI282" s="99">
        <v>4</v>
      </c>
    </row>
    <row r="283" spans="1:42" customHeight="1" ht="11.5">
      <c r="A283" s="5">
        <v>275</v>
      </c>
      <c r="B283" s="163" t="s">
        <v>477</v>
      </c>
      <c r="C283" s="151" t="s">
        <v>105</v>
      </c>
      <c r="D283" s="85" t="s">
        <v>106</v>
      </c>
      <c r="E283" s="86">
        <v>60000</v>
      </c>
      <c r="F283" s="9">
        <v>60000</v>
      </c>
      <c r="G283" s="10">
        <v>60000</v>
      </c>
      <c r="H283" s="9">
        <v>80000</v>
      </c>
      <c r="I283" s="10">
        <v>60000</v>
      </c>
      <c r="J283" s="152">
        <v>80000</v>
      </c>
      <c r="K283" s="10">
        <v>80000</v>
      </c>
      <c r="L283" s="152">
        <v>80000</v>
      </c>
      <c r="M283" s="10">
        <v>80000</v>
      </c>
      <c r="N283" s="152">
        <v>100000</v>
      </c>
      <c r="O283" s="10">
        <v>80000</v>
      </c>
      <c r="P283" s="152">
        <v>80000</v>
      </c>
      <c r="Q283" s="10">
        <v>100000</v>
      </c>
      <c r="R283" s="9">
        <v>100000</v>
      </c>
      <c r="S283" s="10"/>
      <c r="T283" s="9">
        <v>0</v>
      </c>
      <c r="U283" s="10"/>
      <c r="V283" s="9">
        <v>0</v>
      </c>
      <c r="W283" s="10"/>
      <c r="X283" s="9">
        <v>0</v>
      </c>
      <c r="Y283" s="10"/>
      <c r="Z283" s="9">
        <v>0</v>
      </c>
      <c r="AA283" s="10"/>
      <c r="AB283" s="11">
        <v>0</v>
      </c>
      <c r="AC283" s="10"/>
      <c r="AD283" s="7">
        <f>SUM(F283+H283+J283+L283+N283+P283+R283+T283+V283+X283+Z283+AB283)</f>
        <v>580000</v>
      </c>
      <c r="AE283" s="7">
        <f>E283+AD283</f>
        <v>640000</v>
      </c>
      <c r="AF283" s="8">
        <f>G283+I283+K283+M283+O283+Q283+S283+U283+W283+Y283+AA283+AC283</f>
        <v>460000</v>
      </c>
      <c r="AG283" s="153">
        <f>SUM(AE283-AF283)</f>
        <v>180000</v>
      </c>
      <c r="AH283" s="99" t="s">
        <v>478</v>
      </c>
      <c r="AI283" s="99">
        <v>4</v>
      </c>
    </row>
    <row r="284" spans="1:42" customHeight="1" ht="11.5">
      <c r="A284" s="5">
        <v>276</v>
      </c>
      <c r="B284" s="163" t="s">
        <v>479</v>
      </c>
      <c r="C284" s="151" t="s">
        <v>36</v>
      </c>
      <c r="D284" s="85" t="s">
        <v>37</v>
      </c>
      <c r="E284" s="86">
        <v>0</v>
      </c>
      <c r="F284" s="9">
        <v>0</v>
      </c>
      <c r="G284" s="10"/>
      <c r="H284" s="9">
        <v>0</v>
      </c>
      <c r="I284" s="10"/>
      <c r="J284" s="152">
        <v>0</v>
      </c>
      <c r="K284" s="10"/>
      <c r="L284" s="152">
        <v>0</v>
      </c>
      <c r="M284" s="10"/>
      <c r="N284" s="152">
        <v>0</v>
      </c>
      <c r="O284" s="10"/>
      <c r="P284" s="152">
        <v>0</v>
      </c>
      <c r="Q284" s="10"/>
      <c r="R284" s="9">
        <v>0</v>
      </c>
      <c r="S284" s="10"/>
      <c r="T284" s="9">
        <v>0</v>
      </c>
      <c r="U284" s="10"/>
      <c r="V284" s="9">
        <v>0</v>
      </c>
      <c r="W284" s="10"/>
      <c r="X284" s="9">
        <v>0</v>
      </c>
      <c r="Y284" s="10"/>
      <c r="Z284" s="9">
        <v>0</v>
      </c>
      <c r="AA284" s="10"/>
      <c r="AB284" s="11">
        <v>0</v>
      </c>
      <c r="AC284" s="10"/>
      <c r="AD284" s="7">
        <f>SUM(F284+H284+J284+L284+N284+P284+R284+T284+V284+X284+Z284+AB284)</f>
        <v>0</v>
      </c>
      <c r="AE284" s="7">
        <f>E284+AD284</f>
        <v>0</v>
      </c>
      <c r="AF284" s="8">
        <f>G284+I284+K284+M284+O284+Q284+S284+U284+W284+Y284+AA284+AC284</f>
        <v>0</v>
      </c>
      <c r="AG284" s="153">
        <f>SUM(AE284-AF284)</f>
        <v>0</v>
      </c>
      <c r="AH284" s="99" t="s">
        <v>480</v>
      </c>
      <c r="AI284" s="99">
        <v>4</v>
      </c>
    </row>
    <row r="285" spans="1:42" customHeight="1" ht="11.5">
      <c r="A285" s="5">
        <v>277</v>
      </c>
      <c r="B285" s="163" t="s">
        <v>481</v>
      </c>
      <c r="C285" s="151" t="s">
        <v>36</v>
      </c>
      <c r="D285" s="85" t="s">
        <v>37</v>
      </c>
      <c r="E285" s="86">
        <v>10000</v>
      </c>
      <c r="F285" s="9">
        <v>10000</v>
      </c>
      <c r="G285" s="10">
        <v>10000</v>
      </c>
      <c r="H285" s="9">
        <v>20000</v>
      </c>
      <c r="I285" s="10">
        <v>10000</v>
      </c>
      <c r="J285" s="152">
        <v>30000</v>
      </c>
      <c r="K285" s="10">
        <v>20000</v>
      </c>
      <c r="L285" s="152">
        <v>10000</v>
      </c>
      <c r="M285" s="10">
        <v>30000</v>
      </c>
      <c r="N285" s="152">
        <v>20000</v>
      </c>
      <c r="O285" s="10">
        <v>10000</v>
      </c>
      <c r="P285" s="152">
        <v>20000</v>
      </c>
      <c r="Q285" s="10">
        <v>20000</v>
      </c>
      <c r="R285" s="9">
        <v>20000</v>
      </c>
      <c r="S285" s="10"/>
      <c r="T285" s="9">
        <v>0</v>
      </c>
      <c r="U285" s="10"/>
      <c r="V285" s="9">
        <v>0</v>
      </c>
      <c r="W285" s="10"/>
      <c r="X285" s="9">
        <v>0</v>
      </c>
      <c r="Y285" s="10"/>
      <c r="Z285" s="9">
        <v>0</v>
      </c>
      <c r="AA285" s="10"/>
      <c r="AB285" s="11">
        <v>0</v>
      </c>
      <c r="AC285" s="10"/>
      <c r="AD285" s="7">
        <f>SUM(F285+H285+J285+L285+N285+P285+R285+T285+V285+X285+Z285+AB285)</f>
        <v>130000</v>
      </c>
      <c r="AE285" s="7">
        <f>E285+AD285</f>
        <v>140000</v>
      </c>
      <c r="AF285" s="8">
        <f>G285+I285+K285+M285+O285+Q285+S285+U285+W285+Y285+AA285+AC285</f>
        <v>100000</v>
      </c>
      <c r="AG285" s="153">
        <f>SUM(AE285-AF285)</f>
        <v>40000</v>
      </c>
      <c r="AH285" s="99" t="s">
        <v>482</v>
      </c>
      <c r="AI285" s="99">
        <v>4</v>
      </c>
    </row>
    <row r="286" spans="1:42" customHeight="1" ht="11.5">
      <c r="A286" s="5">
        <v>278</v>
      </c>
      <c r="B286" s="163" t="s">
        <v>483</v>
      </c>
      <c r="C286" s="151" t="s">
        <v>36</v>
      </c>
      <c r="D286" s="85" t="s">
        <v>37</v>
      </c>
      <c r="E286" s="86">
        <v>30000</v>
      </c>
      <c r="F286" s="9">
        <v>50000</v>
      </c>
      <c r="G286" s="10">
        <v>30000</v>
      </c>
      <c r="H286" s="9">
        <v>49000</v>
      </c>
      <c r="I286" s="10">
        <v>50000</v>
      </c>
      <c r="J286" s="152">
        <v>60000</v>
      </c>
      <c r="K286" s="10">
        <v>49000</v>
      </c>
      <c r="L286" s="152">
        <v>59000</v>
      </c>
      <c r="M286" s="10">
        <v>60000</v>
      </c>
      <c r="N286" s="152">
        <v>50000</v>
      </c>
      <c r="O286" s="10">
        <v>59000</v>
      </c>
      <c r="P286" s="152">
        <v>40000</v>
      </c>
      <c r="Q286" s="10">
        <v>50000</v>
      </c>
      <c r="R286" s="9">
        <v>60000</v>
      </c>
      <c r="S286" s="10"/>
      <c r="T286" s="9">
        <v>0</v>
      </c>
      <c r="U286" s="10"/>
      <c r="V286" s="9">
        <v>0</v>
      </c>
      <c r="W286" s="10"/>
      <c r="X286" s="9">
        <v>0</v>
      </c>
      <c r="Y286" s="10"/>
      <c r="Z286" s="9">
        <v>0</v>
      </c>
      <c r="AA286" s="10"/>
      <c r="AB286" s="11">
        <v>0</v>
      </c>
      <c r="AC286" s="10"/>
      <c r="AD286" s="7">
        <f>SUM(F286+H286+J286+L286+N286+P286+R286+T286+V286+X286+Z286+AB286)</f>
        <v>368000</v>
      </c>
      <c r="AE286" s="7">
        <f>E286+AD286</f>
        <v>398000</v>
      </c>
      <c r="AF286" s="8">
        <f>G286+I286+K286+M286+O286+Q286+S286+U286+W286+Y286+AA286+AC286</f>
        <v>298000</v>
      </c>
      <c r="AG286" s="153">
        <f>SUM(AE286-AF286)</f>
        <v>100000</v>
      </c>
      <c r="AH286" s="99" t="s">
        <v>484</v>
      </c>
      <c r="AI286" s="99">
        <v>4</v>
      </c>
    </row>
    <row r="287" spans="1:42" customHeight="1" ht="11.5">
      <c r="A287" s="5">
        <v>279</v>
      </c>
      <c r="B287" s="163" t="s">
        <v>485</v>
      </c>
      <c r="C287" s="151" t="s">
        <v>36</v>
      </c>
      <c r="D287" s="85" t="s">
        <v>37</v>
      </c>
      <c r="E287" s="86">
        <v>40000</v>
      </c>
      <c r="F287" s="9">
        <v>40000</v>
      </c>
      <c r="G287" s="10">
        <v>40000</v>
      </c>
      <c r="H287" s="9">
        <v>60000</v>
      </c>
      <c r="I287" s="10">
        <v>40000</v>
      </c>
      <c r="J287" s="152">
        <v>80000</v>
      </c>
      <c r="K287" s="10">
        <v>60000</v>
      </c>
      <c r="L287" s="152">
        <v>100000</v>
      </c>
      <c r="M287" s="10">
        <v>80000</v>
      </c>
      <c r="N287" s="152">
        <v>80000</v>
      </c>
      <c r="O287" s="10">
        <v>100000</v>
      </c>
      <c r="P287" s="152">
        <v>40000</v>
      </c>
      <c r="Q287" s="10">
        <v>80000</v>
      </c>
      <c r="R287" s="9">
        <v>100000</v>
      </c>
      <c r="S287" s="10"/>
      <c r="T287" s="9">
        <v>0</v>
      </c>
      <c r="U287" s="10"/>
      <c r="V287" s="9">
        <v>0</v>
      </c>
      <c r="W287" s="10"/>
      <c r="X287" s="9">
        <v>0</v>
      </c>
      <c r="Y287" s="10"/>
      <c r="Z287" s="9">
        <v>0</v>
      </c>
      <c r="AA287" s="10"/>
      <c r="AB287" s="11">
        <v>0</v>
      </c>
      <c r="AC287" s="10"/>
      <c r="AD287" s="7">
        <f>SUM(F287+H287+J287+L287+N287+P287+R287+T287+V287+X287+Z287+AB287)</f>
        <v>500000</v>
      </c>
      <c r="AE287" s="7">
        <f>E287+AD287</f>
        <v>540000</v>
      </c>
      <c r="AF287" s="8">
        <f>G287+I287+K287+M287+O287+Q287+S287+U287+W287+Y287+AA287+AC287</f>
        <v>400000</v>
      </c>
      <c r="AG287" s="153">
        <f>SUM(AE287-AF287)</f>
        <v>140000</v>
      </c>
      <c r="AH287" s="99" t="s">
        <v>486</v>
      </c>
      <c r="AI287" s="99">
        <v>4</v>
      </c>
    </row>
    <row r="288" spans="1:42" customHeight="1" ht="11.5">
      <c r="A288" s="5">
        <v>280</v>
      </c>
      <c r="B288" s="163" t="s">
        <v>487</v>
      </c>
      <c r="C288" s="151" t="s">
        <v>36</v>
      </c>
      <c r="D288" s="85" t="s">
        <v>37</v>
      </c>
      <c r="E288" s="86">
        <v>0</v>
      </c>
      <c r="F288" s="9">
        <v>0</v>
      </c>
      <c r="G288" s="10"/>
      <c r="H288" s="9">
        <v>0</v>
      </c>
      <c r="I288" s="10"/>
      <c r="J288" s="152">
        <v>0</v>
      </c>
      <c r="K288" s="10"/>
      <c r="L288" s="152">
        <v>1080</v>
      </c>
      <c r="M288" s="10"/>
      <c r="N288" s="152">
        <v>0</v>
      </c>
      <c r="O288" s="10">
        <v>1080</v>
      </c>
      <c r="P288" s="152">
        <v>5000</v>
      </c>
      <c r="Q288" s="10"/>
      <c r="R288" s="9">
        <v>1200</v>
      </c>
      <c r="S288" s="10"/>
      <c r="T288" s="9">
        <v>0</v>
      </c>
      <c r="U288" s="10"/>
      <c r="V288" s="9">
        <v>0</v>
      </c>
      <c r="W288" s="10"/>
      <c r="X288" s="9">
        <v>0</v>
      </c>
      <c r="Y288" s="10"/>
      <c r="Z288" s="9">
        <v>0</v>
      </c>
      <c r="AA288" s="10"/>
      <c r="AB288" s="11">
        <v>0</v>
      </c>
      <c r="AC288" s="10"/>
      <c r="AD288" s="7">
        <f>SUM(F288+H288+J288+L288+N288+P288+R288+T288+V288+X288+Z288+AB288)</f>
        <v>7280</v>
      </c>
      <c r="AE288" s="7">
        <f>E288+AD288</f>
        <v>7280</v>
      </c>
      <c r="AF288" s="8">
        <f>G288+I288+K288+M288+O288+Q288+S288+U288+W288+Y288+AA288+AC288</f>
        <v>1080</v>
      </c>
      <c r="AG288" s="153">
        <f>SUM(AE288-AF288)</f>
        <v>6200</v>
      </c>
      <c r="AH288" s="99" t="s">
        <v>488</v>
      </c>
      <c r="AI288" s="99">
        <v>4</v>
      </c>
    </row>
    <row r="289" spans="1:42" customHeight="1" ht="11.5">
      <c r="A289" s="5">
        <v>281</v>
      </c>
      <c r="B289" s="163" t="s">
        <v>489</v>
      </c>
      <c r="C289" s="151" t="s">
        <v>36</v>
      </c>
      <c r="D289" s="85" t="s">
        <v>37</v>
      </c>
      <c r="E289" s="86">
        <v>0</v>
      </c>
      <c r="F289" s="9">
        <v>30000</v>
      </c>
      <c r="G289" s="10"/>
      <c r="H289" s="9">
        <v>0</v>
      </c>
      <c r="I289" s="10">
        <v>30000</v>
      </c>
      <c r="J289" s="152">
        <v>0</v>
      </c>
      <c r="K289" s="10"/>
      <c r="L289" s="152">
        <v>0</v>
      </c>
      <c r="M289" s="10"/>
      <c r="N289" s="152">
        <v>0</v>
      </c>
      <c r="O289" s="10"/>
      <c r="P289" s="152">
        <v>0</v>
      </c>
      <c r="Q289" s="10"/>
      <c r="R289" s="9">
        <v>0</v>
      </c>
      <c r="S289" s="10"/>
      <c r="T289" s="9">
        <v>0</v>
      </c>
      <c r="U289" s="10"/>
      <c r="V289" s="9">
        <v>0</v>
      </c>
      <c r="W289" s="10"/>
      <c r="X289" s="9">
        <v>0</v>
      </c>
      <c r="Y289" s="10"/>
      <c r="Z289" s="9">
        <v>0</v>
      </c>
      <c r="AA289" s="10"/>
      <c r="AB289" s="11">
        <v>0</v>
      </c>
      <c r="AC289" s="10"/>
      <c r="AD289" s="7">
        <f>SUM(F289+H289+J289+L289+N289+P289+R289+T289+V289+X289+Z289+AB289)</f>
        <v>30000</v>
      </c>
      <c r="AE289" s="7">
        <f>E289+AD289</f>
        <v>30000</v>
      </c>
      <c r="AF289" s="8">
        <f>G289+I289+K289+M289+O289+Q289+S289+U289+W289+Y289+AA289+AC289</f>
        <v>30000</v>
      </c>
      <c r="AG289" s="153">
        <f>SUM(AE289-AF289)</f>
        <v>0</v>
      </c>
      <c r="AH289" s="99" t="s">
        <v>490</v>
      </c>
      <c r="AI289" s="99">
        <v>4</v>
      </c>
    </row>
    <row r="290" spans="1:42" customHeight="1" ht="11.5">
      <c r="A290" s="5">
        <v>282</v>
      </c>
      <c r="B290" s="163" t="s">
        <v>491</v>
      </c>
      <c r="C290" s="151" t="s">
        <v>36</v>
      </c>
      <c r="D290" s="85" t="s">
        <v>37</v>
      </c>
      <c r="E290" s="86">
        <v>30000</v>
      </c>
      <c r="F290" s="9">
        <v>30000</v>
      </c>
      <c r="G290" s="10">
        <v>30000</v>
      </c>
      <c r="H290" s="9">
        <v>40000</v>
      </c>
      <c r="I290" s="10">
        <v>30000</v>
      </c>
      <c r="J290" s="152">
        <v>40000</v>
      </c>
      <c r="K290" s="10">
        <v>40000</v>
      </c>
      <c r="L290" s="152">
        <v>60000</v>
      </c>
      <c r="M290" s="10">
        <v>40000</v>
      </c>
      <c r="N290" s="152">
        <v>60000</v>
      </c>
      <c r="O290" s="10">
        <v>60000</v>
      </c>
      <c r="P290" s="152">
        <v>48000</v>
      </c>
      <c r="Q290" s="10">
        <v>60000</v>
      </c>
      <c r="R290" s="9">
        <v>60000</v>
      </c>
      <c r="S290" s="10"/>
      <c r="T290" s="9">
        <v>0</v>
      </c>
      <c r="U290" s="10"/>
      <c r="V290" s="9">
        <v>0</v>
      </c>
      <c r="W290" s="10"/>
      <c r="X290" s="9">
        <v>0</v>
      </c>
      <c r="Y290" s="10"/>
      <c r="Z290" s="9">
        <v>0</v>
      </c>
      <c r="AA290" s="10"/>
      <c r="AB290" s="11">
        <v>0</v>
      </c>
      <c r="AC290" s="10"/>
      <c r="AD290" s="7">
        <f>SUM(F290+H290+J290+L290+N290+P290+R290+T290+V290+X290+Z290+AB290)</f>
        <v>338000</v>
      </c>
      <c r="AE290" s="7">
        <f>E290+AD290</f>
        <v>368000</v>
      </c>
      <c r="AF290" s="8">
        <f>G290+I290+K290+M290+O290+Q290+S290+U290+W290+Y290+AA290+AC290</f>
        <v>260000</v>
      </c>
      <c r="AG290" s="153">
        <f>SUM(AE290-AF290)</f>
        <v>108000</v>
      </c>
      <c r="AH290" s="99" t="s">
        <v>492</v>
      </c>
      <c r="AI290" s="99">
        <v>4</v>
      </c>
    </row>
    <row r="291" spans="1:42" customHeight="1" ht="11.5">
      <c r="A291" s="5">
        <v>283</v>
      </c>
      <c r="B291" s="163" t="s">
        <v>493</v>
      </c>
      <c r="C291" s="151" t="s">
        <v>36</v>
      </c>
      <c r="D291" s="85" t="s">
        <v>37</v>
      </c>
      <c r="E291" s="86">
        <v>10000</v>
      </c>
      <c r="F291" s="9">
        <v>20000</v>
      </c>
      <c r="G291" s="10">
        <v>10000</v>
      </c>
      <c r="H291" s="9">
        <v>10000</v>
      </c>
      <c r="I291" s="10">
        <v>20000</v>
      </c>
      <c r="J291" s="152">
        <v>10000</v>
      </c>
      <c r="K291" s="10">
        <v>10000</v>
      </c>
      <c r="L291" s="152">
        <v>30000</v>
      </c>
      <c r="M291" s="10">
        <v>10000</v>
      </c>
      <c r="N291" s="152">
        <v>20000</v>
      </c>
      <c r="O291" s="10">
        <v>30000</v>
      </c>
      <c r="P291" s="152">
        <v>20000</v>
      </c>
      <c r="Q291" s="10">
        <v>20000</v>
      </c>
      <c r="R291" s="9">
        <v>20000</v>
      </c>
      <c r="S291" s="10"/>
      <c r="T291" s="9">
        <v>0</v>
      </c>
      <c r="U291" s="10"/>
      <c r="V291" s="9">
        <v>0</v>
      </c>
      <c r="W291" s="10"/>
      <c r="X291" s="9">
        <v>0</v>
      </c>
      <c r="Y291" s="10"/>
      <c r="Z291" s="9">
        <v>0</v>
      </c>
      <c r="AA291" s="10"/>
      <c r="AB291" s="11">
        <v>0</v>
      </c>
      <c r="AC291" s="10"/>
      <c r="AD291" s="7">
        <f>SUM(F291+H291+J291+L291+N291+P291+R291+T291+V291+X291+Z291+AB291)</f>
        <v>130000</v>
      </c>
      <c r="AE291" s="7">
        <f>E291+AD291</f>
        <v>140000</v>
      </c>
      <c r="AF291" s="8">
        <f>G291+I291+K291+M291+O291+Q291+S291+U291+W291+Y291+AA291+AC291</f>
        <v>100000</v>
      </c>
      <c r="AG291" s="153">
        <f>SUM(AE291-AF291)</f>
        <v>40000</v>
      </c>
      <c r="AH291" s="99" t="s">
        <v>494</v>
      </c>
      <c r="AI291" s="99">
        <v>4</v>
      </c>
    </row>
    <row r="292" spans="1:42" customHeight="1" ht="11.5">
      <c r="A292" s="5">
        <v>284</v>
      </c>
      <c r="B292" s="163" t="s">
        <v>495</v>
      </c>
      <c r="C292" s="151" t="s">
        <v>36</v>
      </c>
      <c r="D292" s="85" t="s">
        <v>37</v>
      </c>
      <c r="E292" s="86">
        <v>250000</v>
      </c>
      <c r="F292" s="9">
        <v>180000</v>
      </c>
      <c r="G292" s="10">
        <v>250000</v>
      </c>
      <c r="H292" s="9">
        <v>270000</v>
      </c>
      <c r="I292" s="10">
        <v>180000</v>
      </c>
      <c r="J292" s="152">
        <v>240000</v>
      </c>
      <c r="K292" s="10">
        <v>270000</v>
      </c>
      <c r="L292" s="152">
        <v>240000</v>
      </c>
      <c r="M292" s="10">
        <v>240000</v>
      </c>
      <c r="N292" s="152">
        <v>260000</v>
      </c>
      <c r="O292" s="10">
        <v>240000</v>
      </c>
      <c r="P292" s="152">
        <v>200000</v>
      </c>
      <c r="Q292" s="10">
        <v>260000</v>
      </c>
      <c r="R292" s="9">
        <v>330000</v>
      </c>
      <c r="S292" s="10"/>
      <c r="T292" s="9">
        <v>0</v>
      </c>
      <c r="U292" s="10"/>
      <c r="V292" s="9">
        <v>0</v>
      </c>
      <c r="W292" s="10"/>
      <c r="X292" s="9">
        <v>0</v>
      </c>
      <c r="Y292" s="10"/>
      <c r="Z292" s="9">
        <v>0</v>
      </c>
      <c r="AA292" s="10"/>
      <c r="AB292" s="11">
        <v>0</v>
      </c>
      <c r="AC292" s="10"/>
      <c r="AD292" s="7">
        <f>SUM(F292+H292+J292+L292+N292+P292+R292+T292+V292+X292+Z292+AB292)</f>
        <v>1720000</v>
      </c>
      <c r="AE292" s="7">
        <f>E292+AD292</f>
        <v>1970000</v>
      </c>
      <c r="AF292" s="8">
        <f>G292+I292+K292+M292+O292+Q292+S292+U292+W292+Y292+AA292+AC292</f>
        <v>1440000</v>
      </c>
      <c r="AG292" s="153">
        <f>SUM(AE292-AF292)</f>
        <v>530000</v>
      </c>
      <c r="AH292" s="99" t="s">
        <v>496</v>
      </c>
      <c r="AI292" s="99">
        <v>4</v>
      </c>
    </row>
    <row r="293" spans="1:42" customHeight="1" ht="11.5">
      <c r="A293" s="5">
        <v>285</v>
      </c>
      <c r="B293" s="163" t="s">
        <v>497</v>
      </c>
      <c r="C293" s="151" t="s">
        <v>36</v>
      </c>
      <c r="D293" s="85" t="s">
        <v>37</v>
      </c>
      <c r="E293" s="86">
        <v>70000</v>
      </c>
      <c r="F293" s="9">
        <v>20000</v>
      </c>
      <c r="G293" s="10">
        <v>70000</v>
      </c>
      <c r="H293" s="9">
        <v>30000</v>
      </c>
      <c r="I293" s="10">
        <v>20000</v>
      </c>
      <c r="J293" s="152">
        <v>40000</v>
      </c>
      <c r="K293" s="10">
        <v>30000</v>
      </c>
      <c r="L293" s="152">
        <v>40000</v>
      </c>
      <c r="M293" s="10">
        <v>40000</v>
      </c>
      <c r="N293" s="152">
        <v>30000</v>
      </c>
      <c r="O293" s="10">
        <v>40000</v>
      </c>
      <c r="P293" s="152">
        <v>40000</v>
      </c>
      <c r="Q293" s="10">
        <v>30000</v>
      </c>
      <c r="R293" s="9">
        <v>50000</v>
      </c>
      <c r="S293" s="10"/>
      <c r="T293" s="9">
        <v>0</v>
      </c>
      <c r="U293" s="10"/>
      <c r="V293" s="9">
        <v>0</v>
      </c>
      <c r="W293" s="10"/>
      <c r="X293" s="9">
        <v>0</v>
      </c>
      <c r="Y293" s="10"/>
      <c r="Z293" s="9">
        <v>0</v>
      </c>
      <c r="AA293" s="10"/>
      <c r="AB293" s="11">
        <v>0</v>
      </c>
      <c r="AC293" s="10"/>
      <c r="AD293" s="7">
        <f>SUM(F293+H293+J293+L293+N293+P293+R293+T293+V293+X293+Z293+AB293)</f>
        <v>250000</v>
      </c>
      <c r="AE293" s="7">
        <f>E293+AD293</f>
        <v>320000</v>
      </c>
      <c r="AF293" s="8">
        <f>G293+I293+K293+M293+O293+Q293+S293+U293+W293+Y293+AA293+AC293</f>
        <v>230000</v>
      </c>
      <c r="AG293" s="153">
        <f>SUM(AE293-AF293)</f>
        <v>90000</v>
      </c>
      <c r="AH293" s="99" t="s">
        <v>498</v>
      </c>
      <c r="AI293" s="99">
        <v>4</v>
      </c>
    </row>
    <row r="294" spans="1:42" customHeight="1" ht="11.5">
      <c r="A294" s="5">
        <v>286</v>
      </c>
      <c r="B294" s="163" t="s">
        <v>499</v>
      </c>
      <c r="C294" s="151" t="s">
        <v>36</v>
      </c>
      <c r="D294" s="85" t="s">
        <v>37</v>
      </c>
      <c r="E294" s="86">
        <v>0</v>
      </c>
      <c r="F294" s="9">
        <v>0</v>
      </c>
      <c r="G294" s="10"/>
      <c r="H294" s="9">
        <v>0</v>
      </c>
      <c r="I294" s="10"/>
      <c r="J294" s="152">
        <v>0</v>
      </c>
      <c r="K294" s="10"/>
      <c r="L294" s="152">
        <v>360</v>
      </c>
      <c r="M294" s="10"/>
      <c r="N294" s="152">
        <v>0</v>
      </c>
      <c r="O294" s="10">
        <v>360</v>
      </c>
      <c r="P294" s="152">
        <v>0</v>
      </c>
      <c r="Q294" s="10"/>
      <c r="R294" s="9">
        <v>400</v>
      </c>
      <c r="S294" s="10"/>
      <c r="T294" s="9">
        <v>0</v>
      </c>
      <c r="U294" s="10"/>
      <c r="V294" s="9">
        <v>0</v>
      </c>
      <c r="W294" s="10"/>
      <c r="X294" s="9">
        <v>0</v>
      </c>
      <c r="Y294" s="10"/>
      <c r="Z294" s="9">
        <v>0</v>
      </c>
      <c r="AA294" s="10"/>
      <c r="AB294" s="11">
        <v>0</v>
      </c>
      <c r="AC294" s="10"/>
      <c r="AD294" s="7">
        <f>SUM(F294+H294+J294+L294+N294+P294+R294+T294+V294+X294+Z294+AB294)</f>
        <v>760</v>
      </c>
      <c r="AE294" s="7">
        <f>E294+AD294</f>
        <v>760</v>
      </c>
      <c r="AF294" s="8">
        <f>G294+I294+K294+M294+O294+Q294+S294+U294+W294+Y294+AA294+AC294</f>
        <v>360</v>
      </c>
      <c r="AG294" s="153">
        <f>SUM(AE294-AF294)</f>
        <v>400</v>
      </c>
      <c r="AH294" s="99" t="s">
        <v>500</v>
      </c>
      <c r="AI294" s="99">
        <v>4</v>
      </c>
    </row>
    <row r="295" spans="1:42" customHeight="1" ht="11.5">
      <c r="A295" s="5">
        <v>287</v>
      </c>
      <c r="B295" s="163" t="s">
        <v>501</v>
      </c>
      <c r="C295" s="151" t="s">
        <v>36</v>
      </c>
      <c r="D295" s="85" t="s">
        <v>37</v>
      </c>
      <c r="E295" s="86">
        <v>0</v>
      </c>
      <c r="F295" s="9">
        <v>0</v>
      </c>
      <c r="G295" s="10"/>
      <c r="H295" s="9">
        <v>0</v>
      </c>
      <c r="I295" s="10"/>
      <c r="J295" s="152">
        <v>0</v>
      </c>
      <c r="K295" s="10"/>
      <c r="L295" s="152">
        <v>10000</v>
      </c>
      <c r="M295" s="10"/>
      <c r="N295" s="152">
        <v>0</v>
      </c>
      <c r="O295" s="10">
        <v>10000</v>
      </c>
      <c r="P295" s="152">
        <v>0</v>
      </c>
      <c r="Q295" s="10"/>
      <c r="R295" s="9">
        <v>0</v>
      </c>
      <c r="S295" s="10"/>
      <c r="T295" s="9">
        <v>0</v>
      </c>
      <c r="U295" s="10"/>
      <c r="V295" s="9">
        <v>0</v>
      </c>
      <c r="W295" s="10"/>
      <c r="X295" s="9">
        <v>0</v>
      </c>
      <c r="Y295" s="10"/>
      <c r="Z295" s="9">
        <v>0</v>
      </c>
      <c r="AA295" s="10"/>
      <c r="AB295" s="11">
        <v>0</v>
      </c>
      <c r="AC295" s="10"/>
      <c r="AD295" s="7">
        <f>SUM(F295+H295+J295+L295+N295+P295+R295+T295+V295+X295+Z295+AB295)</f>
        <v>10000</v>
      </c>
      <c r="AE295" s="7">
        <f>E295+AD295</f>
        <v>10000</v>
      </c>
      <c r="AF295" s="8">
        <f>G295+I295+K295+M295+O295+Q295+S295+U295+W295+Y295+AA295+AC295</f>
        <v>10000</v>
      </c>
      <c r="AG295" s="153">
        <f>SUM(AE295-AF295)</f>
        <v>0</v>
      </c>
      <c r="AH295" s="99" t="s">
        <v>502</v>
      </c>
      <c r="AI295" s="99">
        <v>4</v>
      </c>
    </row>
    <row r="296" spans="1:42" customHeight="1" ht="11.5">
      <c r="A296" s="5">
        <v>288</v>
      </c>
      <c r="B296" s="163" t="s">
        <v>503</v>
      </c>
      <c r="C296" s="151" t="s">
        <v>36</v>
      </c>
      <c r="D296" s="85" t="s">
        <v>37</v>
      </c>
      <c r="E296" s="86">
        <v>0</v>
      </c>
      <c r="F296" s="9">
        <v>0</v>
      </c>
      <c r="G296" s="10"/>
      <c r="H296" s="9">
        <v>0</v>
      </c>
      <c r="I296" s="10"/>
      <c r="J296" s="152">
        <v>0</v>
      </c>
      <c r="K296" s="10"/>
      <c r="L296" s="152">
        <v>0</v>
      </c>
      <c r="M296" s="10"/>
      <c r="N296" s="152">
        <v>0</v>
      </c>
      <c r="O296" s="10"/>
      <c r="P296" s="152">
        <v>0</v>
      </c>
      <c r="Q296" s="10"/>
      <c r="R296" s="9">
        <v>0</v>
      </c>
      <c r="S296" s="10"/>
      <c r="T296" s="9">
        <v>0</v>
      </c>
      <c r="U296" s="10"/>
      <c r="V296" s="9">
        <v>0</v>
      </c>
      <c r="W296" s="10"/>
      <c r="X296" s="9">
        <v>0</v>
      </c>
      <c r="Y296" s="10"/>
      <c r="Z296" s="9">
        <v>0</v>
      </c>
      <c r="AA296" s="10"/>
      <c r="AB296" s="11">
        <v>0</v>
      </c>
      <c r="AC296" s="10"/>
      <c r="AD296" s="7">
        <f>SUM(F296+H296+J296+L296+N296+P296+R296+T296+V296+X296+Z296+AB296)</f>
        <v>0</v>
      </c>
      <c r="AE296" s="7">
        <f>E296+AD296</f>
        <v>0</v>
      </c>
      <c r="AF296" s="8">
        <f>G296+I296+K296+M296+O296+Q296+S296+U296+W296+Y296+AA296+AC296</f>
        <v>0</v>
      </c>
      <c r="AG296" s="153">
        <f>SUM(AE296-AF296)</f>
        <v>0</v>
      </c>
      <c r="AH296" s="99" t="s">
        <v>504</v>
      </c>
      <c r="AI296" s="99">
        <v>4</v>
      </c>
    </row>
    <row r="297" spans="1:42" customHeight="1" ht="11.5">
      <c r="A297" s="5">
        <v>289</v>
      </c>
      <c r="B297" s="163" t="s">
        <v>505</v>
      </c>
      <c r="C297" s="151" t="s">
        <v>36</v>
      </c>
      <c r="D297" s="85" t="s">
        <v>37</v>
      </c>
      <c r="E297" s="86">
        <v>40000</v>
      </c>
      <c r="F297" s="9">
        <v>50000</v>
      </c>
      <c r="G297" s="10">
        <v>40000</v>
      </c>
      <c r="H297" s="9">
        <v>50000</v>
      </c>
      <c r="I297" s="10">
        <v>50000</v>
      </c>
      <c r="J297" s="152">
        <v>30000</v>
      </c>
      <c r="K297" s="10">
        <v>50000</v>
      </c>
      <c r="L297" s="152">
        <v>60000</v>
      </c>
      <c r="M297" s="10">
        <v>30000</v>
      </c>
      <c r="N297" s="152">
        <v>50000</v>
      </c>
      <c r="O297" s="10">
        <v>60000</v>
      </c>
      <c r="P297" s="152">
        <v>70000</v>
      </c>
      <c r="Q297" s="10">
        <v>50000</v>
      </c>
      <c r="R297" s="9">
        <v>90000</v>
      </c>
      <c r="S297" s="10"/>
      <c r="T297" s="9">
        <v>0</v>
      </c>
      <c r="U297" s="10"/>
      <c r="V297" s="9">
        <v>0</v>
      </c>
      <c r="W297" s="10"/>
      <c r="X297" s="9">
        <v>0</v>
      </c>
      <c r="Y297" s="10"/>
      <c r="Z297" s="9">
        <v>0</v>
      </c>
      <c r="AA297" s="10"/>
      <c r="AB297" s="11">
        <v>0</v>
      </c>
      <c r="AC297" s="10"/>
      <c r="AD297" s="7">
        <f>SUM(F297+H297+J297+L297+N297+P297+R297+T297+V297+X297+Z297+AB297)</f>
        <v>400000</v>
      </c>
      <c r="AE297" s="7">
        <f>E297+AD297</f>
        <v>440000</v>
      </c>
      <c r="AF297" s="8">
        <f>G297+I297+K297+M297+O297+Q297+S297+U297+W297+Y297+AA297+AC297</f>
        <v>280000</v>
      </c>
      <c r="AG297" s="153">
        <f>SUM(AE297-AF297)</f>
        <v>160000</v>
      </c>
      <c r="AH297" s="99" t="s">
        <v>506</v>
      </c>
      <c r="AI297" s="99">
        <v>4</v>
      </c>
    </row>
    <row r="298" spans="1:42" customHeight="1" ht="11.5">
      <c r="A298" s="5">
        <v>290</v>
      </c>
      <c r="B298" s="163" t="s">
        <v>507</v>
      </c>
      <c r="C298" s="151" t="s">
        <v>36</v>
      </c>
      <c r="D298" s="85" t="s">
        <v>37</v>
      </c>
      <c r="E298" s="86">
        <v>10000</v>
      </c>
      <c r="F298" s="9">
        <v>20000</v>
      </c>
      <c r="G298" s="10">
        <v>10000</v>
      </c>
      <c r="H298" s="9">
        <v>40000</v>
      </c>
      <c r="I298" s="10">
        <v>20000</v>
      </c>
      <c r="J298" s="152">
        <v>40000</v>
      </c>
      <c r="K298" s="10">
        <v>40000</v>
      </c>
      <c r="L298" s="152">
        <v>40000</v>
      </c>
      <c r="M298" s="10">
        <v>40000</v>
      </c>
      <c r="N298" s="152">
        <v>40000</v>
      </c>
      <c r="O298" s="10">
        <v>40000</v>
      </c>
      <c r="P298" s="152">
        <v>10000</v>
      </c>
      <c r="Q298" s="10">
        <v>40000</v>
      </c>
      <c r="R298" s="9">
        <v>40000</v>
      </c>
      <c r="S298" s="10"/>
      <c r="T298" s="9">
        <v>0</v>
      </c>
      <c r="U298" s="10"/>
      <c r="V298" s="9">
        <v>0</v>
      </c>
      <c r="W298" s="10"/>
      <c r="X298" s="9">
        <v>0</v>
      </c>
      <c r="Y298" s="10"/>
      <c r="Z298" s="9">
        <v>0</v>
      </c>
      <c r="AA298" s="10"/>
      <c r="AB298" s="11">
        <v>0</v>
      </c>
      <c r="AC298" s="10"/>
      <c r="AD298" s="7">
        <f>SUM(F298+H298+J298+L298+N298+P298+R298+T298+V298+X298+Z298+AB298)</f>
        <v>230000</v>
      </c>
      <c r="AE298" s="7">
        <f>E298+AD298</f>
        <v>240000</v>
      </c>
      <c r="AF298" s="8">
        <f>G298+I298+K298+M298+O298+Q298+S298+U298+W298+Y298+AA298+AC298</f>
        <v>190000</v>
      </c>
      <c r="AG298" s="153">
        <f>SUM(AE298-AF298)</f>
        <v>50000</v>
      </c>
      <c r="AH298" s="99" t="s">
        <v>508</v>
      </c>
      <c r="AI298" s="99">
        <v>4</v>
      </c>
    </row>
    <row r="299" spans="1:42" customHeight="1" ht="11.5">
      <c r="A299" s="5">
        <v>291</v>
      </c>
      <c r="B299" s="163" t="s">
        <v>509</v>
      </c>
      <c r="C299" s="151" t="s">
        <v>36</v>
      </c>
      <c r="D299" s="85" t="s">
        <v>37</v>
      </c>
      <c r="E299" s="86">
        <v>0</v>
      </c>
      <c r="F299" s="9">
        <v>0</v>
      </c>
      <c r="G299" s="10"/>
      <c r="H299" s="9">
        <v>0</v>
      </c>
      <c r="I299" s="10"/>
      <c r="J299" s="152">
        <v>0</v>
      </c>
      <c r="K299" s="10"/>
      <c r="L299" s="152">
        <v>0</v>
      </c>
      <c r="M299" s="10"/>
      <c r="N299" s="152">
        <v>0</v>
      </c>
      <c r="O299" s="10"/>
      <c r="P299" s="152">
        <v>5000</v>
      </c>
      <c r="Q299" s="10"/>
      <c r="R299" s="9">
        <v>0</v>
      </c>
      <c r="S299" s="10"/>
      <c r="T299" s="9">
        <v>0</v>
      </c>
      <c r="U299" s="10"/>
      <c r="V299" s="9">
        <v>0</v>
      </c>
      <c r="W299" s="10"/>
      <c r="X299" s="9">
        <v>0</v>
      </c>
      <c r="Y299" s="10"/>
      <c r="Z299" s="9">
        <v>0</v>
      </c>
      <c r="AA299" s="10"/>
      <c r="AB299" s="11">
        <v>0</v>
      </c>
      <c r="AC299" s="10"/>
      <c r="AD299" s="7">
        <f>SUM(F299+H299+J299+L299+N299+P299+R299+T299+V299+X299+Z299+AB299)</f>
        <v>5000</v>
      </c>
      <c r="AE299" s="7">
        <f>E299+AD299</f>
        <v>5000</v>
      </c>
      <c r="AF299" s="8">
        <f>G299+I299+K299+M299+O299+Q299+S299+U299+W299+Y299+AA299+AC299</f>
        <v>0</v>
      </c>
      <c r="AG299" s="153">
        <f>SUM(AE299-AF299)</f>
        <v>5000</v>
      </c>
      <c r="AH299" s="99" t="s">
        <v>510</v>
      </c>
      <c r="AI299" s="99">
        <v>4</v>
      </c>
    </row>
    <row r="300" spans="1:42" customHeight="1" ht="11.5">
      <c r="A300" s="5">
        <v>292</v>
      </c>
      <c r="B300" s="163" t="s">
        <v>511</v>
      </c>
      <c r="C300" s="151" t="s">
        <v>36</v>
      </c>
      <c r="D300" s="85" t="s">
        <v>37</v>
      </c>
      <c r="E300" s="86">
        <v>0</v>
      </c>
      <c r="F300" s="9">
        <v>0</v>
      </c>
      <c r="G300" s="10"/>
      <c r="H300" s="9">
        <v>0</v>
      </c>
      <c r="I300" s="10"/>
      <c r="J300" s="152">
        <v>0</v>
      </c>
      <c r="K300" s="10"/>
      <c r="L300" s="152">
        <v>10000</v>
      </c>
      <c r="M300" s="10"/>
      <c r="N300" s="152">
        <v>0</v>
      </c>
      <c r="O300" s="10">
        <v>10000</v>
      </c>
      <c r="P300" s="152">
        <v>0</v>
      </c>
      <c r="Q300" s="10"/>
      <c r="R300" s="9">
        <v>0</v>
      </c>
      <c r="S300" s="10"/>
      <c r="T300" s="9">
        <v>0</v>
      </c>
      <c r="U300" s="10"/>
      <c r="V300" s="9">
        <v>0</v>
      </c>
      <c r="W300" s="10"/>
      <c r="X300" s="9">
        <v>0</v>
      </c>
      <c r="Y300" s="10"/>
      <c r="Z300" s="9">
        <v>0</v>
      </c>
      <c r="AA300" s="10"/>
      <c r="AB300" s="11">
        <v>0</v>
      </c>
      <c r="AC300" s="10"/>
      <c r="AD300" s="7">
        <f>SUM(F300+H300+J300+L300+N300+P300+R300+T300+V300+X300+Z300+AB300)</f>
        <v>10000</v>
      </c>
      <c r="AE300" s="7">
        <f>E300+AD300</f>
        <v>10000</v>
      </c>
      <c r="AF300" s="8">
        <f>G300+I300+K300+M300+O300+Q300+S300+U300+W300+Y300+AA300+AC300</f>
        <v>10000</v>
      </c>
      <c r="AG300" s="153">
        <f>SUM(AE300-AF300)</f>
        <v>0</v>
      </c>
      <c r="AH300" s="99" t="s">
        <v>512</v>
      </c>
      <c r="AI300" s="99">
        <v>4</v>
      </c>
    </row>
    <row r="301" spans="1:42" customHeight="1" ht="11.5">
      <c r="A301" s="5">
        <v>293</v>
      </c>
      <c r="B301" s="163" t="s">
        <v>513</v>
      </c>
      <c r="C301" s="151" t="s">
        <v>36</v>
      </c>
      <c r="D301" s="85" t="s">
        <v>37</v>
      </c>
      <c r="E301" s="86">
        <v>10000</v>
      </c>
      <c r="F301" s="9">
        <v>0</v>
      </c>
      <c r="G301" s="10">
        <v>10000</v>
      </c>
      <c r="H301" s="9">
        <v>0</v>
      </c>
      <c r="I301" s="10"/>
      <c r="J301" s="152">
        <v>0</v>
      </c>
      <c r="K301" s="10"/>
      <c r="L301" s="152">
        <v>10000</v>
      </c>
      <c r="M301" s="10"/>
      <c r="N301" s="152">
        <v>0</v>
      </c>
      <c r="O301" s="10">
        <v>10000</v>
      </c>
      <c r="P301" s="152">
        <v>0</v>
      </c>
      <c r="Q301" s="10"/>
      <c r="R301" s="9">
        <v>0</v>
      </c>
      <c r="S301" s="10"/>
      <c r="T301" s="9">
        <v>0</v>
      </c>
      <c r="U301" s="10"/>
      <c r="V301" s="9">
        <v>0</v>
      </c>
      <c r="W301" s="10"/>
      <c r="X301" s="9">
        <v>0</v>
      </c>
      <c r="Y301" s="10"/>
      <c r="Z301" s="9">
        <v>0</v>
      </c>
      <c r="AA301" s="10"/>
      <c r="AB301" s="11">
        <v>0</v>
      </c>
      <c r="AC301" s="10"/>
      <c r="AD301" s="7">
        <f>SUM(F301+H301+J301+L301+N301+P301+R301+T301+V301+X301+Z301+AB301)</f>
        <v>10000</v>
      </c>
      <c r="AE301" s="7">
        <f>E301+AD301</f>
        <v>20000</v>
      </c>
      <c r="AF301" s="8">
        <f>G301+I301+K301+M301+O301+Q301+S301+U301+W301+Y301+AA301+AC301</f>
        <v>20000</v>
      </c>
      <c r="AG301" s="153">
        <f>SUM(AE301-AF301)</f>
        <v>0</v>
      </c>
      <c r="AH301" s="99" t="s">
        <v>514</v>
      </c>
      <c r="AI301" s="99">
        <v>4</v>
      </c>
    </row>
    <row r="302" spans="1:42" customHeight="1" ht="11.5">
      <c r="A302" s="5">
        <v>294</v>
      </c>
      <c r="B302" s="163" t="s">
        <v>515</v>
      </c>
      <c r="C302" s="151" t="s">
        <v>36</v>
      </c>
      <c r="D302" s="85" t="s">
        <v>37</v>
      </c>
      <c r="E302" s="86">
        <v>20000</v>
      </c>
      <c r="F302" s="9">
        <v>30000</v>
      </c>
      <c r="G302" s="10">
        <v>20000</v>
      </c>
      <c r="H302" s="9">
        <v>40000</v>
      </c>
      <c r="I302" s="10">
        <v>30000</v>
      </c>
      <c r="J302" s="152">
        <v>40000</v>
      </c>
      <c r="K302" s="10">
        <v>40000</v>
      </c>
      <c r="L302" s="152">
        <v>40000</v>
      </c>
      <c r="M302" s="10">
        <v>40000</v>
      </c>
      <c r="N302" s="152">
        <v>30000</v>
      </c>
      <c r="O302" s="10">
        <v>40000</v>
      </c>
      <c r="P302" s="152">
        <v>10000</v>
      </c>
      <c r="Q302" s="10">
        <v>30000</v>
      </c>
      <c r="R302" s="9">
        <v>60000</v>
      </c>
      <c r="S302" s="10"/>
      <c r="T302" s="9">
        <v>0</v>
      </c>
      <c r="U302" s="10"/>
      <c r="V302" s="9">
        <v>0</v>
      </c>
      <c r="W302" s="10"/>
      <c r="X302" s="9">
        <v>0</v>
      </c>
      <c r="Y302" s="10"/>
      <c r="Z302" s="9">
        <v>0</v>
      </c>
      <c r="AA302" s="10"/>
      <c r="AB302" s="11">
        <v>0</v>
      </c>
      <c r="AC302" s="10"/>
      <c r="AD302" s="7">
        <f>SUM(F302+H302+J302+L302+N302+P302+R302+T302+V302+X302+Z302+AB302)</f>
        <v>250000</v>
      </c>
      <c r="AE302" s="7">
        <f>E302+AD302</f>
        <v>270000</v>
      </c>
      <c r="AF302" s="8">
        <f>G302+I302+K302+M302+O302+Q302+S302+U302+W302+Y302+AA302+AC302</f>
        <v>200000</v>
      </c>
      <c r="AG302" s="153">
        <f>SUM(AE302-AF302)</f>
        <v>70000</v>
      </c>
      <c r="AH302" s="99" t="s">
        <v>516</v>
      </c>
      <c r="AI302" s="99">
        <v>4</v>
      </c>
    </row>
    <row r="303" spans="1:42" customHeight="1" ht="11.5">
      <c r="A303" s="5">
        <v>295</v>
      </c>
      <c r="B303" s="163" t="s">
        <v>517</v>
      </c>
      <c r="C303" s="151" t="s">
        <v>36</v>
      </c>
      <c r="D303" s="85" t="s">
        <v>37</v>
      </c>
      <c r="E303" s="86">
        <v>0</v>
      </c>
      <c r="F303" s="9">
        <v>0</v>
      </c>
      <c r="G303" s="10"/>
      <c r="H303" s="9">
        <v>0</v>
      </c>
      <c r="I303" s="10"/>
      <c r="J303" s="152">
        <v>0</v>
      </c>
      <c r="K303" s="10"/>
      <c r="L303" s="152">
        <v>0</v>
      </c>
      <c r="M303" s="10"/>
      <c r="N303" s="152">
        <v>0</v>
      </c>
      <c r="O303" s="10"/>
      <c r="P303" s="152">
        <v>10000</v>
      </c>
      <c r="Q303" s="10"/>
      <c r="R303" s="9">
        <v>0</v>
      </c>
      <c r="S303" s="10"/>
      <c r="T303" s="9">
        <v>0</v>
      </c>
      <c r="U303" s="10"/>
      <c r="V303" s="9">
        <v>0</v>
      </c>
      <c r="W303" s="10"/>
      <c r="X303" s="9">
        <v>0</v>
      </c>
      <c r="Y303" s="10"/>
      <c r="Z303" s="9">
        <v>0</v>
      </c>
      <c r="AA303" s="10"/>
      <c r="AB303" s="11">
        <v>0</v>
      </c>
      <c r="AC303" s="10"/>
      <c r="AD303" s="7">
        <f>SUM(F303+H303+J303+L303+N303+P303+R303+T303+V303+X303+Z303+AB303)</f>
        <v>10000</v>
      </c>
      <c r="AE303" s="7">
        <f>E303+AD303</f>
        <v>10000</v>
      </c>
      <c r="AF303" s="8">
        <f>G303+I303+K303+M303+O303+Q303+S303+U303+W303+Y303+AA303+AC303</f>
        <v>0</v>
      </c>
      <c r="AG303" s="153">
        <f>SUM(AE303-AF303)</f>
        <v>10000</v>
      </c>
      <c r="AH303" s="99" t="s">
        <v>518</v>
      </c>
      <c r="AI303" s="99">
        <v>4</v>
      </c>
    </row>
    <row r="304" spans="1:42" customHeight="1" ht="11.5">
      <c r="A304" s="5">
        <v>296</v>
      </c>
      <c r="B304" s="163" t="s">
        <v>519</v>
      </c>
      <c r="C304" s="151" t="s">
        <v>36</v>
      </c>
      <c r="D304" s="85" t="s">
        <v>37</v>
      </c>
      <c r="E304" s="86">
        <v>200000</v>
      </c>
      <c r="F304" s="9">
        <v>150000</v>
      </c>
      <c r="G304" s="10">
        <v>200000</v>
      </c>
      <c r="H304" s="9">
        <v>220000</v>
      </c>
      <c r="I304" s="10">
        <v>150000</v>
      </c>
      <c r="J304" s="152">
        <v>150000</v>
      </c>
      <c r="K304" s="10">
        <v>220000</v>
      </c>
      <c r="L304" s="152">
        <v>160000</v>
      </c>
      <c r="M304" s="10">
        <v>150000</v>
      </c>
      <c r="N304" s="152">
        <v>230000</v>
      </c>
      <c r="O304" s="10">
        <v>160000</v>
      </c>
      <c r="P304" s="152">
        <v>140000</v>
      </c>
      <c r="Q304" s="10">
        <v>230000</v>
      </c>
      <c r="R304" s="9">
        <v>220000</v>
      </c>
      <c r="S304" s="10"/>
      <c r="T304" s="9">
        <v>0</v>
      </c>
      <c r="U304" s="10"/>
      <c r="V304" s="9">
        <v>0</v>
      </c>
      <c r="W304" s="10"/>
      <c r="X304" s="9">
        <v>0</v>
      </c>
      <c r="Y304" s="10"/>
      <c r="Z304" s="9">
        <v>0</v>
      </c>
      <c r="AA304" s="10"/>
      <c r="AB304" s="11">
        <v>0</v>
      </c>
      <c r="AC304" s="10"/>
      <c r="AD304" s="7">
        <f>SUM(F304+H304+J304+L304+N304+P304+R304+T304+V304+X304+Z304+AB304)</f>
        <v>1270000</v>
      </c>
      <c r="AE304" s="7">
        <f>E304+AD304</f>
        <v>1470000</v>
      </c>
      <c r="AF304" s="8">
        <f>G304+I304+K304+M304+O304+Q304+S304+U304+W304+Y304+AA304+AC304</f>
        <v>1110000</v>
      </c>
      <c r="AG304" s="153">
        <f>SUM(AE304-AF304)</f>
        <v>360000</v>
      </c>
      <c r="AH304" s="99" t="s">
        <v>520</v>
      </c>
      <c r="AI304" s="99">
        <v>4</v>
      </c>
    </row>
    <row r="305" spans="1:42" customHeight="1" ht="11.5">
      <c r="A305" s="5">
        <v>297</v>
      </c>
      <c r="B305" s="163" t="s">
        <v>521</v>
      </c>
      <c r="C305" s="151" t="s">
        <v>36</v>
      </c>
      <c r="D305" s="85" t="s">
        <v>37</v>
      </c>
      <c r="E305" s="86">
        <v>0</v>
      </c>
      <c r="F305" s="9">
        <v>0</v>
      </c>
      <c r="G305" s="10"/>
      <c r="H305" s="9">
        <v>0</v>
      </c>
      <c r="I305" s="10"/>
      <c r="J305" s="152">
        <v>10000</v>
      </c>
      <c r="K305" s="10"/>
      <c r="L305" s="152">
        <v>0</v>
      </c>
      <c r="M305" s="10">
        <v>10000</v>
      </c>
      <c r="N305" s="152">
        <v>0</v>
      </c>
      <c r="O305" s="10"/>
      <c r="P305" s="152">
        <v>0</v>
      </c>
      <c r="Q305" s="10"/>
      <c r="R305" s="9">
        <v>10000</v>
      </c>
      <c r="S305" s="10"/>
      <c r="T305" s="9">
        <v>0</v>
      </c>
      <c r="U305" s="10"/>
      <c r="V305" s="9">
        <v>0</v>
      </c>
      <c r="W305" s="10"/>
      <c r="X305" s="9">
        <v>0</v>
      </c>
      <c r="Y305" s="10"/>
      <c r="Z305" s="9">
        <v>0</v>
      </c>
      <c r="AA305" s="10"/>
      <c r="AB305" s="11">
        <v>0</v>
      </c>
      <c r="AC305" s="10"/>
      <c r="AD305" s="7">
        <f>SUM(F305+H305+J305+L305+N305+P305+R305+T305+V305+X305+Z305+AB305)</f>
        <v>20000</v>
      </c>
      <c r="AE305" s="7">
        <f>E305+AD305</f>
        <v>20000</v>
      </c>
      <c r="AF305" s="8">
        <f>G305+I305+K305+M305+O305+Q305+S305+U305+W305+Y305+AA305+AC305</f>
        <v>10000</v>
      </c>
      <c r="AG305" s="153">
        <f>SUM(AE305-AF305)</f>
        <v>10000</v>
      </c>
      <c r="AH305" s="99" t="s">
        <v>522</v>
      </c>
      <c r="AI305" s="99">
        <v>4</v>
      </c>
    </row>
    <row r="306" spans="1:42" customHeight="1" ht="11.5">
      <c r="A306" s="5">
        <v>298</v>
      </c>
      <c r="B306" s="163" t="s">
        <v>523</v>
      </c>
      <c r="C306" s="151" t="s">
        <v>36</v>
      </c>
      <c r="D306" s="85" t="s">
        <v>37</v>
      </c>
      <c r="E306" s="86">
        <v>0</v>
      </c>
      <c r="F306" s="9">
        <v>0</v>
      </c>
      <c r="G306" s="10"/>
      <c r="H306" s="9">
        <v>0</v>
      </c>
      <c r="I306" s="10"/>
      <c r="J306" s="152">
        <v>10000</v>
      </c>
      <c r="K306" s="10"/>
      <c r="L306" s="152">
        <v>0</v>
      </c>
      <c r="M306" s="10">
        <v>10000</v>
      </c>
      <c r="N306" s="152">
        <v>0</v>
      </c>
      <c r="O306" s="10"/>
      <c r="P306" s="152">
        <v>0</v>
      </c>
      <c r="Q306" s="10"/>
      <c r="R306" s="9">
        <v>0</v>
      </c>
      <c r="S306" s="10"/>
      <c r="T306" s="9">
        <v>0</v>
      </c>
      <c r="U306" s="10"/>
      <c r="V306" s="9">
        <v>0</v>
      </c>
      <c r="W306" s="10"/>
      <c r="X306" s="9">
        <v>0</v>
      </c>
      <c r="Y306" s="10"/>
      <c r="Z306" s="9">
        <v>0</v>
      </c>
      <c r="AA306" s="10"/>
      <c r="AB306" s="11">
        <v>0</v>
      </c>
      <c r="AC306" s="10"/>
      <c r="AD306" s="7">
        <f>SUM(F306+H306+J306+L306+N306+P306+R306+T306+V306+X306+Z306+AB306)</f>
        <v>10000</v>
      </c>
      <c r="AE306" s="7">
        <f>E306+AD306</f>
        <v>10000</v>
      </c>
      <c r="AF306" s="8">
        <f>G306+I306+K306+M306+O306+Q306+S306+U306+W306+Y306+AA306+AC306</f>
        <v>10000</v>
      </c>
      <c r="AG306" s="153">
        <f>SUM(AE306-AF306)</f>
        <v>0</v>
      </c>
      <c r="AH306" s="99" t="s">
        <v>524</v>
      </c>
      <c r="AI306" s="99">
        <v>4</v>
      </c>
    </row>
    <row r="307" spans="1:42" customHeight="1" ht="11.5">
      <c r="A307" s="5">
        <v>299</v>
      </c>
      <c r="B307" s="163" t="s">
        <v>525</v>
      </c>
      <c r="C307" s="151" t="s">
        <v>36</v>
      </c>
      <c r="D307" s="85" t="s">
        <v>37</v>
      </c>
      <c r="E307" s="86">
        <v>12000</v>
      </c>
      <c r="F307" s="9">
        <v>12000</v>
      </c>
      <c r="G307" s="10">
        <v>12000</v>
      </c>
      <c r="H307" s="9">
        <v>8000</v>
      </c>
      <c r="I307" s="10">
        <v>12000</v>
      </c>
      <c r="J307" s="152">
        <v>16000</v>
      </c>
      <c r="K307" s="10">
        <v>8000</v>
      </c>
      <c r="L307" s="152">
        <v>16000</v>
      </c>
      <c r="M307" s="10">
        <v>16000</v>
      </c>
      <c r="N307" s="152">
        <v>16000</v>
      </c>
      <c r="O307" s="10">
        <v>16000</v>
      </c>
      <c r="P307" s="152">
        <v>16000</v>
      </c>
      <c r="Q307" s="10">
        <v>16000</v>
      </c>
      <c r="R307" s="9">
        <v>12000</v>
      </c>
      <c r="S307" s="10"/>
      <c r="T307" s="9">
        <v>0</v>
      </c>
      <c r="U307" s="10"/>
      <c r="V307" s="9">
        <v>0</v>
      </c>
      <c r="W307" s="10"/>
      <c r="X307" s="9">
        <v>0</v>
      </c>
      <c r="Y307" s="10"/>
      <c r="Z307" s="9">
        <v>0</v>
      </c>
      <c r="AA307" s="10"/>
      <c r="AB307" s="11">
        <v>0</v>
      </c>
      <c r="AC307" s="10"/>
      <c r="AD307" s="7">
        <f>SUM(F307+H307+J307+L307+N307+P307+R307+T307+V307+X307+Z307+AB307)</f>
        <v>96000</v>
      </c>
      <c r="AE307" s="7">
        <f>E307+AD307</f>
        <v>108000</v>
      </c>
      <c r="AF307" s="8">
        <f>G307+I307+K307+M307+O307+Q307+S307+U307+W307+Y307+AA307+AC307</f>
        <v>80000</v>
      </c>
      <c r="AG307" s="153">
        <f>SUM(AE307-AF307)</f>
        <v>28000</v>
      </c>
      <c r="AH307" s="99" t="s">
        <v>526</v>
      </c>
      <c r="AI307" s="99">
        <v>4</v>
      </c>
    </row>
    <row r="308" spans="1:42" customHeight="1" ht="11.5">
      <c r="A308" s="5">
        <v>300</v>
      </c>
      <c r="B308" s="163" t="s">
        <v>527</v>
      </c>
      <c r="C308" s="151" t="s">
        <v>36</v>
      </c>
      <c r="D308" s="85" t="s">
        <v>37</v>
      </c>
      <c r="E308" s="86">
        <v>20000</v>
      </c>
      <c r="F308" s="9">
        <v>30000</v>
      </c>
      <c r="G308" s="10">
        <v>20000</v>
      </c>
      <c r="H308" s="9">
        <v>60000</v>
      </c>
      <c r="I308" s="10">
        <v>30000</v>
      </c>
      <c r="J308" s="152">
        <v>80000</v>
      </c>
      <c r="K308" s="10">
        <v>60000</v>
      </c>
      <c r="L308" s="152">
        <v>75000</v>
      </c>
      <c r="M308" s="10">
        <v>80000</v>
      </c>
      <c r="N308" s="152">
        <v>25000</v>
      </c>
      <c r="O308" s="10">
        <v>75000</v>
      </c>
      <c r="P308" s="152">
        <v>20000</v>
      </c>
      <c r="Q308" s="10">
        <v>25000</v>
      </c>
      <c r="R308" s="9">
        <v>100000</v>
      </c>
      <c r="S308" s="10"/>
      <c r="T308" s="9">
        <v>0</v>
      </c>
      <c r="U308" s="10"/>
      <c r="V308" s="9">
        <v>0</v>
      </c>
      <c r="W308" s="10"/>
      <c r="X308" s="9">
        <v>0</v>
      </c>
      <c r="Y308" s="10"/>
      <c r="Z308" s="9">
        <v>0</v>
      </c>
      <c r="AA308" s="10"/>
      <c r="AB308" s="11">
        <v>0</v>
      </c>
      <c r="AC308" s="10"/>
      <c r="AD308" s="7">
        <f>SUM(F308+H308+J308+L308+N308+P308+R308+T308+V308+X308+Z308+AB308)</f>
        <v>390000</v>
      </c>
      <c r="AE308" s="7">
        <f>E308+AD308</f>
        <v>410000</v>
      </c>
      <c r="AF308" s="8">
        <f>G308+I308+K308+M308+O308+Q308+S308+U308+W308+Y308+AA308+AC308</f>
        <v>290000</v>
      </c>
      <c r="AG308" s="153">
        <f>SUM(AE308-AF308)</f>
        <v>120000</v>
      </c>
      <c r="AH308" s="99" t="s">
        <v>528</v>
      </c>
      <c r="AI308" s="99">
        <v>4</v>
      </c>
    </row>
    <row r="309" spans="1:42" customHeight="1" ht="11.5">
      <c r="A309" s="5">
        <v>301</v>
      </c>
      <c r="B309" s="163" t="s">
        <v>529</v>
      </c>
      <c r="C309" s="151" t="s">
        <v>36</v>
      </c>
      <c r="D309" s="85" t="s">
        <v>37</v>
      </c>
      <c r="E309" s="86">
        <v>15000</v>
      </c>
      <c r="F309" s="9">
        <v>10000</v>
      </c>
      <c r="G309" s="10">
        <v>15000</v>
      </c>
      <c r="H309" s="9">
        <v>15000</v>
      </c>
      <c r="I309" s="10">
        <v>10000</v>
      </c>
      <c r="J309" s="152">
        <v>10000</v>
      </c>
      <c r="K309" s="10">
        <v>15000</v>
      </c>
      <c r="L309" s="152">
        <v>5000</v>
      </c>
      <c r="M309" s="10">
        <v>10000</v>
      </c>
      <c r="N309" s="152">
        <v>10000</v>
      </c>
      <c r="O309" s="10">
        <v>5000</v>
      </c>
      <c r="P309" s="152">
        <v>15000</v>
      </c>
      <c r="Q309" s="10">
        <v>10000</v>
      </c>
      <c r="R309" s="9">
        <v>10000</v>
      </c>
      <c r="S309" s="10"/>
      <c r="T309" s="9">
        <v>0</v>
      </c>
      <c r="U309" s="10"/>
      <c r="V309" s="9">
        <v>0</v>
      </c>
      <c r="W309" s="10"/>
      <c r="X309" s="9">
        <v>0</v>
      </c>
      <c r="Y309" s="10"/>
      <c r="Z309" s="9">
        <v>0</v>
      </c>
      <c r="AA309" s="10"/>
      <c r="AB309" s="11">
        <v>0</v>
      </c>
      <c r="AC309" s="10"/>
      <c r="AD309" s="7">
        <f>SUM(F309+H309+J309+L309+N309+P309+R309+T309+V309+X309+Z309+AB309)</f>
        <v>75000</v>
      </c>
      <c r="AE309" s="7">
        <f>E309+AD309</f>
        <v>90000</v>
      </c>
      <c r="AF309" s="8">
        <f>G309+I309+K309+M309+O309+Q309+S309+U309+W309+Y309+AA309+AC309</f>
        <v>65000</v>
      </c>
      <c r="AG309" s="153">
        <f>SUM(AE309-AF309)</f>
        <v>25000</v>
      </c>
      <c r="AH309" s="99" t="s">
        <v>530</v>
      </c>
      <c r="AI309" s="99">
        <v>4</v>
      </c>
    </row>
    <row r="310" spans="1:42" customHeight="1" ht="11.5">
      <c r="A310" s="5">
        <v>302</v>
      </c>
      <c r="B310" s="163" t="s">
        <v>531</v>
      </c>
      <c r="C310" s="151" t="s">
        <v>36</v>
      </c>
      <c r="D310" s="85" t="s">
        <v>37</v>
      </c>
      <c r="E310" s="86">
        <v>5000</v>
      </c>
      <c r="F310" s="9">
        <v>10000</v>
      </c>
      <c r="G310" s="10">
        <v>5000</v>
      </c>
      <c r="H310" s="9">
        <v>10000</v>
      </c>
      <c r="I310" s="10">
        <v>10000</v>
      </c>
      <c r="J310" s="152">
        <v>5000</v>
      </c>
      <c r="K310" s="10">
        <v>10000</v>
      </c>
      <c r="L310" s="152">
        <v>5000</v>
      </c>
      <c r="M310" s="10">
        <v>5000</v>
      </c>
      <c r="N310" s="152">
        <v>5000</v>
      </c>
      <c r="O310" s="10">
        <v>5000</v>
      </c>
      <c r="P310" s="152">
        <v>10000</v>
      </c>
      <c r="Q310" s="10">
        <v>5000</v>
      </c>
      <c r="R310" s="9">
        <v>10000</v>
      </c>
      <c r="S310" s="10"/>
      <c r="T310" s="9">
        <v>0</v>
      </c>
      <c r="U310" s="10"/>
      <c r="V310" s="9">
        <v>0</v>
      </c>
      <c r="W310" s="10"/>
      <c r="X310" s="9">
        <v>0</v>
      </c>
      <c r="Y310" s="10"/>
      <c r="Z310" s="9">
        <v>0</v>
      </c>
      <c r="AA310" s="10"/>
      <c r="AB310" s="11">
        <v>0</v>
      </c>
      <c r="AC310" s="10"/>
      <c r="AD310" s="7">
        <f>SUM(F310+H310+J310+L310+N310+P310+R310+T310+V310+X310+Z310+AB310)</f>
        <v>55000</v>
      </c>
      <c r="AE310" s="7">
        <f>E310+AD310</f>
        <v>60000</v>
      </c>
      <c r="AF310" s="8">
        <f>G310+I310+K310+M310+O310+Q310+S310+U310+W310+Y310+AA310+AC310</f>
        <v>40000</v>
      </c>
      <c r="AG310" s="153">
        <f>SUM(AE310-AF310)</f>
        <v>20000</v>
      </c>
      <c r="AH310" s="99" t="s">
        <v>532</v>
      </c>
      <c r="AI310" s="99">
        <v>4</v>
      </c>
    </row>
    <row r="311" spans="1:42" customHeight="1" ht="11.5">
      <c r="A311" s="5">
        <v>303</v>
      </c>
      <c r="B311" s="163" t="s">
        <v>533</v>
      </c>
      <c r="C311" s="151" t="s">
        <v>36</v>
      </c>
      <c r="D311" s="85" t="s">
        <v>37</v>
      </c>
      <c r="E311" s="86">
        <v>10000</v>
      </c>
      <c r="F311" s="9">
        <v>10000</v>
      </c>
      <c r="G311" s="10">
        <v>10000</v>
      </c>
      <c r="H311" s="9">
        <v>20000</v>
      </c>
      <c r="I311" s="10">
        <v>10000</v>
      </c>
      <c r="J311" s="152">
        <v>10000</v>
      </c>
      <c r="K311" s="10">
        <v>20000</v>
      </c>
      <c r="L311" s="152">
        <v>10000</v>
      </c>
      <c r="M311" s="10">
        <v>10000</v>
      </c>
      <c r="N311" s="152">
        <v>10000</v>
      </c>
      <c r="O311" s="10">
        <v>10000</v>
      </c>
      <c r="P311" s="152">
        <v>10000</v>
      </c>
      <c r="Q311" s="10">
        <v>10000</v>
      </c>
      <c r="R311" s="9">
        <v>20000</v>
      </c>
      <c r="S311" s="10"/>
      <c r="T311" s="9">
        <v>0</v>
      </c>
      <c r="U311" s="10"/>
      <c r="V311" s="9">
        <v>0</v>
      </c>
      <c r="W311" s="10"/>
      <c r="X311" s="9">
        <v>0</v>
      </c>
      <c r="Y311" s="10"/>
      <c r="Z311" s="9">
        <v>0</v>
      </c>
      <c r="AA311" s="10"/>
      <c r="AB311" s="11">
        <v>0</v>
      </c>
      <c r="AC311" s="10"/>
      <c r="AD311" s="7">
        <f>SUM(F311+H311+J311+L311+N311+P311+R311+T311+V311+X311+Z311+AB311)</f>
        <v>90000</v>
      </c>
      <c r="AE311" s="7">
        <f>E311+AD311</f>
        <v>100000</v>
      </c>
      <c r="AF311" s="8">
        <f>G311+I311+K311+M311+O311+Q311+S311+U311+W311+Y311+AA311+AC311</f>
        <v>70000</v>
      </c>
      <c r="AG311" s="153">
        <f>SUM(AE311-AF311)</f>
        <v>30000</v>
      </c>
      <c r="AH311" s="99" t="s">
        <v>534</v>
      </c>
      <c r="AI311" s="99">
        <v>4</v>
      </c>
    </row>
    <row r="312" spans="1:42" customHeight="1" ht="11.5">
      <c r="A312" s="5">
        <v>304</v>
      </c>
      <c r="B312" s="163" t="s">
        <v>535</v>
      </c>
      <c r="C312" s="151" t="s">
        <v>157</v>
      </c>
      <c r="D312" s="85" t="s">
        <v>158</v>
      </c>
      <c r="E312" s="86">
        <v>-1558941</v>
      </c>
      <c r="F312" s="9">
        <v>15000</v>
      </c>
      <c r="G312" s="10"/>
      <c r="H312" s="9">
        <v>10000</v>
      </c>
      <c r="I312" s="10"/>
      <c r="J312" s="152">
        <v>15000</v>
      </c>
      <c r="K312" s="10"/>
      <c r="L312" s="152">
        <v>20000</v>
      </c>
      <c r="M312" s="10"/>
      <c r="N312" s="152">
        <v>25000</v>
      </c>
      <c r="O312" s="10"/>
      <c r="P312" s="152">
        <v>15000</v>
      </c>
      <c r="Q312" s="10"/>
      <c r="R312" s="9">
        <v>15000</v>
      </c>
      <c r="S312" s="10"/>
      <c r="T312" s="9">
        <v>0</v>
      </c>
      <c r="U312" s="10"/>
      <c r="V312" s="9">
        <v>0</v>
      </c>
      <c r="W312" s="10"/>
      <c r="X312" s="9">
        <v>0</v>
      </c>
      <c r="Y312" s="10"/>
      <c r="Z312" s="9">
        <v>0</v>
      </c>
      <c r="AA312" s="10"/>
      <c r="AB312" s="11">
        <v>0</v>
      </c>
      <c r="AC312" s="10"/>
      <c r="AD312" s="7">
        <f>SUM(F312+H312+J312+L312+N312+P312+R312+T312+V312+X312+Z312+AB312)</f>
        <v>115000</v>
      </c>
      <c r="AE312" s="7">
        <f>E312+AD312</f>
        <v>-1443941</v>
      </c>
      <c r="AF312" s="8">
        <f>G312+I312+K312+M312+O312+Q312+S312+U312+W312+Y312+AA312+AC312</f>
        <v>0</v>
      </c>
      <c r="AG312" s="153">
        <f>SUM(AE312-AF312)</f>
        <v>-1443941</v>
      </c>
      <c r="AH312" s="99" t="s">
        <v>536</v>
      </c>
      <c r="AI312" s="99">
        <v>4</v>
      </c>
    </row>
    <row r="313" spans="1:42" customHeight="1" ht="11.5">
      <c r="A313" s="5">
        <v>305</v>
      </c>
      <c r="B313" s="163" t="s">
        <v>537</v>
      </c>
      <c r="C313" s="151" t="s">
        <v>36</v>
      </c>
      <c r="D313" s="85" t="s">
        <v>37</v>
      </c>
      <c r="E313" s="86">
        <v>10000</v>
      </c>
      <c r="F313" s="9">
        <v>20000</v>
      </c>
      <c r="G313" s="10">
        <v>10000</v>
      </c>
      <c r="H313" s="9">
        <v>20000</v>
      </c>
      <c r="I313" s="10">
        <v>20000</v>
      </c>
      <c r="J313" s="152">
        <v>10000</v>
      </c>
      <c r="K313" s="10">
        <v>20000</v>
      </c>
      <c r="L313" s="152">
        <v>10000</v>
      </c>
      <c r="M313" s="10">
        <v>10000</v>
      </c>
      <c r="N313" s="152">
        <v>20000</v>
      </c>
      <c r="O313" s="10">
        <v>10000</v>
      </c>
      <c r="P313" s="152">
        <v>20000</v>
      </c>
      <c r="Q313" s="10">
        <v>20000</v>
      </c>
      <c r="R313" s="9">
        <v>10000</v>
      </c>
      <c r="S313" s="10"/>
      <c r="T313" s="9">
        <v>0</v>
      </c>
      <c r="U313" s="10"/>
      <c r="V313" s="9">
        <v>0</v>
      </c>
      <c r="W313" s="10"/>
      <c r="X313" s="9">
        <v>0</v>
      </c>
      <c r="Y313" s="10"/>
      <c r="Z313" s="9">
        <v>0</v>
      </c>
      <c r="AA313" s="10"/>
      <c r="AB313" s="11">
        <v>0</v>
      </c>
      <c r="AC313" s="10"/>
      <c r="AD313" s="7">
        <f>SUM(F313+H313+J313+L313+N313+P313+R313+T313+V313+X313+Z313+AB313)</f>
        <v>110000</v>
      </c>
      <c r="AE313" s="7">
        <f>E313+AD313</f>
        <v>120000</v>
      </c>
      <c r="AF313" s="8">
        <f>G313+I313+K313+M313+O313+Q313+S313+U313+W313+Y313+AA313+AC313</f>
        <v>90000</v>
      </c>
      <c r="AG313" s="153">
        <f>SUM(AE313-AF313)</f>
        <v>30000</v>
      </c>
      <c r="AH313" s="99" t="s">
        <v>538</v>
      </c>
      <c r="AI313" s="99">
        <v>4</v>
      </c>
    </row>
    <row r="314" spans="1:42" customHeight="1" ht="11.5">
      <c r="A314" s="5">
        <v>306</v>
      </c>
      <c r="B314" s="163" t="s">
        <v>539</v>
      </c>
      <c r="C314" s="151" t="s">
        <v>36</v>
      </c>
      <c r="D314" s="85" t="s">
        <v>37</v>
      </c>
      <c r="E314" s="86">
        <v>20000</v>
      </c>
      <c r="F314" s="9">
        <v>20000</v>
      </c>
      <c r="G314" s="10">
        <v>20000</v>
      </c>
      <c r="H314" s="9">
        <v>20000</v>
      </c>
      <c r="I314" s="10">
        <v>20000</v>
      </c>
      <c r="J314" s="152">
        <v>20000</v>
      </c>
      <c r="K314" s="10">
        <v>20000</v>
      </c>
      <c r="L314" s="152">
        <v>20000</v>
      </c>
      <c r="M314" s="10">
        <v>20000</v>
      </c>
      <c r="N314" s="152">
        <v>30000</v>
      </c>
      <c r="O314" s="10">
        <v>20000</v>
      </c>
      <c r="P314" s="152">
        <v>30000</v>
      </c>
      <c r="Q314" s="10">
        <v>30000</v>
      </c>
      <c r="R314" s="9">
        <v>20000</v>
      </c>
      <c r="S314" s="10"/>
      <c r="T314" s="9">
        <v>0</v>
      </c>
      <c r="U314" s="10"/>
      <c r="V314" s="9">
        <v>0</v>
      </c>
      <c r="W314" s="10"/>
      <c r="X314" s="9">
        <v>0</v>
      </c>
      <c r="Y314" s="10"/>
      <c r="Z314" s="9">
        <v>0</v>
      </c>
      <c r="AA314" s="10"/>
      <c r="AB314" s="11">
        <v>0</v>
      </c>
      <c r="AC314" s="10"/>
      <c r="AD314" s="7">
        <f>SUM(F314+H314+J314+L314+N314+P314+R314+T314+V314+X314+Z314+AB314)</f>
        <v>160000</v>
      </c>
      <c r="AE314" s="7">
        <f>E314+AD314</f>
        <v>180000</v>
      </c>
      <c r="AF314" s="8">
        <f>G314+I314+K314+M314+O314+Q314+S314+U314+W314+Y314+AA314+AC314</f>
        <v>130000</v>
      </c>
      <c r="AG314" s="153">
        <f>SUM(AE314-AF314)</f>
        <v>50000</v>
      </c>
      <c r="AH314" s="99" t="s">
        <v>540</v>
      </c>
      <c r="AI314" s="99">
        <v>4</v>
      </c>
    </row>
    <row r="315" spans="1:42" customHeight="1" ht="11.5">
      <c r="A315" s="5">
        <v>307</v>
      </c>
      <c r="B315" s="163" t="s">
        <v>541</v>
      </c>
      <c r="C315" s="151" t="s">
        <v>36</v>
      </c>
      <c r="D315" s="85" t="s">
        <v>37</v>
      </c>
      <c r="E315" s="86">
        <v>10000</v>
      </c>
      <c r="F315" s="9">
        <v>10000</v>
      </c>
      <c r="G315" s="10">
        <v>10000</v>
      </c>
      <c r="H315" s="9">
        <v>10000</v>
      </c>
      <c r="I315" s="10">
        <v>10000</v>
      </c>
      <c r="J315" s="152">
        <v>10000</v>
      </c>
      <c r="K315" s="10">
        <v>10000</v>
      </c>
      <c r="L315" s="152">
        <v>10000</v>
      </c>
      <c r="M315" s="10">
        <v>10000</v>
      </c>
      <c r="N315" s="152">
        <v>10000</v>
      </c>
      <c r="O315" s="10">
        <v>10000</v>
      </c>
      <c r="P315" s="152">
        <v>20000</v>
      </c>
      <c r="Q315" s="10">
        <v>10000</v>
      </c>
      <c r="R315" s="9">
        <v>10000</v>
      </c>
      <c r="S315" s="10"/>
      <c r="T315" s="9">
        <v>0</v>
      </c>
      <c r="U315" s="10"/>
      <c r="V315" s="9">
        <v>0</v>
      </c>
      <c r="W315" s="10"/>
      <c r="X315" s="9">
        <v>0</v>
      </c>
      <c r="Y315" s="10"/>
      <c r="Z315" s="9">
        <v>0</v>
      </c>
      <c r="AA315" s="10"/>
      <c r="AB315" s="11">
        <v>0</v>
      </c>
      <c r="AC315" s="10"/>
      <c r="AD315" s="7">
        <f>SUM(F315+H315+J315+L315+N315+P315+R315+T315+V315+X315+Z315+AB315)</f>
        <v>80000</v>
      </c>
      <c r="AE315" s="7">
        <f>E315+AD315</f>
        <v>90000</v>
      </c>
      <c r="AF315" s="8">
        <f>G315+I315+K315+M315+O315+Q315+S315+U315+W315+Y315+AA315+AC315</f>
        <v>60000</v>
      </c>
      <c r="AG315" s="153">
        <f>SUM(AE315-AF315)</f>
        <v>30000</v>
      </c>
      <c r="AH315" s="99" t="s">
        <v>542</v>
      </c>
      <c r="AI315" s="99">
        <v>4</v>
      </c>
    </row>
    <row r="316" spans="1:42" customHeight="1" ht="11.5">
      <c r="A316" s="5">
        <v>308</v>
      </c>
      <c r="B316" s="163" t="s">
        <v>543</v>
      </c>
      <c r="C316" s="151" t="s">
        <v>36</v>
      </c>
      <c r="D316" s="85" t="s">
        <v>37</v>
      </c>
      <c r="E316" s="86">
        <v>10000</v>
      </c>
      <c r="F316" s="9">
        <v>10000</v>
      </c>
      <c r="G316" s="10">
        <v>10000</v>
      </c>
      <c r="H316" s="9">
        <v>10000</v>
      </c>
      <c r="I316" s="10">
        <v>10000</v>
      </c>
      <c r="J316" s="152">
        <v>10000</v>
      </c>
      <c r="K316" s="10">
        <v>10000</v>
      </c>
      <c r="L316" s="152">
        <v>10000</v>
      </c>
      <c r="M316" s="10">
        <v>10000</v>
      </c>
      <c r="N316" s="152">
        <v>10000</v>
      </c>
      <c r="O316" s="10">
        <v>10000</v>
      </c>
      <c r="P316" s="152">
        <v>10000</v>
      </c>
      <c r="Q316" s="10">
        <v>10000</v>
      </c>
      <c r="R316" s="9">
        <v>20000</v>
      </c>
      <c r="S316" s="10"/>
      <c r="T316" s="9">
        <v>0</v>
      </c>
      <c r="U316" s="10"/>
      <c r="V316" s="9">
        <v>0</v>
      </c>
      <c r="W316" s="10"/>
      <c r="X316" s="9">
        <v>0</v>
      </c>
      <c r="Y316" s="10"/>
      <c r="Z316" s="9">
        <v>0</v>
      </c>
      <c r="AA316" s="10"/>
      <c r="AB316" s="11">
        <v>0</v>
      </c>
      <c r="AC316" s="10"/>
      <c r="AD316" s="7">
        <f>SUM(F316+H316+J316+L316+N316+P316+R316+T316+V316+X316+Z316+AB316)</f>
        <v>80000</v>
      </c>
      <c r="AE316" s="7">
        <f>E316+AD316</f>
        <v>90000</v>
      </c>
      <c r="AF316" s="8">
        <f>G316+I316+K316+M316+O316+Q316+S316+U316+W316+Y316+AA316+AC316</f>
        <v>60000</v>
      </c>
      <c r="AG316" s="153">
        <f>SUM(AE316-AF316)</f>
        <v>30000</v>
      </c>
      <c r="AH316" s="99" t="s">
        <v>544</v>
      </c>
      <c r="AI316" s="99">
        <v>4</v>
      </c>
    </row>
    <row r="317" spans="1:42" customHeight="1" ht="11.5">
      <c r="A317" s="5">
        <v>309</v>
      </c>
      <c r="B317" s="163" t="s">
        <v>545</v>
      </c>
      <c r="C317" s="151" t="s">
        <v>112</v>
      </c>
      <c r="D317" s="85" t="s">
        <v>113</v>
      </c>
      <c r="E317" s="86">
        <v>10000</v>
      </c>
      <c r="F317" s="9">
        <v>10000</v>
      </c>
      <c r="G317" s="10">
        <v>10000</v>
      </c>
      <c r="H317" s="9">
        <v>10000</v>
      </c>
      <c r="I317" s="10">
        <v>10000</v>
      </c>
      <c r="J317" s="152">
        <v>10000</v>
      </c>
      <c r="K317" s="10">
        <v>10000</v>
      </c>
      <c r="L317" s="152">
        <v>10000</v>
      </c>
      <c r="M317" s="10">
        <v>10000</v>
      </c>
      <c r="N317" s="152">
        <v>10000</v>
      </c>
      <c r="O317" s="10">
        <v>10000</v>
      </c>
      <c r="P317" s="152">
        <v>20000</v>
      </c>
      <c r="Q317" s="10">
        <v>10000</v>
      </c>
      <c r="R317" s="9">
        <v>10000</v>
      </c>
      <c r="S317" s="10"/>
      <c r="T317" s="9">
        <v>0</v>
      </c>
      <c r="U317" s="10"/>
      <c r="V317" s="9">
        <v>0</v>
      </c>
      <c r="W317" s="10"/>
      <c r="X317" s="9">
        <v>0</v>
      </c>
      <c r="Y317" s="10"/>
      <c r="Z317" s="9">
        <v>0</v>
      </c>
      <c r="AA317" s="10"/>
      <c r="AB317" s="11">
        <v>0</v>
      </c>
      <c r="AC317" s="10"/>
      <c r="AD317" s="7">
        <f>SUM(F317+H317+J317+L317+N317+P317+R317+T317+V317+X317+Z317+AB317)</f>
        <v>80000</v>
      </c>
      <c r="AE317" s="7">
        <f>E317+AD317</f>
        <v>90000</v>
      </c>
      <c r="AF317" s="8">
        <f>G317+I317+K317+M317+O317+Q317+S317+U317+W317+Y317+AA317+AC317</f>
        <v>60000</v>
      </c>
      <c r="AG317" s="153">
        <f>SUM(AE317-AF317)</f>
        <v>30000</v>
      </c>
      <c r="AH317" s="99" t="s">
        <v>546</v>
      </c>
      <c r="AI317" s="99">
        <v>4</v>
      </c>
    </row>
    <row r="318" spans="1:42" customHeight="1" ht="11.5">
      <c r="A318" s="5">
        <v>310</v>
      </c>
      <c r="B318" s="163" t="s">
        <v>547</v>
      </c>
      <c r="C318" s="151" t="s">
        <v>132</v>
      </c>
      <c r="D318" s="85" t="s">
        <v>133</v>
      </c>
      <c r="E318" s="86">
        <v>14000</v>
      </c>
      <c r="F318" s="9">
        <v>8000</v>
      </c>
      <c r="G318" s="10"/>
      <c r="H318" s="9">
        <v>8000</v>
      </c>
      <c r="I318" s="10">
        <v>22000</v>
      </c>
      <c r="J318" s="152">
        <v>18000</v>
      </c>
      <c r="K318" s="10">
        <v>8000</v>
      </c>
      <c r="L318" s="152">
        <v>8000</v>
      </c>
      <c r="M318" s="10">
        <v>18000</v>
      </c>
      <c r="N318" s="152">
        <v>16000</v>
      </c>
      <c r="O318" s="10">
        <v>8000</v>
      </c>
      <c r="P318" s="152">
        <v>8000</v>
      </c>
      <c r="Q318" s="10"/>
      <c r="R318" s="9">
        <v>18000</v>
      </c>
      <c r="S318" s="10"/>
      <c r="T318" s="9">
        <v>0</v>
      </c>
      <c r="U318" s="10"/>
      <c r="V318" s="9">
        <v>0</v>
      </c>
      <c r="W318" s="10"/>
      <c r="X318" s="9">
        <v>0</v>
      </c>
      <c r="Y318" s="10"/>
      <c r="Z318" s="9">
        <v>0</v>
      </c>
      <c r="AA318" s="10"/>
      <c r="AB318" s="11">
        <v>0</v>
      </c>
      <c r="AC318" s="10"/>
      <c r="AD318" s="7">
        <f>SUM(F318+H318+J318+L318+N318+P318+R318+T318+V318+X318+Z318+AB318)</f>
        <v>84000</v>
      </c>
      <c r="AE318" s="7">
        <f>E318+AD318</f>
        <v>98000</v>
      </c>
      <c r="AF318" s="8">
        <f>G318+I318+K318+M318+O318+Q318+S318+U318+W318+Y318+AA318+AC318</f>
        <v>56000</v>
      </c>
      <c r="AG318" s="153">
        <f>SUM(AE318-AF318)</f>
        <v>42000</v>
      </c>
      <c r="AH318" s="99" t="s">
        <v>548</v>
      </c>
      <c r="AI318" s="99">
        <v>4</v>
      </c>
    </row>
    <row r="319" spans="1:42" customHeight="1" ht="11.5">
      <c r="A319" s="5">
        <v>311</v>
      </c>
      <c r="B319" s="163" t="s">
        <v>549</v>
      </c>
      <c r="C319" s="151" t="s">
        <v>132</v>
      </c>
      <c r="D319" s="85" t="s">
        <v>133</v>
      </c>
      <c r="E319" s="86">
        <v>30000</v>
      </c>
      <c r="F319" s="9">
        <v>15000</v>
      </c>
      <c r="G319" s="10"/>
      <c r="H319" s="9">
        <v>15000</v>
      </c>
      <c r="I319" s="10">
        <v>45000</v>
      </c>
      <c r="J319" s="152">
        <v>30000</v>
      </c>
      <c r="K319" s="10">
        <v>15000</v>
      </c>
      <c r="L319" s="152">
        <v>20000</v>
      </c>
      <c r="M319" s="10">
        <v>30000</v>
      </c>
      <c r="N319" s="152">
        <v>20000</v>
      </c>
      <c r="O319" s="10">
        <v>20000</v>
      </c>
      <c r="P319" s="152">
        <v>25000</v>
      </c>
      <c r="Q319" s="10"/>
      <c r="R319" s="9">
        <v>25000</v>
      </c>
      <c r="S319" s="10"/>
      <c r="T319" s="9">
        <v>0</v>
      </c>
      <c r="U319" s="10"/>
      <c r="V319" s="9">
        <v>0</v>
      </c>
      <c r="W319" s="10"/>
      <c r="X319" s="9">
        <v>0</v>
      </c>
      <c r="Y319" s="10"/>
      <c r="Z319" s="9">
        <v>0</v>
      </c>
      <c r="AA319" s="10"/>
      <c r="AB319" s="11">
        <v>0</v>
      </c>
      <c r="AC319" s="10"/>
      <c r="AD319" s="7">
        <f>SUM(F319+H319+J319+L319+N319+P319+R319+T319+V319+X319+Z319+AB319)</f>
        <v>150000</v>
      </c>
      <c r="AE319" s="7">
        <f>E319+AD319</f>
        <v>180000</v>
      </c>
      <c r="AF319" s="8">
        <f>G319+I319+K319+M319+O319+Q319+S319+U319+W319+Y319+AA319+AC319</f>
        <v>110000</v>
      </c>
      <c r="AG319" s="153">
        <f>SUM(AE319-AF319)</f>
        <v>70000</v>
      </c>
      <c r="AH319" s="99" t="s">
        <v>550</v>
      </c>
      <c r="AI319" s="99">
        <v>4</v>
      </c>
    </row>
    <row r="320" spans="1:42" customHeight="1" ht="11.5">
      <c r="A320" s="5">
        <v>312</v>
      </c>
      <c r="B320" s="163" t="s">
        <v>551</v>
      </c>
      <c r="C320" s="151" t="s">
        <v>132</v>
      </c>
      <c r="D320" s="85" t="s">
        <v>133</v>
      </c>
      <c r="E320" s="86">
        <v>10000</v>
      </c>
      <c r="F320" s="9">
        <v>10000</v>
      </c>
      <c r="G320" s="10"/>
      <c r="H320" s="9">
        <v>10000</v>
      </c>
      <c r="I320" s="10">
        <v>20000</v>
      </c>
      <c r="J320" s="152">
        <v>10000</v>
      </c>
      <c r="K320" s="10">
        <v>10000</v>
      </c>
      <c r="L320" s="152">
        <v>10000</v>
      </c>
      <c r="M320" s="10">
        <v>10000</v>
      </c>
      <c r="N320" s="152">
        <v>15000</v>
      </c>
      <c r="O320" s="10">
        <v>10000</v>
      </c>
      <c r="P320" s="152">
        <v>10000</v>
      </c>
      <c r="Q320" s="10"/>
      <c r="R320" s="9">
        <v>15000</v>
      </c>
      <c r="S320" s="10"/>
      <c r="T320" s="9">
        <v>0</v>
      </c>
      <c r="U320" s="10"/>
      <c r="V320" s="9">
        <v>0</v>
      </c>
      <c r="W320" s="10"/>
      <c r="X320" s="9">
        <v>0</v>
      </c>
      <c r="Y320" s="10"/>
      <c r="Z320" s="9">
        <v>0</v>
      </c>
      <c r="AA320" s="10"/>
      <c r="AB320" s="11">
        <v>0</v>
      </c>
      <c r="AC320" s="10"/>
      <c r="AD320" s="7">
        <f>SUM(F320+H320+J320+L320+N320+P320+R320+T320+V320+X320+Z320+AB320)</f>
        <v>80000</v>
      </c>
      <c r="AE320" s="7">
        <f>E320+AD320</f>
        <v>90000</v>
      </c>
      <c r="AF320" s="8">
        <f>G320+I320+K320+M320+O320+Q320+S320+U320+W320+Y320+AA320+AC320</f>
        <v>50000</v>
      </c>
      <c r="AG320" s="153">
        <f>SUM(AE320-AF320)</f>
        <v>40000</v>
      </c>
      <c r="AH320" s="99" t="s">
        <v>552</v>
      </c>
      <c r="AI320" s="99">
        <v>4</v>
      </c>
    </row>
    <row r="321" spans="1:42" customHeight="1" ht="11.5">
      <c r="A321" s="5">
        <v>313</v>
      </c>
      <c r="B321" s="150" t="s">
        <v>553</v>
      </c>
      <c r="C321" s="151" t="s">
        <v>132</v>
      </c>
      <c r="D321" s="85" t="s">
        <v>133</v>
      </c>
      <c r="E321" s="86">
        <v>10000</v>
      </c>
      <c r="F321" s="9">
        <v>10000</v>
      </c>
      <c r="G321" s="10"/>
      <c r="H321" s="9">
        <v>10000</v>
      </c>
      <c r="I321" s="10">
        <v>20000</v>
      </c>
      <c r="J321" s="152">
        <v>10000</v>
      </c>
      <c r="K321" s="10">
        <v>10000</v>
      </c>
      <c r="L321" s="152">
        <v>10000</v>
      </c>
      <c r="M321" s="10">
        <v>10000</v>
      </c>
      <c r="N321" s="152">
        <v>15000</v>
      </c>
      <c r="O321" s="10">
        <v>10000</v>
      </c>
      <c r="P321" s="152">
        <v>10000</v>
      </c>
      <c r="Q321" s="10"/>
      <c r="R321" s="9">
        <v>15000</v>
      </c>
      <c r="S321" s="10"/>
      <c r="T321" s="9">
        <v>0</v>
      </c>
      <c r="U321" s="10"/>
      <c r="V321" s="9">
        <v>0</v>
      </c>
      <c r="W321" s="10"/>
      <c r="X321" s="9">
        <v>0</v>
      </c>
      <c r="Y321" s="10"/>
      <c r="Z321" s="9">
        <v>0</v>
      </c>
      <c r="AA321" s="10"/>
      <c r="AB321" s="11">
        <v>0</v>
      </c>
      <c r="AC321" s="10"/>
      <c r="AD321" s="7">
        <f>SUM(F321+H321+J321+L321+N321+P321+R321+T321+V321+X321+Z321+AB321)</f>
        <v>80000</v>
      </c>
      <c r="AE321" s="7">
        <f>E321+AD321</f>
        <v>90000</v>
      </c>
      <c r="AF321" s="8">
        <f>G321+I321+K321+M321+O321+Q321+S321+U321+W321+Y321+AA321+AC321</f>
        <v>50000</v>
      </c>
      <c r="AG321" s="153">
        <f>SUM(AE321-AF321)</f>
        <v>40000</v>
      </c>
      <c r="AH321" s="99" t="s">
        <v>554</v>
      </c>
      <c r="AI321" s="99">
        <v>4</v>
      </c>
    </row>
    <row r="322" spans="1:42" customHeight="1" ht="11.5">
      <c r="A322" s="5">
        <v>314</v>
      </c>
      <c r="B322" s="150" t="s">
        <v>555</v>
      </c>
      <c r="C322" s="151" t="s">
        <v>112</v>
      </c>
      <c r="D322" s="85" t="s">
        <v>113</v>
      </c>
      <c r="E322" s="86">
        <v>4000</v>
      </c>
      <c r="F322" s="9">
        <v>6000</v>
      </c>
      <c r="G322" s="10">
        <v>4000</v>
      </c>
      <c r="H322" s="9">
        <v>6000</v>
      </c>
      <c r="I322" s="10">
        <v>6000</v>
      </c>
      <c r="J322" s="152">
        <v>8000</v>
      </c>
      <c r="K322" s="10">
        <v>6000</v>
      </c>
      <c r="L322" s="152">
        <v>6000</v>
      </c>
      <c r="M322" s="10">
        <v>8000</v>
      </c>
      <c r="N322" s="152">
        <v>8000</v>
      </c>
      <c r="O322" s="10">
        <v>6000</v>
      </c>
      <c r="P322" s="152">
        <v>8000</v>
      </c>
      <c r="Q322" s="10">
        <v>8000</v>
      </c>
      <c r="R322" s="9">
        <v>10000</v>
      </c>
      <c r="S322" s="10"/>
      <c r="T322" s="9">
        <v>0</v>
      </c>
      <c r="U322" s="10"/>
      <c r="V322" s="9">
        <v>0</v>
      </c>
      <c r="W322" s="10"/>
      <c r="X322" s="9">
        <v>0</v>
      </c>
      <c r="Y322" s="10"/>
      <c r="Z322" s="9">
        <v>0</v>
      </c>
      <c r="AA322" s="10"/>
      <c r="AB322" s="11">
        <v>0</v>
      </c>
      <c r="AC322" s="10"/>
      <c r="AD322" s="7">
        <f>SUM(F322+H322+J322+L322+N322+P322+R322+T322+V322+X322+Z322+AB322)</f>
        <v>52000</v>
      </c>
      <c r="AE322" s="7">
        <f>E322+AD322</f>
        <v>56000</v>
      </c>
      <c r="AF322" s="8">
        <f>G322+I322+K322+M322+O322+Q322+S322+U322+W322+Y322+AA322+AC322</f>
        <v>38000</v>
      </c>
      <c r="AG322" s="153">
        <f>SUM(AE322-AF322)</f>
        <v>18000</v>
      </c>
      <c r="AH322" s="99" t="s">
        <v>556</v>
      </c>
      <c r="AI322" s="99">
        <v>4</v>
      </c>
    </row>
    <row r="323" spans="1:42" customHeight="1" ht="11.5">
      <c r="A323" s="5">
        <v>315</v>
      </c>
      <c r="B323" s="150" t="s">
        <v>557</v>
      </c>
      <c r="C323" s="151" t="s">
        <v>36</v>
      </c>
      <c r="D323" s="85" t="s">
        <v>37</v>
      </c>
      <c r="E323" s="86">
        <v>20000</v>
      </c>
      <c r="F323" s="9">
        <v>25000</v>
      </c>
      <c r="G323" s="10">
        <v>20000</v>
      </c>
      <c r="H323" s="9">
        <v>10000</v>
      </c>
      <c r="I323" s="10">
        <v>25000</v>
      </c>
      <c r="J323" s="152">
        <v>10000</v>
      </c>
      <c r="K323" s="10">
        <v>10000</v>
      </c>
      <c r="L323" s="152">
        <v>10000</v>
      </c>
      <c r="M323" s="10">
        <v>10000</v>
      </c>
      <c r="N323" s="152">
        <v>10000</v>
      </c>
      <c r="O323" s="10">
        <v>10000</v>
      </c>
      <c r="P323" s="152">
        <v>15000</v>
      </c>
      <c r="Q323" s="10">
        <v>10000</v>
      </c>
      <c r="R323" s="9">
        <v>15000</v>
      </c>
      <c r="S323" s="10"/>
      <c r="T323" s="9">
        <v>0</v>
      </c>
      <c r="U323" s="10"/>
      <c r="V323" s="9">
        <v>0</v>
      </c>
      <c r="W323" s="10"/>
      <c r="X323" s="9">
        <v>0</v>
      </c>
      <c r="Y323" s="10"/>
      <c r="Z323" s="9">
        <v>0</v>
      </c>
      <c r="AA323" s="10"/>
      <c r="AB323" s="11">
        <v>0</v>
      </c>
      <c r="AC323" s="10"/>
      <c r="AD323" s="7">
        <f>SUM(F323+H323+J323+L323+N323+P323+R323+T323+V323+X323+Z323+AB323)</f>
        <v>95000</v>
      </c>
      <c r="AE323" s="7">
        <f>E323+AD323</f>
        <v>115000</v>
      </c>
      <c r="AF323" s="8">
        <f>G323+I323+K323+M323+O323+Q323+S323+U323+W323+Y323+AA323+AC323</f>
        <v>85000</v>
      </c>
      <c r="AG323" s="153">
        <f>SUM(AE323-AF323)</f>
        <v>30000</v>
      </c>
      <c r="AH323" s="99" t="s">
        <v>558</v>
      </c>
      <c r="AI323" s="99">
        <v>4</v>
      </c>
    </row>
    <row r="324" spans="1:42" customHeight="1" ht="11.5">
      <c r="A324" s="5">
        <v>316</v>
      </c>
      <c r="B324" s="150" t="s">
        <v>559</v>
      </c>
      <c r="C324" s="151" t="s">
        <v>36</v>
      </c>
      <c r="D324" s="85" t="s">
        <v>37</v>
      </c>
      <c r="E324" s="86">
        <v>0</v>
      </c>
      <c r="F324" s="9">
        <v>0</v>
      </c>
      <c r="G324" s="10"/>
      <c r="H324" s="9">
        <v>0</v>
      </c>
      <c r="I324" s="10"/>
      <c r="J324" s="152">
        <v>30000</v>
      </c>
      <c r="K324" s="10"/>
      <c r="L324" s="152">
        <v>0</v>
      </c>
      <c r="M324" s="10">
        <v>30000</v>
      </c>
      <c r="N324" s="152">
        <v>0</v>
      </c>
      <c r="O324" s="10"/>
      <c r="P324" s="152">
        <v>0</v>
      </c>
      <c r="Q324" s="10"/>
      <c r="R324" s="9">
        <v>0</v>
      </c>
      <c r="S324" s="10"/>
      <c r="T324" s="9">
        <v>0</v>
      </c>
      <c r="U324" s="10"/>
      <c r="V324" s="9">
        <v>0</v>
      </c>
      <c r="W324" s="10"/>
      <c r="X324" s="9">
        <v>0</v>
      </c>
      <c r="Y324" s="10"/>
      <c r="Z324" s="9">
        <v>0</v>
      </c>
      <c r="AA324" s="10"/>
      <c r="AB324" s="11">
        <v>0</v>
      </c>
      <c r="AC324" s="10"/>
      <c r="AD324" s="7">
        <f>SUM(F324+H324+J324+L324+N324+P324+R324+T324+V324+X324+Z324+AB324)</f>
        <v>30000</v>
      </c>
      <c r="AE324" s="7">
        <f>E324+AD324</f>
        <v>30000</v>
      </c>
      <c r="AF324" s="8">
        <f>G324+I324+K324+M324+O324+Q324+S324+U324+W324+Y324+AA324+AC324</f>
        <v>30000</v>
      </c>
      <c r="AG324" s="153">
        <f>SUM(AE324-AF324)</f>
        <v>0</v>
      </c>
      <c r="AH324" s="99" t="s">
        <v>560</v>
      </c>
      <c r="AI324" s="99">
        <v>3</v>
      </c>
    </row>
    <row r="325" spans="1:42" customHeight="1" ht="11.5">
      <c r="A325" s="5">
        <v>317</v>
      </c>
      <c r="B325" s="150" t="s">
        <v>561</v>
      </c>
      <c r="C325" s="151" t="s">
        <v>36</v>
      </c>
      <c r="D325" s="85" t="s">
        <v>37</v>
      </c>
      <c r="E325" s="86">
        <v>100000</v>
      </c>
      <c r="F325" s="9">
        <v>110000</v>
      </c>
      <c r="G325" s="10">
        <v>100000</v>
      </c>
      <c r="H325" s="9">
        <v>190000</v>
      </c>
      <c r="I325" s="10">
        <v>110000</v>
      </c>
      <c r="J325" s="152">
        <v>120000</v>
      </c>
      <c r="K325" s="10">
        <v>190000</v>
      </c>
      <c r="L325" s="152">
        <v>150000</v>
      </c>
      <c r="M325" s="10">
        <v>120000</v>
      </c>
      <c r="N325" s="152">
        <v>240000</v>
      </c>
      <c r="O325" s="10">
        <v>150000</v>
      </c>
      <c r="P325" s="152">
        <v>110000</v>
      </c>
      <c r="Q325" s="10">
        <v>240000</v>
      </c>
      <c r="R325" s="9">
        <v>240000</v>
      </c>
      <c r="S325" s="10"/>
      <c r="T325" s="9">
        <v>0</v>
      </c>
      <c r="U325" s="10"/>
      <c r="V325" s="9">
        <v>0</v>
      </c>
      <c r="W325" s="10"/>
      <c r="X325" s="9">
        <v>0</v>
      </c>
      <c r="Y325" s="10"/>
      <c r="Z325" s="9">
        <v>0</v>
      </c>
      <c r="AA325" s="10"/>
      <c r="AB325" s="11">
        <v>0</v>
      </c>
      <c r="AC325" s="10"/>
      <c r="AD325" s="7">
        <f>SUM(F325+H325+J325+L325+N325+P325+R325+T325+V325+X325+Z325+AB325)</f>
        <v>1160000</v>
      </c>
      <c r="AE325" s="7">
        <f>E325+AD325</f>
        <v>1260000</v>
      </c>
      <c r="AF325" s="8">
        <f>G325+I325+K325+M325+O325+Q325+S325+U325+W325+Y325+AA325+AC325</f>
        <v>910000</v>
      </c>
      <c r="AG325" s="153">
        <f>SUM(AE325-AF325)</f>
        <v>350000</v>
      </c>
      <c r="AH325" s="99" t="s">
        <v>562</v>
      </c>
      <c r="AI325" s="99">
        <v>4</v>
      </c>
    </row>
    <row r="326" spans="1:42" customHeight="1" ht="11.5">
      <c r="A326" s="5">
        <v>318</v>
      </c>
      <c r="B326" s="150" t="s">
        <v>563</v>
      </c>
      <c r="C326" s="151" t="s">
        <v>36</v>
      </c>
      <c r="D326" s="85" t="s">
        <v>37</v>
      </c>
      <c r="E326" s="86">
        <v>15000</v>
      </c>
      <c r="F326" s="9">
        <v>15000</v>
      </c>
      <c r="G326" s="10">
        <v>15000</v>
      </c>
      <c r="H326" s="9">
        <v>20000</v>
      </c>
      <c r="I326" s="10">
        <v>15000</v>
      </c>
      <c r="J326" s="152">
        <v>10000</v>
      </c>
      <c r="K326" s="10">
        <v>20000</v>
      </c>
      <c r="L326" s="152">
        <v>15000</v>
      </c>
      <c r="M326" s="10">
        <v>10000</v>
      </c>
      <c r="N326" s="152">
        <v>15000</v>
      </c>
      <c r="O326" s="10">
        <v>15000</v>
      </c>
      <c r="P326" s="152">
        <v>20000</v>
      </c>
      <c r="Q326" s="10">
        <v>15000</v>
      </c>
      <c r="R326" s="9">
        <v>25000</v>
      </c>
      <c r="S326" s="10"/>
      <c r="T326" s="9">
        <v>0</v>
      </c>
      <c r="U326" s="10"/>
      <c r="V326" s="9">
        <v>0</v>
      </c>
      <c r="W326" s="10"/>
      <c r="X326" s="9">
        <v>0</v>
      </c>
      <c r="Y326" s="10"/>
      <c r="Z326" s="9">
        <v>0</v>
      </c>
      <c r="AA326" s="10"/>
      <c r="AB326" s="11">
        <v>0</v>
      </c>
      <c r="AC326" s="10"/>
      <c r="AD326" s="7">
        <f>SUM(F326+H326+J326+L326+N326+P326+R326+T326+V326+X326+Z326+AB326)</f>
        <v>120000</v>
      </c>
      <c r="AE326" s="7">
        <f>E326+AD326</f>
        <v>135000</v>
      </c>
      <c r="AF326" s="8">
        <f>G326+I326+K326+M326+O326+Q326+S326+U326+W326+Y326+AA326+AC326</f>
        <v>90000</v>
      </c>
      <c r="AG326" s="153">
        <f>SUM(AE326-AF326)</f>
        <v>45000</v>
      </c>
      <c r="AH326" s="99" t="s">
        <v>564</v>
      </c>
      <c r="AI326" s="99">
        <v>4</v>
      </c>
    </row>
    <row r="327" spans="1:42" customHeight="1" ht="11.5">
      <c r="A327" s="5">
        <v>319</v>
      </c>
      <c r="B327" s="150" t="s">
        <v>565</v>
      </c>
      <c r="C327" s="151" t="s">
        <v>36</v>
      </c>
      <c r="D327" s="85" t="s">
        <v>37</v>
      </c>
      <c r="E327" s="86">
        <v>150000</v>
      </c>
      <c r="F327" s="9">
        <v>70000</v>
      </c>
      <c r="G327" s="10">
        <v>150000</v>
      </c>
      <c r="H327" s="9">
        <v>70000</v>
      </c>
      <c r="I327" s="10">
        <v>70000</v>
      </c>
      <c r="J327" s="152">
        <v>60000</v>
      </c>
      <c r="K327" s="10">
        <v>70000</v>
      </c>
      <c r="L327" s="152">
        <v>100000</v>
      </c>
      <c r="M327" s="10">
        <v>60000</v>
      </c>
      <c r="N327" s="152">
        <v>130000</v>
      </c>
      <c r="O327" s="10">
        <v>100000</v>
      </c>
      <c r="P327" s="152">
        <v>70000</v>
      </c>
      <c r="Q327" s="10">
        <v>130000</v>
      </c>
      <c r="R327" s="9">
        <v>130000</v>
      </c>
      <c r="S327" s="10"/>
      <c r="T327" s="9">
        <v>0</v>
      </c>
      <c r="U327" s="10"/>
      <c r="V327" s="9">
        <v>0</v>
      </c>
      <c r="W327" s="10"/>
      <c r="X327" s="9">
        <v>0</v>
      </c>
      <c r="Y327" s="10"/>
      <c r="Z327" s="9">
        <v>0</v>
      </c>
      <c r="AA327" s="10"/>
      <c r="AB327" s="11">
        <v>0</v>
      </c>
      <c r="AC327" s="10"/>
      <c r="AD327" s="7">
        <f>SUM(F327+H327+J327+L327+N327+P327+R327+T327+V327+X327+Z327+AB327)</f>
        <v>630000</v>
      </c>
      <c r="AE327" s="7">
        <f>E327+AD327</f>
        <v>780000</v>
      </c>
      <c r="AF327" s="8">
        <f>G327+I327+K327+M327+O327+Q327+S327+U327+W327+Y327+AA327+AC327</f>
        <v>580000</v>
      </c>
      <c r="AG327" s="153">
        <f>SUM(AE327-AF327)</f>
        <v>200000</v>
      </c>
      <c r="AH327" s="99" t="s">
        <v>566</v>
      </c>
      <c r="AI327" s="99">
        <v>4</v>
      </c>
    </row>
    <row r="328" spans="1:42" customHeight="1" ht="11.5">
      <c r="A328" s="5">
        <v>320</v>
      </c>
      <c r="B328" s="150" t="s">
        <v>567</v>
      </c>
      <c r="C328" s="151" t="s">
        <v>36</v>
      </c>
      <c r="D328" s="85" t="s">
        <v>37</v>
      </c>
      <c r="E328" s="86">
        <v>30000</v>
      </c>
      <c r="F328" s="9">
        <v>20000</v>
      </c>
      <c r="G328" s="10">
        <v>30000</v>
      </c>
      <c r="H328" s="9">
        <v>10000</v>
      </c>
      <c r="I328" s="10">
        <v>20000</v>
      </c>
      <c r="J328" s="152">
        <v>20000</v>
      </c>
      <c r="K328" s="10">
        <v>10000</v>
      </c>
      <c r="L328" s="152">
        <v>40000</v>
      </c>
      <c r="M328" s="10">
        <v>20000</v>
      </c>
      <c r="N328" s="152">
        <v>0</v>
      </c>
      <c r="O328" s="10">
        <v>40000</v>
      </c>
      <c r="P328" s="152">
        <v>20000</v>
      </c>
      <c r="Q328" s="10"/>
      <c r="R328" s="9">
        <v>40000</v>
      </c>
      <c r="S328" s="10"/>
      <c r="T328" s="9">
        <v>0</v>
      </c>
      <c r="U328" s="10"/>
      <c r="V328" s="9">
        <v>0</v>
      </c>
      <c r="W328" s="10"/>
      <c r="X328" s="9">
        <v>0</v>
      </c>
      <c r="Y328" s="10"/>
      <c r="Z328" s="9">
        <v>0</v>
      </c>
      <c r="AA328" s="10"/>
      <c r="AB328" s="11">
        <v>0</v>
      </c>
      <c r="AC328" s="10"/>
      <c r="AD328" s="7">
        <f>SUM(F328+H328+J328+L328+N328+P328+R328+T328+V328+X328+Z328+AB328)</f>
        <v>150000</v>
      </c>
      <c r="AE328" s="7">
        <f>E328+AD328</f>
        <v>180000</v>
      </c>
      <c r="AF328" s="8">
        <f>G328+I328+K328+M328+O328+Q328+S328+U328+W328+Y328+AA328+AC328</f>
        <v>120000</v>
      </c>
      <c r="AG328" s="153">
        <f>SUM(AE328-AF328)</f>
        <v>60000</v>
      </c>
      <c r="AH328" s="99" t="s">
        <v>568</v>
      </c>
      <c r="AI328" s="99">
        <v>3</v>
      </c>
    </row>
    <row r="329" spans="1:42" customHeight="1" ht="11.5">
      <c r="A329" s="5">
        <v>321</v>
      </c>
      <c r="B329" s="150" t="s">
        <v>569</v>
      </c>
      <c r="C329" s="151" t="s">
        <v>36</v>
      </c>
      <c r="D329" s="85" t="s">
        <v>37</v>
      </c>
      <c r="E329" s="86">
        <v>5000</v>
      </c>
      <c r="F329" s="9">
        <v>5000</v>
      </c>
      <c r="G329" s="10">
        <v>5000</v>
      </c>
      <c r="H329" s="9">
        <v>10000</v>
      </c>
      <c r="I329" s="10">
        <v>5000</v>
      </c>
      <c r="J329" s="152">
        <v>5000</v>
      </c>
      <c r="K329" s="10">
        <v>10000</v>
      </c>
      <c r="L329" s="152">
        <v>5000</v>
      </c>
      <c r="M329" s="10">
        <v>5000</v>
      </c>
      <c r="N329" s="152">
        <v>5000</v>
      </c>
      <c r="O329" s="10">
        <v>5000</v>
      </c>
      <c r="P329" s="152">
        <v>5000</v>
      </c>
      <c r="Q329" s="10">
        <v>5000</v>
      </c>
      <c r="R329" s="9">
        <v>5000</v>
      </c>
      <c r="S329" s="10"/>
      <c r="T329" s="9">
        <v>0</v>
      </c>
      <c r="U329" s="10"/>
      <c r="V329" s="9">
        <v>0</v>
      </c>
      <c r="W329" s="10"/>
      <c r="X329" s="9">
        <v>0</v>
      </c>
      <c r="Y329" s="10"/>
      <c r="Z329" s="9">
        <v>0</v>
      </c>
      <c r="AA329" s="10"/>
      <c r="AB329" s="87">
        <v>0</v>
      </c>
      <c r="AC329" s="10"/>
      <c r="AD329" s="7">
        <f>SUM(F329+H329+J329+L329+N329+P329+R329+T329+V329+X329+Z329+AB329)</f>
        <v>40000</v>
      </c>
      <c r="AE329" s="7">
        <f>E329+AD329</f>
        <v>45000</v>
      </c>
      <c r="AF329" s="8">
        <f>G329+I329+K329+M329+O329+Q329+S329+U329+W329+Y329+AA329+AC329</f>
        <v>35000</v>
      </c>
      <c r="AG329" s="153">
        <f>SUM(AE329-AF329)</f>
        <v>10000</v>
      </c>
      <c r="AH329" s="99" t="s">
        <v>570</v>
      </c>
      <c r="AI329" s="99">
        <v>4</v>
      </c>
    </row>
    <row r="330" spans="1:42" customHeight="1" ht="11.5">
      <c r="A330" s="5">
        <v>322</v>
      </c>
      <c r="B330" s="150" t="s">
        <v>571</v>
      </c>
      <c r="C330" s="151" t="s">
        <v>132</v>
      </c>
      <c r="D330" s="85" t="s">
        <v>133</v>
      </c>
      <c r="E330" s="86">
        <v>25000</v>
      </c>
      <c r="F330" s="9">
        <v>10000</v>
      </c>
      <c r="G330" s="10"/>
      <c r="H330" s="9">
        <v>5000</v>
      </c>
      <c r="I330" s="10"/>
      <c r="J330" s="152">
        <v>5000</v>
      </c>
      <c r="K330" s="10">
        <v>40000</v>
      </c>
      <c r="L330" s="152">
        <v>5000</v>
      </c>
      <c r="M330" s="10"/>
      <c r="N330" s="152">
        <v>10000</v>
      </c>
      <c r="O330" s="10"/>
      <c r="P330" s="152">
        <v>5000</v>
      </c>
      <c r="Q330" s="10"/>
      <c r="R330" s="9">
        <v>10000</v>
      </c>
      <c r="S330" s="10"/>
      <c r="T330" s="9">
        <v>0</v>
      </c>
      <c r="U330" s="10"/>
      <c r="V330" s="9">
        <v>0</v>
      </c>
      <c r="W330" s="10"/>
      <c r="X330" s="9">
        <v>0</v>
      </c>
      <c r="Y330" s="10"/>
      <c r="Z330" s="9">
        <v>0</v>
      </c>
      <c r="AA330" s="10"/>
      <c r="AB330" s="87">
        <v>0</v>
      </c>
      <c r="AC330" s="10"/>
      <c r="AD330" s="7">
        <f>SUM(F330+H330+J330+L330+N330+P330+R330+T330+V330+X330+Z330+AB330)</f>
        <v>50000</v>
      </c>
      <c r="AE330" s="7">
        <f>E330+AD330</f>
        <v>75000</v>
      </c>
      <c r="AF330" s="8">
        <f>G330+I330+K330+M330+O330+Q330+S330+U330+W330+Y330+AA330+AC330</f>
        <v>40000</v>
      </c>
      <c r="AG330" s="153">
        <f>SUM(AE330-AF330)</f>
        <v>35000</v>
      </c>
      <c r="AH330" s="99" t="s">
        <v>572</v>
      </c>
      <c r="AI330" s="99">
        <v>3</v>
      </c>
    </row>
    <row r="331" spans="1:42" customHeight="1" ht="11.5">
      <c r="A331" s="5">
        <v>323</v>
      </c>
      <c r="B331" s="150" t="s">
        <v>573</v>
      </c>
      <c r="C331" s="151" t="s">
        <v>36</v>
      </c>
      <c r="D331" s="85" t="s">
        <v>37</v>
      </c>
      <c r="E331" s="86">
        <v>20000</v>
      </c>
      <c r="F331" s="9">
        <v>10000</v>
      </c>
      <c r="G331" s="10">
        <v>20000</v>
      </c>
      <c r="H331" s="9">
        <v>30000</v>
      </c>
      <c r="I331" s="10">
        <v>10000</v>
      </c>
      <c r="J331" s="152">
        <v>20000</v>
      </c>
      <c r="K331" s="10">
        <v>30000</v>
      </c>
      <c r="L331" s="152">
        <v>10000</v>
      </c>
      <c r="M331" s="10">
        <v>20000</v>
      </c>
      <c r="N331" s="152">
        <v>40000</v>
      </c>
      <c r="O331" s="10">
        <v>10000</v>
      </c>
      <c r="P331" s="152">
        <v>20000</v>
      </c>
      <c r="Q331" s="10">
        <v>40000</v>
      </c>
      <c r="R331" s="9">
        <v>20000</v>
      </c>
      <c r="S331" s="10"/>
      <c r="T331" s="9">
        <v>0</v>
      </c>
      <c r="U331" s="10"/>
      <c r="V331" s="9">
        <v>0</v>
      </c>
      <c r="W331" s="10"/>
      <c r="X331" s="9">
        <v>0</v>
      </c>
      <c r="Y331" s="10"/>
      <c r="Z331" s="9">
        <v>0</v>
      </c>
      <c r="AA331" s="10"/>
      <c r="AB331" s="11">
        <v>0</v>
      </c>
      <c r="AC331" s="10"/>
      <c r="AD331" s="7">
        <f>SUM(F331+H331+J331+L331+N331+P331+R331+T331+V331+X331+Z331+AB331)</f>
        <v>150000</v>
      </c>
      <c r="AE331" s="7">
        <f>E331+AD331</f>
        <v>170000</v>
      </c>
      <c r="AF331" s="8">
        <f>G331+I331+K331+M331+O331+Q331+S331+U331+W331+Y331+AA331+AC331</f>
        <v>130000</v>
      </c>
      <c r="AG331" s="153">
        <f>SUM(AE331-AF331)</f>
        <v>40000</v>
      </c>
      <c r="AH331" s="99" t="s">
        <v>574</v>
      </c>
      <c r="AI331" s="99">
        <v>4</v>
      </c>
    </row>
    <row r="332" spans="1:42" customHeight="1" ht="11.5">
      <c r="A332" s="5">
        <v>324</v>
      </c>
      <c r="B332" s="150" t="s">
        <v>575</v>
      </c>
      <c r="C332" s="151" t="s">
        <v>36</v>
      </c>
      <c r="D332" s="85" t="s">
        <v>37</v>
      </c>
      <c r="E332" s="86">
        <v>20000</v>
      </c>
      <c r="F332" s="9">
        <v>20000</v>
      </c>
      <c r="G332" s="10">
        <v>20000</v>
      </c>
      <c r="H332" s="9">
        <v>20000</v>
      </c>
      <c r="I332" s="10">
        <v>20000</v>
      </c>
      <c r="J332" s="152">
        <v>20000</v>
      </c>
      <c r="K332" s="10">
        <v>20000</v>
      </c>
      <c r="L332" s="152">
        <v>10000</v>
      </c>
      <c r="M332" s="10">
        <v>20000</v>
      </c>
      <c r="N332" s="152">
        <v>20000</v>
      </c>
      <c r="O332" s="10">
        <v>10000</v>
      </c>
      <c r="P332" s="152">
        <v>20000</v>
      </c>
      <c r="Q332" s="10">
        <v>20000</v>
      </c>
      <c r="R332" s="9">
        <v>30000</v>
      </c>
      <c r="S332" s="10"/>
      <c r="T332" s="9">
        <v>0</v>
      </c>
      <c r="U332" s="10"/>
      <c r="V332" s="9">
        <v>0</v>
      </c>
      <c r="W332" s="10"/>
      <c r="X332" s="9">
        <v>0</v>
      </c>
      <c r="Y332" s="10"/>
      <c r="Z332" s="9">
        <v>0</v>
      </c>
      <c r="AA332" s="10"/>
      <c r="AB332" s="11">
        <v>0</v>
      </c>
      <c r="AC332" s="10"/>
      <c r="AD332" s="7">
        <f>SUM(F332+H332+J332+L332+N332+P332+R332+T332+V332+X332+Z332+AB332)</f>
        <v>140000</v>
      </c>
      <c r="AE332" s="7">
        <f>E332+AD332</f>
        <v>160000</v>
      </c>
      <c r="AF332" s="8">
        <f>G332+I332+K332+M332+O332+Q332+S332+U332+W332+Y332+AA332+AC332</f>
        <v>110000</v>
      </c>
      <c r="AG332" s="153">
        <f>SUM(AE332-AF332)</f>
        <v>50000</v>
      </c>
      <c r="AH332" s="99" t="s">
        <v>576</v>
      </c>
      <c r="AI332" s="99">
        <v>4</v>
      </c>
    </row>
    <row r="333" spans="1:42" customHeight="1" ht="11.5">
      <c r="A333" s="5">
        <v>325</v>
      </c>
      <c r="B333" s="150" t="s">
        <v>577</v>
      </c>
      <c r="C333" s="151" t="s">
        <v>36</v>
      </c>
      <c r="D333" s="85" t="s">
        <v>37</v>
      </c>
      <c r="E333" s="86">
        <v>10000</v>
      </c>
      <c r="F333" s="9">
        <v>20000</v>
      </c>
      <c r="G333" s="10">
        <v>10000</v>
      </c>
      <c r="H333" s="9">
        <v>20000</v>
      </c>
      <c r="I333" s="10">
        <v>20000</v>
      </c>
      <c r="J333" s="152">
        <v>20000</v>
      </c>
      <c r="K333" s="10">
        <v>20000</v>
      </c>
      <c r="L333" s="152">
        <v>10000</v>
      </c>
      <c r="M333" s="10">
        <v>20000</v>
      </c>
      <c r="N333" s="152">
        <v>20000</v>
      </c>
      <c r="O333" s="10">
        <v>10000</v>
      </c>
      <c r="P333" s="152">
        <v>20000</v>
      </c>
      <c r="Q333" s="10">
        <v>20000</v>
      </c>
      <c r="R333" s="9">
        <v>30000</v>
      </c>
      <c r="S333" s="10"/>
      <c r="T333" s="9">
        <v>0</v>
      </c>
      <c r="U333" s="10"/>
      <c r="V333" s="9">
        <v>0</v>
      </c>
      <c r="W333" s="10"/>
      <c r="X333" s="9">
        <v>0</v>
      </c>
      <c r="Y333" s="10"/>
      <c r="Z333" s="9">
        <v>0</v>
      </c>
      <c r="AA333" s="10"/>
      <c r="AB333" s="11">
        <v>0</v>
      </c>
      <c r="AC333" s="10"/>
      <c r="AD333" s="7">
        <f>SUM(F333+H333+J333+L333+N333+P333+R333+T333+V333+X333+Z333+AB333)</f>
        <v>140000</v>
      </c>
      <c r="AE333" s="7">
        <f>E333+AD333</f>
        <v>150000</v>
      </c>
      <c r="AF333" s="8">
        <f>G333+I333+K333+M333+O333+Q333+S333+U333+W333+Y333+AA333+AC333</f>
        <v>100000</v>
      </c>
      <c r="AG333" s="153">
        <f>SUM(AE333-AF333)</f>
        <v>50000</v>
      </c>
      <c r="AH333" s="99" t="s">
        <v>578</v>
      </c>
      <c r="AI333" s="99">
        <v>4</v>
      </c>
    </row>
    <row r="334" spans="1:42" customHeight="1" ht="11.5">
      <c r="A334" s="5">
        <v>326</v>
      </c>
      <c r="B334" s="150" t="s">
        <v>579</v>
      </c>
      <c r="C334" s="151" t="s">
        <v>36</v>
      </c>
      <c r="D334" s="85" t="s">
        <v>37</v>
      </c>
      <c r="E334" s="86">
        <v>20000</v>
      </c>
      <c r="F334" s="9">
        <v>20000</v>
      </c>
      <c r="G334" s="10">
        <v>20000</v>
      </c>
      <c r="H334" s="9">
        <v>20000</v>
      </c>
      <c r="I334" s="10">
        <v>20000</v>
      </c>
      <c r="J334" s="152">
        <v>20000</v>
      </c>
      <c r="K334" s="10">
        <v>20000</v>
      </c>
      <c r="L334" s="152">
        <v>20000</v>
      </c>
      <c r="M334" s="10">
        <v>20000</v>
      </c>
      <c r="N334" s="152">
        <v>20000</v>
      </c>
      <c r="O334" s="10">
        <v>20000</v>
      </c>
      <c r="P334" s="152">
        <v>20000</v>
      </c>
      <c r="Q334" s="10">
        <v>20000</v>
      </c>
      <c r="R334" s="9">
        <v>20000</v>
      </c>
      <c r="S334" s="10"/>
      <c r="T334" s="9">
        <v>0</v>
      </c>
      <c r="U334" s="10"/>
      <c r="V334" s="9">
        <v>0</v>
      </c>
      <c r="W334" s="10"/>
      <c r="X334" s="9">
        <v>0</v>
      </c>
      <c r="Y334" s="10"/>
      <c r="Z334" s="9">
        <v>0</v>
      </c>
      <c r="AA334" s="10"/>
      <c r="AB334" s="11">
        <v>0</v>
      </c>
      <c r="AC334" s="10"/>
      <c r="AD334" s="7">
        <f>SUM(F334+H334+J334+L334+N334+P334+R334+T334+V334+X334+Z334+AB334)</f>
        <v>140000</v>
      </c>
      <c r="AE334" s="7">
        <f>E334+AD334</f>
        <v>160000</v>
      </c>
      <c r="AF334" s="8">
        <f>G334+I334+K334+M334+O334+Q334+S334+U334+W334+Y334+AA334+AC334</f>
        <v>120000</v>
      </c>
      <c r="AG334" s="153">
        <f>SUM(AE334-AF334)</f>
        <v>40000</v>
      </c>
      <c r="AH334" s="99" t="s">
        <v>580</v>
      </c>
      <c r="AI334" s="99">
        <v>4</v>
      </c>
    </row>
    <row r="335" spans="1:42" customHeight="1" ht="11.5">
      <c r="A335" s="5">
        <v>327</v>
      </c>
      <c r="B335" s="150" t="s">
        <v>581</v>
      </c>
      <c r="C335" s="151" t="s">
        <v>36</v>
      </c>
      <c r="D335" s="85" t="s">
        <v>37</v>
      </c>
      <c r="E335" s="86">
        <v>10000</v>
      </c>
      <c r="F335" s="9">
        <v>30000</v>
      </c>
      <c r="G335" s="10">
        <v>10000</v>
      </c>
      <c r="H335" s="9">
        <v>30000</v>
      </c>
      <c r="I335" s="10">
        <v>30000</v>
      </c>
      <c r="J335" s="152">
        <v>20000</v>
      </c>
      <c r="K335" s="10">
        <v>30000</v>
      </c>
      <c r="L335" s="152">
        <v>20000</v>
      </c>
      <c r="M335" s="10">
        <v>20000</v>
      </c>
      <c r="N335" s="152">
        <v>20000</v>
      </c>
      <c r="O335" s="10">
        <v>20000</v>
      </c>
      <c r="P335" s="152">
        <v>10000</v>
      </c>
      <c r="Q335" s="10">
        <v>20000</v>
      </c>
      <c r="R335" s="9">
        <v>30000</v>
      </c>
      <c r="S335" s="10"/>
      <c r="T335" s="9">
        <v>0</v>
      </c>
      <c r="U335" s="10"/>
      <c r="V335" s="9">
        <v>0</v>
      </c>
      <c r="W335" s="10"/>
      <c r="X335" s="9">
        <v>0</v>
      </c>
      <c r="Y335" s="10"/>
      <c r="Z335" s="9">
        <v>0</v>
      </c>
      <c r="AA335" s="10"/>
      <c r="AB335" s="11">
        <v>0</v>
      </c>
      <c r="AC335" s="10"/>
      <c r="AD335" s="7">
        <f>SUM(F335+H335+J335+L335+N335+P335+R335+T335+V335+X335+Z335+AB335)</f>
        <v>160000</v>
      </c>
      <c r="AE335" s="7">
        <f>E335+AD335</f>
        <v>170000</v>
      </c>
      <c r="AF335" s="8">
        <f>G335+I335+K335+M335+O335+Q335+S335+U335+W335+Y335+AA335+AC335</f>
        <v>130000</v>
      </c>
      <c r="AG335" s="153">
        <f>SUM(AE335-AF335)</f>
        <v>40000</v>
      </c>
      <c r="AH335" s="99" t="s">
        <v>582</v>
      </c>
      <c r="AI335" s="99">
        <v>4</v>
      </c>
    </row>
    <row r="336" spans="1:42" customHeight="1" ht="11.5">
      <c r="A336" s="5">
        <v>328</v>
      </c>
      <c r="B336" s="163" t="s">
        <v>583</v>
      </c>
      <c r="C336" s="151" t="s">
        <v>36</v>
      </c>
      <c r="D336" s="85" t="s">
        <v>37</v>
      </c>
      <c r="E336" s="86">
        <v>20000</v>
      </c>
      <c r="F336" s="9">
        <v>15000</v>
      </c>
      <c r="G336" s="10">
        <v>20000</v>
      </c>
      <c r="H336" s="9">
        <v>30000</v>
      </c>
      <c r="I336" s="10">
        <v>15000</v>
      </c>
      <c r="J336" s="152">
        <v>15000</v>
      </c>
      <c r="K336" s="10">
        <v>30000</v>
      </c>
      <c r="L336" s="152">
        <v>15000</v>
      </c>
      <c r="M336" s="10">
        <v>15000</v>
      </c>
      <c r="N336" s="152">
        <v>20000</v>
      </c>
      <c r="O336" s="10">
        <v>15000</v>
      </c>
      <c r="P336" s="152">
        <v>25000</v>
      </c>
      <c r="Q336" s="10">
        <v>20000</v>
      </c>
      <c r="R336" s="9">
        <v>20000</v>
      </c>
      <c r="S336" s="10"/>
      <c r="T336" s="9">
        <v>0</v>
      </c>
      <c r="U336" s="10"/>
      <c r="V336" s="9">
        <v>0</v>
      </c>
      <c r="W336" s="10"/>
      <c r="X336" s="9">
        <v>0</v>
      </c>
      <c r="Y336" s="10"/>
      <c r="Z336" s="9">
        <v>0</v>
      </c>
      <c r="AA336" s="10"/>
      <c r="AB336" s="11">
        <v>0</v>
      </c>
      <c r="AC336" s="10"/>
      <c r="AD336" s="7">
        <f>SUM(F336+H336+J336+L336+N336+P336+R336+T336+V336+X336+Z336+AB336)</f>
        <v>140000</v>
      </c>
      <c r="AE336" s="7">
        <f>E336+AD336</f>
        <v>160000</v>
      </c>
      <c r="AF336" s="8">
        <f>G336+I336+K336+M336+O336+Q336+S336+U336+W336+Y336+AA336+AC336</f>
        <v>115000</v>
      </c>
      <c r="AG336" s="153">
        <f>SUM(AE336-AF336)</f>
        <v>45000</v>
      </c>
      <c r="AH336" s="99" t="s">
        <v>584</v>
      </c>
      <c r="AI336" s="99">
        <v>4</v>
      </c>
    </row>
    <row r="337" spans="1:42" customHeight="1" ht="11.5">
      <c r="A337" s="5">
        <v>329</v>
      </c>
      <c r="B337" s="166" t="s">
        <v>585</v>
      </c>
      <c r="C337" s="167" t="s">
        <v>36</v>
      </c>
      <c r="D337" s="88" t="s">
        <v>37</v>
      </c>
      <c r="E337" s="86">
        <v>30000</v>
      </c>
      <c r="F337" s="9">
        <v>20000</v>
      </c>
      <c r="G337" s="10">
        <v>30000</v>
      </c>
      <c r="H337" s="9">
        <v>30000</v>
      </c>
      <c r="I337" s="10">
        <v>20000</v>
      </c>
      <c r="J337" s="152">
        <v>20000</v>
      </c>
      <c r="K337" s="10">
        <v>30000</v>
      </c>
      <c r="L337" s="152">
        <v>30000</v>
      </c>
      <c r="M337" s="10">
        <v>20000</v>
      </c>
      <c r="N337" s="152">
        <v>20000</v>
      </c>
      <c r="O337" s="10">
        <v>30000</v>
      </c>
      <c r="P337" s="152">
        <v>30000</v>
      </c>
      <c r="Q337" s="10">
        <v>20000</v>
      </c>
      <c r="R337" s="9">
        <v>30000</v>
      </c>
      <c r="S337" s="10"/>
      <c r="T337" s="9">
        <v>0</v>
      </c>
      <c r="U337" s="10"/>
      <c r="V337" s="9">
        <v>0</v>
      </c>
      <c r="W337" s="10"/>
      <c r="X337" s="9">
        <v>0</v>
      </c>
      <c r="Y337" s="10"/>
      <c r="Z337" s="9">
        <v>0</v>
      </c>
      <c r="AA337" s="10"/>
      <c r="AB337" s="11">
        <v>0</v>
      </c>
      <c r="AC337" s="10"/>
      <c r="AD337" s="7">
        <f>SUM(F337+H337+J337+L337+N337+P337+R337+T337+V337+X337+Z337+AB337)</f>
        <v>180000</v>
      </c>
      <c r="AE337" s="7">
        <f>E337+AD337</f>
        <v>210000</v>
      </c>
      <c r="AF337" s="8">
        <f>G337+I337+K337+M337+O337+Q337+S337+U337+W337+Y337+AA337+AC337</f>
        <v>150000</v>
      </c>
      <c r="AG337" s="153">
        <f>SUM(AE337-AF337)</f>
        <v>60000</v>
      </c>
      <c r="AH337" s="99" t="s">
        <v>586</v>
      </c>
      <c r="AI337" s="99">
        <v>4</v>
      </c>
    </row>
    <row r="338" spans="1:42" customHeight="1" ht="11.5">
      <c r="A338" s="5">
        <v>330</v>
      </c>
      <c r="B338" s="166" t="s">
        <v>587</v>
      </c>
      <c r="C338" s="167" t="s">
        <v>36</v>
      </c>
      <c r="D338" s="88" t="s">
        <v>37</v>
      </c>
      <c r="E338" s="86">
        <v>20000</v>
      </c>
      <c r="F338" s="9">
        <v>10000</v>
      </c>
      <c r="G338" s="10">
        <v>20000</v>
      </c>
      <c r="H338" s="9">
        <v>10000</v>
      </c>
      <c r="I338" s="10">
        <v>10000</v>
      </c>
      <c r="J338" s="152">
        <v>20000</v>
      </c>
      <c r="K338" s="10">
        <v>10000</v>
      </c>
      <c r="L338" s="152">
        <v>10000</v>
      </c>
      <c r="M338" s="10">
        <v>20000</v>
      </c>
      <c r="N338" s="152">
        <v>10000</v>
      </c>
      <c r="O338" s="10">
        <v>10000</v>
      </c>
      <c r="P338" s="152">
        <v>20000</v>
      </c>
      <c r="Q338" s="10">
        <v>10000</v>
      </c>
      <c r="R338" s="9">
        <v>10000</v>
      </c>
      <c r="S338" s="10"/>
      <c r="T338" s="9">
        <v>0</v>
      </c>
      <c r="U338" s="10"/>
      <c r="V338" s="9">
        <v>0</v>
      </c>
      <c r="W338" s="10"/>
      <c r="X338" s="9">
        <v>0</v>
      </c>
      <c r="Y338" s="10"/>
      <c r="Z338" s="9">
        <v>0</v>
      </c>
      <c r="AA338" s="10"/>
      <c r="AB338" s="11">
        <v>0</v>
      </c>
      <c r="AC338" s="10"/>
      <c r="AD338" s="7">
        <f>SUM(F338+H338+J338+L338+N338+P338+R338+T338+V338+X338+Z338+AB338)</f>
        <v>90000</v>
      </c>
      <c r="AE338" s="7">
        <f>E338+AD338</f>
        <v>110000</v>
      </c>
      <c r="AF338" s="8">
        <f>G338+I338+K338+M338+O338+Q338+S338+U338+W338+Y338+AA338+AC338</f>
        <v>80000</v>
      </c>
      <c r="AG338" s="153">
        <f>SUM(AE338-AF338)</f>
        <v>30000</v>
      </c>
      <c r="AH338" s="99" t="s">
        <v>588</v>
      </c>
      <c r="AI338" s="99">
        <v>4</v>
      </c>
    </row>
    <row r="339" spans="1:42" customHeight="1" ht="11.5">
      <c r="A339" s="5">
        <v>331</v>
      </c>
      <c r="B339" s="166" t="s">
        <v>589</v>
      </c>
      <c r="C339" s="167" t="s">
        <v>36</v>
      </c>
      <c r="D339" s="88" t="s">
        <v>37</v>
      </c>
      <c r="E339" s="86">
        <v>20000</v>
      </c>
      <c r="F339" s="9">
        <v>15000</v>
      </c>
      <c r="G339" s="10">
        <v>20000</v>
      </c>
      <c r="H339" s="9">
        <v>30000</v>
      </c>
      <c r="I339" s="10">
        <v>15000</v>
      </c>
      <c r="J339" s="152">
        <v>10000</v>
      </c>
      <c r="K339" s="10">
        <v>30000</v>
      </c>
      <c r="L339" s="152">
        <v>20000</v>
      </c>
      <c r="M339" s="10">
        <v>10000</v>
      </c>
      <c r="N339" s="152">
        <v>20000</v>
      </c>
      <c r="O339" s="10">
        <v>20000</v>
      </c>
      <c r="P339" s="152">
        <v>20000</v>
      </c>
      <c r="Q339" s="10">
        <v>20000</v>
      </c>
      <c r="R339" s="9">
        <v>20000</v>
      </c>
      <c r="S339" s="10"/>
      <c r="T339" s="9">
        <v>0</v>
      </c>
      <c r="U339" s="10"/>
      <c r="V339" s="9">
        <v>0</v>
      </c>
      <c r="W339" s="10"/>
      <c r="X339" s="9">
        <v>0</v>
      </c>
      <c r="Y339" s="10"/>
      <c r="Z339" s="9">
        <v>0</v>
      </c>
      <c r="AA339" s="10"/>
      <c r="AB339" s="11">
        <v>0</v>
      </c>
      <c r="AC339" s="10"/>
      <c r="AD339" s="7">
        <f>SUM(F339+H339+J339+L339+N339+P339+R339+T339+V339+X339+Z339+AB339)</f>
        <v>135000</v>
      </c>
      <c r="AE339" s="7">
        <f>E339+AD339</f>
        <v>155000</v>
      </c>
      <c r="AF339" s="8">
        <f>G339+I339+K339+M339+O339+Q339+S339+U339+W339+Y339+AA339+AC339</f>
        <v>115000</v>
      </c>
      <c r="AG339" s="153">
        <f>SUM(AE339-AF339)</f>
        <v>40000</v>
      </c>
      <c r="AH339" s="99" t="s">
        <v>590</v>
      </c>
      <c r="AI339" s="99">
        <v>4</v>
      </c>
    </row>
    <row r="340" spans="1:42" customHeight="1" ht="11.5">
      <c r="A340" s="5">
        <v>332</v>
      </c>
      <c r="B340" s="166" t="s">
        <v>591</v>
      </c>
      <c r="C340" s="167" t="s">
        <v>132</v>
      </c>
      <c r="D340" s="88" t="s">
        <v>133</v>
      </c>
      <c r="E340" s="86">
        <v>25000</v>
      </c>
      <c r="F340" s="9">
        <v>5000</v>
      </c>
      <c r="G340" s="10"/>
      <c r="H340" s="9">
        <v>5000</v>
      </c>
      <c r="I340" s="10"/>
      <c r="J340" s="152">
        <v>15000</v>
      </c>
      <c r="K340" s="10">
        <v>35000</v>
      </c>
      <c r="L340" s="152">
        <v>5000</v>
      </c>
      <c r="M340" s="10"/>
      <c r="N340" s="152">
        <v>10000</v>
      </c>
      <c r="O340" s="10"/>
      <c r="P340" s="152">
        <v>0</v>
      </c>
      <c r="Q340" s="10"/>
      <c r="R340" s="9">
        <v>10000</v>
      </c>
      <c r="S340" s="10"/>
      <c r="T340" s="9">
        <v>0</v>
      </c>
      <c r="U340" s="10"/>
      <c r="V340" s="9">
        <v>0</v>
      </c>
      <c r="W340" s="10"/>
      <c r="X340" s="9">
        <v>0</v>
      </c>
      <c r="Y340" s="10"/>
      <c r="Z340" s="9">
        <v>0</v>
      </c>
      <c r="AA340" s="10"/>
      <c r="AB340" s="11">
        <v>0</v>
      </c>
      <c r="AC340" s="10"/>
      <c r="AD340" s="7">
        <f>SUM(F340+H340+J340+L340+N340+P340+R340+T340+V340+X340+Z340+AB340)</f>
        <v>50000</v>
      </c>
      <c r="AE340" s="7">
        <f>E340+AD340</f>
        <v>75000</v>
      </c>
      <c r="AF340" s="8">
        <f>G340+I340+K340+M340+O340+Q340+S340+U340+W340+Y340+AA340+AC340</f>
        <v>35000</v>
      </c>
      <c r="AG340" s="153">
        <f>SUM(AE340-AF340)</f>
        <v>40000</v>
      </c>
      <c r="AH340" s="99" t="s">
        <v>592</v>
      </c>
      <c r="AI340" s="99">
        <v>4</v>
      </c>
    </row>
    <row r="341" spans="1:42" customHeight="1" ht="11.5">
      <c r="A341" s="5">
        <v>333</v>
      </c>
      <c r="B341" s="166" t="s">
        <v>593</v>
      </c>
      <c r="C341" s="167" t="s">
        <v>36</v>
      </c>
      <c r="D341" s="88" t="s">
        <v>37</v>
      </c>
      <c r="E341" s="86">
        <v>85000</v>
      </c>
      <c r="F341" s="9">
        <v>90000</v>
      </c>
      <c r="G341" s="10">
        <v>85000</v>
      </c>
      <c r="H341" s="9">
        <v>80000</v>
      </c>
      <c r="I341" s="10">
        <v>90000</v>
      </c>
      <c r="J341" s="152">
        <v>85000</v>
      </c>
      <c r="K341" s="10">
        <v>80000</v>
      </c>
      <c r="L341" s="152">
        <v>90000</v>
      </c>
      <c r="M341" s="10">
        <v>85000</v>
      </c>
      <c r="N341" s="152">
        <v>90000</v>
      </c>
      <c r="O341" s="10">
        <v>90000</v>
      </c>
      <c r="P341" s="152">
        <v>90000</v>
      </c>
      <c r="Q341" s="10">
        <v>90000</v>
      </c>
      <c r="R341" s="9">
        <v>105000</v>
      </c>
      <c r="S341" s="10"/>
      <c r="T341" s="9">
        <v>0</v>
      </c>
      <c r="U341" s="10"/>
      <c r="V341" s="9">
        <v>0</v>
      </c>
      <c r="W341" s="10"/>
      <c r="X341" s="9">
        <v>0</v>
      </c>
      <c r="Y341" s="10"/>
      <c r="Z341" s="9">
        <v>0</v>
      </c>
      <c r="AA341" s="10"/>
      <c r="AB341" s="11">
        <v>0</v>
      </c>
      <c r="AC341" s="10"/>
      <c r="AD341" s="7">
        <f>SUM(F341+H341+J341+L341+N341+P341+R341+T341+V341+X341+Z341+AB341)</f>
        <v>630000</v>
      </c>
      <c r="AE341" s="7">
        <f>E341+AD341</f>
        <v>715000</v>
      </c>
      <c r="AF341" s="8">
        <f>G341+I341+K341+M341+O341+Q341+S341+U341+W341+Y341+AA341+AC341</f>
        <v>520000</v>
      </c>
      <c r="AG341" s="153">
        <f>SUM(AE341-AF341)</f>
        <v>195000</v>
      </c>
      <c r="AH341" s="99" t="s">
        <v>594</v>
      </c>
      <c r="AI341" s="99">
        <v>4</v>
      </c>
    </row>
    <row r="342" spans="1:42" customHeight="1" ht="11.5">
      <c r="A342" s="5">
        <v>334</v>
      </c>
      <c r="B342" s="166" t="s">
        <v>595</v>
      </c>
      <c r="C342" s="167" t="s">
        <v>36</v>
      </c>
      <c r="D342" s="88" t="s">
        <v>37</v>
      </c>
      <c r="E342" s="86">
        <v>0</v>
      </c>
      <c r="F342" s="9">
        <v>0</v>
      </c>
      <c r="G342" s="10"/>
      <c r="H342" s="9">
        <v>0</v>
      </c>
      <c r="I342" s="10"/>
      <c r="J342" s="152">
        <v>0</v>
      </c>
      <c r="K342" s="10"/>
      <c r="L342" s="152">
        <v>0</v>
      </c>
      <c r="M342" s="10"/>
      <c r="N342" s="152">
        <v>0</v>
      </c>
      <c r="O342" s="10"/>
      <c r="P342" s="152">
        <v>0</v>
      </c>
      <c r="Q342" s="10"/>
      <c r="R342" s="9">
        <v>0</v>
      </c>
      <c r="S342" s="10"/>
      <c r="T342" s="9">
        <v>0</v>
      </c>
      <c r="U342" s="10"/>
      <c r="V342" s="9">
        <v>0</v>
      </c>
      <c r="W342" s="10"/>
      <c r="X342" s="9">
        <v>0</v>
      </c>
      <c r="Y342" s="10"/>
      <c r="Z342" s="9">
        <v>0</v>
      </c>
      <c r="AA342" s="10"/>
      <c r="AB342" s="11">
        <v>0</v>
      </c>
      <c r="AC342" s="10"/>
      <c r="AD342" s="7">
        <f>SUM(F342+H342+J342+L342+N342+P342+R342+T342+V342+X342+Z342+AB342)</f>
        <v>0</v>
      </c>
      <c r="AE342" s="7">
        <f>E342+AD342</f>
        <v>0</v>
      </c>
      <c r="AF342" s="8">
        <f>G342+I342+K342+M342+O342+Q342+S342+U342+W342+Y342+AA342+AC342</f>
        <v>0</v>
      </c>
      <c r="AG342" s="153">
        <f>SUM(AE342-AF342)</f>
        <v>0</v>
      </c>
      <c r="AH342" s="99" t="s">
        <v>596</v>
      </c>
      <c r="AI342" s="99">
        <v>4</v>
      </c>
    </row>
    <row r="343" spans="1:42" customHeight="1" ht="11.5">
      <c r="A343" s="5">
        <v>335</v>
      </c>
      <c r="B343" s="166" t="s">
        <v>597</v>
      </c>
      <c r="C343" s="167" t="s">
        <v>36</v>
      </c>
      <c r="D343" s="88" t="s">
        <v>37</v>
      </c>
      <c r="E343" s="86">
        <v>30000</v>
      </c>
      <c r="F343" s="9">
        <v>40000</v>
      </c>
      <c r="G343" s="10">
        <v>30000</v>
      </c>
      <c r="H343" s="9">
        <v>70000</v>
      </c>
      <c r="I343" s="10">
        <v>40000</v>
      </c>
      <c r="J343" s="152">
        <v>49982</v>
      </c>
      <c r="K343" s="10">
        <v>70000</v>
      </c>
      <c r="L343" s="152">
        <v>40000</v>
      </c>
      <c r="M343" s="10">
        <v>49982</v>
      </c>
      <c r="N343" s="152">
        <v>60000</v>
      </c>
      <c r="O343" s="10">
        <v>40000</v>
      </c>
      <c r="P343" s="152">
        <v>20000</v>
      </c>
      <c r="Q343" s="10">
        <v>60000</v>
      </c>
      <c r="R343" s="9">
        <v>90000</v>
      </c>
      <c r="S343" s="10"/>
      <c r="T343" s="9">
        <v>0</v>
      </c>
      <c r="U343" s="10"/>
      <c r="V343" s="9">
        <v>0</v>
      </c>
      <c r="W343" s="10"/>
      <c r="X343" s="9">
        <v>0</v>
      </c>
      <c r="Y343" s="10"/>
      <c r="Z343" s="9">
        <v>0</v>
      </c>
      <c r="AA343" s="10"/>
      <c r="AB343" s="11">
        <v>0</v>
      </c>
      <c r="AC343" s="10"/>
      <c r="AD343" s="7">
        <f>SUM(F343+H343+J343+L343+N343+P343+R343+T343+V343+X343+Z343+AB343)</f>
        <v>369982</v>
      </c>
      <c r="AE343" s="7">
        <f>E343+AD343</f>
        <v>399982</v>
      </c>
      <c r="AF343" s="8">
        <f>G343+I343+K343+M343+O343+Q343+S343+U343+W343+Y343+AA343+AC343</f>
        <v>289982</v>
      </c>
      <c r="AG343" s="153">
        <f>SUM(AE343-AF343)</f>
        <v>110000</v>
      </c>
      <c r="AH343" s="99" t="s">
        <v>598</v>
      </c>
      <c r="AI343" s="99">
        <v>4</v>
      </c>
    </row>
    <row r="344" spans="1:42" customHeight="1" ht="11.5">
      <c r="A344" s="5">
        <v>336</v>
      </c>
      <c r="B344" s="166" t="s">
        <v>599</v>
      </c>
      <c r="C344" s="167" t="s">
        <v>36</v>
      </c>
      <c r="D344" s="88" t="s">
        <v>37</v>
      </c>
      <c r="E344" s="86">
        <v>315000</v>
      </c>
      <c r="F344" s="9">
        <v>270000</v>
      </c>
      <c r="G344" s="10">
        <v>315000</v>
      </c>
      <c r="H344" s="9">
        <v>370000</v>
      </c>
      <c r="I344" s="10">
        <v>270000</v>
      </c>
      <c r="J344" s="152">
        <v>335000</v>
      </c>
      <c r="K344" s="10">
        <v>370000</v>
      </c>
      <c r="L344" s="152">
        <v>330000</v>
      </c>
      <c r="M344" s="10">
        <v>335000</v>
      </c>
      <c r="N344" s="152">
        <v>350000</v>
      </c>
      <c r="O344" s="10">
        <v>330000</v>
      </c>
      <c r="P344" s="152">
        <v>305000</v>
      </c>
      <c r="Q344" s="10">
        <v>350000</v>
      </c>
      <c r="R344" s="9">
        <v>535000</v>
      </c>
      <c r="S344" s="10"/>
      <c r="T344" s="9">
        <v>0</v>
      </c>
      <c r="U344" s="10"/>
      <c r="V344" s="9">
        <v>0</v>
      </c>
      <c r="W344" s="10"/>
      <c r="X344" s="9">
        <v>0</v>
      </c>
      <c r="Y344" s="10"/>
      <c r="Z344" s="9">
        <v>0</v>
      </c>
      <c r="AA344" s="10"/>
      <c r="AB344" s="11">
        <v>0</v>
      </c>
      <c r="AC344" s="10"/>
      <c r="AD344" s="7">
        <f>SUM(F344+H344+J344+L344+N344+P344+R344+T344+V344+X344+Z344+AB344)</f>
        <v>2495000</v>
      </c>
      <c r="AE344" s="7">
        <f>E344+AD344</f>
        <v>2810000</v>
      </c>
      <c r="AF344" s="8">
        <f>G344+I344+K344+M344+O344+Q344+S344+U344+W344+Y344+AA344+AC344</f>
        <v>1970000</v>
      </c>
      <c r="AG344" s="153">
        <f>SUM(AE344-AF344)</f>
        <v>840000</v>
      </c>
      <c r="AH344" s="99" t="s">
        <v>600</v>
      </c>
      <c r="AI344" s="99">
        <v>4</v>
      </c>
    </row>
    <row r="345" spans="1:42" customHeight="1" ht="11.5">
      <c r="A345" s="5">
        <v>337</v>
      </c>
      <c r="B345" s="166" t="s">
        <v>601</v>
      </c>
      <c r="C345" s="167" t="s">
        <v>36</v>
      </c>
      <c r="D345" s="88" t="s">
        <v>37</v>
      </c>
      <c r="E345" s="86">
        <v>40000</v>
      </c>
      <c r="F345" s="9">
        <v>50000</v>
      </c>
      <c r="G345" s="10">
        <v>40000</v>
      </c>
      <c r="H345" s="9">
        <v>50000</v>
      </c>
      <c r="I345" s="10">
        <v>50000</v>
      </c>
      <c r="J345" s="152">
        <v>40000</v>
      </c>
      <c r="K345" s="10">
        <v>50000</v>
      </c>
      <c r="L345" s="152">
        <v>40000</v>
      </c>
      <c r="M345" s="10">
        <v>40000</v>
      </c>
      <c r="N345" s="152">
        <v>50000</v>
      </c>
      <c r="O345" s="10">
        <v>40000</v>
      </c>
      <c r="P345" s="152">
        <v>30000</v>
      </c>
      <c r="Q345" s="10">
        <v>50000</v>
      </c>
      <c r="R345" s="9">
        <v>50000</v>
      </c>
      <c r="S345" s="10"/>
      <c r="T345" s="9">
        <v>0</v>
      </c>
      <c r="U345" s="10"/>
      <c r="V345" s="9">
        <v>0</v>
      </c>
      <c r="W345" s="10"/>
      <c r="X345" s="9">
        <v>0</v>
      </c>
      <c r="Y345" s="10"/>
      <c r="Z345" s="9">
        <v>0</v>
      </c>
      <c r="AA345" s="10"/>
      <c r="AB345" s="11">
        <v>0</v>
      </c>
      <c r="AC345" s="10"/>
      <c r="AD345" s="7">
        <f>SUM(F345+H345+J345+L345+N345+P345+R345+T345+V345+X345+Z345+AB345)</f>
        <v>310000</v>
      </c>
      <c r="AE345" s="7">
        <f>E345+AD345</f>
        <v>350000</v>
      </c>
      <c r="AF345" s="8">
        <f>G345+I345+K345+M345+O345+Q345+S345+U345+W345+Y345+AA345+AC345</f>
        <v>270000</v>
      </c>
      <c r="AG345" s="153">
        <f>SUM(AE345-AF345)</f>
        <v>80000</v>
      </c>
      <c r="AH345" s="99" t="s">
        <v>602</v>
      </c>
      <c r="AI345" s="99">
        <v>4</v>
      </c>
    </row>
    <row r="346" spans="1:42" customHeight="1" ht="11.5">
      <c r="A346" s="5">
        <v>338</v>
      </c>
      <c r="B346" s="166" t="s">
        <v>603</v>
      </c>
      <c r="C346" s="167" t="s">
        <v>36</v>
      </c>
      <c r="D346" s="88" t="s">
        <v>37</v>
      </c>
      <c r="E346" s="86">
        <v>50000</v>
      </c>
      <c r="F346" s="9">
        <v>60000</v>
      </c>
      <c r="G346" s="10">
        <v>50000</v>
      </c>
      <c r="H346" s="9">
        <v>70000</v>
      </c>
      <c r="I346" s="10">
        <v>60000</v>
      </c>
      <c r="J346" s="152">
        <v>30000</v>
      </c>
      <c r="K346" s="10">
        <v>70000</v>
      </c>
      <c r="L346" s="152">
        <v>40000</v>
      </c>
      <c r="M346" s="10">
        <v>30000</v>
      </c>
      <c r="N346" s="152">
        <v>60000</v>
      </c>
      <c r="O346" s="10">
        <v>40000</v>
      </c>
      <c r="P346" s="152">
        <v>30000</v>
      </c>
      <c r="Q346" s="10">
        <v>60000</v>
      </c>
      <c r="R346" s="9">
        <v>80000</v>
      </c>
      <c r="S346" s="10"/>
      <c r="T346" s="9">
        <v>0</v>
      </c>
      <c r="U346" s="10"/>
      <c r="V346" s="9">
        <v>0</v>
      </c>
      <c r="W346" s="10"/>
      <c r="X346" s="9">
        <v>0</v>
      </c>
      <c r="Y346" s="10"/>
      <c r="Z346" s="9">
        <v>0</v>
      </c>
      <c r="AA346" s="10"/>
      <c r="AB346" s="11">
        <v>0</v>
      </c>
      <c r="AC346" s="10"/>
      <c r="AD346" s="7">
        <f>SUM(F346+H346+J346+L346+N346+P346+R346+T346+V346+X346+Z346+AB346)</f>
        <v>370000</v>
      </c>
      <c r="AE346" s="7">
        <f>E346+AD346</f>
        <v>420000</v>
      </c>
      <c r="AF346" s="8">
        <f>G346+I346+K346+M346+O346+Q346+S346+U346+W346+Y346+AA346+AC346</f>
        <v>310000</v>
      </c>
      <c r="AG346" s="153">
        <f>SUM(AE346-AF346)</f>
        <v>110000</v>
      </c>
      <c r="AH346" s="99" t="s">
        <v>604</v>
      </c>
      <c r="AI346" s="99">
        <v>4</v>
      </c>
    </row>
    <row r="347" spans="1:42" customHeight="1" ht="11.5">
      <c r="A347" s="5">
        <v>339</v>
      </c>
      <c r="B347" s="166" t="s">
        <v>605</v>
      </c>
      <c r="C347" s="167" t="s">
        <v>36</v>
      </c>
      <c r="D347" s="88" t="s">
        <v>37</v>
      </c>
      <c r="E347" s="86">
        <v>5000</v>
      </c>
      <c r="F347" s="9">
        <v>0</v>
      </c>
      <c r="G347" s="10">
        <v>5000</v>
      </c>
      <c r="H347" s="9">
        <v>0</v>
      </c>
      <c r="I347" s="10"/>
      <c r="J347" s="152">
        <v>0</v>
      </c>
      <c r="K347" s="10"/>
      <c r="L347" s="152">
        <v>0</v>
      </c>
      <c r="M347" s="10"/>
      <c r="N347" s="152">
        <v>0</v>
      </c>
      <c r="O347" s="10"/>
      <c r="P347" s="152">
        <v>5000</v>
      </c>
      <c r="Q347" s="10"/>
      <c r="R347" s="9">
        <v>0</v>
      </c>
      <c r="S347" s="10"/>
      <c r="T347" s="9">
        <v>0</v>
      </c>
      <c r="U347" s="10"/>
      <c r="V347" s="9">
        <v>0</v>
      </c>
      <c r="W347" s="10"/>
      <c r="X347" s="9">
        <v>0</v>
      </c>
      <c r="Y347" s="10"/>
      <c r="Z347" s="9">
        <v>0</v>
      </c>
      <c r="AA347" s="10"/>
      <c r="AB347" s="11">
        <v>0</v>
      </c>
      <c r="AC347" s="10"/>
      <c r="AD347" s="7">
        <f>SUM(F347+H347+J347+L347+N347+P347+R347+T347+V347+X347+Z347+AB347)</f>
        <v>5000</v>
      </c>
      <c r="AE347" s="7">
        <f>E347+AD347</f>
        <v>10000</v>
      </c>
      <c r="AF347" s="8">
        <f>G347+I347+K347+M347+O347+Q347+S347+U347+W347+Y347+AA347+AC347</f>
        <v>5000</v>
      </c>
      <c r="AG347" s="153">
        <f>SUM(AE347-AF347)</f>
        <v>5000</v>
      </c>
      <c r="AH347" s="99" t="s">
        <v>606</v>
      </c>
      <c r="AI347" s="99">
        <v>4</v>
      </c>
    </row>
    <row r="348" spans="1:42" customHeight="1" ht="11.5">
      <c r="A348" s="5">
        <v>340</v>
      </c>
      <c r="B348" s="166" t="s">
        <v>607</v>
      </c>
      <c r="C348" s="167" t="s">
        <v>36</v>
      </c>
      <c r="D348" s="88" t="s">
        <v>37</v>
      </c>
      <c r="E348" s="86">
        <v>5000</v>
      </c>
      <c r="F348" s="9">
        <v>0</v>
      </c>
      <c r="G348" s="10">
        <v>5000</v>
      </c>
      <c r="H348" s="9">
        <v>0</v>
      </c>
      <c r="I348" s="10"/>
      <c r="J348" s="152">
        <v>0</v>
      </c>
      <c r="K348" s="10"/>
      <c r="L348" s="152">
        <v>0</v>
      </c>
      <c r="M348" s="10"/>
      <c r="N348" s="152">
        <v>0</v>
      </c>
      <c r="O348" s="10"/>
      <c r="P348" s="152">
        <v>5000</v>
      </c>
      <c r="Q348" s="10"/>
      <c r="R348" s="9">
        <v>0</v>
      </c>
      <c r="S348" s="10"/>
      <c r="T348" s="9">
        <v>0</v>
      </c>
      <c r="U348" s="10"/>
      <c r="V348" s="9">
        <v>0</v>
      </c>
      <c r="W348" s="10"/>
      <c r="X348" s="9">
        <v>0</v>
      </c>
      <c r="Y348" s="10"/>
      <c r="Z348" s="9">
        <v>0</v>
      </c>
      <c r="AA348" s="10"/>
      <c r="AB348" s="11">
        <v>0</v>
      </c>
      <c r="AC348" s="10"/>
      <c r="AD348" s="7">
        <f>SUM(F348+H348+J348+L348+N348+P348+R348+T348+V348+X348+Z348+AB348)</f>
        <v>5000</v>
      </c>
      <c r="AE348" s="7">
        <f>E348+AD348</f>
        <v>10000</v>
      </c>
      <c r="AF348" s="8">
        <f>G348+I348+K348+M348+O348+Q348+S348+U348+W348+Y348+AA348+AC348</f>
        <v>5000</v>
      </c>
      <c r="AG348" s="153">
        <f>SUM(AE348-AF348)</f>
        <v>5000</v>
      </c>
      <c r="AH348" s="99" t="s">
        <v>608</v>
      </c>
      <c r="AI348" s="99">
        <v>4</v>
      </c>
    </row>
    <row r="349" spans="1:42" customHeight="1" ht="11.5">
      <c r="A349" s="5">
        <v>341</v>
      </c>
      <c r="B349" s="166" t="s">
        <v>609</v>
      </c>
      <c r="C349" s="167" t="s">
        <v>36</v>
      </c>
      <c r="D349" s="88" t="s">
        <v>37</v>
      </c>
      <c r="E349" s="86">
        <v>5000</v>
      </c>
      <c r="F349" s="9">
        <v>5000</v>
      </c>
      <c r="G349" s="10">
        <v>5000</v>
      </c>
      <c r="H349" s="9">
        <v>5000</v>
      </c>
      <c r="I349" s="10">
        <v>5000</v>
      </c>
      <c r="J349" s="152">
        <v>5000</v>
      </c>
      <c r="K349" s="10">
        <v>5000</v>
      </c>
      <c r="L349" s="152">
        <v>5000</v>
      </c>
      <c r="M349" s="10">
        <v>5000</v>
      </c>
      <c r="N349" s="152">
        <v>5000</v>
      </c>
      <c r="O349" s="10">
        <v>5000</v>
      </c>
      <c r="P349" s="152">
        <v>5000</v>
      </c>
      <c r="Q349" s="10">
        <v>5000</v>
      </c>
      <c r="R349" s="9">
        <v>15000</v>
      </c>
      <c r="S349" s="10"/>
      <c r="T349" s="9">
        <v>0</v>
      </c>
      <c r="U349" s="10"/>
      <c r="V349" s="9">
        <v>0</v>
      </c>
      <c r="W349" s="10"/>
      <c r="X349" s="9">
        <v>0</v>
      </c>
      <c r="Y349" s="10"/>
      <c r="Z349" s="9">
        <v>0</v>
      </c>
      <c r="AA349" s="10"/>
      <c r="AB349" s="11">
        <v>0</v>
      </c>
      <c r="AC349" s="10"/>
      <c r="AD349" s="7">
        <f>SUM(F349+H349+J349+L349+N349+P349+R349+T349+V349+X349+Z349+AB349)</f>
        <v>45000</v>
      </c>
      <c r="AE349" s="7">
        <f>E349+AD349</f>
        <v>50000</v>
      </c>
      <c r="AF349" s="8">
        <f>G349+I349+K349+M349+O349+Q349+S349+U349+W349+Y349+AA349+AC349</f>
        <v>30000</v>
      </c>
      <c r="AG349" s="153">
        <f>SUM(AE349-AF349)</f>
        <v>20000</v>
      </c>
      <c r="AH349" s="99" t="s">
        <v>610</v>
      </c>
      <c r="AI349" s="99">
        <v>4</v>
      </c>
    </row>
    <row r="350" spans="1:42" customHeight="1" ht="11.5">
      <c r="A350" s="5">
        <v>342</v>
      </c>
      <c r="B350" s="166" t="s">
        <v>611</v>
      </c>
      <c r="C350" s="167" t="s">
        <v>132</v>
      </c>
      <c r="D350" s="88" t="s">
        <v>133</v>
      </c>
      <c r="E350" s="86">
        <v>18000</v>
      </c>
      <c r="F350" s="9">
        <v>9000</v>
      </c>
      <c r="G350" s="10"/>
      <c r="H350" s="9">
        <v>12000</v>
      </c>
      <c r="I350" s="10">
        <v>27000</v>
      </c>
      <c r="J350" s="152">
        <v>12000</v>
      </c>
      <c r="K350" s="10">
        <v>12000</v>
      </c>
      <c r="L350" s="152">
        <v>12000</v>
      </c>
      <c r="M350" s="10">
        <v>12000</v>
      </c>
      <c r="N350" s="152">
        <v>9000</v>
      </c>
      <c r="O350" s="10">
        <v>12000</v>
      </c>
      <c r="P350" s="152">
        <v>12000</v>
      </c>
      <c r="Q350" s="10"/>
      <c r="R350" s="9">
        <v>12000</v>
      </c>
      <c r="S350" s="10"/>
      <c r="T350" s="9">
        <v>0</v>
      </c>
      <c r="U350" s="10"/>
      <c r="V350" s="9">
        <v>0</v>
      </c>
      <c r="W350" s="10"/>
      <c r="X350" s="9">
        <v>0</v>
      </c>
      <c r="Y350" s="10"/>
      <c r="Z350" s="9">
        <v>0</v>
      </c>
      <c r="AA350" s="10"/>
      <c r="AB350" s="11">
        <v>0</v>
      </c>
      <c r="AC350" s="10"/>
      <c r="AD350" s="7">
        <f>SUM(F350+H350+J350+L350+N350+P350+R350+T350+V350+X350+Z350+AB350)</f>
        <v>78000</v>
      </c>
      <c r="AE350" s="7">
        <f>E350+AD350</f>
        <v>96000</v>
      </c>
      <c r="AF350" s="8">
        <f>G350+I350+K350+M350+O350+Q350+S350+U350+W350+Y350+AA350+AC350</f>
        <v>63000</v>
      </c>
      <c r="AG350" s="153">
        <f>SUM(AE350-AF350)</f>
        <v>33000</v>
      </c>
      <c r="AH350" s="99" t="s">
        <v>612</v>
      </c>
      <c r="AI350" s="99">
        <v>4</v>
      </c>
    </row>
    <row r="351" spans="1:42" customHeight="1" ht="11.5">
      <c r="A351" s="5">
        <v>343</v>
      </c>
      <c r="B351" s="166" t="s">
        <v>613</v>
      </c>
      <c r="C351" s="167" t="s">
        <v>132</v>
      </c>
      <c r="D351" s="88" t="s">
        <v>133</v>
      </c>
      <c r="E351" s="86">
        <v>10000</v>
      </c>
      <c r="F351" s="9">
        <v>5000</v>
      </c>
      <c r="G351" s="10"/>
      <c r="H351" s="9">
        <v>5000</v>
      </c>
      <c r="I351" s="10">
        <v>15000</v>
      </c>
      <c r="J351" s="152">
        <v>5000</v>
      </c>
      <c r="K351" s="10">
        <v>5000</v>
      </c>
      <c r="L351" s="152">
        <v>5000</v>
      </c>
      <c r="M351" s="10">
        <v>5000</v>
      </c>
      <c r="N351" s="152">
        <v>5000</v>
      </c>
      <c r="O351" s="10">
        <v>5000</v>
      </c>
      <c r="P351" s="152">
        <v>5000</v>
      </c>
      <c r="Q351" s="10"/>
      <c r="R351" s="9">
        <v>5000</v>
      </c>
      <c r="S351" s="10"/>
      <c r="T351" s="9">
        <v>0</v>
      </c>
      <c r="U351" s="10"/>
      <c r="V351" s="9">
        <v>0</v>
      </c>
      <c r="W351" s="10"/>
      <c r="X351" s="9">
        <v>0</v>
      </c>
      <c r="Y351" s="10"/>
      <c r="Z351" s="9">
        <v>0</v>
      </c>
      <c r="AA351" s="10"/>
      <c r="AB351" s="11">
        <v>0</v>
      </c>
      <c r="AC351" s="10"/>
      <c r="AD351" s="7">
        <f>SUM(F351+H351+J351+L351+N351+P351+R351+T351+V351+X351+Z351+AB351)</f>
        <v>35000</v>
      </c>
      <c r="AE351" s="7">
        <f>E351+AD351</f>
        <v>45000</v>
      </c>
      <c r="AF351" s="8">
        <f>G351+I351+K351+M351+O351+Q351+S351+U351+W351+Y351+AA351+AC351</f>
        <v>30000</v>
      </c>
      <c r="AG351" s="153">
        <f>SUM(AE351-AF351)</f>
        <v>15000</v>
      </c>
      <c r="AH351" s="99" t="s">
        <v>614</v>
      </c>
      <c r="AI351" s="99">
        <v>4</v>
      </c>
    </row>
    <row r="352" spans="1:42" customHeight="1" ht="11.5">
      <c r="A352" s="5">
        <v>344</v>
      </c>
      <c r="B352" s="166" t="s">
        <v>615</v>
      </c>
      <c r="C352" s="167" t="s">
        <v>36</v>
      </c>
      <c r="D352" s="88" t="s">
        <v>37</v>
      </c>
      <c r="E352" s="86">
        <v>20000</v>
      </c>
      <c r="F352" s="9">
        <v>30000</v>
      </c>
      <c r="G352" s="10">
        <v>20000</v>
      </c>
      <c r="H352" s="9">
        <v>30000</v>
      </c>
      <c r="I352" s="10">
        <v>30000</v>
      </c>
      <c r="J352" s="152">
        <v>30000</v>
      </c>
      <c r="K352" s="10">
        <v>30000</v>
      </c>
      <c r="L352" s="152">
        <v>40000</v>
      </c>
      <c r="M352" s="10">
        <v>30000</v>
      </c>
      <c r="N352" s="152">
        <v>30000</v>
      </c>
      <c r="O352" s="10">
        <v>40000</v>
      </c>
      <c r="P352" s="152">
        <v>30000</v>
      </c>
      <c r="Q352" s="10">
        <v>30000</v>
      </c>
      <c r="R352" s="9">
        <v>30000</v>
      </c>
      <c r="S352" s="10"/>
      <c r="T352" s="9">
        <v>0</v>
      </c>
      <c r="U352" s="10"/>
      <c r="V352" s="9">
        <v>0</v>
      </c>
      <c r="W352" s="10"/>
      <c r="X352" s="9">
        <v>0</v>
      </c>
      <c r="Y352" s="10"/>
      <c r="Z352" s="9">
        <v>0</v>
      </c>
      <c r="AA352" s="10"/>
      <c r="AB352" s="11">
        <v>0</v>
      </c>
      <c r="AC352" s="10"/>
      <c r="AD352" s="7">
        <f>SUM(F352+H352+J352+L352+N352+P352+R352+T352+V352+X352+Z352+AB352)</f>
        <v>220000</v>
      </c>
      <c r="AE352" s="7">
        <f>E352+AD352</f>
        <v>240000</v>
      </c>
      <c r="AF352" s="8">
        <f>G352+I352+K352+M352+O352+Q352+S352+U352+W352+Y352+AA352+AC352</f>
        <v>180000</v>
      </c>
      <c r="AG352" s="153">
        <f>SUM(AE352-AF352)</f>
        <v>60000</v>
      </c>
      <c r="AH352" s="99" t="s">
        <v>616</v>
      </c>
      <c r="AI352" s="99">
        <v>4</v>
      </c>
    </row>
    <row r="353" spans="1:42" customHeight="1" ht="11.5">
      <c r="A353" s="5">
        <v>345</v>
      </c>
      <c r="B353" s="166" t="s">
        <v>617</v>
      </c>
      <c r="C353" s="167" t="s">
        <v>36</v>
      </c>
      <c r="D353" s="88" t="s">
        <v>37</v>
      </c>
      <c r="E353" s="86">
        <v>30000</v>
      </c>
      <c r="F353" s="9">
        <v>40000</v>
      </c>
      <c r="G353" s="10">
        <v>30000</v>
      </c>
      <c r="H353" s="9">
        <v>40000</v>
      </c>
      <c r="I353" s="10">
        <v>40000</v>
      </c>
      <c r="J353" s="152">
        <v>40000</v>
      </c>
      <c r="K353" s="10">
        <v>40000</v>
      </c>
      <c r="L353" s="152">
        <v>20000</v>
      </c>
      <c r="M353" s="10">
        <v>40000</v>
      </c>
      <c r="N353" s="152">
        <v>50000</v>
      </c>
      <c r="O353" s="10">
        <v>20000</v>
      </c>
      <c r="P353" s="152">
        <v>30000</v>
      </c>
      <c r="Q353" s="10">
        <v>50000</v>
      </c>
      <c r="R353" s="9">
        <v>50000</v>
      </c>
      <c r="S353" s="10"/>
      <c r="T353" s="9">
        <v>0</v>
      </c>
      <c r="U353" s="10"/>
      <c r="V353" s="9">
        <v>0</v>
      </c>
      <c r="W353" s="10"/>
      <c r="X353" s="9">
        <v>0</v>
      </c>
      <c r="Y353" s="10"/>
      <c r="Z353" s="9">
        <v>0</v>
      </c>
      <c r="AA353" s="10"/>
      <c r="AB353" s="11">
        <v>0</v>
      </c>
      <c r="AC353" s="10"/>
      <c r="AD353" s="7">
        <f>SUM(F353+H353+J353+L353+N353+P353+R353+T353+V353+X353+Z353+AB353)</f>
        <v>270000</v>
      </c>
      <c r="AE353" s="7">
        <f>E353+AD353</f>
        <v>300000</v>
      </c>
      <c r="AF353" s="8">
        <f>G353+I353+K353+M353+O353+Q353+S353+U353+W353+Y353+AA353+AC353</f>
        <v>220000</v>
      </c>
      <c r="AG353" s="153">
        <f>SUM(AE353-AF353)</f>
        <v>80000</v>
      </c>
      <c r="AH353" s="99" t="s">
        <v>618</v>
      </c>
      <c r="AI353" s="99">
        <v>4</v>
      </c>
    </row>
    <row r="354" spans="1:42" customHeight="1" ht="11.5">
      <c r="A354" s="5">
        <v>346</v>
      </c>
      <c r="B354" s="166" t="s">
        <v>619</v>
      </c>
      <c r="C354" s="167" t="s">
        <v>36</v>
      </c>
      <c r="D354" s="88" t="s">
        <v>37</v>
      </c>
      <c r="E354" s="86">
        <v>0</v>
      </c>
      <c r="F354" s="9">
        <v>0</v>
      </c>
      <c r="G354" s="10"/>
      <c r="H354" s="9">
        <v>0</v>
      </c>
      <c r="I354" s="10"/>
      <c r="J354" s="152">
        <v>0</v>
      </c>
      <c r="K354" s="10"/>
      <c r="L354" s="152">
        <v>5000</v>
      </c>
      <c r="M354" s="10"/>
      <c r="N354" s="152">
        <v>0</v>
      </c>
      <c r="O354" s="10">
        <v>5000</v>
      </c>
      <c r="P354" s="152">
        <v>0</v>
      </c>
      <c r="Q354" s="10"/>
      <c r="R354" s="9">
        <v>0</v>
      </c>
      <c r="S354" s="10"/>
      <c r="T354" s="9">
        <v>0</v>
      </c>
      <c r="U354" s="10"/>
      <c r="V354" s="9">
        <v>0</v>
      </c>
      <c r="W354" s="10"/>
      <c r="X354" s="9">
        <v>0</v>
      </c>
      <c r="Y354" s="10"/>
      <c r="Z354" s="9">
        <v>0</v>
      </c>
      <c r="AA354" s="10"/>
      <c r="AB354" s="11">
        <v>0</v>
      </c>
      <c r="AC354" s="10"/>
      <c r="AD354" s="7">
        <f>SUM(F354+H354+J354+L354+N354+P354+R354+T354+V354+X354+Z354+AB354)</f>
        <v>5000</v>
      </c>
      <c r="AE354" s="7">
        <f>E354+AD354</f>
        <v>5000</v>
      </c>
      <c r="AF354" s="8">
        <f>G354+I354+K354+M354+O354+Q354+S354+U354+W354+Y354+AA354+AC354</f>
        <v>5000</v>
      </c>
      <c r="AG354" s="153">
        <f>SUM(AE354-AF354)</f>
        <v>0</v>
      </c>
      <c r="AH354" s="99" t="s">
        <v>620</v>
      </c>
      <c r="AI354" s="99">
        <v>4</v>
      </c>
    </row>
    <row r="355" spans="1:42" customHeight="1" ht="11.5">
      <c r="A355" s="5">
        <v>347</v>
      </c>
      <c r="B355" s="166" t="s">
        <v>621</v>
      </c>
      <c r="C355" s="167" t="s">
        <v>36</v>
      </c>
      <c r="D355" s="88" t="s">
        <v>37</v>
      </c>
      <c r="E355" s="86">
        <v>0</v>
      </c>
      <c r="F355" s="9">
        <v>0</v>
      </c>
      <c r="G355" s="10"/>
      <c r="H355" s="9">
        <v>0</v>
      </c>
      <c r="I355" s="10"/>
      <c r="J355" s="152">
        <v>5000</v>
      </c>
      <c r="K355" s="10"/>
      <c r="L355" s="152">
        <v>0</v>
      </c>
      <c r="M355" s="10">
        <v>5000</v>
      </c>
      <c r="N355" s="152">
        <v>0</v>
      </c>
      <c r="O355" s="10"/>
      <c r="P355" s="152">
        <v>5000</v>
      </c>
      <c r="Q355" s="10"/>
      <c r="R355" s="9">
        <v>0</v>
      </c>
      <c r="S355" s="10"/>
      <c r="T355" s="9">
        <v>0</v>
      </c>
      <c r="U355" s="10"/>
      <c r="V355" s="9">
        <v>0</v>
      </c>
      <c r="W355" s="10"/>
      <c r="X355" s="9">
        <v>0</v>
      </c>
      <c r="Y355" s="10"/>
      <c r="Z355" s="9">
        <v>0</v>
      </c>
      <c r="AA355" s="10"/>
      <c r="AB355" s="11">
        <v>0</v>
      </c>
      <c r="AC355" s="10"/>
      <c r="AD355" s="7">
        <f>SUM(F355+H355+J355+L355+N355+P355+R355+T355+V355+X355+Z355+AB355)</f>
        <v>10000</v>
      </c>
      <c r="AE355" s="7">
        <f>E355+AD355</f>
        <v>10000</v>
      </c>
      <c r="AF355" s="8">
        <f>G355+I355+K355+M355+O355+Q355+S355+U355+W355+Y355+AA355+AC355</f>
        <v>5000</v>
      </c>
      <c r="AG355" s="153">
        <f>SUM(AE355-AF355)</f>
        <v>5000</v>
      </c>
      <c r="AH355" s="99" t="s">
        <v>622</v>
      </c>
      <c r="AI355" s="99">
        <v>4</v>
      </c>
    </row>
    <row r="356" spans="1:42" customHeight="1" ht="11.5">
      <c r="A356" s="5">
        <v>348</v>
      </c>
      <c r="B356" s="166" t="s">
        <v>623</v>
      </c>
      <c r="C356" s="167" t="s">
        <v>36</v>
      </c>
      <c r="D356" s="88" t="s">
        <v>37</v>
      </c>
      <c r="E356" s="86">
        <v>0</v>
      </c>
      <c r="F356" s="9">
        <v>0</v>
      </c>
      <c r="G356" s="10"/>
      <c r="H356" s="9">
        <v>0</v>
      </c>
      <c r="I356" s="10"/>
      <c r="J356" s="152">
        <v>0</v>
      </c>
      <c r="K356" s="10"/>
      <c r="L356" s="152">
        <v>0</v>
      </c>
      <c r="M356" s="10"/>
      <c r="N356" s="152">
        <v>5000</v>
      </c>
      <c r="O356" s="10"/>
      <c r="P356" s="152">
        <v>0</v>
      </c>
      <c r="Q356" s="10">
        <v>5000</v>
      </c>
      <c r="R356" s="9">
        <v>0</v>
      </c>
      <c r="S356" s="10"/>
      <c r="T356" s="9">
        <v>0</v>
      </c>
      <c r="U356" s="10"/>
      <c r="V356" s="9">
        <v>0</v>
      </c>
      <c r="W356" s="10"/>
      <c r="X356" s="9">
        <v>0</v>
      </c>
      <c r="Y356" s="10"/>
      <c r="Z356" s="9">
        <v>0</v>
      </c>
      <c r="AA356" s="10"/>
      <c r="AB356" s="11">
        <v>0</v>
      </c>
      <c r="AC356" s="10"/>
      <c r="AD356" s="7">
        <f>SUM(F356+H356+J356+L356+N356+P356+R356+T356+V356+X356+Z356+AB356)</f>
        <v>5000</v>
      </c>
      <c r="AE356" s="7">
        <f>E356+AD356</f>
        <v>5000</v>
      </c>
      <c r="AF356" s="8">
        <f>G356+I356+K356+M356+O356+Q356+S356+U356+W356+Y356+AA356+AC356</f>
        <v>5000</v>
      </c>
      <c r="AG356" s="153">
        <f>SUM(AE356-AF356)</f>
        <v>0</v>
      </c>
      <c r="AH356" s="99" t="s">
        <v>624</v>
      </c>
      <c r="AI356" s="99">
        <v>4</v>
      </c>
    </row>
    <row r="357" spans="1:42" customHeight="1" ht="11.5">
      <c r="A357" s="5">
        <v>349</v>
      </c>
      <c r="B357" s="166" t="s">
        <v>625</v>
      </c>
      <c r="C357" s="167" t="s">
        <v>36</v>
      </c>
      <c r="D357" s="88" t="s">
        <v>37</v>
      </c>
      <c r="E357" s="86">
        <v>10000</v>
      </c>
      <c r="F357" s="9">
        <v>10000</v>
      </c>
      <c r="G357" s="10">
        <v>10000</v>
      </c>
      <c r="H357" s="9">
        <v>10000</v>
      </c>
      <c r="I357" s="10">
        <v>10000</v>
      </c>
      <c r="J357" s="152">
        <v>10000</v>
      </c>
      <c r="K357" s="10">
        <v>10000</v>
      </c>
      <c r="L357" s="152">
        <v>10000</v>
      </c>
      <c r="M357" s="10">
        <v>10000</v>
      </c>
      <c r="N357" s="152">
        <v>5000</v>
      </c>
      <c r="O357" s="10">
        <v>10000</v>
      </c>
      <c r="P357" s="152">
        <v>15000</v>
      </c>
      <c r="Q357" s="10">
        <v>5000</v>
      </c>
      <c r="R357" s="9">
        <v>0</v>
      </c>
      <c r="S357" s="10"/>
      <c r="T357" s="9">
        <v>0</v>
      </c>
      <c r="U357" s="10"/>
      <c r="V357" s="9">
        <v>0</v>
      </c>
      <c r="W357" s="10"/>
      <c r="X357" s="9">
        <v>0</v>
      </c>
      <c r="Y357" s="10"/>
      <c r="Z357" s="9">
        <v>0</v>
      </c>
      <c r="AA357" s="10"/>
      <c r="AB357" s="11">
        <v>0</v>
      </c>
      <c r="AC357" s="10"/>
      <c r="AD357" s="7">
        <f>SUM(F357+H357+J357+L357+N357+P357+R357+T357+V357+X357+Z357+AB357)</f>
        <v>60000</v>
      </c>
      <c r="AE357" s="7">
        <f>E357+AD357</f>
        <v>70000</v>
      </c>
      <c r="AF357" s="8">
        <f>G357+I357+K357+M357+O357+Q357+S357+U357+W357+Y357+AA357+AC357</f>
        <v>55000</v>
      </c>
      <c r="AG357" s="153">
        <f>SUM(AE357-AF357)</f>
        <v>15000</v>
      </c>
      <c r="AH357" s="99" t="s">
        <v>626</v>
      </c>
      <c r="AI357" s="99">
        <v>4</v>
      </c>
    </row>
    <row r="358" spans="1:42" customHeight="1" ht="11.5">
      <c r="A358" s="5">
        <v>350</v>
      </c>
      <c r="B358" s="166" t="s">
        <v>627</v>
      </c>
      <c r="C358" s="167" t="s">
        <v>36</v>
      </c>
      <c r="D358" s="88" t="s">
        <v>37</v>
      </c>
      <c r="E358" s="86">
        <v>15000</v>
      </c>
      <c r="F358" s="9">
        <v>30000</v>
      </c>
      <c r="G358" s="10">
        <v>15000</v>
      </c>
      <c r="H358" s="9">
        <v>30000</v>
      </c>
      <c r="I358" s="10">
        <v>30000</v>
      </c>
      <c r="J358" s="152">
        <v>45000</v>
      </c>
      <c r="K358" s="10">
        <v>30000</v>
      </c>
      <c r="L358" s="152">
        <v>10000</v>
      </c>
      <c r="M358" s="10">
        <v>45000</v>
      </c>
      <c r="N358" s="152">
        <v>35000</v>
      </c>
      <c r="O358" s="10">
        <v>10000</v>
      </c>
      <c r="P358" s="152">
        <v>30000</v>
      </c>
      <c r="Q358" s="10">
        <v>35000</v>
      </c>
      <c r="R358" s="9">
        <v>15000</v>
      </c>
      <c r="S358" s="10"/>
      <c r="T358" s="9">
        <v>0</v>
      </c>
      <c r="U358" s="10"/>
      <c r="V358" s="9">
        <v>0</v>
      </c>
      <c r="W358" s="10"/>
      <c r="X358" s="9">
        <v>0</v>
      </c>
      <c r="Y358" s="10"/>
      <c r="Z358" s="9">
        <v>0</v>
      </c>
      <c r="AA358" s="10"/>
      <c r="AB358" s="11">
        <v>0</v>
      </c>
      <c r="AC358" s="10"/>
      <c r="AD358" s="7">
        <f>SUM(F358+H358+J358+L358+N358+P358+R358+T358+V358+X358+Z358+AB358)</f>
        <v>195000</v>
      </c>
      <c r="AE358" s="7">
        <f>E358+AD358</f>
        <v>210000</v>
      </c>
      <c r="AF358" s="8">
        <f>G358+I358+K358+M358+O358+Q358+S358+U358+W358+Y358+AA358+AC358</f>
        <v>165000</v>
      </c>
      <c r="AG358" s="153">
        <f>SUM(AE358-AF358)</f>
        <v>45000</v>
      </c>
      <c r="AH358" s="99" t="s">
        <v>628</v>
      </c>
      <c r="AI358" s="99">
        <v>4</v>
      </c>
    </row>
    <row r="359" spans="1:42" customHeight="1" ht="11.5">
      <c r="A359" s="5">
        <v>351</v>
      </c>
      <c r="B359" s="166" t="s">
        <v>629</v>
      </c>
      <c r="C359" s="167" t="s">
        <v>36</v>
      </c>
      <c r="D359" s="88" t="s">
        <v>37</v>
      </c>
      <c r="E359" s="86">
        <v>30000</v>
      </c>
      <c r="F359" s="9">
        <v>60000</v>
      </c>
      <c r="G359" s="10">
        <v>30000</v>
      </c>
      <c r="H359" s="9">
        <v>40000</v>
      </c>
      <c r="I359" s="10">
        <v>60000</v>
      </c>
      <c r="J359" s="152">
        <v>40000</v>
      </c>
      <c r="K359" s="10">
        <v>40000</v>
      </c>
      <c r="L359" s="152">
        <v>30000</v>
      </c>
      <c r="M359" s="10">
        <v>40000</v>
      </c>
      <c r="N359" s="152">
        <v>50000</v>
      </c>
      <c r="O359" s="10">
        <v>30000</v>
      </c>
      <c r="P359" s="152">
        <v>40000</v>
      </c>
      <c r="Q359" s="10">
        <v>50000</v>
      </c>
      <c r="R359" s="9">
        <v>60000</v>
      </c>
      <c r="S359" s="10"/>
      <c r="T359" s="9">
        <v>0</v>
      </c>
      <c r="U359" s="10"/>
      <c r="V359" s="9">
        <v>0</v>
      </c>
      <c r="W359" s="10"/>
      <c r="X359" s="9">
        <v>0</v>
      </c>
      <c r="Y359" s="10"/>
      <c r="Z359" s="9">
        <v>0</v>
      </c>
      <c r="AA359" s="10"/>
      <c r="AB359" s="11">
        <v>0</v>
      </c>
      <c r="AC359" s="10"/>
      <c r="AD359" s="7">
        <f>SUM(F359+H359+J359+L359+N359+P359+R359+T359+V359+X359+Z359+AB359)</f>
        <v>320000</v>
      </c>
      <c r="AE359" s="7">
        <f>E359+AD359</f>
        <v>350000</v>
      </c>
      <c r="AF359" s="8">
        <f>G359+I359+K359+M359+O359+Q359+S359+U359+W359+Y359+AA359+AC359</f>
        <v>250000</v>
      </c>
      <c r="AG359" s="153">
        <f>SUM(AE359-AF359)</f>
        <v>100000</v>
      </c>
      <c r="AH359" s="99" t="s">
        <v>630</v>
      </c>
      <c r="AI359" s="99">
        <v>4</v>
      </c>
    </row>
    <row r="360" spans="1:42" customHeight="1" ht="11.5">
      <c r="A360" s="5">
        <v>352</v>
      </c>
      <c r="B360" s="166" t="s">
        <v>631</v>
      </c>
      <c r="C360" s="167" t="s">
        <v>36</v>
      </c>
      <c r="D360" s="88" t="s">
        <v>37</v>
      </c>
      <c r="E360" s="86">
        <v>55000</v>
      </c>
      <c r="F360" s="9">
        <v>40000</v>
      </c>
      <c r="G360" s="10">
        <v>55000</v>
      </c>
      <c r="H360" s="9">
        <v>60000</v>
      </c>
      <c r="I360" s="10">
        <v>40000</v>
      </c>
      <c r="J360" s="152">
        <v>95000</v>
      </c>
      <c r="K360" s="10">
        <v>60000</v>
      </c>
      <c r="L360" s="152">
        <v>45000</v>
      </c>
      <c r="M360" s="10">
        <v>95000</v>
      </c>
      <c r="N360" s="152">
        <v>55000</v>
      </c>
      <c r="O360" s="10">
        <v>45000</v>
      </c>
      <c r="P360" s="152">
        <v>70000</v>
      </c>
      <c r="Q360" s="10">
        <v>55000</v>
      </c>
      <c r="R360" s="9">
        <v>10000</v>
      </c>
      <c r="S360" s="10"/>
      <c r="T360" s="9">
        <v>0</v>
      </c>
      <c r="U360" s="10"/>
      <c r="V360" s="9">
        <v>0</v>
      </c>
      <c r="W360" s="10"/>
      <c r="X360" s="9">
        <v>0</v>
      </c>
      <c r="Y360" s="10"/>
      <c r="Z360" s="9">
        <v>0</v>
      </c>
      <c r="AA360" s="10"/>
      <c r="AB360" s="11">
        <v>0</v>
      </c>
      <c r="AC360" s="10"/>
      <c r="AD360" s="7">
        <f>SUM(F360+H360+J360+L360+N360+P360+R360+T360+V360+X360+Z360+AB360)</f>
        <v>375000</v>
      </c>
      <c r="AE360" s="7">
        <f>E360+AD360</f>
        <v>430000</v>
      </c>
      <c r="AF360" s="8">
        <f>G360+I360+K360+M360+O360+Q360+S360+U360+W360+Y360+AA360+AC360</f>
        <v>350000</v>
      </c>
      <c r="AG360" s="153">
        <f>SUM(AE360-AF360)</f>
        <v>80000</v>
      </c>
      <c r="AH360" s="99" t="s">
        <v>632</v>
      </c>
      <c r="AI360" s="99">
        <v>4</v>
      </c>
    </row>
    <row r="361" spans="1:42" customHeight="1" ht="11.5">
      <c r="A361" s="5">
        <v>353</v>
      </c>
      <c r="B361" s="166" t="s">
        <v>633</v>
      </c>
      <c r="C361" s="167" t="s">
        <v>36</v>
      </c>
      <c r="D361" s="88" t="s">
        <v>37</v>
      </c>
      <c r="E361" s="86">
        <v>30000</v>
      </c>
      <c r="F361" s="9">
        <v>60000</v>
      </c>
      <c r="G361" s="10">
        <v>30000</v>
      </c>
      <c r="H361" s="9">
        <v>30000</v>
      </c>
      <c r="I361" s="10">
        <v>60000</v>
      </c>
      <c r="J361" s="152">
        <v>80000</v>
      </c>
      <c r="K361" s="10">
        <v>30000</v>
      </c>
      <c r="L361" s="152">
        <v>20000</v>
      </c>
      <c r="M361" s="10">
        <v>80000</v>
      </c>
      <c r="N361" s="152">
        <v>60000</v>
      </c>
      <c r="O361" s="10">
        <v>20000</v>
      </c>
      <c r="P361" s="152">
        <v>50000</v>
      </c>
      <c r="Q361" s="10">
        <v>60000</v>
      </c>
      <c r="R361" s="9">
        <v>0</v>
      </c>
      <c r="S361" s="10"/>
      <c r="T361" s="9">
        <v>0</v>
      </c>
      <c r="U361" s="10"/>
      <c r="V361" s="9">
        <v>0</v>
      </c>
      <c r="W361" s="10"/>
      <c r="X361" s="9">
        <v>0</v>
      </c>
      <c r="Y361" s="10"/>
      <c r="Z361" s="9">
        <v>0</v>
      </c>
      <c r="AA361" s="10"/>
      <c r="AB361" s="11">
        <v>0</v>
      </c>
      <c r="AC361" s="10"/>
      <c r="AD361" s="7">
        <f>SUM(F361+H361+J361+L361+N361+P361+R361+T361+V361+X361+Z361+AB361)</f>
        <v>300000</v>
      </c>
      <c r="AE361" s="7">
        <f>E361+AD361</f>
        <v>330000</v>
      </c>
      <c r="AF361" s="8">
        <f>G361+I361+K361+M361+O361+Q361+S361+U361+W361+Y361+AA361+AC361</f>
        <v>280000</v>
      </c>
      <c r="AG361" s="153">
        <f>SUM(AE361-AF361)</f>
        <v>50000</v>
      </c>
      <c r="AH361" s="99" t="s">
        <v>634</v>
      </c>
      <c r="AI361" s="99">
        <v>4</v>
      </c>
    </row>
    <row r="362" spans="1:42" customHeight="1" ht="11.5">
      <c r="A362" s="5">
        <v>354</v>
      </c>
      <c r="B362" s="166" t="s">
        <v>635</v>
      </c>
      <c r="C362" s="167" t="s">
        <v>105</v>
      </c>
      <c r="D362" s="88" t="s">
        <v>106</v>
      </c>
      <c r="E362" s="86">
        <v>149978</v>
      </c>
      <c r="F362" s="9">
        <v>80000</v>
      </c>
      <c r="G362" s="10">
        <v>149978</v>
      </c>
      <c r="H362" s="9">
        <v>80000</v>
      </c>
      <c r="I362" s="10"/>
      <c r="J362" s="152">
        <v>60000</v>
      </c>
      <c r="K362" s="10">
        <v>40081</v>
      </c>
      <c r="L362" s="152">
        <v>100000</v>
      </c>
      <c r="M362" s="10">
        <v>179919</v>
      </c>
      <c r="N362" s="152">
        <v>60000</v>
      </c>
      <c r="O362" s="10">
        <v>100000</v>
      </c>
      <c r="P362" s="152">
        <v>60000</v>
      </c>
      <c r="Q362" s="10">
        <v>60000</v>
      </c>
      <c r="R362" s="9">
        <v>100000</v>
      </c>
      <c r="S362" s="10"/>
      <c r="T362" s="9">
        <v>0</v>
      </c>
      <c r="U362" s="10"/>
      <c r="V362" s="9">
        <v>0</v>
      </c>
      <c r="W362" s="10"/>
      <c r="X362" s="9">
        <v>0</v>
      </c>
      <c r="Y362" s="10"/>
      <c r="Z362" s="9">
        <v>0</v>
      </c>
      <c r="AA362" s="10"/>
      <c r="AB362" s="11">
        <v>0</v>
      </c>
      <c r="AC362" s="10"/>
      <c r="AD362" s="7">
        <f>SUM(F362+H362+J362+L362+N362+P362+R362+T362+V362+X362+Z362+AB362)</f>
        <v>540000</v>
      </c>
      <c r="AE362" s="7">
        <f>E362+AD362</f>
        <v>689978</v>
      </c>
      <c r="AF362" s="8">
        <f>G362+I362+K362+M362+O362+Q362+S362+U362+W362+Y362+AA362+AC362</f>
        <v>529978</v>
      </c>
      <c r="AG362" s="153">
        <f>SUM(AE362-AF362)</f>
        <v>160000</v>
      </c>
      <c r="AH362" s="99" t="s">
        <v>636</v>
      </c>
      <c r="AI362" s="99">
        <v>4</v>
      </c>
    </row>
    <row r="363" spans="1:42" customHeight="1" ht="11.5">
      <c r="A363" s="5">
        <v>355</v>
      </c>
      <c r="B363" s="166" t="s">
        <v>637</v>
      </c>
      <c r="C363" s="167" t="s">
        <v>36</v>
      </c>
      <c r="D363" s="88" t="s">
        <v>37</v>
      </c>
      <c r="E363" s="86">
        <v>0</v>
      </c>
      <c r="F363" s="9">
        <v>0</v>
      </c>
      <c r="G363" s="10"/>
      <c r="H363" s="9">
        <v>3000</v>
      </c>
      <c r="I363" s="10"/>
      <c r="J363" s="152">
        <v>0</v>
      </c>
      <c r="K363" s="10">
        <v>3000</v>
      </c>
      <c r="L363" s="152">
        <v>0</v>
      </c>
      <c r="M363" s="10"/>
      <c r="N363" s="152">
        <v>0</v>
      </c>
      <c r="O363" s="10"/>
      <c r="P363" s="152">
        <v>0</v>
      </c>
      <c r="Q363" s="10"/>
      <c r="R363" s="9">
        <v>0</v>
      </c>
      <c r="S363" s="10"/>
      <c r="T363" s="9">
        <v>0</v>
      </c>
      <c r="U363" s="10"/>
      <c r="V363" s="9">
        <v>0</v>
      </c>
      <c r="W363" s="10"/>
      <c r="X363" s="9">
        <v>0</v>
      </c>
      <c r="Y363" s="10"/>
      <c r="Z363" s="9">
        <v>0</v>
      </c>
      <c r="AA363" s="10"/>
      <c r="AB363" s="11">
        <v>0</v>
      </c>
      <c r="AC363" s="10"/>
      <c r="AD363" s="7">
        <f>SUM(F363+H363+J363+L363+N363+P363+R363+T363+V363+X363+Z363+AB363)</f>
        <v>3000</v>
      </c>
      <c r="AE363" s="7">
        <f>E363+AD363</f>
        <v>3000</v>
      </c>
      <c r="AF363" s="8">
        <f>G363+I363+K363+M363+O363+Q363+S363+U363+W363+Y363+AA363+AC363</f>
        <v>3000</v>
      </c>
      <c r="AG363" s="153">
        <f>SUM(AE363-AF363)</f>
        <v>0</v>
      </c>
      <c r="AH363" s="99" t="s">
        <v>638</v>
      </c>
      <c r="AI363" s="99">
        <v>4</v>
      </c>
    </row>
    <row r="364" spans="1:42" customHeight="1" ht="11.5">
      <c r="A364" s="5">
        <v>356</v>
      </c>
      <c r="B364" s="168" t="s">
        <v>639</v>
      </c>
      <c r="C364" s="89" t="s">
        <v>36</v>
      </c>
      <c r="D364" s="88" t="s">
        <v>37</v>
      </c>
      <c r="E364" s="86">
        <v>10000</v>
      </c>
      <c r="F364" s="9">
        <v>10000</v>
      </c>
      <c r="G364" s="10">
        <v>10000</v>
      </c>
      <c r="H364" s="9">
        <v>20000</v>
      </c>
      <c r="I364" s="10">
        <v>10000</v>
      </c>
      <c r="J364" s="152">
        <v>0</v>
      </c>
      <c r="K364" s="10">
        <v>20000</v>
      </c>
      <c r="L364" s="152">
        <v>0</v>
      </c>
      <c r="M364" s="10"/>
      <c r="N364" s="152">
        <v>10000</v>
      </c>
      <c r="O364" s="10"/>
      <c r="P364" s="152">
        <v>10000</v>
      </c>
      <c r="Q364" s="10">
        <v>10000</v>
      </c>
      <c r="R364" s="9">
        <v>10000</v>
      </c>
      <c r="S364" s="10"/>
      <c r="T364" s="9">
        <v>0</v>
      </c>
      <c r="U364" s="10"/>
      <c r="V364" s="9">
        <v>0</v>
      </c>
      <c r="W364" s="10"/>
      <c r="X364" s="9">
        <v>0</v>
      </c>
      <c r="Y364" s="10"/>
      <c r="Z364" s="9">
        <v>0</v>
      </c>
      <c r="AA364" s="10"/>
      <c r="AB364" s="11">
        <v>0</v>
      </c>
      <c r="AC364" s="10"/>
      <c r="AD364" s="7">
        <f>SUM(F364+H364+J364+L364+N364+P364+R364+T364+V364+X364+Z364+AB364)</f>
        <v>60000</v>
      </c>
      <c r="AE364" s="7">
        <f>E364+AD364</f>
        <v>70000</v>
      </c>
      <c r="AF364" s="8">
        <f>G364+I364+K364+M364+O364+Q364+S364+U364+W364+Y364+AA364+AC364</f>
        <v>50000</v>
      </c>
      <c r="AG364" s="153">
        <f>SUM(AE364-AF364)</f>
        <v>20000</v>
      </c>
      <c r="AH364" s="99" t="s">
        <v>640</v>
      </c>
      <c r="AI364" s="99">
        <v>4</v>
      </c>
    </row>
    <row r="365" spans="1:42" customHeight="1" ht="11.5">
      <c r="A365" s="5">
        <v>357</v>
      </c>
      <c r="B365" s="166" t="s">
        <v>641</v>
      </c>
      <c r="C365" s="167" t="s">
        <v>36</v>
      </c>
      <c r="D365" s="88" t="s">
        <v>37</v>
      </c>
      <c r="E365" s="86">
        <v>0</v>
      </c>
      <c r="F365" s="9">
        <v>0</v>
      </c>
      <c r="G365" s="10"/>
      <c r="H365" s="9">
        <v>0</v>
      </c>
      <c r="I365" s="10"/>
      <c r="J365" s="152">
        <v>0</v>
      </c>
      <c r="K365" s="10"/>
      <c r="L365" s="152">
        <v>10000</v>
      </c>
      <c r="M365" s="10"/>
      <c r="N365" s="152">
        <v>0</v>
      </c>
      <c r="O365" s="10">
        <v>10000</v>
      </c>
      <c r="P365" s="152">
        <v>0</v>
      </c>
      <c r="Q365" s="10"/>
      <c r="R365" s="9">
        <v>0</v>
      </c>
      <c r="S365" s="10"/>
      <c r="T365" s="9">
        <v>0</v>
      </c>
      <c r="U365" s="10"/>
      <c r="V365" s="9">
        <v>0</v>
      </c>
      <c r="W365" s="10"/>
      <c r="X365" s="9">
        <v>0</v>
      </c>
      <c r="Y365" s="10"/>
      <c r="Z365" s="9">
        <v>0</v>
      </c>
      <c r="AA365" s="10"/>
      <c r="AB365" s="11">
        <v>0</v>
      </c>
      <c r="AC365" s="10"/>
      <c r="AD365" s="7">
        <f>SUM(F365+H365+J365+L365+N365+P365+R365+T365+V365+X365+Z365+AB365)</f>
        <v>10000</v>
      </c>
      <c r="AE365" s="7">
        <f>E365+AD365</f>
        <v>10000</v>
      </c>
      <c r="AF365" s="8">
        <f>G365+I365+K365+M365+O365+Q365+S365+U365+W365+Y365+AA365+AC365</f>
        <v>10000</v>
      </c>
      <c r="AG365" s="153">
        <f>SUM(AE365-AF365)</f>
        <v>0</v>
      </c>
      <c r="AH365" s="99" t="s">
        <v>642</v>
      </c>
      <c r="AI365" s="99">
        <v>4</v>
      </c>
    </row>
    <row r="366" spans="1:42" customHeight="1" ht="11.5">
      <c r="A366" s="5">
        <v>358</v>
      </c>
      <c r="B366" s="166" t="s">
        <v>643</v>
      </c>
      <c r="C366" s="167" t="s">
        <v>36</v>
      </c>
      <c r="D366" s="88" t="s">
        <v>37</v>
      </c>
      <c r="E366" s="86">
        <v>0</v>
      </c>
      <c r="F366" s="9">
        <v>0</v>
      </c>
      <c r="G366" s="10"/>
      <c r="H366" s="9">
        <v>0</v>
      </c>
      <c r="I366" s="10"/>
      <c r="J366" s="152">
        <v>0</v>
      </c>
      <c r="K366" s="10"/>
      <c r="L366" s="152">
        <v>10000</v>
      </c>
      <c r="M366" s="10"/>
      <c r="N366" s="152">
        <v>0</v>
      </c>
      <c r="O366" s="10">
        <v>10000</v>
      </c>
      <c r="P366" s="152">
        <v>0</v>
      </c>
      <c r="Q366" s="10"/>
      <c r="R366" s="9">
        <v>0</v>
      </c>
      <c r="S366" s="10"/>
      <c r="T366" s="9">
        <v>0</v>
      </c>
      <c r="U366" s="10"/>
      <c r="V366" s="9">
        <v>0</v>
      </c>
      <c r="W366" s="10"/>
      <c r="X366" s="9">
        <v>0</v>
      </c>
      <c r="Y366" s="10"/>
      <c r="Z366" s="9">
        <v>0</v>
      </c>
      <c r="AA366" s="10"/>
      <c r="AB366" s="11">
        <v>0</v>
      </c>
      <c r="AC366" s="10"/>
      <c r="AD366" s="7">
        <f>SUM(F366+H366+J366+L366+N366+P366+R366+T366+V366+X366+Z366+AB366)</f>
        <v>10000</v>
      </c>
      <c r="AE366" s="7">
        <f>E366+AD366</f>
        <v>10000</v>
      </c>
      <c r="AF366" s="8">
        <f>G366+I366+K366+M366+O366+Q366+S366+U366+W366+Y366+AA366+AC366</f>
        <v>10000</v>
      </c>
      <c r="AG366" s="153">
        <f>SUM(AE366-AF366)</f>
        <v>0</v>
      </c>
      <c r="AH366" s="99" t="s">
        <v>644</v>
      </c>
      <c r="AI366" s="99">
        <v>4</v>
      </c>
    </row>
    <row r="367" spans="1:42" customHeight="1" ht="11.5">
      <c r="A367" s="5">
        <v>359</v>
      </c>
      <c r="B367" s="166" t="s">
        <v>645</v>
      </c>
      <c r="C367" s="167" t="s">
        <v>36</v>
      </c>
      <c r="D367" s="88" t="s">
        <v>37</v>
      </c>
      <c r="E367" s="86">
        <v>0</v>
      </c>
      <c r="F367" s="9">
        <v>5000</v>
      </c>
      <c r="G367" s="10"/>
      <c r="H367" s="9">
        <v>0</v>
      </c>
      <c r="I367" s="10">
        <v>5000</v>
      </c>
      <c r="J367" s="152">
        <v>0</v>
      </c>
      <c r="K367" s="10"/>
      <c r="L367" s="152">
        <v>0</v>
      </c>
      <c r="M367" s="10"/>
      <c r="N367" s="152">
        <v>0</v>
      </c>
      <c r="O367" s="10"/>
      <c r="P367" s="152">
        <v>0</v>
      </c>
      <c r="Q367" s="10"/>
      <c r="R367" s="9">
        <v>0</v>
      </c>
      <c r="S367" s="10"/>
      <c r="T367" s="9">
        <v>0</v>
      </c>
      <c r="U367" s="10"/>
      <c r="V367" s="9">
        <v>0</v>
      </c>
      <c r="W367" s="10"/>
      <c r="X367" s="9">
        <v>0</v>
      </c>
      <c r="Y367" s="10"/>
      <c r="Z367" s="9">
        <v>0</v>
      </c>
      <c r="AA367" s="10"/>
      <c r="AB367" s="11">
        <v>0</v>
      </c>
      <c r="AC367" s="10"/>
      <c r="AD367" s="7">
        <f>SUM(F367+H367+J367+L367+N367+P367+R367+T367+V367+X367+Z367+AB367)</f>
        <v>5000</v>
      </c>
      <c r="AE367" s="7">
        <f>E367+AD367</f>
        <v>5000</v>
      </c>
      <c r="AF367" s="8">
        <f>G367+I367+K367+M367+O367+Q367+S367+U367+W367+Y367+AA367+AC367</f>
        <v>5000</v>
      </c>
      <c r="AG367" s="153">
        <f>SUM(AE367-AF367)</f>
        <v>0</v>
      </c>
      <c r="AH367" s="99" t="s">
        <v>646</v>
      </c>
      <c r="AI367" s="99">
        <v>3</v>
      </c>
    </row>
    <row r="368" spans="1:42" customHeight="1" ht="11.5">
      <c r="A368" s="5">
        <v>360</v>
      </c>
      <c r="B368" s="166" t="s">
        <v>647</v>
      </c>
      <c r="C368" s="167" t="s">
        <v>36</v>
      </c>
      <c r="D368" s="88" t="s">
        <v>37</v>
      </c>
      <c r="E368" s="86">
        <v>0</v>
      </c>
      <c r="F368" s="9">
        <v>0</v>
      </c>
      <c r="G368" s="10"/>
      <c r="H368" s="9">
        <v>0</v>
      </c>
      <c r="I368" s="10"/>
      <c r="J368" s="152">
        <v>0</v>
      </c>
      <c r="K368" s="10"/>
      <c r="L368" s="152">
        <v>10000</v>
      </c>
      <c r="M368" s="10"/>
      <c r="N368" s="152">
        <v>0</v>
      </c>
      <c r="O368" s="10">
        <v>10000</v>
      </c>
      <c r="P368" s="152">
        <v>0</v>
      </c>
      <c r="Q368" s="10"/>
      <c r="R368" s="9">
        <v>0</v>
      </c>
      <c r="S368" s="10"/>
      <c r="T368" s="9">
        <v>0</v>
      </c>
      <c r="U368" s="10"/>
      <c r="V368" s="9">
        <v>0</v>
      </c>
      <c r="W368" s="10"/>
      <c r="X368" s="9">
        <v>0</v>
      </c>
      <c r="Y368" s="10"/>
      <c r="Z368" s="9">
        <v>0</v>
      </c>
      <c r="AA368" s="10"/>
      <c r="AB368" s="11">
        <v>0</v>
      </c>
      <c r="AC368" s="10"/>
      <c r="AD368" s="7">
        <f>SUM(F368+H368+J368+L368+N368+P368+R368+T368+V368+X368+Z368+AB368)</f>
        <v>10000</v>
      </c>
      <c r="AE368" s="7">
        <f>E368+AD368</f>
        <v>10000</v>
      </c>
      <c r="AF368" s="8">
        <f>G368+I368+K368+M368+O368+Q368+S368+U368+W368+Y368+AA368+AC368</f>
        <v>10000</v>
      </c>
      <c r="AG368" s="153">
        <f>SUM(AE368-AF368)</f>
        <v>0</v>
      </c>
      <c r="AH368" s="99" t="s">
        <v>648</v>
      </c>
      <c r="AI368" s="99">
        <v>4</v>
      </c>
    </row>
    <row r="369" spans="1:42" customHeight="1" ht="11.5">
      <c r="A369" s="5">
        <v>361</v>
      </c>
      <c r="B369" s="166" t="s">
        <v>649</v>
      </c>
      <c r="C369" s="167" t="s">
        <v>36</v>
      </c>
      <c r="D369" s="88" t="s">
        <v>37</v>
      </c>
      <c r="E369" s="86">
        <v>0</v>
      </c>
      <c r="F369" s="9">
        <v>20000</v>
      </c>
      <c r="G369" s="10"/>
      <c r="H369" s="9">
        <v>20000</v>
      </c>
      <c r="I369" s="10">
        <v>20000</v>
      </c>
      <c r="J369" s="152">
        <v>20000</v>
      </c>
      <c r="K369" s="10">
        <v>20000</v>
      </c>
      <c r="L369" s="152">
        <v>20000</v>
      </c>
      <c r="M369" s="10">
        <v>20000</v>
      </c>
      <c r="N369" s="152">
        <v>10000</v>
      </c>
      <c r="O369" s="10">
        <v>20000</v>
      </c>
      <c r="P369" s="152">
        <v>20000</v>
      </c>
      <c r="Q369" s="10">
        <v>10000</v>
      </c>
      <c r="R369" s="9">
        <v>30000</v>
      </c>
      <c r="S369" s="10"/>
      <c r="T369" s="9">
        <v>0</v>
      </c>
      <c r="U369" s="10"/>
      <c r="V369" s="9">
        <v>0</v>
      </c>
      <c r="W369" s="10"/>
      <c r="X369" s="9">
        <v>0</v>
      </c>
      <c r="Y369" s="10"/>
      <c r="Z369" s="9">
        <v>0</v>
      </c>
      <c r="AA369" s="10"/>
      <c r="AB369" s="11">
        <v>0</v>
      </c>
      <c r="AC369" s="10"/>
      <c r="AD369" s="7">
        <f>SUM(F369+H369+J369+L369+N369+P369+R369+T369+V369+X369+Z369+AB369)</f>
        <v>140000</v>
      </c>
      <c r="AE369" s="7">
        <f>E369+AD369</f>
        <v>140000</v>
      </c>
      <c r="AF369" s="8">
        <f>G369+I369+K369+M369+O369+Q369+S369+U369+W369+Y369+AA369+AC369</f>
        <v>90000</v>
      </c>
      <c r="AG369" s="153">
        <f>SUM(AE369-AF369)</f>
        <v>50000</v>
      </c>
      <c r="AH369" s="99" t="s">
        <v>650</v>
      </c>
      <c r="AI369" s="99">
        <v>4</v>
      </c>
    </row>
    <row r="370" spans="1:42" customHeight="1" ht="11.5">
      <c r="A370" s="5">
        <v>362</v>
      </c>
      <c r="B370" s="166" t="s">
        <v>651</v>
      </c>
      <c r="C370" s="167" t="s">
        <v>36</v>
      </c>
      <c r="D370" s="88" t="s">
        <v>37</v>
      </c>
      <c r="E370" s="86">
        <v>10000</v>
      </c>
      <c r="F370" s="9">
        <v>0</v>
      </c>
      <c r="G370" s="10">
        <v>10000</v>
      </c>
      <c r="H370" s="9">
        <v>10000</v>
      </c>
      <c r="I370" s="10"/>
      <c r="J370" s="152">
        <v>10000</v>
      </c>
      <c r="K370" s="10">
        <v>10000</v>
      </c>
      <c r="L370" s="152">
        <v>10000</v>
      </c>
      <c r="M370" s="10">
        <v>10000</v>
      </c>
      <c r="N370" s="152">
        <v>10000</v>
      </c>
      <c r="O370" s="10">
        <v>10000</v>
      </c>
      <c r="P370" s="152">
        <v>0</v>
      </c>
      <c r="Q370" s="10">
        <v>10000</v>
      </c>
      <c r="R370" s="9">
        <v>10000</v>
      </c>
      <c r="S370" s="10"/>
      <c r="T370" s="9">
        <v>0</v>
      </c>
      <c r="U370" s="10"/>
      <c r="V370" s="9">
        <v>0</v>
      </c>
      <c r="W370" s="10"/>
      <c r="X370" s="9">
        <v>0</v>
      </c>
      <c r="Y370" s="10"/>
      <c r="Z370" s="9">
        <v>0</v>
      </c>
      <c r="AA370" s="10"/>
      <c r="AB370" s="11">
        <v>0</v>
      </c>
      <c r="AC370" s="10"/>
      <c r="AD370" s="7">
        <f>SUM(F370+H370+J370+L370+N370+P370+R370+T370+V370+X370+Z370+AB370)</f>
        <v>50000</v>
      </c>
      <c r="AE370" s="7">
        <f>E370+AD370</f>
        <v>60000</v>
      </c>
      <c r="AF370" s="8">
        <f>G370+I370+K370+M370+O370+Q370+S370+U370+W370+Y370+AA370+AC370</f>
        <v>50000</v>
      </c>
      <c r="AG370" s="153">
        <f>SUM(AE370-AF370)</f>
        <v>10000</v>
      </c>
      <c r="AH370" s="99" t="s">
        <v>652</v>
      </c>
      <c r="AI370" s="99">
        <v>4</v>
      </c>
    </row>
    <row r="371" spans="1:42" customHeight="1" ht="11.5">
      <c r="A371" s="5">
        <v>363</v>
      </c>
      <c r="B371" s="166" t="s">
        <v>653</v>
      </c>
      <c r="C371" s="167" t="s">
        <v>36</v>
      </c>
      <c r="D371" s="88" t="s">
        <v>37</v>
      </c>
      <c r="E371" s="86">
        <v>10000</v>
      </c>
      <c r="F371" s="9">
        <v>0</v>
      </c>
      <c r="G371" s="10">
        <v>10000</v>
      </c>
      <c r="H371" s="9">
        <v>0</v>
      </c>
      <c r="I371" s="10"/>
      <c r="J371" s="152">
        <v>0</v>
      </c>
      <c r="K371" s="10"/>
      <c r="L371" s="152">
        <v>0</v>
      </c>
      <c r="M371" s="10"/>
      <c r="N371" s="152">
        <v>0</v>
      </c>
      <c r="O371" s="10"/>
      <c r="P371" s="152">
        <v>0</v>
      </c>
      <c r="Q371" s="10"/>
      <c r="R371" s="9">
        <v>10000</v>
      </c>
      <c r="S371" s="10"/>
      <c r="T371" s="9">
        <v>0</v>
      </c>
      <c r="U371" s="10"/>
      <c r="V371" s="9">
        <v>0</v>
      </c>
      <c r="W371" s="10"/>
      <c r="X371" s="9">
        <v>0</v>
      </c>
      <c r="Y371" s="10"/>
      <c r="Z371" s="9">
        <v>0</v>
      </c>
      <c r="AA371" s="10"/>
      <c r="AB371" s="11">
        <v>0</v>
      </c>
      <c r="AC371" s="10"/>
      <c r="AD371" s="7">
        <f>SUM(F371+H371+J371+L371+N371+P371+R371+T371+V371+X371+Z371+AB371)</f>
        <v>10000</v>
      </c>
      <c r="AE371" s="7">
        <f>E371+AD371</f>
        <v>20000</v>
      </c>
      <c r="AF371" s="8">
        <f>G371+I371+K371+M371+O371+Q371+S371+U371+W371+Y371+AA371+AC371</f>
        <v>10000</v>
      </c>
      <c r="AG371" s="153">
        <f>SUM(AE371-AF371)</f>
        <v>10000</v>
      </c>
      <c r="AH371" s="99" t="s">
        <v>654</v>
      </c>
      <c r="AI371" s="99">
        <v>4</v>
      </c>
    </row>
    <row r="372" spans="1:42" customHeight="1" ht="11.5">
      <c r="A372" s="5">
        <v>364</v>
      </c>
      <c r="B372" s="166" t="s">
        <v>655</v>
      </c>
      <c r="C372" s="167" t="s">
        <v>36</v>
      </c>
      <c r="D372" s="88" t="s">
        <v>37</v>
      </c>
      <c r="E372" s="86">
        <v>10000</v>
      </c>
      <c r="F372" s="9">
        <v>10000</v>
      </c>
      <c r="G372" s="10">
        <v>10000</v>
      </c>
      <c r="H372" s="9">
        <v>20000</v>
      </c>
      <c r="I372" s="10">
        <v>10000</v>
      </c>
      <c r="J372" s="152">
        <v>0</v>
      </c>
      <c r="K372" s="10">
        <v>20000</v>
      </c>
      <c r="L372" s="152">
        <v>10000</v>
      </c>
      <c r="M372" s="10"/>
      <c r="N372" s="152">
        <v>0</v>
      </c>
      <c r="O372" s="10">
        <v>10000</v>
      </c>
      <c r="P372" s="152">
        <v>0</v>
      </c>
      <c r="Q372" s="10"/>
      <c r="R372" s="9">
        <v>10000</v>
      </c>
      <c r="S372" s="10"/>
      <c r="T372" s="9">
        <v>0</v>
      </c>
      <c r="U372" s="10"/>
      <c r="V372" s="9">
        <v>0</v>
      </c>
      <c r="W372" s="10"/>
      <c r="X372" s="9">
        <v>0</v>
      </c>
      <c r="Y372" s="10"/>
      <c r="Z372" s="9">
        <v>0</v>
      </c>
      <c r="AA372" s="10"/>
      <c r="AB372" s="11">
        <v>0</v>
      </c>
      <c r="AC372" s="10"/>
      <c r="AD372" s="7">
        <f>SUM(F372+H372+J372+L372+N372+P372+R372+T372+V372+X372+Z372+AB372)</f>
        <v>50000</v>
      </c>
      <c r="AE372" s="7">
        <f>E372+AD372</f>
        <v>60000</v>
      </c>
      <c r="AF372" s="8">
        <f>G372+I372+K372+M372+O372+Q372+S372+U372+W372+Y372+AA372+AC372</f>
        <v>50000</v>
      </c>
      <c r="AG372" s="153">
        <f>SUM(AE372-AF372)</f>
        <v>10000</v>
      </c>
      <c r="AH372" s="99" t="s">
        <v>656</v>
      </c>
      <c r="AI372" s="99">
        <v>4</v>
      </c>
    </row>
    <row r="373" spans="1:42" customHeight="1" ht="11.5">
      <c r="A373" s="5">
        <v>365</v>
      </c>
      <c r="B373" s="166" t="s">
        <v>657</v>
      </c>
      <c r="C373" s="167" t="s">
        <v>36</v>
      </c>
      <c r="D373" s="88" t="s">
        <v>37</v>
      </c>
      <c r="E373" s="86">
        <v>5000</v>
      </c>
      <c r="F373" s="9">
        <v>5000</v>
      </c>
      <c r="G373" s="10">
        <v>5000</v>
      </c>
      <c r="H373" s="9">
        <v>5000</v>
      </c>
      <c r="I373" s="10">
        <v>5000</v>
      </c>
      <c r="J373" s="152">
        <v>5000</v>
      </c>
      <c r="K373" s="10">
        <v>5000</v>
      </c>
      <c r="L373" s="152">
        <v>10000</v>
      </c>
      <c r="M373" s="10">
        <v>5000</v>
      </c>
      <c r="N373" s="152">
        <v>5000</v>
      </c>
      <c r="O373" s="10">
        <v>10000</v>
      </c>
      <c r="P373" s="152">
        <v>5000</v>
      </c>
      <c r="Q373" s="10">
        <v>5000</v>
      </c>
      <c r="R373" s="9">
        <v>10000</v>
      </c>
      <c r="S373" s="10"/>
      <c r="T373" s="9">
        <v>0</v>
      </c>
      <c r="U373" s="10"/>
      <c r="V373" s="9">
        <v>0</v>
      </c>
      <c r="W373" s="10"/>
      <c r="X373" s="9">
        <v>0</v>
      </c>
      <c r="Y373" s="10"/>
      <c r="Z373" s="9">
        <v>0</v>
      </c>
      <c r="AA373" s="10"/>
      <c r="AB373" s="11">
        <v>0</v>
      </c>
      <c r="AC373" s="10"/>
      <c r="AD373" s="7">
        <f>SUM(F373+H373+J373+L373+N373+P373+R373+T373+V373+X373+Z373+AB373)</f>
        <v>45000</v>
      </c>
      <c r="AE373" s="7">
        <f>E373+AD373</f>
        <v>50000</v>
      </c>
      <c r="AF373" s="8">
        <f>G373+I373+K373+M373+O373+Q373+S373+U373+W373+Y373+AA373+AC373</f>
        <v>35000</v>
      </c>
      <c r="AG373" s="153">
        <f>SUM(AE373-AF373)</f>
        <v>15000</v>
      </c>
      <c r="AH373" s="99" t="s">
        <v>658</v>
      </c>
      <c r="AI373" s="99">
        <v>4</v>
      </c>
    </row>
    <row r="374" spans="1:42" customHeight="1" ht="11.5">
      <c r="A374" s="5">
        <v>366</v>
      </c>
      <c r="B374" s="168" t="s">
        <v>659</v>
      </c>
      <c r="C374" s="89" t="s">
        <v>36</v>
      </c>
      <c r="D374" s="88" t="s">
        <v>37</v>
      </c>
      <c r="E374" s="86">
        <v>10000</v>
      </c>
      <c r="F374" s="9">
        <v>45000</v>
      </c>
      <c r="G374" s="10">
        <v>10000</v>
      </c>
      <c r="H374" s="9">
        <v>5000</v>
      </c>
      <c r="I374" s="10">
        <v>45000</v>
      </c>
      <c r="J374" s="152">
        <v>10000</v>
      </c>
      <c r="K374" s="10">
        <v>5000</v>
      </c>
      <c r="L374" s="152">
        <v>25000</v>
      </c>
      <c r="M374" s="10">
        <v>10000</v>
      </c>
      <c r="N374" s="152">
        <v>25000</v>
      </c>
      <c r="O374" s="10">
        <v>25000</v>
      </c>
      <c r="P374" s="152">
        <v>25000</v>
      </c>
      <c r="Q374" s="10">
        <v>25000</v>
      </c>
      <c r="R374" s="9">
        <v>25000</v>
      </c>
      <c r="S374" s="10"/>
      <c r="T374" s="9">
        <v>0</v>
      </c>
      <c r="U374" s="10"/>
      <c r="V374" s="9">
        <v>0</v>
      </c>
      <c r="W374" s="10"/>
      <c r="X374" s="9">
        <v>0</v>
      </c>
      <c r="Y374" s="10"/>
      <c r="Z374" s="9">
        <v>0</v>
      </c>
      <c r="AA374" s="10"/>
      <c r="AB374" s="11">
        <v>0</v>
      </c>
      <c r="AC374" s="10"/>
      <c r="AD374" s="7">
        <f>SUM(F374+H374+J374+L374+N374+P374+R374+T374+V374+X374+Z374+AB374)</f>
        <v>160000</v>
      </c>
      <c r="AE374" s="7">
        <f>E374+AD374</f>
        <v>170000</v>
      </c>
      <c r="AF374" s="8">
        <f>G374+I374+K374+M374+O374+Q374+S374+U374+W374+Y374+AA374+AC374</f>
        <v>120000</v>
      </c>
      <c r="AG374" s="153">
        <f>SUM(AE374-AF374)</f>
        <v>50000</v>
      </c>
      <c r="AH374" s="99" t="s">
        <v>660</v>
      </c>
      <c r="AI374" s="99">
        <v>4</v>
      </c>
    </row>
    <row r="375" spans="1:42" customHeight="1" ht="11.5">
      <c r="A375" s="5">
        <v>367</v>
      </c>
      <c r="B375" s="166" t="s">
        <v>661</v>
      </c>
      <c r="C375" s="167" t="s">
        <v>36</v>
      </c>
      <c r="D375" s="88" t="s">
        <v>37</v>
      </c>
      <c r="E375" s="86">
        <v>12000</v>
      </c>
      <c r="F375" s="9">
        <v>8000</v>
      </c>
      <c r="G375" s="10">
        <v>12000</v>
      </c>
      <c r="H375" s="9">
        <v>10000</v>
      </c>
      <c r="I375" s="10">
        <v>8000</v>
      </c>
      <c r="J375" s="152">
        <v>12000</v>
      </c>
      <c r="K375" s="10">
        <v>10000</v>
      </c>
      <c r="L375" s="152">
        <v>14000</v>
      </c>
      <c r="M375" s="10">
        <v>12000</v>
      </c>
      <c r="N375" s="152">
        <v>6000</v>
      </c>
      <c r="O375" s="10">
        <v>14000</v>
      </c>
      <c r="P375" s="152">
        <v>14000</v>
      </c>
      <c r="Q375" s="10">
        <v>6000</v>
      </c>
      <c r="R375" s="9">
        <v>8000</v>
      </c>
      <c r="S375" s="10"/>
      <c r="T375" s="9">
        <v>0</v>
      </c>
      <c r="U375" s="10"/>
      <c r="V375" s="9">
        <v>0</v>
      </c>
      <c r="W375" s="10"/>
      <c r="X375" s="9">
        <v>0</v>
      </c>
      <c r="Y375" s="10"/>
      <c r="Z375" s="9">
        <v>0</v>
      </c>
      <c r="AA375" s="10"/>
      <c r="AB375" s="11">
        <v>0</v>
      </c>
      <c r="AC375" s="10"/>
      <c r="AD375" s="7">
        <f>SUM(F375+H375+J375+L375+N375+P375+R375+T375+V375+X375+Z375+AB375)</f>
        <v>72000</v>
      </c>
      <c r="AE375" s="7">
        <f>E375+AD375</f>
        <v>84000</v>
      </c>
      <c r="AF375" s="8">
        <f>G375+I375+K375+M375+O375+Q375+S375+U375+W375+Y375+AA375+AC375</f>
        <v>62000</v>
      </c>
      <c r="AG375" s="153">
        <f>SUM(AE375-AF375)</f>
        <v>22000</v>
      </c>
      <c r="AH375" s="99" t="s">
        <v>662</v>
      </c>
      <c r="AI375" s="99">
        <v>4</v>
      </c>
    </row>
    <row r="376" spans="1:42" customHeight="1" ht="11.5">
      <c r="A376" s="5">
        <v>368</v>
      </c>
      <c r="B376" s="166" t="s">
        <v>663</v>
      </c>
      <c r="C376" s="167" t="s">
        <v>36</v>
      </c>
      <c r="D376" s="88" t="s">
        <v>37</v>
      </c>
      <c r="E376" s="86">
        <v>8000</v>
      </c>
      <c r="F376" s="9">
        <v>10000</v>
      </c>
      <c r="G376" s="10">
        <v>8000</v>
      </c>
      <c r="H376" s="9">
        <v>10000</v>
      </c>
      <c r="I376" s="10">
        <v>10000</v>
      </c>
      <c r="J376" s="152">
        <v>10000</v>
      </c>
      <c r="K376" s="10">
        <v>10000</v>
      </c>
      <c r="L376" s="152">
        <v>10000</v>
      </c>
      <c r="M376" s="10">
        <v>10000</v>
      </c>
      <c r="N376" s="152">
        <v>10000</v>
      </c>
      <c r="O376" s="10">
        <v>10000</v>
      </c>
      <c r="P376" s="152">
        <v>10000</v>
      </c>
      <c r="Q376" s="10">
        <v>10000</v>
      </c>
      <c r="R376" s="9">
        <v>10000</v>
      </c>
      <c r="S376" s="10"/>
      <c r="T376" s="9">
        <v>0</v>
      </c>
      <c r="U376" s="10"/>
      <c r="V376" s="9">
        <v>0</v>
      </c>
      <c r="W376" s="10"/>
      <c r="X376" s="9">
        <v>0</v>
      </c>
      <c r="Y376" s="10"/>
      <c r="Z376" s="9">
        <v>0</v>
      </c>
      <c r="AA376" s="10"/>
      <c r="AB376" s="11">
        <v>0</v>
      </c>
      <c r="AC376" s="10"/>
      <c r="AD376" s="7">
        <f>SUM(F376+H376+J376+L376+N376+P376+R376+T376+V376+X376+Z376+AB376)</f>
        <v>70000</v>
      </c>
      <c r="AE376" s="7">
        <f>E376+AD376</f>
        <v>78000</v>
      </c>
      <c r="AF376" s="8">
        <f>G376+I376+K376+M376+O376+Q376+S376+U376+W376+Y376+AA376+AC376</f>
        <v>58000</v>
      </c>
      <c r="AG376" s="153">
        <f>SUM(AE376-AF376)</f>
        <v>20000</v>
      </c>
      <c r="AH376" s="99" t="s">
        <v>664</v>
      </c>
      <c r="AI376" s="99">
        <v>4</v>
      </c>
    </row>
    <row r="377" spans="1:42" customHeight="1" ht="11.5">
      <c r="A377" s="5">
        <v>369</v>
      </c>
      <c r="B377" s="166" t="s">
        <v>665</v>
      </c>
      <c r="C377" s="167" t="s">
        <v>36</v>
      </c>
      <c r="D377" s="88" t="s">
        <v>37</v>
      </c>
      <c r="E377" s="86">
        <v>5000</v>
      </c>
      <c r="F377" s="9">
        <v>5000</v>
      </c>
      <c r="G377" s="10">
        <v>5000</v>
      </c>
      <c r="H377" s="9">
        <v>5000</v>
      </c>
      <c r="I377" s="10">
        <v>5000</v>
      </c>
      <c r="J377" s="152">
        <v>5000</v>
      </c>
      <c r="K377" s="10">
        <v>5000</v>
      </c>
      <c r="L377" s="152">
        <v>5000</v>
      </c>
      <c r="M377" s="10">
        <v>5000</v>
      </c>
      <c r="N377" s="152">
        <v>10000</v>
      </c>
      <c r="O377" s="10">
        <v>5000</v>
      </c>
      <c r="P377" s="152">
        <v>5000</v>
      </c>
      <c r="Q377" s="10">
        <v>10000</v>
      </c>
      <c r="R377" s="9">
        <v>5000</v>
      </c>
      <c r="S377" s="10"/>
      <c r="T377" s="9">
        <v>0</v>
      </c>
      <c r="U377" s="10"/>
      <c r="V377" s="9">
        <v>0</v>
      </c>
      <c r="W377" s="10"/>
      <c r="X377" s="9">
        <v>0</v>
      </c>
      <c r="Y377" s="10"/>
      <c r="Z377" s="9">
        <v>0</v>
      </c>
      <c r="AA377" s="10"/>
      <c r="AB377" s="11">
        <v>0</v>
      </c>
      <c r="AC377" s="10"/>
      <c r="AD377" s="7">
        <f>SUM(F377+H377+J377+L377+N377+P377+R377+T377+V377+X377+Z377+AB377)</f>
        <v>40000</v>
      </c>
      <c r="AE377" s="7">
        <f>E377+AD377</f>
        <v>45000</v>
      </c>
      <c r="AF377" s="8">
        <f>G377+I377+K377+M377+O377+Q377+S377+U377+W377+Y377+AA377+AC377</f>
        <v>35000</v>
      </c>
      <c r="AG377" s="153">
        <f>SUM(AE377-AF377)</f>
        <v>10000</v>
      </c>
      <c r="AH377" s="99" t="s">
        <v>666</v>
      </c>
      <c r="AI377" s="99">
        <v>4</v>
      </c>
    </row>
    <row r="378" spans="1:42" customHeight="1" ht="11.5">
      <c r="A378" s="5">
        <v>370</v>
      </c>
      <c r="B378" s="166" t="s">
        <v>667</v>
      </c>
      <c r="C378" s="167" t="s">
        <v>36</v>
      </c>
      <c r="D378" s="88" t="s">
        <v>37</v>
      </c>
      <c r="E378" s="86">
        <v>0</v>
      </c>
      <c r="F378" s="9">
        <v>2000</v>
      </c>
      <c r="G378" s="10"/>
      <c r="H378" s="9">
        <v>0</v>
      </c>
      <c r="I378" s="10">
        <v>2000</v>
      </c>
      <c r="J378" s="152">
        <v>2000</v>
      </c>
      <c r="K378" s="10"/>
      <c r="L378" s="152">
        <v>0</v>
      </c>
      <c r="M378" s="10">
        <v>2000</v>
      </c>
      <c r="N378" s="152">
        <v>2000</v>
      </c>
      <c r="O378" s="10"/>
      <c r="P378" s="152">
        <v>0</v>
      </c>
      <c r="Q378" s="10"/>
      <c r="R378" s="9">
        <v>2000</v>
      </c>
      <c r="S378" s="10"/>
      <c r="T378" s="9">
        <v>0</v>
      </c>
      <c r="U378" s="10"/>
      <c r="V378" s="9">
        <v>0</v>
      </c>
      <c r="W378" s="10"/>
      <c r="X378" s="9">
        <v>0</v>
      </c>
      <c r="Y378" s="10"/>
      <c r="Z378" s="9">
        <v>0</v>
      </c>
      <c r="AA378" s="10"/>
      <c r="AB378" s="11">
        <v>0</v>
      </c>
      <c r="AC378" s="10"/>
      <c r="AD378" s="7">
        <f>SUM(F378+H378+J378+L378+N378+P378+R378+T378+V378+X378+Z378+AB378)</f>
        <v>8000</v>
      </c>
      <c r="AE378" s="7">
        <f>E378+AD378</f>
        <v>8000</v>
      </c>
      <c r="AF378" s="8">
        <f>G378+I378+K378+M378+O378+Q378+S378+U378+W378+Y378+AA378+AC378</f>
        <v>4000</v>
      </c>
      <c r="AG378" s="153">
        <f>SUM(AE378-AF378)</f>
        <v>4000</v>
      </c>
      <c r="AH378" s="99" t="s">
        <v>668</v>
      </c>
      <c r="AI378" s="99">
        <v>4</v>
      </c>
    </row>
    <row r="379" spans="1:42" customHeight="1" ht="11.5">
      <c r="A379" s="5">
        <v>371</v>
      </c>
      <c r="B379" s="166" t="s">
        <v>669</v>
      </c>
      <c r="C379" s="167" t="s">
        <v>36</v>
      </c>
      <c r="D379" s="88" t="s">
        <v>37</v>
      </c>
      <c r="E379" s="86">
        <v>0</v>
      </c>
      <c r="F379" s="9">
        <v>2000</v>
      </c>
      <c r="G379" s="10"/>
      <c r="H379" s="9">
        <v>0</v>
      </c>
      <c r="I379" s="10">
        <v>2000</v>
      </c>
      <c r="J379" s="152">
        <v>2000</v>
      </c>
      <c r="K379" s="10"/>
      <c r="L379" s="152">
        <v>0</v>
      </c>
      <c r="M379" s="10">
        <v>2000</v>
      </c>
      <c r="N379" s="152">
        <v>2000</v>
      </c>
      <c r="O379" s="10"/>
      <c r="P379" s="152">
        <v>0</v>
      </c>
      <c r="Q379" s="10"/>
      <c r="R379" s="9">
        <v>2000</v>
      </c>
      <c r="S379" s="10"/>
      <c r="T379" s="9">
        <v>0</v>
      </c>
      <c r="U379" s="10"/>
      <c r="V379" s="9">
        <v>0</v>
      </c>
      <c r="W379" s="10"/>
      <c r="X379" s="9">
        <v>0</v>
      </c>
      <c r="Y379" s="10"/>
      <c r="Z379" s="9">
        <v>0</v>
      </c>
      <c r="AA379" s="10"/>
      <c r="AB379" s="11">
        <v>0</v>
      </c>
      <c r="AC379" s="10"/>
      <c r="AD379" s="7">
        <f>SUM(F379+H379+J379+L379+N379+P379+R379+T379+V379+X379+Z379+AB379)</f>
        <v>8000</v>
      </c>
      <c r="AE379" s="7">
        <f>E379+AD379</f>
        <v>8000</v>
      </c>
      <c r="AF379" s="8">
        <f>G379+I379+K379+M379+O379+Q379+S379+U379+W379+Y379+AA379+AC379</f>
        <v>4000</v>
      </c>
      <c r="AG379" s="153">
        <f>SUM(AE379-AF379)</f>
        <v>4000</v>
      </c>
      <c r="AH379" s="99" t="s">
        <v>670</v>
      </c>
      <c r="AI379" s="99">
        <v>4</v>
      </c>
    </row>
    <row r="380" spans="1:42" customHeight="1" ht="11.5">
      <c r="A380" s="5">
        <v>372</v>
      </c>
      <c r="B380" s="166" t="s">
        <v>671</v>
      </c>
      <c r="C380" s="167" t="s">
        <v>36</v>
      </c>
      <c r="D380" s="88" t="s">
        <v>37</v>
      </c>
      <c r="E380" s="86">
        <v>5000</v>
      </c>
      <c r="F380" s="9">
        <v>10000</v>
      </c>
      <c r="G380" s="10">
        <v>5000</v>
      </c>
      <c r="H380" s="9">
        <v>5000</v>
      </c>
      <c r="I380" s="10">
        <v>10000</v>
      </c>
      <c r="J380" s="152">
        <v>15000</v>
      </c>
      <c r="K380" s="10">
        <v>5000</v>
      </c>
      <c r="L380" s="152">
        <v>0</v>
      </c>
      <c r="M380" s="10">
        <v>15000</v>
      </c>
      <c r="N380" s="152">
        <v>5000</v>
      </c>
      <c r="O380" s="10"/>
      <c r="P380" s="152">
        <v>10000</v>
      </c>
      <c r="Q380" s="10">
        <v>5000</v>
      </c>
      <c r="R380" s="9">
        <v>10000</v>
      </c>
      <c r="S380" s="10"/>
      <c r="T380" s="9">
        <v>0</v>
      </c>
      <c r="U380" s="10"/>
      <c r="V380" s="9">
        <v>0</v>
      </c>
      <c r="W380" s="10"/>
      <c r="X380" s="9">
        <v>0</v>
      </c>
      <c r="Y380" s="10"/>
      <c r="Z380" s="9">
        <v>0</v>
      </c>
      <c r="AA380" s="10"/>
      <c r="AB380" s="11">
        <v>0</v>
      </c>
      <c r="AC380" s="10"/>
      <c r="AD380" s="7">
        <f>SUM(F380+H380+J380+L380+N380+P380+R380+T380+V380+X380+Z380+AB380)</f>
        <v>55000</v>
      </c>
      <c r="AE380" s="7">
        <f>E380+AD380</f>
        <v>60000</v>
      </c>
      <c r="AF380" s="8">
        <f>G380+I380+K380+M380+O380+Q380+S380+U380+W380+Y380+AA380+AC380</f>
        <v>40000</v>
      </c>
      <c r="AG380" s="153">
        <f>SUM(AE380-AF380)</f>
        <v>20000</v>
      </c>
      <c r="AH380" s="99" t="s">
        <v>672</v>
      </c>
      <c r="AI380" s="99">
        <v>4</v>
      </c>
    </row>
    <row r="381" spans="1:42" customHeight="1" ht="11.5">
      <c r="A381" s="5">
        <v>373</v>
      </c>
      <c r="B381" s="166" t="s">
        <v>673</v>
      </c>
      <c r="C381" s="167" t="s">
        <v>36</v>
      </c>
      <c r="D381" s="88" t="s">
        <v>37</v>
      </c>
      <c r="E381" s="86">
        <v>30000</v>
      </c>
      <c r="F381" s="9">
        <v>40000</v>
      </c>
      <c r="G381" s="10">
        <v>30000</v>
      </c>
      <c r="H381" s="9">
        <v>40000</v>
      </c>
      <c r="I381" s="10">
        <v>40000</v>
      </c>
      <c r="J381" s="152">
        <v>35000</v>
      </c>
      <c r="K381" s="10">
        <v>40000</v>
      </c>
      <c r="L381" s="152">
        <v>30000</v>
      </c>
      <c r="M381" s="10">
        <v>35000</v>
      </c>
      <c r="N381" s="152">
        <v>30000</v>
      </c>
      <c r="O381" s="10">
        <v>30000</v>
      </c>
      <c r="P381" s="152">
        <v>30000</v>
      </c>
      <c r="Q381" s="10">
        <v>30000</v>
      </c>
      <c r="R381" s="9">
        <v>60000</v>
      </c>
      <c r="S381" s="10"/>
      <c r="T381" s="9">
        <v>0</v>
      </c>
      <c r="U381" s="10"/>
      <c r="V381" s="9">
        <v>0</v>
      </c>
      <c r="W381" s="10"/>
      <c r="X381" s="9">
        <v>0</v>
      </c>
      <c r="Y381" s="10"/>
      <c r="Z381" s="9">
        <v>0</v>
      </c>
      <c r="AA381" s="10"/>
      <c r="AB381" s="11">
        <v>0</v>
      </c>
      <c r="AC381" s="10"/>
      <c r="AD381" s="7">
        <f>SUM(F381+H381+J381+L381+N381+P381+R381+T381+V381+X381+Z381+AB381)</f>
        <v>265000</v>
      </c>
      <c r="AE381" s="7">
        <f>E381+AD381</f>
        <v>295000</v>
      </c>
      <c r="AF381" s="8">
        <f>G381+I381+K381+M381+O381+Q381+S381+U381+W381+Y381+AA381+AC381</f>
        <v>205000</v>
      </c>
      <c r="AG381" s="153">
        <f>SUM(AE381-AF381)</f>
        <v>90000</v>
      </c>
      <c r="AH381" s="99" t="s">
        <v>674</v>
      </c>
      <c r="AI381" s="99">
        <v>4</v>
      </c>
    </row>
    <row r="382" spans="1:42" customHeight="1" ht="11.5">
      <c r="A382" s="5">
        <v>374</v>
      </c>
      <c r="B382" s="169" t="s">
        <v>675</v>
      </c>
      <c r="C382" s="167" t="s">
        <v>36</v>
      </c>
      <c r="D382" s="88" t="s">
        <v>37</v>
      </c>
      <c r="E382" s="86">
        <v>60000</v>
      </c>
      <c r="F382" s="9">
        <v>30000</v>
      </c>
      <c r="G382" s="10">
        <v>60000</v>
      </c>
      <c r="H382" s="9">
        <v>90000</v>
      </c>
      <c r="I382" s="10">
        <v>30000</v>
      </c>
      <c r="J382" s="152">
        <v>30000</v>
      </c>
      <c r="K382" s="10">
        <v>90000</v>
      </c>
      <c r="L382" s="152">
        <v>90000</v>
      </c>
      <c r="M382" s="10">
        <v>30000</v>
      </c>
      <c r="N382" s="152">
        <v>90000</v>
      </c>
      <c r="O382" s="10">
        <v>90000</v>
      </c>
      <c r="P382" s="152">
        <v>30000</v>
      </c>
      <c r="Q382" s="10">
        <v>90000</v>
      </c>
      <c r="R382" s="9">
        <v>90000</v>
      </c>
      <c r="S382" s="10"/>
      <c r="T382" s="9">
        <v>0</v>
      </c>
      <c r="U382" s="10"/>
      <c r="V382" s="9">
        <v>0</v>
      </c>
      <c r="W382" s="10"/>
      <c r="X382" s="9">
        <v>0</v>
      </c>
      <c r="Y382" s="10"/>
      <c r="Z382" s="9">
        <v>0</v>
      </c>
      <c r="AA382" s="10"/>
      <c r="AB382" s="11">
        <v>0</v>
      </c>
      <c r="AC382" s="10"/>
      <c r="AD382" s="7">
        <f>SUM(F382+H382+J382+L382+N382+P382+R382+T382+V382+X382+Z382+AB382)</f>
        <v>450000</v>
      </c>
      <c r="AE382" s="7">
        <f>E382+AD382</f>
        <v>510000</v>
      </c>
      <c r="AF382" s="8">
        <f>G382+I382+K382+M382+O382+Q382+S382+U382+W382+Y382+AA382+AC382</f>
        <v>390000</v>
      </c>
      <c r="AG382" s="153">
        <f>SUM(AE382-AF382)</f>
        <v>120000</v>
      </c>
      <c r="AH382" s="99" t="s">
        <v>676</v>
      </c>
      <c r="AI382" s="99">
        <v>4</v>
      </c>
    </row>
    <row r="383" spans="1:42" customHeight="1" ht="11.5">
      <c r="A383" s="5">
        <v>375</v>
      </c>
      <c r="B383" s="166" t="s">
        <v>677</v>
      </c>
      <c r="C383" s="167" t="s">
        <v>36</v>
      </c>
      <c r="D383" s="88" t="s">
        <v>37</v>
      </c>
      <c r="E383" s="86">
        <v>33000</v>
      </c>
      <c r="F383" s="9">
        <v>34500</v>
      </c>
      <c r="G383" s="10">
        <v>33000</v>
      </c>
      <c r="H383" s="9">
        <v>33000</v>
      </c>
      <c r="I383" s="10">
        <v>34500</v>
      </c>
      <c r="J383" s="152">
        <v>30000</v>
      </c>
      <c r="K383" s="10">
        <v>33000</v>
      </c>
      <c r="L383" s="152">
        <v>39000</v>
      </c>
      <c r="M383" s="10">
        <v>30000</v>
      </c>
      <c r="N383" s="152">
        <v>33000</v>
      </c>
      <c r="O383" s="10">
        <v>39000</v>
      </c>
      <c r="P383" s="152">
        <v>18000</v>
      </c>
      <c r="Q383" s="10">
        <v>33000</v>
      </c>
      <c r="R383" s="9">
        <v>24000</v>
      </c>
      <c r="S383" s="10"/>
      <c r="T383" s="9">
        <v>0</v>
      </c>
      <c r="U383" s="10"/>
      <c r="V383" s="9">
        <v>0</v>
      </c>
      <c r="W383" s="10"/>
      <c r="X383" s="9">
        <v>0</v>
      </c>
      <c r="Y383" s="10"/>
      <c r="Z383" s="9">
        <v>0</v>
      </c>
      <c r="AA383" s="10"/>
      <c r="AB383" s="11">
        <v>0</v>
      </c>
      <c r="AC383" s="10"/>
      <c r="AD383" s="7">
        <f>SUM(F383+H383+J383+L383+N383+P383+R383+T383+V383+X383+Z383+AB383)</f>
        <v>211500</v>
      </c>
      <c r="AE383" s="7">
        <f>E383+AD383</f>
        <v>244500</v>
      </c>
      <c r="AF383" s="8">
        <f>G383+I383+K383+M383+O383+Q383+S383+U383+W383+Y383+AA383+AC383</f>
        <v>202500</v>
      </c>
      <c r="AG383" s="153">
        <f>SUM(AE383-AF383)</f>
        <v>42000</v>
      </c>
      <c r="AH383" s="99" t="s">
        <v>678</v>
      </c>
      <c r="AI383" s="99">
        <v>4</v>
      </c>
    </row>
    <row r="384" spans="1:42" customHeight="1" ht="11.5">
      <c r="A384" s="5">
        <v>376</v>
      </c>
      <c r="B384" s="166" t="s">
        <v>679</v>
      </c>
      <c r="C384" s="167" t="s">
        <v>36</v>
      </c>
      <c r="D384" s="88" t="s">
        <v>37</v>
      </c>
      <c r="E384" s="86">
        <v>10000</v>
      </c>
      <c r="F384" s="9">
        <v>10000</v>
      </c>
      <c r="G384" s="10">
        <v>10000</v>
      </c>
      <c r="H384" s="9">
        <v>10000</v>
      </c>
      <c r="I384" s="10">
        <v>10000</v>
      </c>
      <c r="J384" s="152">
        <v>0</v>
      </c>
      <c r="K384" s="10">
        <v>10000</v>
      </c>
      <c r="L384" s="152">
        <v>10000</v>
      </c>
      <c r="M384" s="10"/>
      <c r="N384" s="152">
        <v>10000</v>
      </c>
      <c r="O384" s="10">
        <v>10000</v>
      </c>
      <c r="P384" s="152">
        <v>0</v>
      </c>
      <c r="Q384" s="10">
        <v>10000</v>
      </c>
      <c r="R384" s="9">
        <v>0</v>
      </c>
      <c r="S384" s="10"/>
      <c r="T384" s="9">
        <v>0</v>
      </c>
      <c r="U384" s="10"/>
      <c r="V384" s="9">
        <v>0</v>
      </c>
      <c r="W384" s="10"/>
      <c r="X384" s="9">
        <v>0</v>
      </c>
      <c r="Y384" s="10"/>
      <c r="Z384" s="9">
        <v>0</v>
      </c>
      <c r="AA384" s="10"/>
      <c r="AB384" s="11">
        <v>0</v>
      </c>
      <c r="AC384" s="10"/>
      <c r="AD384" s="7">
        <f>SUM(F384+H384+J384+L384+N384+P384+R384+T384+V384+X384+Z384+AB384)</f>
        <v>40000</v>
      </c>
      <c r="AE384" s="7">
        <f>E384+AD384</f>
        <v>50000</v>
      </c>
      <c r="AF384" s="8">
        <f>G384+I384+K384+M384+O384+Q384+S384+U384+W384+Y384+AA384+AC384</f>
        <v>50000</v>
      </c>
      <c r="AG384" s="153">
        <f>SUM(AE384-AF384)</f>
        <v>0</v>
      </c>
      <c r="AH384" s="99" t="s">
        <v>680</v>
      </c>
      <c r="AI384" s="99">
        <v>4</v>
      </c>
    </row>
    <row r="385" spans="1:42" customHeight="1" ht="11.5">
      <c r="A385" s="5">
        <v>377</v>
      </c>
      <c r="B385" s="166" t="s">
        <v>681</v>
      </c>
      <c r="C385" s="167" t="s">
        <v>36</v>
      </c>
      <c r="D385" s="88" t="s">
        <v>37</v>
      </c>
      <c r="E385" s="86">
        <v>10000</v>
      </c>
      <c r="F385" s="9">
        <v>10000</v>
      </c>
      <c r="G385" s="10">
        <v>10000</v>
      </c>
      <c r="H385" s="9">
        <v>0</v>
      </c>
      <c r="I385" s="10">
        <v>10000</v>
      </c>
      <c r="J385" s="152">
        <v>10000</v>
      </c>
      <c r="K385" s="10"/>
      <c r="L385" s="152">
        <v>0</v>
      </c>
      <c r="M385" s="10">
        <v>10000</v>
      </c>
      <c r="N385" s="152">
        <v>10000</v>
      </c>
      <c r="O385" s="10"/>
      <c r="P385" s="152">
        <v>0</v>
      </c>
      <c r="Q385" s="10">
        <v>10000</v>
      </c>
      <c r="R385" s="9">
        <v>0</v>
      </c>
      <c r="S385" s="10"/>
      <c r="T385" s="9">
        <v>0</v>
      </c>
      <c r="U385" s="10"/>
      <c r="V385" s="9">
        <v>0</v>
      </c>
      <c r="W385" s="10"/>
      <c r="X385" s="9">
        <v>0</v>
      </c>
      <c r="Y385" s="10"/>
      <c r="Z385" s="9">
        <v>0</v>
      </c>
      <c r="AA385" s="10"/>
      <c r="AB385" s="11">
        <v>0</v>
      </c>
      <c r="AC385" s="10"/>
      <c r="AD385" s="7">
        <f>SUM(F385+H385+J385+L385+N385+P385+R385+T385+V385+X385+Z385+AB385)</f>
        <v>30000</v>
      </c>
      <c r="AE385" s="7">
        <f>E385+AD385</f>
        <v>40000</v>
      </c>
      <c r="AF385" s="8">
        <f>G385+I385+K385+M385+O385+Q385+S385+U385+W385+Y385+AA385+AC385</f>
        <v>40000</v>
      </c>
      <c r="AG385" s="153">
        <f>SUM(AE385-AF385)</f>
        <v>0</v>
      </c>
      <c r="AH385" s="99" t="s">
        <v>682</v>
      </c>
      <c r="AI385" s="99">
        <v>4</v>
      </c>
    </row>
    <row r="386" spans="1:42" customHeight="1" ht="11.5">
      <c r="A386" s="5">
        <v>378</v>
      </c>
      <c r="B386" s="166" t="s">
        <v>683</v>
      </c>
      <c r="C386" s="167" t="s">
        <v>36</v>
      </c>
      <c r="D386" s="88" t="s">
        <v>37</v>
      </c>
      <c r="E386" s="86">
        <v>110000</v>
      </c>
      <c r="F386" s="9">
        <v>150000</v>
      </c>
      <c r="G386" s="10">
        <v>110000</v>
      </c>
      <c r="H386" s="9">
        <v>160000</v>
      </c>
      <c r="I386" s="10">
        <v>150000</v>
      </c>
      <c r="J386" s="152">
        <v>170000</v>
      </c>
      <c r="K386" s="10">
        <v>160000</v>
      </c>
      <c r="L386" s="152">
        <v>180000</v>
      </c>
      <c r="M386" s="10">
        <v>170000</v>
      </c>
      <c r="N386" s="152">
        <v>200000</v>
      </c>
      <c r="O386" s="10">
        <v>180000</v>
      </c>
      <c r="P386" s="152">
        <v>160000</v>
      </c>
      <c r="Q386" s="10">
        <v>200000</v>
      </c>
      <c r="R386" s="9">
        <v>220000</v>
      </c>
      <c r="S386" s="10"/>
      <c r="T386" s="9">
        <v>0</v>
      </c>
      <c r="U386" s="10"/>
      <c r="V386" s="9">
        <v>0</v>
      </c>
      <c r="W386" s="10"/>
      <c r="X386" s="9">
        <v>0</v>
      </c>
      <c r="Y386" s="10"/>
      <c r="Z386" s="9">
        <v>0</v>
      </c>
      <c r="AA386" s="10"/>
      <c r="AB386" s="11">
        <v>0</v>
      </c>
      <c r="AC386" s="10"/>
      <c r="AD386" s="7">
        <f>SUM(F386+H386+J386+L386+N386+P386+R386+T386+V386+X386+Z386+AB386)</f>
        <v>1240000</v>
      </c>
      <c r="AE386" s="7">
        <f>E386+AD386</f>
        <v>1350000</v>
      </c>
      <c r="AF386" s="8">
        <f>G386+I386+K386+M386+O386+Q386+S386+U386+W386+Y386+AA386+AC386</f>
        <v>970000</v>
      </c>
      <c r="AG386" s="153">
        <f>SUM(AE386-AF386)</f>
        <v>380000</v>
      </c>
      <c r="AH386" s="99" t="s">
        <v>684</v>
      </c>
      <c r="AI386" s="99">
        <v>4</v>
      </c>
    </row>
    <row r="387" spans="1:42" customHeight="1" ht="11.5">
      <c r="A387" s="5">
        <v>379</v>
      </c>
      <c r="B387" s="166" t="s">
        <v>685</v>
      </c>
      <c r="C387" s="167" t="s">
        <v>36</v>
      </c>
      <c r="D387" s="88" t="s">
        <v>37</v>
      </c>
      <c r="E387" s="86">
        <v>0</v>
      </c>
      <c r="F387" s="9">
        <v>0</v>
      </c>
      <c r="G387" s="10"/>
      <c r="H387" s="9">
        <v>0</v>
      </c>
      <c r="I387" s="10"/>
      <c r="J387" s="152">
        <v>0</v>
      </c>
      <c r="K387" s="10"/>
      <c r="L387" s="152">
        <v>0</v>
      </c>
      <c r="M387" s="10"/>
      <c r="N387" s="152">
        <v>0</v>
      </c>
      <c r="O387" s="10"/>
      <c r="P387" s="152">
        <v>0</v>
      </c>
      <c r="Q387" s="10"/>
      <c r="R387" s="9">
        <v>0</v>
      </c>
      <c r="S387" s="10"/>
      <c r="T387" s="9">
        <v>0</v>
      </c>
      <c r="U387" s="10"/>
      <c r="V387" s="9">
        <v>0</v>
      </c>
      <c r="W387" s="10"/>
      <c r="X387" s="9">
        <v>0</v>
      </c>
      <c r="Y387" s="10"/>
      <c r="Z387" s="9">
        <v>0</v>
      </c>
      <c r="AA387" s="10"/>
      <c r="AB387" s="11">
        <v>0</v>
      </c>
      <c r="AC387" s="10"/>
      <c r="AD387" s="7">
        <f>SUM(F387+H387+J387+L387+N387+P387+R387+T387+V387+X387+Z387+AB387)</f>
        <v>0</v>
      </c>
      <c r="AE387" s="7">
        <f>E387+AD387</f>
        <v>0</v>
      </c>
      <c r="AF387" s="8">
        <f>G387+I387+K387+M387+O387+Q387+S387+U387+W387+Y387+AA387+AC387</f>
        <v>0</v>
      </c>
      <c r="AG387" s="153">
        <f>SUM(AE387-AF387)</f>
        <v>0</v>
      </c>
      <c r="AH387" s="99" t="s">
        <v>686</v>
      </c>
      <c r="AI387" s="99">
        <v>4</v>
      </c>
    </row>
    <row r="388" spans="1:42" customHeight="1" ht="11.5">
      <c r="A388" s="5">
        <v>380</v>
      </c>
      <c r="B388" s="166" t="s">
        <v>687</v>
      </c>
      <c r="C388" s="167" t="s">
        <v>91</v>
      </c>
      <c r="D388" s="88" t="s">
        <v>92</v>
      </c>
      <c r="E388" s="86">
        <v>0</v>
      </c>
      <c r="F388" s="9">
        <v>5000</v>
      </c>
      <c r="G388" s="10"/>
      <c r="H388" s="9">
        <v>0</v>
      </c>
      <c r="I388" s="10"/>
      <c r="J388" s="152">
        <v>0</v>
      </c>
      <c r="K388" s="10">
        <v>5000</v>
      </c>
      <c r="L388" s="152">
        <v>0</v>
      </c>
      <c r="M388" s="10"/>
      <c r="N388" s="152">
        <v>0</v>
      </c>
      <c r="O388" s="10"/>
      <c r="P388" s="152">
        <v>5000</v>
      </c>
      <c r="Q388" s="10"/>
      <c r="R388" s="9">
        <v>0</v>
      </c>
      <c r="S388" s="10"/>
      <c r="T388" s="9">
        <v>0</v>
      </c>
      <c r="U388" s="10"/>
      <c r="V388" s="9">
        <v>0</v>
      </c>
      <c r="W388" s="10"/>
      <c r="X388" s="9">
        <v>0</v>
      </c>
      <c r="Y388" s="10"/>
      <c r="Z388" s="9">
        <v>0</v>
      </c>
      <c r="AA388" s="10"/>
      <c r="AB388" s="11">
        <v>0</v>
      </c>
      <c r="AC388" s="10"/>
      <c r="AD388" s="7">
        <f>SUM(F388+H388+J388+L388+N388+P388+R388+T388+V388+X388+Z388+AB388)</f>
        <v>10000</v>
      </c>
      <c r="AE388" s="7">
        <f>E388+AD388</f>
        <v>10000</v>
      </c>
      <c r="AF388" s="8">
        <f>G388+I388+K388+M388+O388+Q388+S388+U388+W388+Y388+AA388+AC388</f>
        <v>5000</v>
      </c>
      <c r="AG388" s="153">
        <f>SUM(AE388-AF388)</f>
        <v>5000</v>
      </c>
      <c r="AH388" s="99" t="s">
        <v>688</v>
      </c>
      <c r="AI388" s="99">
        <v>4</v>
      </c>
    </row>
    <row r="389" spans="1:42" customHeight="1" ht="11.5">
      <c r="A389" s="5">
        <v>381</v>
      </c>
      <c r="B389" s="166" t="s">
        <v>689</v>
      </c>
      <c r="C389" s="167" t="s">
        <v>112</v>
      </c>
      <c r="D389" s="88" t="s">
        <v>113</v>
      </c>
      <c r="E389" s="86">
        <v>0</v>
      </c>
      <c r="F389" s="9">
        <v>0</v>
      </c>
      <c r="G389" s="10"/>
      <c r="H389" s="9">
        <v>0</v>
      </c>
      <c r="I389" s="10"/>
      <c r="J389" s="152">
        <v>0</v>
      </c>
      <c r="K389" s="10"/>
      <c r="L389" s="152">
        <v>0</v>
      </c>
      <c r="M389" s="10"/>
      <c r="N389" s="152">
        <v>0</v>
      </c>
      <c r="O389" s="10"/>
      <c r="P389" s="152">
        <v>0</v>
      </c>
      <c r="Q389" s="10"/>
      <c r="R389" s="9">
        <v>0</v>
      </c>
      <c r="S389" s="10"/>
      <c r="T389" s="9">
        <v>0</v>
      </c>
      <c r="U389" s="10"/>
      <c r="V389" s="9">
        <v>0</v>
      </c>
      <c r="W389" s="10"/>
      <c r="X389" s="9">
        <v>0</v>
      </c>
      <c r="Y389" s="10"/>
      <c r="Z389" s="9">
        <v>0</v>
      </c>
      <c r="AA389" s="10"/>
      <c r="AB389" s="11">
        <v>0</v>
      </c>
      <c r="AC389" s="10"/>
      <c r="AD389" s="7">
        <f>SUM(F389+H389+J389+L389+N389+P389+R389+T389+V389+X389+Z389+AB389)</f>
        <v>0</v>
      </c>
      <c r="AE389" s="7">
        <f>E389+AD389</f>
        <v>0</v>
      </c>
      <c r="AF389" s="8">
        <f>G389+I389+K389+M389+O389+Q389+S389+U389+W389+Y389+AA389+AC389</f>
        <v>0</v>
      </c>
      <c r="AG389" s="153">
        <f>SUM(AE389-AF389)</f>
        <v>0</v>
      </c>
      <c r="AH389" s="99" t="s">
        <v>690</v>
      </c>
      <c r="AI389" s="99">
        <v>4</v>
      </c>
    </row>
    <row r="390" spans="1:42" customHeight="1" ht="11.5">
      <c r="A390" s="5">
        <v>382</v>
      </c>
      <c r="B390" s="166" t="s">
        <v>691</v>
      </c>
      <c r="C390" s="167" t="s">
        <v>109</v>
      </c>
      <c r="D390" s="88" t="s">
        <v>110</v>
      </c>
      <c r="E390" s="86">
        <v>1000</v>
      </c>
      <c r="F390" s="9">
        <v>500</v>
      </c>
      <c r="G390" s="10">
        <v>1000</v>
      </c>
      <c r="H390" s="9">
        <v>2500</v>
      </c>
      <c r="I390" s="10"/>
      <c r="J390" s="152">
        <v>1000</v>
      </c>
      <c r="K390" s="10">
        <v>3000</v>
      </c>
      <c r="L390" s="152">
        <v>500</v>
      </c>
      <c r="M390" s="10"/>
      <c r="N390" s="152">
        <v>1000</v>
      </c>
      <c r="O390" s="10">
        <v>1500</v>
      </c>
      <c r="P390" s="152">
        <v>1000</v>
      </c>
      <c r="Q390" s="10"/>
      <c r="R390" s="9">
        <v>1000</v>
      </c>
      <c r="S390" s="10"/>
      <c r="T390" s="9">
        <v>0</v>
      </c>
      <c r="U390" s="10"/>
      <c r="V390" s="9">
        <v>0</v>
      </c>
      <c r="W390" s="10"/>
      <c r="X390" s="9">
        <v>0</v>
      </c>
      <c r="Y390" s="10"/>
      <c r="Z390" s="9">
        <v>0</v>
      </c>
      <c r="AA390" s="10"/>
      <c r="AB390" s="11">
        <v>0</v>
      </c>
      <c r="AC390" s="10"/>
      <c r="AD390" s="7">
        <f>SUM(F390+H390+J390+L390+N390+P390+R390+T390+V390+X390+Z390+AB390)</f>
        <v>7500</v>
      </c>
      <c r="AE390" s="7">
        <f>E390+AD390</f>
        <v>8500</v>
      </c>
      <c r="AF390" s="8">
        <f>G390+I390+K390+M390+O390+Q390+S390+U390+W390+Y390+AA390+AC390</f>
        <v>5500</v>
      </c>
      <c r="AG390" s="153">
        <f>SUM(AE390-AF390)</f>
        <v>3000</v>
      </c>
      <c r="AH390" s="99" t="s">
        <v>692</v>
      </c>
      <c r="AI390" s="99">
        <v>3</v>
      </c>
    </row>
    <row r="391" spans="1:42" customHeight="1" ht="11.5">
      <c r="A391" s="5">
        <v>383</v>
      </c>
      <c r="B391" s="166" t="s">
        <v>693</v>
      </c>
      <c r="C391" s="167" t="s">
        <v>36</v>
      </c>
      <c r="D391" s="88" t="s">
        <v>37</v>
      </c>
      <c r="E391" s="86">
        <v>0</v>
      </c>
      <c r="F391" s="9">
        <v>0</v>
      </c>
      <c r="G391" s="10"/>
      <c r="H391" s="9">
        <v>0</v>
      </c>
      <c r="I391" s="10"/>
      <c r="J391" s="152">
        <v>0</v>
      </c>
      <c r="K391" s="10"/>
      <c r="L391" s="152">
        <v>0</v>
      </c>
      <c r="M391" s="10"/>
      <c r="N391" s="152">
        <v>0</v>
      </c>
      <c r="O391" s="10"/>
      <c r="P391" s="152">
        <v>0</v>
      </c>
      <c r="Q391" s="10"/>
      <c r="R391" s="9">
        <v>0</v>
      </c>
      <c r="S391" s="10"/>
      <c r="T391" s="9">
        <v>0</v>
      </c>
      <c r="U391" s="10"/>
      <c r="V391" s="9">
        <v>0</v>
      </c>
      <c r="W391" s="10"/>
      <c r="X391" s="9">
        <v>0</v>
      </c>
      <c r="Y391" s="10"/>
      <c r="Z391" s="9">
        <v>0</v>
      </c>
      <c r="AA391" s="10"/>
      <c r="AB391" s="11">
        <v>0</v>
      </c>
      <c r="AC391" s="10"/>
      <c r="AD391" s="7">
        <f>SUM(F391+H391+J391+L391+N391+P391+R391+T391+V391+X391+Z391+AB391)</f>
        <v>0</v>
      </c>
      <c r="AE391" s="7">
        <f>E391+AD391</f>
        <v>0</v>
      </c>
      <c r="AF391" s="8">
        <f>G391+I391+K391+M391+O391+Q391+S391+U391+W391+Y391+AA391+AC391</f>
        <v>0</v>
      </c>
      <c r="AG391" s="153">
        <f>SUM(AE391-AF391)</f>
        <v>0</v>
      </c>
      <c r="AH391" s="99" t="s">
        <v>694</v>
      </c>
      <c r="AI391" s="99">
        <v>4</v>
      </c>
    </row>
    <row r="392" spans="1:42" customHeight="1" ht="11.5">
      <c r="A392" s="5">
        <v>384</v>
      </c>
      <c r="B392" s="166" t="s">
        <v>695</v>
      </c>
      <c r="C392" s="167" t="s">
        <v>36</v>
      </c>
      <c r="D392" s="88" t="s">
        <v>37</v>
      </c>
      <c r="E392" s="86">
        <v>0</v>
      </c>
      <c r="F392" s="9">
        <v>10000</v>
      </c>
      <c r="G392" s="10"/>
      <c r="H392" s="9">
        <v>0</v>
      </c>
      <c r="I392" s="10">
        <v>10000</v>
      </c>
      <c r="J392" s="152">
        <v>10000</v>
      </c>
      <c r="K392" s="10"/>
      <c r="L392" s="152">
        <v>0</v>
      </c>
      <c r="M392" s="10">
        <v>10000</v>
      </c>
      <c r="N392" s="152">
        <v>0</v>
      </c>
      <c r="O392" s="10"/>
      <c r="P392" s="152">
        <v>10000</v>
      </c>
      <c r="Q392" s="10"/>
      <c r="R392" s="9">
        <v>0</v>
      </c>
      <c r="S392" s="10"/>
      <c r="T392" s="9">
        <v>0</v>
      </c>
      <c r="U392" s="10"/>
      <c r="V392" s="9">
        <v>0</v>
      </c>
      <c r="W392" s="10"/>
      <c r="X392" s="9">
        <v>0</v>
      </c>
      <c r="Y392" s="10"/>
      <c r="Z392" s="9">
        <v>0</v>
      </c>
      <c r="AA392" s="10"/>
      <c r="AB392" s="11">
        <v>0</v>
      </c>
      <c r="AC392" s="10"/>
      <c r="AD392" s="7">
        <f>SUM(F392+H392+J392+L392+N392+P392+R392+T392+V392+X392+Z392+AB392)</f>
        <v>30000</v>
      </c>
      <c r="AE392" s="7">
        <f>E392+AD392</f>
        <v>30000</v>
      </c>
      <c r="AF392" s="8">
        <f>G392+I392+K392+M392+O392+Q392+S392+U392+W392+Y392+AA392+AC392</f>
        <v>20000</v>
      </c>
      <c r="AG392" s="153">
        <f>SUM(AE392-AF392)</f>
        <v>10000</v>
      </c>
      <c r="AH392" s="99" t="s">
        <v>696</v>
      </c>
      <c r="AI392" s="99">
        <v>4</v>
      </c>
    </row>
    <row r="393" spans="1:42" customHeight="1" ht="11.5">
      <c r="A393" s="5">
        <v>385</v>
      </c>
      <c r="B393" s="166" t="s">
        <v>697</v>
      </c>
      <c r="C393" s="167" t="s">
        <v>36</v>
      </c>
      <c r="D393" s="88" t="s">
        <v>37</v>
      </c>
      <c r="E393" s="86">
        <v>10000</v>
      </c>
      <c r="F393" s="9">
        <v>20000</v>
      </c>
      <c r="G393" s="10">
        <v>10000</v>
      </c>
      <c r="H393" s="9">
        <v>20000</v>
      </c>
      <c r="I393" s="10">
        <v>20000</v>
      </c>
      <c r="J393" s="152">
        <v>20000</v>
      </c>
      <c r="K393" s="10">
        <v>20000</v>
      </c>
      <c r="L393" s="152">
        <v>20000</v>
      </c>
      <c r="M393" s="10">
        <v>20000</v>
      </c>
      <c r="N393" s="152">
        <v>20000</v>
      </c>
      <c r="O393" s="10">
        <v>20000</v>
      </c>
      <c r="P393" s="152">
        <v>10000</v>
      </c>
      <c r="Q393" s="10">
        <v>20000</v>
      </c>
      <c r="R393" s="9">
        <v>20000</v>
      </c>
      <c r="S393" s="10"/>
      <c r="T393" s="9">
        <v>0</v>
      </c>
      <c r="U393" s="10"/>
      <c r="V393" s="9">
        <v>0</v>
      </c>
      <c r="W393" s="10"/>
      <c r="X393" s="9">
        <v>0</v>
      </c>
      <c r="Y393" s="10"/>
      <c r="Z393" s="9">
        <v>0</v>
      </c>
      <c r="AA393" s="10"/>
      <c r="AB393" s="11">
        <v>0</v>
      </c>
      <c r="AC393" s="10"/>
      <c r="AD393" s="7">
        <f>SUM(F393+H393+J393+L393+N393+P393+R393+T393+V393+X393+Z393+AB393)</f>
        <v>130000</v>
      </c>
      <c r="AE393" s="7">
        <f>E393+AD393</f>
        <v>140000</v>
      </c>
      <c r="AF393" s="8">
        <f>G393+I393+K393+M393+O393+Q393+S393+U393+W393+Y393+AA393+AC393</f>
        <v>110000</v>
      </c>
      <c r="AG393" s="153">
        <f>SUM(AE393-AF393)</f>
        <v>30000</v>
      </c>
      <c r="AH393" s="99" t="s">
        <v>698</v>
      </c>
      <c r="AI393" s="99">
        <v>4</v>
      </c>
    </row>
    <row r="394" spans="1:42" customHeight="1" ht="11.5">
      <c r="A394" s="5">
        <v>386</v>
      </c>
      <c r="B394" s="166" t="s">
        <v>699</v>
      </c>
      <c r="C394" s="167" t="s">
        <v>105</v>
      </c>
      <c r="D394" s="88" t="s">
        <v>106</v>
      </c>
      <c r="E394" s="86">
        <v>0</v>
      </c>
      <c r="F394" s="9">
        <v>0</v>
      </c>
      <c r="G394" s="10"/>
      <c r="H394" s="9">
        <v>0</v>
      </c>
      <c r="I394" s="10"/>
      <c r="J394" s="152">
        <v>0</v>
      </c>
      <c r="K394" s="10"/>
      <c r="L394" s="152">
        <v>0</v>
      </c>
      <c r="M394" s="10"/>
      <c r="N394" s="152">
        <v>0</v>
      </c>
      <c r="O394" s="10"/>
      <c r="P394" s="152">
        <v>0</v>
      </c>
      <c r="Q394" s="10"/>
      <c r="R394" s="9">
        <v>0</v>
      </c>
      <c r="S394" s="10"/>
      <c r="T394" s="9">
        <v>0</v>
      </c>
      <c r="U394" s="10"/>
      <c r="V394" s="9">
        <v>0</v>
      </c>
      <c r="W394" s="10"/>
      <c r="X394" s="9">
        <v>0</v>
      </c>
      <c r="Y394" s="10"/>
      <c r="Z394" s="9">
        <v>0</v>
      </c>
      <c r="AA394" s="10"/>
      <c r="AB394" s="11">
        <v>0</v>
      </c>
      <c r="AC394" s="10"/>
      <c r="AD394" s="7">
        <f>SUM(F394+H394+J394+L394+N394+P394+R394+T394+V394+X394+Z394+AB394)</f>
        <v>0</v>
      </c>
      <c r="AE394" s="7">
        <f>E394+AD394</f>
        <v>0</v>
      </c>
      <c r="AF394" s="8">
        <f>G394+I394+K394+M394+O394+Q394+S394+U394+W394+Y394+AA394+AC394</f>
        <v>0</v>
      </c>
      <c r="AG394" s="153">
        <f>SUM(AE394-AF394)</f>
        <v>0</v>
      </c>
      <c r="AH394" s="99" t="s">
        <v>700</v>
      </c>
      <c r="AI394" s="99">
        <v>4</v>
      </c>
    </row>
    <row r="395" spans="1:42" customHeight="1" ht="11.5">
      <c r="A395" s="5">
        <v>387</v>
      </c>
      <c r="B395" s="166" t="s">
        <v>701</v>
      </c>
      <c r="C395" s="167" t="s">
        <v>36</v>
      </c>
      <c r="D395" s="88" t="s">
        <v>37</v>
      </c>
      <c r="E395" s="86">
        <v>0</v>
      </c>
      <c r="F395" s="9">
        <v>0</v>
      </c>
      <c r="G395" s="10"/>
      <c r="H395" s="9">
        <v>0</v>
      </c>
      <c r="I395" s="10"/>
      <c r="J395" s="152">
        <v>0</v>
      </c>
      <c r="K395" s="10"/>
      <c r="L395" s="152">
        <v>0</v>
      </c>
      <c r="M395" s="10"/>
      <c r="N395" s="152">
        <v>10000</v>
      </c>
      <c r="O395" s="10"/>
      <c r="P395" s="152">
        <v>0</v>
      </c>
      <c r="Q395" s="10">
        <v>10000</v>
      </c>
      <c r="R395" s="9">
        <v>0</v>
      </c>
      <c r="S395" s="10"/>
      <c r="T395" s="9">
        <v>0</v>
      </c>
      <c r="U395" s="10"/>
      <c r="V395" s="9">
        <v>0</v>
      </c>
      <c r="W395" s="10"/>
      <c r="X395" s="9">
        <v>0</v>
      </c>
      <c r="Y395" s="10"/>
      <c r="Z395" s="9">
        <v>0</v>
      </c>
      <c r="AA395" s="10"/>
      <c r="AB395" s="11">
        <v>0</v>
      </c>
      <c r="AC395" s="10"/>
      <c r="AD395" s="7">
        <f>SUM(F395+H395+J395+L395+N395+P395+R395+T395+V395+X395+Z395+AB395)</f>
        <v>10000</v>
      </c>
      <c r="AE395" s="7">
        <f>E395+AD395</f>
        <v>10000</v>
      </c>
      <c r="AF395" s="8">
        <f>G395+I395+K395+M395+O395+Q395+S395+U395+W395+Y395+AA395+AC395</f>
        <v>10000</v>
      </c>
      <c r="AG395" s="153">
        <f>SUM(AE395-AF395)</f>
        <v>0</v>
      </c>
      <c r="AH395" s="99" t="s">
        <v>702</v>
      </c>
      <c r="AI395" s="99">
        <v>4</v>
      </c>
    </row>
    <row r="396" spans="1:42" customHeight="1" ht="11.5">
      <c r="A396" s="5">
        <v>388</v>
      </c>
      <c r="B396" s="170" t="s">
        <v>703</v>
      </c>
      <c r="C396" s="167" t="s">
        <v>36</v>
      </c>
      <c r="D396" s="88" t="s">
        <v>37</v>
      </c>
      <c r="E396" s="86">
        <v>0</v>
      </c>
      <c r="F396" s="9">
        <v>0</v>
      </c>
      <c r="G396" s="10"/>
      <c r="H396" s="9">
        <v>0</v>
      </c>
      <c r="I396" s="10"/>
      <c r="J396" s="152">
        <v>0</v>
      </c>
      <c r="K396" s="10"/>
      <c r="L396" s="152">
        <v>0</v>
      </c>
      <c r="M396" s="10"/>
      <c r="N396" s="152">
        <v>0</v>
      </c>
      <c r="O396" s="10"/>
      <c r="P396" s="152">
        <v>0</v>
      </c>
      <c r="Q396" s="10"/>
      <c r="R396" s="9">
        <v>0</v>
      </c>
      <c r="S396" s="10"/>
      <c r="T396" s="9">
        <v>0</v>
      </c>
      <c r="U396" s="10"/>
      <c r="V396" s="9">
        <v>0</v>
      </c>
      <c r="W396" s="10"/>
      <c r="X396" s="9">
        <v>0</v>
      </c>
      <c r="Y396" s="10"/>
      <c r="Z396" s="9">
        <v>0</v>
      </c>
      <c r="AA396" s="10"/>
      <c r="AB396" s="11">
        <v>0</v>
      </c>
      <c r="AC396" s="10"/>
      <c r="AD396" s="7">
        <f>SUM(F396+H396+J396+L396+N396+P396+R396+T396+V396+X396+Z396+AB396)</f>
        <v>0</v>
      </c>
      <c r="AE396" s="7">
        <f>E396+AD396</f>
        <v>0</v>
      </c>
      <c r="AF396" s="8">
        <f>G396+I396+K396+M396+O396+Q396+S396+U396+W396+Y396+AA396+AC396</f>
        <v>0</v>
      </c>
      <c r="AG396" s="153">
        <f>SUM(AE396-AF396)</f>
        <v>0</v>
      </c>
      <c r="AH396" s="99" t="s">
        <v>704</v>
      </c>
      <c r="AI396" s="99">
        <v>4</v>
      </c>
    </row>
    <row r="397" spans="1:42" customHeight="1" ht="11.5">
      <c r="A397" s="5">
        <v>389</v>
      </c>
      <c r="B397" s="166" t="s">
        <v>705</v>
      </c>
      <c r="C397" s="167" t="s">
        <v>36</v>
      </c>
      <c r="D397" s="88" t="s">
        <v>37</v>
      </c>
      <c r="E397" s="86">
        <v>80000</v>
      </c>
      <c r="F397" s="9">
        <v>90000</v>
      </c>
      <c r="G397" s="10">
        <v>80000</v>
      </c>
      <c r="H397" s="9">
        <v>110000</v>
      </c>
      <c r="I397" s="10">
        <v>90000</v>
      </c>
      <c r="J397" s="152">
        <v>90000</v>
      </c>
      <c r="K397" s="10">
        <v>110000</v>
      </c>
      <c r="L397" s="152">
        <v>110000</v>
      </c>
      <c r="M397" s="10">
        <v>90000</v>
      </c>
      <c r="N397" s="152">
        <v>90000</v>
      </c>
      <c r="O397" s="10">
        <v>110000</v>
      </c>
      <c r="P397" s="152">
        <v>55000</v>
      </c>
      <c r="Q397" s="10">
        <v>90000</v>
      </c>
      <c r="R397" s="9">
        <v>115000</v>
      </c>
      <c r="S397" s="10"/>
      <c r="T397" s="9">
        <v>0</v>
      </c>
      <c r="U397" s="10"/>
      <c r="V397" s="9">
        <v>0</v>
      </c>
      <c r="W397" s="10"/>
      <c r="X397" s="9">
        <v>0</v>
      </c>
      <c r="Y397" s="10"/>
      <c r="Z397" s="9">
        <v>0</v>
      </c>
      <c r="AA397" s="10"/>
      <c r="AB397" s="11">
        <v>0</v>
      </c>
      <c r="AC397" s="10"/>
      <c r="AD397" s="7">
        <f>SUM(F397+H397+J397+L397+N397+P397+R397+T397+V397+X397+Z397+AB397)</f>
        <v>660000</v>
      </c>
      <c r="AE397" s="7">
        <f>E397+AD397</f>
        <v>740000</v>
      </c>
      <c r="AF397" s="8">
        <f>G397+I397+K397+M397+O397+Q397+S397+U397+W397+Y397+AA397+AC397</f>
        <v>570000</v>
      </c>
      <c r="AG397" s="153">
        <f>SUM(AE397-AF397)</f>
        <v>170000</v>
      </c>
      <c r="AH397" s="99" t="s">
        <v>706</v>
      </c>
      <c r="AI397" s="99">
        <v>4</v>
      </c>
    </row>
    <row r="398" spans="1:42" customHeight="1" ht="11.5">
      <c r="A398" s="5">
        <v>390</v>
      </c>
      <c r="B398" s="166" t="s">
        <v>707</v>
      </c>
      <c r="C398" s="167" t="s">
        <v>36</v>
      </c>
      <c r="D398" s="88" t="s">
        <v>37</v>
      </c>
      <c r="E398" s="86">
        <v>40000</v>
      </c>
      <c r="F398" s="9">
        <v>40000</v>
      </c>
      <c r="G398" s="10">
        <v>40000</v>
      </c>
      <c r="H398" s="9">
        <v>60000</v>
      </c>
      <c r="I398" s="10">
        <v>40000</v>
      </c>
      <c r="J398" s="152">
        <v>60000</v>
      </c>
      <c r="K398" s="10">
        <v>60000</v>
      </c>
      <c r="L398" s="152">
        <v>40000</v>
      </c>
      <c r="M398" s="10">
        <v>60000</v>
      </c>
      <c r="N398" s="152">
        <v>50000</v>
      </c>
      <c r="O398" s="10">
        <v>40000</v>
      </c>
      <c r="P398" s="152">
        <v>50000</v>
      </c>
      <c r="Q398" s="10">
        <v>50000</v>
      </c>
      <c r="R398" s="9">
        <v>40000</v>
      </c>
      <c r="S398" s="10"/>
      <c r="T398" s="9">
        <v>0</v>
      </c>
      <c r="U398" s="10"/>
      <c r="V398" s="9">
        <v>0</v>
      </c>
      <c r="W398" s="10"/>
      <c r="X398" s="9">
        <v>0</v>
      </c>
      <c r="Y398" s="10"/>
      <c r="Z398" s="9">
        <v>0</v>
      </c>
      <c r="AA398" s="10"/>
      <c r="AB398" s="11">
        <v>0</v>
      </c>
      <c r="AC398" s="10"/>
      <c r="AD398" s="7">
        <f>SUM(F398+H398+J398+L398+N398+P398+R398+T398+V398+X398+Z398+AB398)</f>
        <v>340000</v>
      </c>
      <c r="AE398" s="7">
        <f>E398+AD398</f>
        <v>380000</v>
      </c>
      <c r="AF398" s="8">
        <f>G398+I398+K398+M398+O398+Q398+S398+U398+W398+Y398+AA398+AC398</f>
        <v>290000</v>
      </c>
      <c r="AG398" s="153">
        <f>SUM(AE398-AF398)</f>
        <v>90000</v>
      </c>
      <c r="AH398" s="99" t="s">
        <v>708</v>
      </c>
      <c r="AI398" s="99">
        <v>4</v>
      </c>
    </row>
    <row r="399" spans="1:42" customHeight="1" ht="11.5">
      <c r="A399" s="5">
        <v>391</v>
      </c>
      <c r="B399" s="166" t="s">
        <v>709</v>
      </c>
      <c r="C399" s="167" t="s">
        <v>36</v>
      </c>
      <c r="D399" s="88" t="s">
        <v>37</v>
      </c>
      <c r="E399" s="86">
        <v>40000</v>
      </c>
      <c r="F399" s="9">
        <v>40000</v>
      </c>
      <c r="G399" s="10">
        <v>40000</v>
      </c>
      <c r="H399" s="9">
        <v>60000</v>
      </c>
      <c r="I399" s="10">
        <v>40000</v>
      </c>
      <c r="J399" s="152">
        <v>60000</v>
      </c>
      <c r="K399" s="10">
        <v>60000</v>
      </c>
      <c r="L399" s="152">
        <v>50000</v>
      </c>
      <c r="M399" s="10">
        <v>60000</v>
      </c>
      <c r="N399" s="152">
        <v>80000</v>
      </c>
      <c r="O399" s="10">
        <v>50000</v>
      </c>
      <c r="P399" s="152">
        <v>60000</v>
      </c>
      <c r="Q399" s="10">
        <v>80000</v>
      </c>
      <c r="R399" s="9">
        <v>80000</v>
      </c>
      <c r="S399" s="10"/>
      <c r="T399" s="9">
        <v>0</v>
      </c>
      <c r="U399" s="10"/>
      <c r="V399" s="9">
        <v>0</v>
      </c>
      <c r="W399" s="10"/>
      <c r="X399" s="9">
        <v>0</v>
      </c>
      <c r="Y399" s="10"/>
      <c r="Z399" s="9">
        <v>0</v>
      </c>
      <c r="AA399" s="10"/>
      <c r="AB399" s="11">
        <v>0</v>
      </c>
      <c r="AC399" s="10"/>
      <c r="AD399" s="7">
        <f>SUM(F399+H399+J399+L399+N399+P399+R399+T399+V399+X399+Z399+AB399)</f>
        <v>430000</v>
      </c>
      <c r="AE399" s="7">
        <f>E399+AD399</f>
        <v>470000</v>
      </c>
      <c r="AF399" s="8">
        <f>G399+I399+K399+M399+O399+Q399+S399+U399+W399+Y399+AA399+AC399</f>
        <v>330000</v>
      </c>
      <c r="AG399" s="153">
        <f>SUM(AE399-AF399)</f>
        <v>140000</v>
      </c>
      <c r="AH399" s="99" t="s">
        <v>710</v>
      </c>
      <c r="AI399" s="99">
        <v>4</v>
      </c>
    </row>
    <row r="400" spans="1:42" customHeight="1" ht="11.5">
      <c r="A400" s="5">
        <v>392</v>
      </c>
      <c r="B400" s="166" t="s">
        <v>711</v>
      </c>
      <c r="C400" s="167" t="s">
        <v>36</v>
      </c>
      <c r="D400" s="88" t="s">
        <v>37</v>
      </c>
      <c r="E400" s="86">
        <v>10000</v>
      </c>
      <c r="F400" s="9">
        <v>0</v>
      </c>
      <c r="G400" s="10">
        <v>10000</v>
      </c>
      <c r="H400" s="9">
        <v>10000</v>
      </c>
      <c r="I400" s="10"/>
      <c r="J400" s="152">
        <v>10000</v>
      </c>
      <c r="K400" s="10">
        <v>10000</v>
      </c>
      <c r="L400" s="152">
        <v>0</v>
      </c>
      <c r="M400" s="10">
        <v>10000</v>
      </c>
      <c r="N400" s="152">
        <v>0</v>
      </c>
      <c r="O400" s="10"/>
      <c r="P400" s="152">
        <v>10000</v>
      </c>
      <c r="Q400" s="10"/>
      <c r="R400" s="9">
        <v>20000</v>
      </c>
      <c r="S400" s="10"/>
      <c r="T400" s="9">
        <v>0</v>
      </c>
      <c r="U400" s="10"/>
      <c r="V400" s="9">
        <v>0</v>
      </c>
      <c r="W400" s="10"/>
      <c r="X400" s="9">
        <v>0</v>
      </c>
      <c r="Y400" s="10"/>
      <c r="Z400" s="9">
        <v>0</v>
      </c>
      <c r="AA400" s="10"/>
      <c r="AB400" s="11">
        <v>0</v>
      </c>
      <c r="AC400" s="10"/>
      <c r="AD400" s="7">
        <f>SUM(F400+H400+J400+L400+N400+P400+R400+T400+V400+X400+Z400+AB400)</f>
        <v>50000</v>
      </c>
      <c r="AE400" s="7">
        <f>E400+AD400</f>
        <v>60000</v>
      </c>
      <c r="AF400" s="8">
        <f>G400+I400+K400+M400+O400+Q400+S400+U400+W400+Y400+AA400+AC400</f>
        <v>30000</v>
      </c>
      <c r="AG400" s="153">
        <f>SUM(AE400-AF400)</f>
        <v>30000</v>
      </c>
      <c r="AH400" s="99" t="s">
        <v>712</v>
      </c>
      <c r="AI400" s="99">
        <v>4</v>
      </c>
    </row>
    <row r="401" spans="1:42" customHeight="1" ht="11.5">
      <c r="A401" s="5">
        <v>393</v>
      </c>
      <c r="B401" s="166" t="s">
        <v>713</v>
      </c>
      <c r="C401" s="167" t="s">
        <v>105</v>
      </c>
      <c r="D401" s="88" t="s">
        <v>106</v>
      </c>
      <c r="E401" s="86">
        <v>0</v>
      </c>
      <c r="F401" s="9">
        <v>0</v>
      </c>
      <c r="G401" s="10"/>
      <c r="H401" s="9">
        <v>0</v>
      </c>
      <c r="I401" s="10"/>
      <c r="J401" s="152">
        <v>20000</v>
      </c>
      <c r="K401" s="10"/>
      <c r="L401" s="152">
        <v>0</v>
      </c>
      <c r="M401" s="10">
        <v>20000</v>
      </c>
      <c r="N401" s="152">
        <v>20000</v>
      </c>
      <c r="O401" s="10"/>
      <c r="P401" s="152">
        <v>0</v>
      </c>
      <c r="Q401" s="10">
        <v>20000</v>
      </c>
      <c r="R401" s="9">
        <v>0</v>
      </c>
      <c r="S401" s="10"/>
      <c r="T401" s="9">
        <v>0</v>
      </c>
      <c r="U401" s="10"/>
      <c r="V401" s="9">
        <v>0</v>
      </c>
      <c r="W401" s="10"/>
      <c r="X401" s="9">
        <v>0</v>
      </c>
      <c r="Y401" s="10"/>
      <c r="Z401" s="9">
        <v>0</v>
      </c>
      <c r="AA401" s="10"/>
      <c r="AB401" s="11">
        <v>0</v>
      </c>
      <c r="AC401" s="10"/>
      <c r="AD401" s="7">
        <f>SUM(F401+H401+J401+L401+N401+P401+R401+T401+V401+X401+Z401+AB401)</f>
        <v>40000</v>
      </c>
      <c r="AE401" s="7">
        <f>E401+AD401</f>
        <v>40000</v>
      </c>
      <c r="AF401" s="8">
        <f>G401+I401+K401+M401+O401+Q401+S401+U401+W401+Y401+AA401+AC401</f>
        <v>40000</v>
      </c>
      <c r="AG401" s="153">
        <f>SUM(AE401-AF401)</f>
        <v>0</v>
      </c>
      <c r="AH401" s="99" t="s">
        <v>714</v>
      </c>
      <c r="AI401" s="99">
        <v>4</v>
      </c>
    </row>
    <row r="402" spans="1:42" customHeight="1" ht="11.5">
      <c r="A402" s="5">
        <v>394</v>
      </c>
      <c r="B402" s="166" t="s">
        <v>715</v>
      </c>
      <c r="C402" s="167" t="s">
        <v>36</v>
      </c>
      <c r="D402" s="88" t="s">
        <v>37</v>
      </c>
      <c r="E402" s="86">
        <v>0</v>
      </c>
      <c r="F402" s="9">
        <v>0</v>
      </c>
      <c r="G402" s="10"/>
      <c r="H402" s="9">
        <v>0</v>
      </c>
      <c r="I402" s="10"/>
      <c r="J402" s="152">
        <v>0</v>
      </c>
      <c r="K402" s="10"/>
      <c r="L402" s="152">
        <v>0</v>
      </c>
      <c r="M402" s="10"/>
      <c r="N402" s="152">
        <v>0</v>
      </c>
      <c r="O402" s="10"/>
      <c r="P402" s="152">
        <v>0</v>
      </c>
      <c r="Q402" s="10"/>
      <c r="R402" s="9">
        <v>0</v>
      </c>
      <c r="S402" s="10"/>
      <c r="T402" s="9">
        <v>0</v>
      </c>
      <c r="U402" s="10"/>
      <c r="V402" s="9">
        <v>0</v>
      </c>
      <c r="W402" s="10"/>
      <c r="X402" s="9">
        <v>0</v>
      </c>
      <c r="Y402" s="10"/>
      <c r="Z402" s="9">
        <v>0</v>
      </c>
      <c r="AA402" s="10"/>
      <c r="AB402" s="11">
        <v>0</v>
      </c>
      <c r="AC402" s="10"/>
      <c r="AD402" s="7">
        <f>SUM(F402+H402+J402+L402+N402+P402+R402+T402+V402+X402+Z402+AB402)</f>
        <v>0</v>
      </c>
      <c r="AE402" s="7">
        <f>E402+AD402</f>
        <v>0</v>
      </c>
      <c r="AF402" s="8">
        <f>G402+I402+K402+M402+O402+Q402+S402+U402+W402+Y402+AA402+AC402</f>
        <v>0</v>
      </c>
      <c r="AG402" s="153">
        <f>SUM(AE402-AF402)</f>
        <v>0</v>
      </c>
      <c r="AH402" s="99" t="s">
        <v>716</v>
      </c>
      <c r="AI402" s="99">
        <v>4</v>
      </c>
    </row>
    <row r="403" spans="1:42" customHeight="1" ht="11.5">
      <c r="A403" s="5">
        <v>395</v>
      </c>
      <c r="B403" s="166" t="s">
        <v>717</v>
      </c>
      <c r="C403" s="167" t="s">
        <v>36</v>
      </c>
      <c r="D403" s="88" t="s">
        <v>37</v>
      </c>
      <c r="E403" s="86">
        <v>30000</v>
      </c>
      <c r="F403" s="9">
        <v>40000</v>
      </c>
      <c r="G403" s="10">
        <v>30000</v>
      </c>
      <c r="H403" s="9">
        <v>30000</v>
      </c>
      <c r="I403" s="10">
        <v>40000</v>
      </c>
      <c r="J403" s="152">
        <v>40000</v>
      </c>
      <c r="K403" s="10">
        <v>30000</v>
      </c>
      <c r="L403" s="152">
        <v>30000</v>
      </c>
      <c r="M403" s="10">
        <v>40000</v>
      </c>
      <c r="N403" s="152">
        <v>30000</v>
      </c>
      <c r="O403" s="10">
        <v>30000</v>
      </c>
      <c r="P403" s="152">
        <v>40000</v>
      </c>
      <c r="Q403" s="10">
        <v>30000</v>
      </c>
      <c r="R403" s="9">
        <v>40000</v>
      </c>
      <c r="S403" s="10"/>
      <c r="T403" s="9">
        <v>0</v>
      </c>
      <c r="U403" s="10"/>
      <c r="V403" s="9">
        <v>0</v>
      </c>
      <c r="W403" s="10"/>
      <c r="X403" s="9">
        <v>0</v>
      </c>
      <c r="Y403" s="10"/>
      <c r="Z403" s="9">
        <v>0</v>
      </c>
      <c r="AA403" s="10"/>
      <c r="AB403" s="11">
        <v>0</v>
      </c>
      <c r="AC403" s="10"/>
      <c r="AD403" s="7">
        <f>SUM(F403+H403+J403+L403+N403+P403+R403+T403+V403+X403+Z403+AB403)</f>
        <v>250000</v>
      </c>
      <c r="AE403" s="7">
        <f>E403+AD403</f>
        <v>280000</v>
      </c>
      <c r="AF403" s="8">
        <f>G403+I403+K403+M403+O403+Q403+S403+U403+W403+Y403+AA403+AC403</f>
        <v>200000</v>
      </c>
      <c r="AG403" s="153">
        <f>SUM(AE403-AF403)</f>
        <v>80000</v>
      </c>
      <c r="AH403" s="99" t="s">
        <v>718</v>
      </c>
      <c r="AI403" s="99">
        <v>4</v>
      </c>
    </row>
    <row r="404" spans="1:42" customHeight="1" ht="11.5">
      <c r="A404" s="5">
        <v>396</v>
      </c>
      <c r="B404" s="166" t="s">
        <v>719</v>
      </c>
      <c r="C404" s="167" t="s">
        <v>36</v>
      </c>
      <c r="D404" s="88" t="s">
        <v>37</v>
      </c>
      <c r="E404" s="86">
        <v>10000</v>
      </c>
      <c r="F404" s="9">
        <v>10000</v>
      </c>
      <c r="G404" s="10">
        <v>10000</v>
      </c>
      <c r="H404" s="9">
        <v>10000</v>
      </c>
      <c r="I404" s="10">
        <v>10000</v>
      </c>
      <c r="J404" s="152">
        <v>0</v>
      </c>
      <c r="K404" s="10">
        <v>10000</v>
      </c>
      <c r="L404" s="152">
        <v>10000</v>
      </c>
      <c r="M404" s="10"/>
      <c r="N404" s="152">
        <v>0</v>
      </c>
      <c r="O404" s="10">
        <v>10000</v>
      </c>
      <c r="P404" s="152">
        <v>10000</v>
      </c>
      <c r="Q404" s="10"/>
      <c r="R404" s="9">
        <v>0</v>
      </c>
      <c r="S404" s="10"/>
      <c r="T404" s="9">
        <v>0</v>
      </c>
      <c r="U404" s="10"/>
      <c r="V404" s="9">
        <v>0</v>
      </c>
      <c r="W404" s="10"/>
      <c r="X404" s="9">
        <v>0</v>
      </c>
      <c r="Y404" s="10"/>
      <c r="Z404" s="9">
        <v>0</v>
      </c>
      <c r="AA404" s="10"/>
      <c r="AB404" s="11">
        <v>0</v>
      </c>
      <c r="AC404" s="10"/>
      <c r="AD404" s="7">
        <f>SUM(F404+H404+J404+L404+N404+P404+R404+T404+V404+X404+Z404+AB404)</f>
        <v>40000</v>
      </c>
      <c r="AE404" s="7">
        <f>E404+AD404</f>
        <v>50000</v>
      </c>
      <c r="AF404" s="8">
        <f>G404+I404+K404+M404+O404+Q404+S404+U404+W404+Y404+AA404+AC404</f>
        <v>40000</v>
      </c>
      <c r="AG404" s="153">
        <f>SUM(AE404-AF404)</f>
        <v>10000</v>
      </c>
      <c r="AH404" s="99" t="s">
        <v>720</v>
      </c>
      <c r="AI404" s="99">
        <v>4</v>
      </c>
    </row>
    <row r="405" spans="1:42" customHeight="1" ht="11.5">
      <c r="A405" s="5">
        <v>397</v>
      </c>
      <c r="B405" s="166" t="s">
        <v>721</v>
      </c>
      <c r="C405" s="167" t="s">
        <v>36</v>
      </c>
      <c r="D405" s="88" t="s">
        <v>37</v>
      </c>
      <c r="E405" s="86">
        <v>0</v>
      </c>
      <c r="F405" s="9">
        <v>0</v>
      </c>
      <c r="G405" s="10"/>
      <c r="H405" s="9">
        <v>10000</v>
      </c>
      <c r="I405" s="10"/>
      <c r="J405" s="152">
        <v>0</v>
      </c>
      <c r="K405" s="10">
        <v>10000</v>
      </c>
      <c r="L405" s="152">
        <v>10000</v>
      </c>
      <c r="M405" s="10"/>
      <c r="N405" s="152">
        <v>0</v>
      </c>
      <c r="O405" s="10">
        <v>10000</v>
      </c>
      <c r="P405" s="152">
        <v>0</v>
      </c>
      <c r="Q405" s="10"/>
      <c r="R405" s="9">
        <v>10000</v>
      </c>
      <c r="S405" s="10"/>
      <c r="T405" s="9">
        <v>0</v>
      </c>
      <c r="U405" s="10"/>
      <c r="V405" s="9">
        <v>0</v>
      </c>
      <c r="W405" s="10"/>
      <c r="X405" s="9">
        <v>0</v>
      </c>
      <c r="Y405" s="10"/>
      <c r="Z405" s="9">
        <v>0</v>
      </c>
      <c r="AA405" s="10"/>
      <c r="AB405" s="11">
        <v>0</v>
      </c>
      <c r="AC405" s="10"/>
      <c r="AD405" s="7">
        <f>SUM(F405+H405+J405+L405+N405+P405+R405+T405+V405+X405+Z405+AB405)</f>
        <v>30000</v>
      </c>
      <c r="AE405" s="7">
        <f>E405+AD405</f>
        <v>30000</v>
      </c>
      <c r="AF405" s="8">
        <f>G405+I405+K405+M405+O405+Q405+S405+U405+W405+Y405+AA405+AC405</f>
        <v>20000</v>
      </c>
      <c r="AG405" s="153">
        <f>SUM(AE405-AF405)</f>
        <v>10000</v>
      </c>
      <c r="AH405" s="99" t="s">
        <v>722</v>
      </c>
      <c r="AI405" s="99">
        <v>4</v>
      </c>
    </row>
    <row r="406" spans="1:42" customHeight="1" ht="11.5">
      <c r="A406" s="5">
        <v>398</v>
      </c>
      <c r="B406" s="166" t="s">
        <v>723</v>
      </c>
      <c r="C406" s="167" t="s">
        <v>36</v>
      </c>
      <c r="D406" s="88" t="s">
        <v>37</v>
      </c>
      <c r="E406" s="86">
        <v>0</v>
      </c>
      <c r="F406" s="9">
        <v>0</v>
      </c>
      <c r="G406" s="10"/>
      <c r="H406" s="9">
        <v>0</v>
      </c>
      <c r="I406" s="10"/>
      <c r="J406" s="152">
        <v>0</v>
      </c>
      <c r="K406" s="10"/>
      <c r="L406" s="152">
        <v>0</v>
      </c>
      <c r="M406" s="10"/>
      <c r="N406" s="152">
        <v>0</v>
      </c>
      <c r="O406" s="10"/>
      <c r="P406" s="152">
        <v>0</v>
      </c>
      <c r="Q406" s="10"/>
      <c r="R406" s="9">
        <v>0</v>
      </c>
      <c r="S406" s="10"/>
      <c r="T406" s="9">
        <v>0</v>
      </c>
      <c r="U406" s="10"/>
      <c r="V406" s="9">
        <v>0</v>
      </c>
      <c r="W406" s="10"/>
      <c r="X406" s="9">
        <v>0</v>
      </c>
      <c r="Y406" s="10"/>
      <c r="Z406" s="9">
        <v>0</v>
      </c>
      <c r="AA406" s="10"/>
      <c r="AB406" s="11">
        <v>0</v>
      </c>
      <c r="AC406" s="10"/>
      <c r="AD406" s="7">
        <f>SUM(F406+H406+J406+L406+N406+P406+R406+T406+V406+X406+Z406+AB406)</f>
        <v>0</v>
      </c>
      <c r="AE406" s="7">
        <f>E406+AD406</f>
        <v>0</v>
      </c>
      <c r="AF406" s="8">
        <f>G406+I406+K406+M406+O406+Q406+S406+U406+W406+Y406+AA406+AC406</f>
        <v>0</v>
      </c>
      <c r="AG406" s="153">
        <f>SUM(AE406-AF406)</f>
        <v>0</v>
      </c>
      <c r="AH406" s="99" t="s">
        <v>724</v>
      </c>
      <c r="AI406" s="99">
        <v>4</v>
      </c>
    </row>
    <row r="407" spans="1:42" customHeight="1" ht="11.5">
      <c r="A407" s="5">
        <v>399</v>
      </c>
      <c r="B407" s="171" t="s">
        <v>725</v>
      </c>
      <c r="C407" s="167" t="s">
        <v>36</v>
      </c>
      <c r="D407" s="88" t="s">
        <v>37</v>
      </c>
      <c r="E407" s="86">
        <v>0</v>
      </c>
      <c r="F407" s="9">
        <v>0</v>
      </c>
      <c r="G407" s="10"/>
      <c r="H407" s="9">
        <v>0</v>
      </c>
      <c r="I407" s="10"/>
      <c r="J407" s="152">
        <v>0</v>
      </c>
      <c r="K407" s="10"/>
      <c r="L407" s="152">
        <v>0</v>
      </c>
      <c r="M407" s="10"/>
      <c r="N407" s="152">
        <v>0</v>
      </c>
      <c r="O407" s="10"/>
      <c r="P407" s="152">
        <v>0</v>
      </c>
      <c r="Q407" s="10"/>
      <c r="R407" s="9">
        <v>0</v>
      </c>
      <c r="S407" s="10"/>
      <c r="T407" s="9">
        <v>0</v>
      </c>
      <c r="U407" s="10"/>
      <c r="V407" s="9">
        <v>0</v>
      </c>
      <c r="W407" s="10"/>
      <c r="X407" s="9">
        <v>0</v>
      </c>
      <c r="Y407" s="10"/>
      <c r="Z407" s="9">
        <v>0</v>
      </c>
      <c r="AA407" s="10"/>
      <c r="AB407" s="11">
        <v>0</v>
      </c>
      <c r="AC407" s="10"/>
      <c r="AD407" s="7">
        <f>SUM(F407+H407+J407+L407+N407+P407+R407+T407+V407+X407+Z407+AB407)</f>
        <v>0</v>
      </c>
      <c r="AE407" s="7">
        <f>E407+AD407</f>
        <v>0</v>
      </c>
      <c r="AF407" s="8">
        <f>G407+I407+K407+M407+O407+Q407+S407+U407+W407+Y407+AA407+AC407</f>
        <v>0</v>
      </c>
      <c r="AG407" s="153">
        <f>SUM(AE407-AF407)</f>
        <v>0</v>
      </c>
      <c r="AH407" s="99" t="s">
        <v>726</v>
      </c>
      <c r="AI407" s="99">
        <v>4</v>
      </c>
    </row>
    <row r="408" spans="1:42" customHeight="1" ht="11.5">
      <c r="A408" s="5">
        <v>400</v>
      </c>
      <c r="B408" s="166" t="s">
        <v>727</v>
      </c>
      <c r="C408" s="167" t="s">
        <v>105</v>
      </c>
      <c r="D408" s="88" t="s">
        <v>106</v>
      </c>
      <c r="E408" s="86">
        <v>0</v>
      </c>
      <c r="F408" s="9">
        <v>0</v>
      </c>
      <c r="G408" s="10"/>
      <c r="H408" s="9">
        <v>0</v>
      </c>
      <c r="I408" s="10"/>
      <c r="J408" s="152">
        <v>0</v>
      </c>
      <c r="K408" s="10"/>
      <c r="L408" s="152">
        <v>0</v>
      </c>
      <c r="M408" s="10"/>
      <c r="N408" s="152">
        <v>0</v>
      </c>
      <c r="O408" s="10"/>
      <c r="P408" s="152">
        <v>0</v>
      </c>
      <c r="Q408" s="10"/>
      <c r="R408" s="9">
        <v>0</v>
      </c>
      <c r="S408" s="10"/>
      <c r="T408" s="9">
        <v>0</v>
      </c>
      <c r="U408" s="10"/>
      <c r="V408" s="9">
        <v>0</v>
      </c>
      <c r="W408" s="10"/>
      <c r="X408" s="9">
        <v>0</v>
      </c>
      <c r="Y408" s="10"/>
      <c r="Z408" s="9">
        <v>0</v>
      </c>
      <c r="AA408" s="10"/>
      <c r="AB408" s="11">
        <v>0</v>
      </c>
      <c r="AC408" s="10"/>
      <c r="AD408" s="7">
        <f>SUM(F408+H408+J408+L408+N408+P408+R408+T408+V408+X408+Z408+AB408)</f>
        <v>0</v>
      </c>
      <c r="AE408" s="7">
        <f>E408+AD408</f>
        <v>0</v>
      </c>
      <c r="AF408" s="8">
        <f>G408+I408+K408+M408+O408+Q408+S408+U408+W408+Y408+AA408+AC408</f>
        <v>0</v>
      </c>
      <c r="AG408" s="153">
        <f>SUM(AE408-AF408)</f>
        <v>0</v>
      </c>
      <c r="AH408" s="99" t="s">
        <v>728</v>
      </c>
      <c r="AI408" s="99">
        <v>4</v>
      </c>
    </row>
    <row r="409" spans="1:42" customHeight="1" ht="11.5">
      <c r="A409" s="5">
        <v>401</v>
      </c>
      <c r="B409" s="166" t="s">
        <v>729</v>
      </c>
      <c r="C409" s="167" t="s">
        <v>132</v>
      </c>
      <c r="D409" s="88" t="s">
        <v>133</v>
      </c>
      <c r="E409" s="86">
        <v>10000</v>
      </c>
      <c r="F409" s="9">
        <v>0</v>
      </c>
      <c r="G409" s="10"/>
      <c r="H409" s="9">
        <v>5000</v>
      </c>
      <c r="I409" s="10">
        <v>10000</v>
      </c>
      <c r="J409" s="152">
        <v>5000</v>
      </c>
      <c r="K409" s="10">
        <v>5000</v>
      </c>
      <c r="L409" s="152">
        <v>5000</v>
      </c>
      <c r="M409" s="10">
        <v>5000</v>
      </c>
      <c r="N409" s="152">
        <v>0</v>
      </c>
      <c r="O409" s="10">
        <v>5000</v>
      </c>
      <c r="P409" s="152">
        <v>10000</v>
      </c>
      <c r="Q409" s="10"/>
      <c r="R409" s="9">
        <v>0</v>
      </c>
      <c r="S409" s="10"/>
      <c r="T409" s="9">
        <v>0</v>
      </c>
      <c r="U409" s="10"/>
      <c r="V409" s="9">
        <v>0</v>
      </c>
      <c r="W409" s="10"/>
      <c r="X409" s="9">
        <v>0</v>
      </c>
      <c r="Y409" s="10"/>
      <c r="Z409" s="9">
        <v>0</v>
      </c>
      <c r="AA409" s="10"/>
      <c r="AB409" s="11">
        <v>0</v>
      </c>
      <c r="AC409" s="10"/>
      <c r="AD409" s="7">
        <f>SUM(F409+H409+J409+L409+N409+P409+R409+T409+V409+X409+Z409+AB409)</f>
        <v>25000</v>
      </c>
      <c r="AE409" s="7">
        <f>E409+AD409</f>
        <v>35000</v>
      </c>
      <c r="AF409" s="8">
        <f>G409+I409+K409+M409+O409+Q409+S409+U409+W409+Y409+AA409+AC409</f>
        <v>25000</v>
      </c>
      <c r="AG409" s="153">
        <f>SUM(AE409-AF409)</f>
        <v>10000</v>
      </c>
      <c r="AH409" s="99" t="s">
        <v>730</v>
      </c>
      <c r="AI409" s="99">
        <v>4</v>
      </c>
    </row>
    <row r="410" spans="1:42" customHeight="1" ht="11.5">
      <c r="A410" s="5">
        <v>402</v>
      </c>
      <c r="B410" s="166" t="s">
        <v>731</v>
      </c>
      <c r="C410" s="167" t="s">
        <v>132</v>
      </c>
      <c r="D410" s="88" t="s">
        <v>133</v>
      </c>
      <c r="E410" s="86">
        <v>14000</v>
      </c>
      <c r="F410" s="9">
        <v>9000</v>
      </c>
      <c r="G410" s="10"/>
      <c r="H410" s="9">
        <v>8000</v>
      </c>
      <c r="I410" s="10">
        <v>23000</v>
      </c>
      <c r="J410" s="152">
        <v>17500</v>
      </c>
      <c r="K410" s="10">
        <v>8000</v>
      </c>
      <c r="L410" s="152">
        <v>7000</v>
      </c>
      <c r="M410" s="10">
        <v>17500</v>
      </c>
      <c r="N410" s="152">
        <v>9000</v>
      </c>
      <c r="O410" s="10">
        <v>7000</v>
      </c>
      <c r="P410" s="152">
        <v>9000</v>
      </c>
      <c r="Q410" s="10"/>
      <c r="R410" s="9">
        <v>14500</v>
      </c>
      <c r="S410" s="10"/>
      <c r="T410" s="9">
        <v>0</v>
      </c>
      <c r="U410" s="10"/>
      <c r="V410" s="9">
        <v>0</v>
      </c>
      <c r="W410" s="10"/>
      <c r="X410" s="9">
        <v>0</v>
      </c>
      <c r="Y410" s="10"/>
      <c r="Z410" s="9">
        <v>0</v>
      </c>
      <c r="AA410" s="10"/>
      <c r="AB410" s="11">
        <v>0</v>
      </c>
      <c r="AC410" s="10"/>
      <c r="AD410" s="7">
        <f>SUM(F410+H410+J410+L410+N410+P410+R410+T410+V410+X410+Z410+AB410)</f>
        <v>74000</v>
      </c>
      <c r="AE410" s="7">
        <f>E410+AD410</f>
        <v>88000</v>
      </c>
      <c r="AF410" s="8">
        <f>G410+I410+K410+M410+O410+Q410+S410+U410+W410+Y410+AA410+AC410</f>
        <v>55500</v>
      </c>
      <c r="AG410" s="153">
        <f>SUM(AE410-AF410)</f>
        <v>32500</v>
      </c>
      <c r="AH410" s="99" t="s">
        <v>732</v>
      </c>
      <c r="AI410" s="99">
        <v>4</v>
      </c>
    </row>
    <row r="411" spans="1:42" customHeight="1" ht="11.5">
      <c r="A411" s="5">
        <v>403</v>
      </c>
      <c r="B411" s="166" t="s">
        <v>733</v>
      </c>
      <c r="C411" s="167" t="s">
        <v>112</v>
      </c>
      <c r="D411" s="88" t="s">
        <v>113</v>
      </c>
      <c r="E411" s="86">
        <v>20000</v>
      </c>
      <c r="F411" s="9">
        <v>40000</v>
      </c>
      <c r="G411" s="10">
        <v>20000</v>
      </c>
      <c r="H411" s="9">
        <v>40000</v>
      </c>
      <c r="I411" s="10">
        <v>40000</v>
      </c>
      <c r="J411" s="152">
        <v>20000</v>
      </c>
      <c r="K411" s="10">
        <v>40000</v>
      </c>
      <c r="L411" s="152">
        <v>20000</v>
      </c>
      <c r="M411" s="10">
        <v>20000</v>
      </c>
      <c r="N411" s="152">
        <v>30000</v>
      </c>
      <c r="O411" s="10">
        <v>20000</v>
      </c>
      <c r="P411" s="152">
        <v>40000</v>
      </c>
      <c r="Q411" s="10">
        <v>30000</v>
      </c>
      <c r="R411" s="9">
        <v>30030</v>
      </c>
      <c r="S411" s="10"/>
      <c r="T411" s="9">
        <v>0</v>
      </c>
      <c r="U411" s="10"/>
      <c r="V411" s="9">
        <v>0</v>
      </c>
      <c r="W411" s="10"/>
      <c r="X411" s="9">
        <v>0</v>
      </c>
      <c r="Y411" s="10"/>
      <c r="Z411" s="9">
        <v>0</v>
      </c>
      <c r="AA411" s="10"/>
      <c r="AB411" s="11">
        <v>0</v>
      </c>
      <c r="AC411" s="10"/>
      <c r="AD411" s="7">
        <f>SUM(F411+H411+J411+L411+N411+P411+R411+T411+V411+X411+Z411+AB411)</f>
        <v>220030</v>
      </c>
      <c r="AE411" s="7">
        <f>E411+AD411</f>
        <v>240030</v>
      </c>
      <c r="AF411" s="8">
        <f>G411+I411+K411+M411+O411+Q411+S411+U411+W411+Y411+AA411+AC411</f>
        <v>170000</v>
      </c>
      <c r="AG411" s="153">
        <f>SUM(AE411-AF411)</f>
        <v>70030</v>
      </c>
      <c r="AH411" s="99" t="s">
        <v>734</v>
      </c>
      <c r="AI411" s="99">
        <v>4</v>
      </c>
    </row>
    <row r="412" spans="1:42" customHeight="1" ht="11.5">
      <c r="A412" s="5">
        <v>404</v>
      </c>
      <c r="B412" s="166" t="s">
        <v>735</v>
      </c>
      <c r="C412" s="167" t="s">
        <v>36</v>
      </c>
      <c r="D412" s="88" t="s">
        <v>37</v>
      </c>
      <c r="E412" s="86">
        <v>55000</v>
      </c>
      <c r="F412" s="9">
        <v>115000</v>
      </c>
      <c r="G412" s="10">
        <v>55000</v>
      </c>
      <c r="H412" s="9">
        <v>100000</v>
      </c>
      <c r="I412" s="10">
        <v>115000</v>
      </c>
      <c r="J412" s="152">
        <v>105000</v>
      </c>
      <c r="K412" s="10">
        <v>100000</v>
      </c>
      <c r="L412" s="152">
        <v>68920</v>
      </c>
      <c r="M412" s="10">
        <v>105000</v>
      </c>
      <c r="N412" s="152">
        <v>90000</v>
      </c>
      <c r="O412" s="10">
        <v>68920</v>
      </c>
      <c r="P412" s="152">
        <v>75000</v>
      </c>
      <c r="Q412" s="10">
        <v>90000</v>
      </c>
      <c r="R412" s="9">
        <v>90000</v>
      </c>
      <c r="S412" s="10"/>
      <c r="T412" s="9">
        <v>0</v>
      </c>
      <c r="U412" s="10"/>
      <c r="V412" s="9">
        <v>0</v>
      </c>
      <c r="W412" s="10"/>
      <c r="X412" s="9">
        <v>0</v>
      </c>
      <c r="Y412" s="10"/>
      <c r="Z412" s="9">
        <v>0</v>
      </c>
      <c r="AA412" s="10"/>
      <c r="AB412" s="11">
        <v>0</v>
      </c>
      <c r="AC412" s="10"/>
      <c r="AD412" s="7">
        <f>SUM(F412+H412+J412+L412+N412+P412+R412+T412+V412+X412+Z412+AB412)</f>
        <v>643920</v>
      </c>
      <c r="AE412" s="7">
        <f>E412+AD412</f>
        <v>698920</v>
      </c>
      <c r="AF412" s="8">
        <f>G412+I412+K412+M412+O412+Q412+S412+U412+W412+Y412+AA412+AC412</f>
        <v>533920</v>
      </c>
      <c r="AG412" s="153">
        <f>SUM(AE412-AF412)</f>
        <v>165000</v>
      </c>
      <c r="AH412" s="99" t="s">
        <v>736</v>
      </c>
      <c r="AI412" s="99">
        <v>4</v>
      </c>
    </row>
    <row r="413" spans="1:42" customHeight="1" ht="11.5">
      <c r="A413" s="5">
        <v>405</v>
      </c>
      <c r="B413" s="166" t="s">
        <v>737</v>
      </c>
      <c r="C413" s="167" t="s">
        <v>112</v>
      </c>
      <c r="D413" s="88" t="s">
        <v>113</v>
      </c>
      <c r="E413" s="86">
        <v>220000</v>
      </c>
      <c r="F413" s="9">
        <v>70000</v>
      </c>
      <c r="G413" s="10">
        <v>223759</v>
      </c>
      <c r="H413" s="9">
        <v>40000</v>
      </c>
      <c r="I413" s="10">
        <v>66241</v>
      </c>
      <c r="J413" s="152">
        <v>50000</v>
      </c>
      <c r="K413" s="10">
        <v>40000</v>
      </c>
      <c r="L413" s="152">
        <v>50000</v>
      </c>
      <c r="M413" s="10">
        <v>50000</v>
      </c>
      <c r="N413" s="152">
        <v>40000</v>
      </c>
      <c r="O413" s="10">
        <v>50000</v>
      </c>
      <c r="P413" s="152">
        <v>70000</v>
      </c>
      <c r="Q413" s="10">
        <v>40000</v>
      </c>
      <c r="R413" s="9">
        <v>70000</v>
      </c>
      <c r="S413" s="10"/>
      <c r="T413" s="9">
        <v>0</v>
      </c>
      <c r="U413" s="10"/>
      <c r="V413" s="9">
        <v>0</v>
      </c>
      <c r="W413" s="10"/>
      <c r="X413" s="9">
        <v>0</v>
      </c>
      <c r="Y413" s="10"/>
      <c r="Z413" s="9">
        <v>0</v>
      </c>
      <c r="AA413" s="10"/>
      <c r="AB413" s="11">
        <v>0</v>
      </c>
      <c r="AC413" s="10"/>
      <c r="AD413" s="7">
        <f>SUM(F413+H413+J413+L413+N413+P413+R413+T413+V413+X413+Z413+AB413)</f>
        <v>390000</v>
      </c>
      <c r="AE413" s="7">
        <f>E413+AD413</f>
        <v>610000</v>
      </c>
      <c r="AF413" s="8">
        <f>G413+I413+K413+M413+O413+Q413+S413+U413+W413+Y413+AA413+AC413</f>
        <v>470000</v>
      </c>
      <c r="AG413" s="153">
        <f>SUM(AE413-AF413)</f>
        <v>140000</v>
      </c>
      <c r="AH413" s="99" t="s">
        <v>738</v>
      </c>
      <c r="AI413" s="99">
        <v>4</v>
      </c>
    </row>
    <row r="414" spans="1:42" customHeight="1" ht="11.5">
      <c r="A414" s="5">
        <v>406</v>
      </c>
      <c r="B414" s="166" t="s">
        <v>739</v>
      </c>
      <c r="C414" s="167" t="s">
        <v>36</v>
      </c>
      <c r="D414" s="88" t="s">
        <v>37</v>
      </c>
      <c r="E414" s="86">
        <v>60000</v>
      </c>
      <c r="F414" s="9">
        <v>100000</v>
      </c>
      <c r="G414" s="10">
        <v>60000</v>
      </c>
      <c r="H414" s="9">
        <v>80000</v>
      </c>
      <c r="I414" s="10">
        <v>100000</v>
      </c>
      <c r="J414" s="152">
        <v>80000</v>
      </c>
      <c r="K414" s="10">
        <v>80000</v>
      </c>
      <c r="L414" s="152">
        <v>70000</v>
      </c>
      <c r="M414" s="10">
        <v>80000</v>
      </c>
      <c r="N414" s="152">
        <v>70000</v>
      </c>
      <c r="O414" s="10">
        <v>70000</v>
      </c>
      <c r="P414" s="152">
        <v>80000</v>
      </c>
      <c r="Q414" s="10">
        <v>70000</v>
      </c>
      <c r="R414" s="9">
        <v>110000</v>
      </c>
      <c r="S414" s="10"/>
      <c r="T414" s="9">
        <v>0</v>
      </c>
      <c r="U414" s="10"/>
      <c r="V414" s="9">
        <v>0</v>
      </c>
      <c r="W414" s="10"/>
      <c r="X414" s="9">
        <v>0</v>
      </c>
      <c r="Y414" s="10"/>
      <c r="Z414" s="9">
        <v>0</v>
      </c>
      <c r="AA414" s="10"/>
      <c r="AB414" s="11">
        <v>0</v>
      </c>
      <c r="AC414" s="10"/>
      <c r="AD414" s="7">
        <f>SUM(F414+H414+J414+L414+N414+P414+R414+T414+V414+X414+Z414+AB414)</f>
        <v>590000</v>
      </c>
      <c r="AE414" s="7">
        <f>E414+AD414</f>
        <v>650000</v>
      </c>
      <c r="AF414" s="8">
        <f>G414+I414+K414+M414+O414+Q414+S414+U414+W414+Y414+AA414+AC414</f>
        <v>460000</v>
      </c>
      <c r="AG414" s="153">
        <f>SUM(AE414-AF414)</f>
        <v>190000</v>
      </c>
      <c r="AH414" s="99" t="s">
        <v>740</v>
      </c>
      <c r="AI414" s="99">
        <v>4</v>
      </c>
    </row>
    <row r="415" spans="1:42" customHeight="1" ht="11.5">
      <c r="A415" s="5">
        <v>407</v>
      </c>
      <c r="B415" s="166" t="s">
        <v>741</v>
      </c>
      <c r="C415" s="167" t="s">
        <v>36</v>
      </c>
      <c r="D415" s="88" t="s">
        <v>37</v>
      </c>
      <c r="E415" s="86">
        <v>30000</v>
      </c>
      <c r="F415" s="9">
        <v>70000</v>
      </c>
      <c r="G415" s="10">
        <v>30000</v>
      </c>
      <c r="H415" s="9">
        <v>50000</v>
      </c>
      <c r="I415" s="10">
        <v>70000</v>
      </c>
      <c r="J415" s="152">
        <v>40000</v>
      </c>
      <c r="K415" s="10">
        <v>50000</v>
      </c>
      <c r="L415" s="152">
        <v>40000</v>
      </c>
      <c r="M415" s="10">
        <v>40000</v>
      </c>
      <c r="N415" s="152">
        <v>30000</v>
      </c>
      <c r="O415" s="10">
        <v>40000</v>
      </c>
      <c r="P415" s="152">
        <v>50000</v>
      </c>
      <c r="Q415" s="10">
        <v>30000</v>
      </c>
      <c r="R415" s="9">
        <v>50000</v>
      </c>
      <c r="S415" s="10"/>
      <c r="T415" s="9">
        <v>0</v>
      </c>
      <c r="U415" s="10"/>
      <c r="V415" s="9">
        <v>0</v>
      </c>
      <c r="W415" s="10"/>
      <c r="X415" s="9">
        <v>0</v>
      </c>
      <c r="Y415" s="10"/>
      <c r="Z415" s="9">
        <v>0</v>
      </c>
      <c r="AA415" s="10"/>
      <c r="AB415" s="11">
        <v>0</v>
      </c>
      <c r="AC415" s="10"/>
      <c r="AD415" s="7">
        <f>SUM(F415+H415+J415+L415+N415+P415+R415+T415+V415+X415+Z415+AB415)</f>
        <v>330000</v>
      </c>
      <c r="AE415" s="7">
        <f>E415+AD415</f>
        <v>360000</v>
      </c>
      <c r="AF415" s="8">
        <f>G415+I415+K415+M415+O415+Q415+S415+U415+W415+Y415+AA415+AC415</f>
        <v>260000</v>
      </c>
      <c r="AG415" s="153">
        <f>SUM(AE415-AF415)</f>
        <v>100000</v>
      </c>
      <c r="AH415" s="99" t="s">
        <v>742</v>
      </c>
      <c r="AI415" s="99">
        <v>4</v>
      </c>
    </row>
    <row r="416" spans="1:42" customHeight="1" ht="11.5">
      <c r="A416" s="5">
        <v>408</v>
      </c>
      <c r="B416" s="166" t="s">
        <v>743</v>
      </c>
      <c r="C416" s="167" t="s">
        <v>36</v>
      </c>
      <c r="D416" s="88" t="s">
        <v>37</v>
      </c>
      <c r="E416" s="86">
        <v>30000</v>
      </c>
      <c r="F416" s="9">
        <v>30000</v>
      </c>
      <c r="G416" s="10">
        <v>30000</v>
      </c>
      <c r="H416" s="9">
        <v>20000</v>
      </c>
      <c r="I416" s="10">
        <v>30000</v>
      </c>
      <c r="J416" s="152">
        <v>20000</v>
      </c>
      <c r="K416" s="10">
        <v>20000</v>
      </c>
      <c r="L416" s="152">
        <v>30000</v>
      </c>
      <c r="M416" s="10">
        <v>20000</v>
      </c>
      <c r="N416" s="152">
        <v>30000</v>
      </c>
      <c r="O416" s="10">
        <v>30000</v>
      </c>
      <c r="P416" s="152">
        <v>30000</v>
      </c>
      <c r="Q416" s="10">
        <v>30000</v>
      </c>
      <c r="R416" s="9">
        <v>40000</v>
      </c>
      <c r="S416" s="10"/>
      <c r="T416" s="9">
        <v>0</v>
      </c>
      <c r="U416" s="10"/>
      <c r="V416" s="9">
        <v>0</v>
      </c>
      <c r="W416" s="10"/>
      <c r="X416" s="9">
        <v>0</v>
      </c>
      <c r="Y416" s="10"/>
      <c r="Z416" s="9">
        <v>0</v>
      </c>
      <c r="AA416" s="10"/>
      <c r="AB416" s="11">
        <v>0</v>
      </c>
      <c r="AC416" s="10"/>
      <c r="AD416" s="7">
        <f>SUM(F416+H416+J416+L416+N416+P416+R416+T416+V416+X416+Z416+AB416)</f>
        <v>200000</v>
      </c>
      <c r="AE416" s="7">
        <f>E416+AD416</f>
        <v>230000</v>
      </c>
      <c r="AF416" s="8">
        <f>G416+I416+K416+M416+O416+Q416+S416+U416+W416+Y416+AA416+AC416</f>
        <v>160000</v>
      </c>
      <c r="AG416" s="153">
        <f>SUM(AE416-AF416)</f>
        <v>70000</v>
      </c>
      <c r="AH416" s="99" t="s">
        <v>744</v>
      </c>
      <c r="AI416" s="99">
        <v>4</v>
      </c>
    </row>
    <row r="417" spans="1:42" customHeight="1" ht="11.5">
      <c r="A417" s="5">
        <v>409</v>
      </c>
      <c r="B417" s="166" t="s">
        <v>745</v>
      </c>
      <c r="C417" s="167" t="s">
        <v>36</v>
      </c>
      <c r="D417" s="88" t="s">
        <v>37</v>
      </c>
      <c r="E417" s="86">
        <v>10000</v>
      </c>
      <c r="F417" s="9">
        <v>10000</v>
      </c>
      <c r="G417" s="10">
        <v>10000</v>
      </c>
      <c r="H417" s="9">
        <v>10000</v>
      </c>
      <c r="I417" s="10">
        <v>10000</v>
      </c>
      <c r="J417" s="152">
        <v>0</v>
      </c>
      <c r="K417" s="10">
        <v>10000</v>
      </c>
      <c r="L417" s="152">
        <v>20000</v>
      </c>
      <c r="M417" s="10"/>
      <c r="N417" s="152">
        <v>10000</v>
      </c>
      <c r="O417" s="10">
        <v>20000</v>
      </c>
      <c r="P417" s="152">
        <v>0</v>
      </c>
      <c r="Q417" s="10">
        <v>10000</v>
      </c>
      <c r="R417" s="9">
        <v>20000</v>
      </c>
      <c r="S417" s="10"/>
      <c r="T417" s="9">
        <v>0</v>
      </c>
      <c r="U417" s="10"/>
      <c r="V417" s="9">
        <v>0</v>
      </c>
      <c r="W417" s="10"/>
      <c r="X417" s="9">
        <v>0</v>
      </c>
      <c r="Y417" s="10"/>
      <c r="Z417" s="9">
        <v>0</v>
      </c>
      <c r="AA417" s="10"/>
      <c r="AB417" s="11">
        <v>0</v>
      </c>
      <c r="AC417" s="10"/>
      <c r="AD417" s="7">
        <f>SUM(F417+H417+J417+L417+N417+P417+R417+T417+V417+X417+Z417+AB417)</f>
        <v>70000</v>
      </c>
      <c r="AE417" s="7">
        <f>E417+AD417</f>
        <v>80000</v>
      </c>
      <c r="AF417" s="8">
        <f>G417+I417+K417+M417+O417+Q417+S417+U417+W417+Y417+AA417+AC417</f>
        <v>60000</v>
      </c>
      <c r="AG417" s="153">
        <f>SUM(AE417-AF417)</f>
        <v>20000</v>
      </c>
      <c r="AH417" s="99" t="s">
        <v>746</v>
      </c>
      <c r="AI417" s="99">
        <v>4</v>
      </c>
    </row>
    <row r="418" spans="1:42" customHeight="1" ht="11.5">
      <c r="A418" s="5">
        <v>410</v>
      </c>
      <c r="B418" s="166" t="s">
        <v>747</v>
      </c>
      <c r="C418" s="167" t="s">
        <v>36</v>
      </c>
      <c r="D418" s="88" t="s">
        <v>37</v>
      </c>
      <c r="E418" s="86">
        <v>10000</v>
      </c>
      <c r="F418" s="9">
        <v>10000</v>
      </c>
      <c r="G418" s="10">
        <v>10000</v>
      </c>
      <c r="H418" s="9">
        <v>10000</v>
      </c>
      <c r="I418" s="10">
        <v>10000</v>
      </c>
      <c r="J418" s="152">
        <v>10000</v>
      </c>
      <c r="K418" s="10">
        <v>10000</v>
      </c>
      <c r="L418" s="152">
        <v>10000</v>
      </c>
      <c r="M418" s="10">
        <v>10000</v>
      </c>
      <c r="N418" s="152">
        <v>10000</v>
      </c>
      <c r="O418" s="10">
        <v>10000</v>
      </c>
      <c r="P418" s="152">
        <v>0</v>
      </c>
      <c r="Q418" s="10">
        <v>10000</v>
      </c>
      <c r="R418" s="9">
        <v>10000</v>
      </c>
      <c r="S418" s="10"/>
      <c r="T418" s="9">
        <v>0</v>
      </c>
      <c r="U418" s="10"/>
      <c r="V418" s="9">
        <v>0</v>
      </c>
      <c r="W418" s="10"/>
      <c r="X418" s="9">
        <v>0</v>
      </c>
      <c r="Y418" s="10"/>
      <c r="Z418" s="9">
        <v>0</v>
      </c>
      <c r="AA418" s="10"/>
      <c r="AB418" s="11">
        <v>0</v>
      </c>
      <c r="AC418" s="10"/>
      <c r="AD418" s="7">
        <f>SUM(F418+H418+J418+L418+N418+P418+R418+T418+V418+X418+Z418+AB418)</f>
        <v>60000</v>
      </c>
      <c r="AE418" s="7">
        <f>E418+AD418</f>
        <v>70000</v>
      </c>
      <c r="AF418" s="8">
        <f>G418+I418+K418+M418+O418+Q418+S418+U418+W418+Y418+AA418+AC418</f>
        <v>60000</v>
      </c>
      <c r="AG418" s="153">
        <f>SUM(AE418-AF418)</f>
        <v>10000</v>
      </c>
      <c r="AH418" s="99" t="s">
        <v>748</v>
      </c>
      <c r="AI418" s="99">
        <v>4</v>
      </c>
    </row>
    <row r="419" spans="1:42" customHeight="1" ht="11.5">
      <c r="A419" s="5">
        <v>411</v>
      </c>
      <c r="B419" s="166" t="s">
        <v>749</v>
      </c>
      <c r="C419" s="167" t="s">
        <v>36</v>
      </c>
      <c r="D419" s="88" t="s">
        <v>37</v>
      </c>
      <c r="E419" s="86">
        <v>60000</v>
      </c>
      <c r="F419" s="9">
        <v>80000</v>
      </c>
      <c r="G419" s="10">
        <v>60000</v>
      </c>
      <c r="H419" s="9">
        <v>115000</v>
      </c>
      <c r="I419" s="10">
        <v>80000</v>
      </c>
      <c r="J419" s="152">
        <v>115000</v>
      </c>
      <c r="K419" s="10">
        <v>115000</v>
      </c>
      <c r="L419" s="152">
        <v>105000</v>
      </c>
      <c r="M419" s="10">
        <v>115000</v>
      </c>
      <c r="N419" s="152">
        <v>135000</v>
      </c>
      <c r="O419" s="10">
        <v>105000</v>
      </c>
      <c r="P419" s="152">
        <v>45000</v>
      </c>
      <c r="Q419" s="10">
        <v>135000</v>
      </c>
      <c r="R419" s="9">
        <v>245000</v>
      </c>
      <c r="S419" s="10"/>
      <c r="T419" s="9">
        <v>0</v>
      </c>
      <c r="U419" s="10"/>
      <c r="V419" s="9">
        <v>0</v>
      </c>
      <c r="W419" s="10"/>
      <c r="X419" s="9">
        <v>0</v>
      </c>
      <c r="Y419" s="10"/>
      <c r="Z419" s="9">
        <v>0</v>
      </c>
      <c r="AA419" s="10"/>
      <c r="AB419" s="11">
        <v>0</v>
      </c>
      <c r="AC419" s="10"/>
      <c r="AD419" s="7">
        <f>SUM(F419+H419+J419+L419+N419+P419+R419+T419+V419+X419+Z419+AB419)</f>
        <v>840000</v>
      </c>
      <c r="AE419" s="7">
        <f>E419+AD419</f>
        <v>900000</v>
      </c>
      <c r="AF419" s="8">
        <f>G419+I419+K419+M419+O419+Q419+S419+U419+W419+Y419+AA419+AC419</f>
        <v>610000</v>
      </c>
      <c r="AG419" s="153">
        <f>SUM(AE419-AF419)</f>
        <v>290000</v>
      </c>
      <c r="AH419" s="99" t="s">
        <v>750</v>
      </c>
      <c r="AI419" s="99">
        <v>4</v>
      </c>
    </row>
    <row r="420" spans="1:42" customHeight="1" ht="11.5">
      <c r="A420" s="5">
        <v>412</v>
      </c>
      <c r="B420" s="166" t="s">
        <v>751</v>
      </c>
      <c r="C420" s="167" t="s">
        <v>36</v>
      </c>
      <c r="D420" s="88" t="s">
        <v>37</v>
      </c>
      <c r="E420" s="86">
        <v>35000</v>
      </c>
      <c r="F420" s="9">
        <v>30000</v>
      </c>
      <c r="G420" s="10">
        <v>35000</v>
      </c>
      <c r="H420" s="9">
        <v>40000</v>
      </c>
      <c r="I420" s="10">
        <v>30000</v>
      </c>
      <c r="J420" s="152">
        <v>5000</v>
      </c>
      <c r="K420" s="10">
        <v>40000</v>
      </c>
      <c r="L420" s="152">
        <v>30000</v>
      </c>
      <c r="M420" s="10">
        <v>5000</v>
      </c>
      <c r="N420" s="152">
        <v>35000</v>
      </c>
      <c r="O420" s="10">
        <v>30000</v>
      </c>
      <c r="P420" s="152">
        <v>5000</v>
      </c>
      <c r="Q420" s="10">
        <v>35000</v>
      </c>
      <c r="R420" s="9">
        <v>50000</v>
      </c>
      <c r="S420" s="10"/>
      <c r="T420" s="9">
        <v>0</v>
      </c>
      <c r="U420" s="10"/>
      <c r="V420" s="9">
        <v>0</v>
      </c>
      <c r="W420" s="10"/>
      <c r="X420" s="9">
        <v>0</v>
      </c>
      <c r="Y420" s="10"/>
      <c r="Z420" s="9">
        <v>0</v>
      </c>
      <c r="AA420" s="10"/>
      <c r="AB420" s="11">
        <v>0</v>
      </c>
      <c r="AC420" s="10"/>
      <c r="AD420" s="7">
        <f>SUM(F420+H420+J420+L420+N420+P420+R420+T420+V420+X420+Z420+AB420)</f>
        <v>195000</v>
      </c>
      <c r="AE420" s="7">
        <f>E420+AD420</f>
        <v>230000</v>
      </c>
      <c r="AF420" s="8">
        <f>G420+I420+K420+M420+O420+Q420+S420+U420+W420+Y420+AA420+AC420</f>
        <v>175000</v>
      </c>
      <c r="AG420" s="153">
        <f>SUM(AE420-AF420)</f>
        <v>55000</v>
      </c>
      <c r="AH420" s="99" t="s">
        <v>752</v>
      </c>
      <c r="AI420" s="99">
        <v>4</v>
      </c>
    </row>
    <row r="421" spans="1:42" customHeight="1" ht="11.5">
      <c r="A421" s="5">
        <v>413</v>
      </c>
      <c r="B421" s="166" t="s">
        <v>753</v>
      </c>
      <c r="C421" s="167" t="s">
        <v>36</v>
      </c>
      <c r="D421" s="88" t="s">
        <v>37</v>
      </c>
      <c r="E421" s="86">
        <v>0</v>
      </c>
      <c r="F421" s="9">
        <v>5000</v>
      </c>
      <c r="G421" s="10"/>
      <c r="H421" s="9">
        <v>15000</v>
      </c>
      <c r="I421" s="10">
        <v>5000</v>
      </c>
      <c r="J421" s="152">
        <v>15000</v>
      </c>
      <c r="K421" s="10">
        <v>15000</v>
      </c>
      <c r="L421" s="152">
        <v>15000</v>
      </c>
      <c r="M421" s="10">
        <v>15000</v>
      </c>
      <c r="N421" s="152">
        <v>15000</v>
      </c>
      <c r="O421" s="10">
        <v>15000</v>
      </c>
      <c r="P421" s="152">
        <v>10000</v>
      </c>
      <c r="Q421" s="10">
        <v>15000</v>
      </c>
      <c r="R421" s="9">
        <v>35000</v>
      </c>
      <c r="S421" s="10"/>
      <c r="T421" s="9">
        <v>0</v>
      </c>
      <c r="U421" s="10"/>
      <c r="V421" s="9">
        <v>0</v>
      </c>
      <c r="W421" s="10"/>
      <c r="X421" s="9">
        <v>0</v>
      </c>
      <c r="Y421" s="10"/>
      <c r="Z421" s="9">
        <v>0</v>
      </c>
      <c r="AA421" s="10"/>
      <c r="AB421" s="11">
        <v>0</v>
      </c>
      <c r="AC421" s="10"/>
      <c r="AD421" s="7">
        <f>SUM(F421+H421+J421+L421+N421+P421+R421+T421+V421+X421+Z421+AB421)</f>
        <v>110000</v>
      </c>
      <c r="AE421" s="7">
        <f>E421+AD421</f>
        <v>110000</v>
      </c>
      <c r="AF421" s="8">
        <f>G421+I421+K421+M421+O421+Q421+S421+U421+W421+Y421+AA421+AC421</f>
        <v>65000</v>
      </c>
      <c r="AG421" s="153">
        <f>SUM(AE421-AF421)</f>
        <v>45000</v>
      </c>
      <c r="AH421" s="99" t="s">
        <v>754</v>
      </c>
      <c r="AI421" s="99">
        <v>4</v>
      </c>
    </row>
    <row r="422" spans="1:42" customHeight="1" ht="11.5">
      <c r="A422" s="5">
        <v>414</v>
      </c>
      <c r="B422" s="166" t="s">
        <v>755</v>
      </c>
      <c r="C422" s="167" t="s">
        <v>36</v>
      </c>
      <c r="D422" s="88" t="s">
        <v>37</v>
      </c>
      <c r="E422" s="86">
        <v>0</v>
      </c>
      <c r="F422" s="9">
        <v>0</v>
      </c>
      <c r="G422" s="10"/>
      <c r="H422" s="9">
        <v>0</v>
      </c>
      <c r="I422" s="10"/>
      <c r="J422" s="152">
        <v>0</v>
      </c>
      <c r="K422" s="10"/>
      <c r="L422" s="152">
        <v>0</v>
      </c>
      <c r="M422" s="10"/>
      <c r="N422" s="152">
        <v>0</v>
      </c>
      <c r="O422" s="10"/>
      <c r="P422" s="152">
        <v>0</v>
      </c>
      <c r="Q422" s="10"/>
      <c r="R422" s="9">
        <v>0</v>
      </c>
      <c r="S422" s="10"/>
      <c r="T422" s="9">
        <v>0</v>
      </c>
      <c r="U422" s="10"/>
      <c r="V422" s="9">
        <v>0</v>
      </c>
      <c r="W422" s="10"/>
      <c r="X422" s="9">
        <v>0</v>
      </c>
      <c r="Y422" s="10"/>
      <c r="Z422" s="9">
        <v>0</v>
      </c>
      <c r="AA422" s="10"/>
      <c r="AB422" s="11">
        <v>0</v>
      </c>
      <c r="AC422" s="10"/>
      <c r="AD422" s="7">
        <f>SUM(F422+H422+J422+L422+N422+P422+R422+T422+V422+X422+Z422+AB422)</f>
        <v>0</v>
      </c>
      <c r="AE422" s="7">
        <f>E422+AD422</f>
        <v>0</v>
      </c>
      <c r="AF422" s="8">
        <f>G422+I422+K422+M422+O422+Q422+S422+U422+W422+Y422+AA422+AC422</f>
        <v>0</v>
      </c>
      <c r="AG422" s="153">
        <f>SUM(AE422-AF422)</f>
        <v>0</v>
      </c>
      <c r="AH422" s="99" t="s">
        <v>756</v>
      </c>
      <c r="AI422" s="99">
        <v>4</v>
      </c>
    </row>
    <row r="423" spans="1:42" customHeight="1" ht="11.5">
      <c r="A423" s="5">
        <v>415</v>
      </c>
      <c r="B423" s="168" t="s">
        <v>757</v>
      </c>
      <c r="C423" s="89" t="s">
        <v>36</v>
      </c>
      <c r="D423" s="88" t="s">
        <v>37</v>
      </c>
      <c r="E423" s="86">
        <v>210000</v>
      </c>
      <c r="F423" s="9">
        <v>350000</v>
      </c>
      <c r="G423" s="10">
        <v>210000</v>
      </c>
      <c r="H423" s="9">
        <v>450000</v>
      </c>
      <c r="I423" s="10">
        <v>350000</v>
      </c>
      <c r="J423" s="152">
        <v>230000</v>
      </c>
      <c r="K423" s="10">
        <v>450000</v>
      </c>
      <c r="L423" s="152">
        <v>210000</v>
      </c>
      <c r="M423" s="10">
        <v>230000</v>
      </c>
      <c r="N423" s="152">
        <v>370000</v>
      </c>
      <c r="O423" s="10">
        <v>210000</v>
      </c>
      <c r="P423" s="152">
        <v>300000</v>
      </c>
      <c r="Q423" s="10">
        <v>370000</v>
      </c>
      <c r="R423" s="9">
        <v>410000</v>
      </c>
      <c r="S423" s="10"/>
      <c r="T423" s="9">
        <v>0</v>
      </c>
      <c r="U423" s="10"/>
      <c r="V423" s="9">
        <v>0</v>
      </c>
      <c r="W423" s="10"/>
      <c r="X423" s="9">
        <v>0</v>
      </c>
      <c r="Y423" s="10"/>
      <c r="Z423" s="9">
        <v>0</v>
      </c>
      <c r="AA423" s="10"/>
      <c r="AB423" s="11">
        <v>0</v>
      </c>
      <c r="AC423" s="10"/>
      <c r="AD423" s="7">
        <f>SUM(F423+H423+J423+L423+N423+P423+R423+T423+V423+X423+Z423+AB423)</f>
        <v>2320000</v>
      </c>
      <c r="AE423" s="7">
        <f>E423+AD423</f>
        <v>2530000</v>
      </c>
      <c r="AF423" s="8">
        <f>G423+I423+K423+M423+O423+Q423+S423+U423+W423+Y423+AA423+AC423</f>
        <v>1820000</v>
      </c>
      <c r="AG423" s="153">
        <f>SUM(AE423-AF423)</f>
        <v>710000</v>
      </c>
      <c r="AH423" s="99" t="s">
        <v>758</v>
      </c>
      <c r="AI423" s="99">
        <v>4</v>
      </c>
    </row>
    <row r="424" spans="1:42" customHeight="1" ht="11.5">
      <c r="A424" s="5">
        <v>416</v>
      </c>
      <c r="B424" s="166" t="s">
        <v>759</v>
      </c>
      <c r="C424" s="167" t="s">
        <v>36</v>
      </c>
      <c r="D424" s="88" t="s">
        <v>37</v>
      </c>
      <c r="E424" s="86">
        <v>30000</v>
      </c>
      <c r="F424" s="9">
        <v>30000</v>
      </c>
      <c r="G424" s="10">
        <v>30000</v>
      </c>
      <c r="H424" s="9">
        <v>30000</v>
      </c>
      <c r="I424" s="10">
        <v>30000</v>
      </c>
      <c r="J424" s="152">
        <v>50000</v>
      </c>
      <c r="K424" s="10">
        <v>30000</v>
      </c>
      <c r="L424" s="152">
        <v>30000</v>
      </c>
      <c r="M424" s="10">
        <v>50000</v>
      </c>
      <c r="N424" s="152">
        <v>40000</v>
      </c>
      <c r="O424" s="10">
        <v>30000</v>
      </c>
      <c r="P424" s="152">
        <v>10000</v>
      </c>
      <c r="Q424" s="10">
        <v>40000</v>
      </c>
      <c r="R424" s="9">
        <v>20000</v>
      </c>
      <c r="S424" s="10"/>
      <c r="T424" s="9">
        <v>0</v>
      </c>
      <c r="U424" s="10"/>
      <c r="V424" s="9">
        <v>0</v>
      </c>
      <c r="W424" s="10"/>
      <c r="X424" s="9">
        <v>0</v>
      </c>
      <c r="Y424" s="10"/>
      <c r="Z424" s="9">
        <v>0</v>
      </c>
      <c r="AA424" s="10"/>
      <c r="AB424" s="11">
        <v>0</v>
      </c>
      <c r="AC424" s="10"/>
      <c r="AD424" s="7">
        <f>SUM(F424+H424+J424+L424+N424+P424+R424+T424+V424+X424+Z424+AB424)</f>
        <v>210000</v>
      </c>
      <c r="AE424" s="7">
        <f>E424+AD424</f>
        <v>240000</v>
      </c>
      <c r="AF424" s="8">
        <f>G424+I424+K424+M424+O424+Q424+S424+U424+W424+Y424+AA424+AC424</f>
        <v>210000</v>
      </c>
      <c r="AG424" s="153">
        <f>SUM(AE424-AF424)</f>
        <v>30000</v>
      </c>
      <c r="AH424" s="99" t="s">
        <v>760</v>
      </c>
      <c r="AI424" s="99">
        <v>4</v>
      </c>
    </row>
    <row r="425" spans="1:42" customHeight="1" ht="11.5">
      <c r="A425" s="5">
        <v>417</v>
      </c>
      <c r="B425" s="166" t="s">
        <v>761</v>
      </c>
      <c r="C425" s="167" t="s">
        <v>36</v>
      </c>
      <c r="D425" s="88" t="s">
        <v>37</v>
      </c>
      <c r="E425" s="86">
        <v>0</v>
      </c>
      <c r="F425" s="9">
        <v>0</v>
      </c>
      <c r="G425" s="10">
        <v>11000</v>
      </c>
      <c r="H425" s="9">
        <v>0</v>
      </c>
      <c r="I425" s="10"/>
      <c r="J425" s="152">
        <v>0</v>
      </c>
      <c r="K425" s="10"/>
      <c r="L425" s="152">
        <v>0</v>
      </c>
      <c r="M425" s="10"/>
      <c r="N425" s="152">
        <v>0</v>
      </c>
      <c r="O425" s="10"/>
      <c r="P425" s="152">
        <v>0</v>
      </c>
      <c r="Q425" s="10"/>
      <c r="R425" s="9">
        <v>0</v>
      </c>
      <c r="S425" s="10"/>
      <c r="T425" s="9">
        <v>0</v>
      </c>
      <c r="U425" s="10"/>
      <c r="V425" s="9">
        <v>0</v>
      </c>
      <c r="W425" s="10"/>
      <c r="X425" s="9">
        <v>0</v>
      </c>
      <c r="Y425" s="10"/>
      <c r="Z425" s="9">
        <v>0</v>
      </c>
      <c r="AA425" s="10"/>
      <c r="AB425" s="11">
        <v>0</v>
      </c>
      <c r="AC425" s="10"/>
      <c r="AD425" s="7">
        <f>SUM(F425+H425+J425+L425+N425+P425+R425+T425+V425+X425+Z425+AB425)</f>
        <v>0</v>
      </c>
      <c r="AE425" s="7">
        <f>E425+AD425</f>
        <v>0</v>
      </c>
      <c r="AF425" s="8">
        <f>G425+I425+K425+M425+O425+Q425+S425+U425+W425+Y425+AA425+AC425</f>
        <v>11000</v>
      </c>
      <c r="AG425" s="153">
        <f>SUM(AE425-AF425)</f>
        <v>-11000</v>
      </c>
      <c r="AH425" s="99" t="s">
        <v>762</v>
      </c>
      <c r="AI425" s="99">
        <v>3</v>
      </c>
    </row>
    <row r="426" spans="1:42" customHeight="1" ht="11.5">
      <c r="A426" s="5">
        <v>418</v>
      </c>
      <c r="B426" s="170" t="s">
        <v>763</v>
      </c>
      <c r="C426" s="167" t="s">
        <v>36</v>
      </c>
      <c r="D426" s="88" t="s">
        <v>37</v>
      </c>
      <c r="E426" s="86">
        <v>10000</v>
      </c>
      <c r="F426" s="9">
        <v>10000</v>
      </c>
      <c r="G426" s="10">
        <v>10000</v>
      </c>
      <c r="H426" s="9">
        <v>10000</v>
      </c>
      <c r="I426" s="10">
        <v>10000</v>
      </c>
      <c r="J426" s="152">
        <v>10000</v>
      </c>
      <c r="K426" s="10">
        <v>10000</v>
      </c>
      <c r="L426" s="152">
        <v>10000</v>
      </c>
      <c r="M426" s="10">
        <v>10000</v>
      </c>
      <c r="N426" s="152">
        <v>10000</v>
      </c>
      <c r="O426" s="10">
        <v>10000</v>
      </c>
      <c r="P426" s="152">
        <v>10000</v>
      </c>
      <c r="Q426" s="10">
        <v>10000</v>
      </c>
      <c r="R426" s="9">
        <v>20000</v>
      </c>
      <c r="S426" s="10"/>
      <c r="T426" s="9">
        <v>0</v>
      </c>
      <c r="U426" s="10"/>
      <c r="V426" s="9">
        <v>0</v>
      </c>
      <c r="W426" s="10"/>
      <c r="X426" s="9">
        <v>0</v>
      </c>
      <c r="Y426" s="10"/>
      <c r="Z426" s="9">
        <v>0</v>
      </c>
      <c r="AA426" s="10"/>
      <c r="AB426" s="11">
        <v>0</v>
      </c>
      <c r="AC426" s="10"/>
      <c r="AD426" s="7">
        <f>SUM(F426+H426+J426+L426+N426+P426+R426+T426+V426+X426+Z426+AB426)</f>
        <v>80000</v>
      </c>
      <c r="AE426" s="7">
        <f>E426+AD426</f>
        <v>90000</v>
      </c>
      <c r="AF426" s="8">
        <f>G426+I426+K426+M426+O426+Q426+S426+U426+W426+Y426+AA426+AC426</f>
        <v>60000</v>
      </c>
      <c r="AG426" s="153">
        <f>SUM(AE426-AF426)</f>
        <v>30000</v>
      </c>
      <c r="AH426" s="99" t="s">
        <v>764</v>
      </c>
      <c r="AI426" s="99">
        <v>4</v>
      </c>
    </row>
    <row r="427" spans="1:42" customHeight="1" ht="11.5">
      <c r="A427" s="5">
        <v>419</v>
      </c>
      <c r="B427" s="166" t="s">
        <v>765</v>
      </c>
      <c r="C427" s="167" t="s">
        <v>132</v>
      </c>
      <c r="D427" s="88" t="s">
        <v>133</v>
      </c>
      <c r="E427" s="86">
        <v>8000</v>
      </c>
      <c r="F427" s="9">
        <v>4000</v>
      </c>
      <c r="G427" s="10"/>
      <c r="H427" s="9">
        <v>4000</v>
      </c>
      <c r="I427" s="10">
        <v>12000</v>
      </c>
      <c r="J427" s="152">
        <v>4000</v>
      </c>
      <c r="K427" s="10">
        <v>4000</v>
      </c>
      <c r="L427" s="152">
        <v>4000</v>
      </c>
      <c r="M427" s="10">
        <v>4000</v>
      </c>
      <c r="N427" s="152">
        <v>2000</v>
      </c>
      <c r="O427" s="10">
        <v>4000</v>
      </c>
      <c r="P427" s="152">
        <v>6000</v>
      </c>
      <c r="Q427" s="10"/>
      <c r="R427" s="9">
        <v>4000</v>
      </c>
      <c r="S427" s="10"/>
      <c r="T427" s="9">
        <v>0</v>
      </c>
      <c r="U427" s="10"/>
      <c r="V427" s="9">
        <v>0</v>
      </c>
      <c r="W427" s="10"/>
      <c r="X427" s="9">
        <v>0</v>
      </c>
      <c r="Y427" s="10"/>
      <c r="Z427" s="9">
        <v>0</v>
      </c>
      <c r="AA427" s="10"/>
      <c r="AB427" s="11">
        <v>0</v>
      </c>
      <c r="AC427" s="10"/>
      <c r="AD427" s="7">
        <f>SUM(F427+H427+J427+L427+N427+P427+R427+T427+V427+X427+Z427+AB427)</f>
        <v>28000</v>
      </c>
      <c r="AE427" s="7">
        <f>E427+AD427</f>
        <v>36000</v>
      </c>
      <c r="AF427" s="8">
        <f>G427+I427+K427+M427+O427+Q427+S427+U427+W427+Y427+AA427+AC427</f>
        <v>24000</v>
      </c>
      <c r="AG427" s="153">
        <f>SUM(AE427-AF427)</f>
        <v>12000</v>
      </c>
      <c r="AH427" s="99" t="s">
        <v>766</v>
      </c>
      <c r="AI427" s="99">
        <v>4</v>
      </c>
    </row>
    <row r="428" spans="1:42" customHeight="1" ht="11.5">
      <c r="A428" s="5">
        <v>420</v>
      </c>
      <c r="B428" s="166" t="s">
        <v>767</v>
      </c>
      <c r="C428" s="167" t="s">
        <v>132</v>
      </c>
      <c r="D428" s="88" t="s">
        <v>133</v>
      </c>
      <c r="E428" s="86">
        <v>7000</v>
      </c>
      <c r="F428" s="9">
        <v>4000</v>
      </c>
      <c r="G428" s="10"/>
      <c r="H428" s="9">
        <v>3000</v>
      </c>
      <c r="I428" s="10">
        <v>11000</v>
      </c>
      <c r="J428" s="152">
        <v>3000</v>
      </c>
      <c r="K428" s="10">
        <v>3000</v>
      </c>
      <c r="L428" s="152">
        <v>5000</v>
      </c>
      <c r="M428" s="10">
        <v>3000</v>
      </c>
      <c r="N428" s="152">
        <v>3000</v>
      </c>
      <c r="O428" s="10">
        <v>5000</v>
      </c>
      <c r="P428" s="152">
        <v>5000</v>
      </c>
      <c r="Q428" s="10"/>
      <c r="R428" s="9">
        <v>5000</v>
      </c>
      <c r="S428" s="10"/>
      <c r="T428" s="9">
        <v>0</v>
      </c>
      <c r="U428" s="10"/>
      <c r="V428" s="9">
        <v>0</v>
      </c>
      <c r="W428" s="10"/>
      <c r="X428" s="9">
        <v>0</v>
      </c>
      <c r="Y428" s="10"/>
      <c r="Z428" s="9">
        <v>0</v>
      </c>
      <c r="AA428" s="10"/>
      <c r="AB428" s="11">
        <v>0</v>
      </c>
      <c r="AC428" s="10"/>
      <c r="AD428" s="7">
        <f>SUM(F428+H428+J428+L428+N428+P428+R428+T428+V428+X428+Z428+AB428)</f>
        <v>28000</v>
      </c>
      <c r="AE428" s="7">
        <f>E428+AD428</f>
        <v>35000</v>
      </c>
      <c r="AF428" s="8">
        <f>G428+I428+K428+M428+O428+Q428+S428+U428+W428+Y428+AA428+AC428</f>
        <v>22000</v>
      </c>
      <c r="AG428" s="153">
        <f>SUM(AE428-AF428)</f>
        <v>13000</v>
      </c>
      <c r="AH428" s="99" t="s">
        <v>768</v>
      </c>
      <c r="AI428" s="99">
        <v>4</v>
      </c>
    </row>
    <row r="429" spans="1:42" customHeight="1" ht="11.5">
      <c r="A429" s="5">
        <v>421</v>
      </c>
      <c r="B429" s="166" t="s">
        <v>769</v>
      </c>
      <c r="C429" s="167" t="s">
        <v>36</v>
      </c>
      <c r="D429" s="88" t="s">
        <v>37</v>
      </c>
      <c r="E429" s="86">
        <v>10000</v>
      </c>
      <c r="F429" s="9">
        <v>10000</v>
      </c>
      <c r="G429" s="10">
        <v>10000</v>
      </c>
      <c r="H429" s="9">
        <v>0</v>
      </c>
      <c r="I429" s="10">
        <v>10000</v>
      </c>
      <c r="J429" s="152">
        <v>10000</v>
      </c>
      <c r="K429" s="10"/>
      <c r="L429" s="152">
        <v>20000</v>
      </c>
      <c r="M429" s="10">
        <v>10000</v>
      </c>
      <c r="N429" s="152">
        <v>10000</v>
      </c>
      <c r="O429" s="10">
        <v>20000</v>
      </c>
      <c r="P429" s="152">
        <v>10000</v>
      </c>
      <c r="Q429" s="10">
        <v>10000</v>
      </c>
      <c r="R429" s="9">
        <v>10000</v>
      </c>
      <c r="S429" s="10"/>
      <c r="T429" s="9">
        <v>0</v>
      </c>
      <c r="U429" s="10"/>
      <c r="V429" s="9">
        <v>0</v>
      </c>
      <c r="W429" s="10"/>
      <c r="X429" s="9">
        <v>0</v>
      </c>
      <c r="Y429" s="10"/>
      <c r="Z429" s="9">
        <v>0</v>
      </c>
      <c r="AA429" s="10"/>
      <c r="AB429" s="11">
        <v>0</v>
      </c>
      <c r="AC429" s="10"/>
      <c r="AD429" s="7">
        <f>SUM(F429+H429+J429+L429+N429+P429+R429+T429+V429+X429+Z429+AB429)</f>
        <v>70000</v>
      </c>
      <c r="AE429" s="7">
        <f>E429+AD429</f>
        <v>80000</v>
      </c>
      <c r="AF429" s="8">
        <f>G429+I429+K429+M429+O429+Q429+S429+U429+W429+Y429+AA429+AC429</f>
        <v>60000</v>
      </c>
      <c r="AG429" s="153">
        <f>SUM(AE429-AF429)</f>
        <v>20000</v>
      </c>
      <c r="AH429" s="99" t="s">
        <v>770</v>
      </c>
      <c r="AI429" s="99">
        <v>4</v>
      </c>
    </row>
    <row r="430" spans="1:42" customHeight="1" ht="11.5">
      <c r="A430" s="5">
        <v>422</v>
      </c>
      <c r="B430" s="166" t="s">
        <v>771</v>
      </c>
      <c r="C430" s="167" t="s">
        <v>112</v>
      </c>
      <c r="D430" s="88" t="s">
        <v>113</v>
      </c>
      <c r="E430" s="86">
        <v>0</v>
      </c>
      <c r="F430" s="9">
        <v>15000</v>
      </c>
      <c r="G430" s="10"/>
      <c r="H430" s="9">
        <v>15000</v>
      </c>
      <c r="I430" s="10">
        <v>15000</v>
      </c>
      <c r="J430" s="152">
        <v>20000</v>
      </c>
      <c r="K430" s="10">
        <v>15000</v>
      </c>
      <c r="L430" s="152">
        <v>15000</v>
      </c>
      <c r="M430" s="10">
        <v>20000</v>
      </c>
      <c r="N430" s="152">
        <v>15000</v>
      </c>
      <c r="O430" s="10">
        <v>15000</v>
      </c>
      <c r="P430" s="152">
        <v>10000</v>
      </c>
      <c r="Q430" s="10">
        <v>15000</v>
      </c>
      <c r="R430" s="9">
        <v>25000</v>
      </c>
      <c r="S430" s="10"/>
      <c r="T430" s="9">
        <v>0</v>
      </c>
      <c r="U430" s="10"/>
      <c r="V430" s="9">
        <v>0</v>
      </c>
      <c r="W430" s="10"/>
      <c r="X430" s="9">
        <v>0</v>
      </c>
      <c r="Y430" s="10"/>
      <c r="Z430" s="9">
        <v>0</v>
      </c>
      <c r="AA430" s="10"/>
      <c r="AB430" s="11">
        <v>0</v>
      </c>
      <c r="AC430" s="10"/>
      <c r="AD430" s="7">
        <f>SUM(F430+H430+J430+L430+N430+P430+R430+T430+V430+X430+Z430+AB430)</f>
        <v>115000</v>
      </c>
      <c r="AE430" s="7">
        <f>E430+AD430</f>
        <v>115000</v>
      </c>
      <c r="AF430" s="8">
        <f>G430+I430+K430+M430+O430+Q430+S430+U430+W430+Y430+AA430+AC430</f>
        <v>80000</v>
      </c>
      <c r="AG430" s="153">
        <f>SUM(AE430-AF430)</f>
        <v>35000</v>
      </c>
      <c r="AH430" s="99" t="s">
        <v>772</v>
      </c>
      <c r="AI430" s="99">
        <v>4</v>
      </c>
    </row>
    <row r="431" spans="1:42" customHeight="1" ht="11.5">
      <c r="A431" s="5">
        <v>423</v>
      </c>
      <c r="B431" s="166" t="s">
        <v>773</v>
      </c>
      <c r="C431" s="167" t="s">
        <v>36</v>
      </c>
      <c r="D431" s="88" t="s">
        <v>37</v>
      </c>
      <c r="E431" s="86">
        <v>0</v>
      </c>
      <c r="F431" s="9">
        <v>0</v>
      </c>
      <c r="G431" s="10"/>
      <c r="H431" s="9">
        <v>0</v>
      </c>
      <c r="I431" s="10"/>
      <c r="J431" s="152">
        <v>0</v>
      </c>
      <c r="K431" s="10"/>
      <c r="L431" s="152">
        <v>0</v>
      </c>
      <c r="M431" s="10"/>
      <c r="N431" s="152">
        <v>0</v>
      </c>
      <c r="O431" s="10"/>
      <c r="P431" s="152">
        <v>0</v>
      </c>
      <c r="Q431" s="10"/>
      <c r="R431" s="9">
        <v>0</v>
      </c>
      <c r="S431" s="10"/>
      <c r="T431" s="9">
        <v>0</v>
      </c>
      <c r="U431" s="10"/>
      <c r="V431" s="9">
        <v>0</v>
      </c>
      <c r="W431" s="10"/>
      <c r="X431" s="9">
        <v>0</v>
      </c>
      <c r="Y431" s="10"/>
      <c r="Z431" s="9">
        <v>0</v>
      </c>
      <c r="AA431" s="10"/>
      <c r="AB431" s="11">
        <v>0</v>
      </c>
      <c r="AC431" s="10"/>
      <c r="AD431" s="7">
        <f>SUM(F431+H431+J431+L431+N431+P431+R431+T431+V431+X431+Z431+AB431)</f>
        <v>0</v>
      </c>
      <c r="AE431" s="7">
        <f>E431+AD431</f>
        <v>0</v>
      </c>
      <c r="AF431" s="8">
        <f>G431+I431+K431+M431+O431+Q431+S431+U431+W431+Y431+AA431+AC431</f>
        <v>0</v>
      </c>
      <c r="AG431" s="153">
        <f>SUM(AE431-AF431)</f>
        <v>0</v>
      </c>
      <c r="AH431" s="99" t="s">
        <v>774</v>
      </c>
      <c r="AI431" s="99">
        <v>4</v>
      </c>
    </row>
    <row r="432" spans="1:42" customHeight="1" ht="11.5">
      <c r="A432" s="5">
        <v>424</v>
      </c>
      <c r="B432" s="166" t="s">
        <v>775</v>
      </c>
      <c r="C432" s="167" t="s">
        <v>36</v>
      </c>
      <c r="D432" s="88" t="s">
        <v>37</v>
      </c>
      <c r="E432" s="86">
        <v>0</v>
      </c>
      <c r="F432" s="9">
        <v>0</v>
      </c>
      <c r="G432" s="10"/>
      <c r="H432" s="9">
        <v>0</v>
      </c>
      <c r="I432" s="10"/>
      <c r="J432" s="152">
        <v>0</v>
      </c>
      <c r="K432" s="10"/>
      <c r="L432" s="152">
        <v>0</v>
      </c>
      <c r="M432" s="10"/>
      <c r="N432" s="152">
        <v>0</v>
      </c>
      <c r="O432" s="10"/>
      <c r="P432" s="152">
        <v>0</v>
      </c>
      <c r="Q432" s="10"/>
      <c r="R432" s="9">
        <v>0</v>
      </c>
      <c r="S432" s="10"/>
      <c r="T432" s="9">
        <v>0</v>
      </c>
      <c r="U432" s="10"/>
      <c r="V432" s="9">
        <v>0</v>
      </c>
      <c r="W432" s="10"/>
      <c r="X432" s="9">
        <v>0</v>
      </c>
      <c r="Y432" s="10"/>
      <c r="Z432" s="9">
        <v>0</v>
      </c>
      <c r="AA432" s="10"/>
      <c r="AB432" s="11">
        <v>0</v>
      </c>
      <c r="AC432" s="10"/>
      <c r="AD432" s="7">
        <f>SUM(F432+H432+J432+L432+N432+P432+R432+T432+V432+X432+Z432+AB432)</f>
        <v>0</v>
      </c>
      <c r="AE432" s="7">
        <f>E432+AD432</f>
        <v>0</v>
      </c>
      <c r="AF432" s="8">
        <f>G432+I432+K432+M432+O432+Q432+S432+U432+W432+Y432+AA432+AC432</f>
        <v>0</v>
      </c>
      <c r="AG432" s="153">
        <f>SUM(AE432-AF432)</f>
        <v>0</v>
      </c>
      <c r="AH432" s="99" t="s">
        <v>776</v>
      </c>
      <c r="AI432" s="99">
        <v>4</v>
      </c>
    </row>
    <row r="433" spans="1:42" customHeight="1" ht="11.5">
      <c r="A433" s="5">
        <v>425</v>
      </c>
      <c r="B433" s="166" t="s">
        <v>777</v>
      </c>
      <c r="C433" s="167" t="s">
        <v>36</v>
      </c>
      <c r="D433" s="88" t="s">
        <v>37</v>
      </c>
      <c r="E433" s="86">
        <v>0</v>
      </c>
      <c r="F433" s="9">
        <v>0</v>
      </c>
      <c r="G433" s="10"/>
      <c r="H433" s="9">
        <v>0</v>
      </c>
      <c r="I433" s="10"/>
      <c r="J433" s="152">
        <v>0</v>
      </c>
      <c r="K433" s="10"/>
      <c r="L433" s="152">
        <v>0</v>
      </c>
      <c r="M433" s="10"/>
      <c r="N433" s="152">
        <v>0</v>
      </c>
      <c r="O433" s="10"/>
      <c r="P433" s="152">
        <v>0</v>
      </c>
      <c r="Q433" s="10"/>
      <c r="R433" s="9">
        <v>0</v>
      </c>
      <c r="S433" s="10"/>
      <c r="T433" s="9">
        <v>0</v>
      </c>
      <c r="U433" s="10"/>
      <c r="V433" s="9">
        <v>0</v>
      </c>
      <c r="W433" s="10"/>
      <c r="X433" s="9">
        <v>0</v>
      </c>
      <c r="Y433" s="10"/>
      <c r="Z433" s="9">
        <v>0</v>
      </c>
      <c r="AA433" s="10"/>
      <c r="AB433" s="11">
        <v>0</v>
      </c>
      <c r="AC433" s="10"/>
      <c r="AD433" s="7">
        <f>SUM(F433+H433+J433+L433+N433+P433+R433+T433+V433+X433+Z433+AB433)</f>
        <v>0</v>
      </c>
      <c r="AE433" s="7">
        <f>E433+AD433</f>
        <v>0</v>
      </c>
      <c r="AF433" s="8">
        <f>G433+I433+K433+M433+O433+Q433+S433+U433+W433+Y433+AA433+AC433</f>
        <v>0</v>
      </c>
      <c r="AG433" s="153">
        <f>SUM(AE433-AF433)</f>
        <v>0</v>
      </c>
      <c r="AH433" s="99" t="s">
        <v>778</v>
      </c>
      <c r="AI433" s="99">
        <v>4</v>
      </c>
    </row>
    <row r="434" spans="1:42" customHeight="1" ht="11.5">
      <c r="A434" s="5">
        <v>426</v>
      </c>
      <c r="B434" s="166" t="s">
        <v>779</v>
      </c>
      <c r="C434" s="167" t="s">
        <v>91</v>
      </c>
      <c r="D434" s="88" t="s">
        <v>92</v>
      </c>
      <c r="E434" s="86">
        <v>0</v>
      </c>
      <c r="F434" s="9">
        <v>0</v>
      </c>
      <c r="G434" s="10"/>
      <c r="H434" s="9">
        <v>0</v>
      </c>
      <c r="I434" s="10"/>
      <c r="J434" s="152">
        <v>0</v>
      </c>
      <c r="K434" s="10"/>
      <c r="L434" s="152">
        <v>0</v>
      </c>
      <c r="M434" s="10"/>
      <c r="N434" s="152">
        <v>0</v>
      </c>
      <c r="O434" s="10"/>
      <c r="P434" s="152">
        <v>0</v>
      </c>
      <c r="Q434" s="10"/>
      <c r="R434" s="9">
        <v>0</v>
      </c>
      <c r="S434" s="10"/>
      <c r="T434" s="9">
        <v>0</v>
      </c>
      <c r="U434" s="10"/>
      <c r="V434" s="9">
        <v>0</v>
      </c>
      <c r="W434" s="10"/>
      <c r="X434" s="9">
        <v>0</v>
      </c>
      <c r="Y434" s="10"/>
      <c r="Z434" s="9">
        <v>0</v>
      </c>
      <c r="AA434" s="10"/>
      <c r="AB434" s="11">
        <v>0</v>
      </c>
      <c r="AC434" s="10"/>
      <c r="AD434" s="7">
        <f>SUM(F434+H434+J434+L434+N434+P434+R434+T434+V434+X434+Z434+AB434)</f>
        <v>0</v>
      </c>
      <c r="AE434" s="7">
        <f>E434+AD434</f>
        <v>0</v>
      </c>
      <c r="AF434" s="8">
        <f>G434+I434+K434+M434+O434+Q434+S434+U434+W434+Y434+AA434+AC434</f>
        <v>0</v>
      </c>
      <c r="AG434" s="153">
        <f>SUM(AE434-AF434)</f>
        <v>0</v>
      </c>
      <c r="AH434" s="99" t="s">
        <v>780</v>
      </c>
      <c r="AI434" s="99">
        <v>4</v>
      </c>
    </row>
    <row r="435" spans="1:42" customHeight="1" ht="11.5">
      <c r="A435" s="5">
        <v>427</v>
      </c>
      <c r="B435" s="166" t="s">
        <v>781</v>
      </c>
      <c r="C435" s="167" t="s">
        <v>36</v>
      </c>
      <c r="D435" s="88" t="s">
        <v>37</v>
      </c>
      <c r="E435" s="86">
        <v>0</v>
      </c>
      <c r="F435" s="9">
        <v>0</v>
      </c>
      <c r="G435" s="10"/>
      <c r="H435" s="9">
        <v>8000</v>
      </c>
      <c r="I435" s="10"/>
      <c r="J435" s="152">
        <v>0</v>
      </c>
      <c r="K435" s="10">
        <v>8000</v>
      </c>
      <c r="L435" s="152">
        <v>0</v>
      </c>
      <c r="M435" s="10"/>
      <c r="N435" s="152">
        <v>0</v>
      </c>
      <c r="O435" s="10"/>
      <c r="P435" s="152">
        <v>0</v>
      </c>
      <c r="Q435" s="10"/>
      <c r="R435" s="9">
        <v>0</v>
      </c>
      <c r="S435" s="10"/>
      <c r="T435" s="9">
        <v>0</v>
      </c>
      <c r="U435" s="10"/>
      <c r="V435" s="9">
        <v>0</v>
      </c>
      <c r="W435" s="10"/>
      <c r="X435" s="9">
        <v>0</v>
      </c>
      <c r="Y435" s="10"/>
      <c r="Z435" s="9">
        <v>0</v>
      </c>
      <c r="AA435" s="10"/>
      <c r="AB435" s="11">
        <v>0</v>
      </c>
      <c r="AC435" s="10"/>
      <c r="AD435" s="7">
        <f>SUM(F435+H435+J435+L435+N435+P435+R435+T435+V435+X435+Z435+AB435)</f>
        <v>8000</v>
      </c>
      <c r="AE435" s="7">
        <f>E435+AD435</f>
        <v>8000</v>
      </c>
      <c r="AF435" s="8">
        <f>G435+I435+K435+M435+O435+Q435+S435+U435+W435+Y435+AA435+AC435</f>
        <v>8000</v>
      </c>
      <c r="AG435" s="153">
        <f>SUM(AE435-AF435)</f>
        <v>0</v>
      </c>
      <c r="AH435" s="99" t="s">
        <v>782</v>
      </c>
      <c r="AI435" s="99">
        <v>4</v>
      </c>
    </row>
    <row r="436" spans="1:42" customHeight="1" ht="11.5">
      <c r="A436" s="5">
        <v>428</v>
      </c>
      <c r="B436" s="166" t="s">
        <v>783</v>
      </c>
      <c r="C436" s="167" t="s">
        <v>36</v>
      </c>
      <c r="D436" s="88" t="s">
        <v>37</v>
      </c>
      <c r="E436" s="86">
        <v>0</v>
      </c>
      <c r="F436" s="9">
        <v>0</v>
      </c>
      <c r="G436" s="10"/>
      <c r="H436" s="9">
        <v>0</v>
      </c>
      <c r="I436" s="10"/>
      <c r="J436" s="152">
        <v>0</v>
      </c>
      <c r="K436" s="10"/>
      <c r="L436" s="152">
        <v>0</v>
      </c>
      <c r="M436" s="10"/>
      <c r="N436" s="152">
        <v>0</v>
      </c>
      <c r="O436" s="10"/>
      <c r="P436" s="152">
        <v>0</v>
      </c>
      <c r="Q436" s="10"/>
      <c r="R436" s="9">
        <v>0</v>
      </c>
      <c r="S436" s="10"/>
      <c r="T436" s="9">
        <v>0</v>
      </c>
      <c r="U436" s="10"/>
      <c r="V436" s="9">
        <v>0</v>
      </c>
      <c r="W436" s="10"/>
      <c r="X436" s="9">
        <v>0</v>
      </c>
      <c r="Y436" s="10"/>
      <c r="Z436" s="9">
        <v>0</v>
      </c>
      <c r="AA436" s="10"/>
      <c r="AB436" s="11">
        <v>0</v>
      </c>
      <c r="AC436" s="10"/>
      <c r="AD436" s="7">
        <f>SUM(F436+H436+J436+L436+N436+P436+R436+T436+V436+X436+Z436+AB436)</f>
        <v>0</v>
      </c>
      <c r="AE436" s="7">
        <f>E436+AD436</f>
        <v>0</v>
      </c>
      <c r="AF436" s="8">
        <f>G436+I436+K436+M436+O436+Q436+S436+U436+W436+Y436+AA436+AC436</f>
        <v>0</v>
      </c>
      <c r="AG436" s="153">
        <f>SUM(AE436-AF436)</f>
        <v>0</v>
      </c>
      <c r="AH436" s="99" t="s">
        <v>784</v>
      </c>
      <c r="AI436" s="99">
        <v>4</v>
      </c>
    </row>
    <row r="437" spans="1:42" customHeight="1" ht="11.5">
      <c r="A437" s="5">
        <v>429</v>
      </c>
      <c r="B437" s="166" t="s">
        <v>785</v>
      </c>
      <c r="C437" s="167" t="s">
        <v>36</v>
      </c>
      <c r="D437" s="88" t="s">
        <v>37</v>
      </c>
      <c r="E437" s="86">
        <v>0</v>
      </c>
      <c r="F437" s="9">
        <v>0</v>
      </c>
      <c r="G437" s="10"/>
      <c r="H437" s="9">
        <v>0</v>
      </c>
      <c r="I437" s="10"/>
      <c r="J437" s="152">
        <v>0</v>
      </c>
      <c r="K437" s="10"/>
      <c r="L437" s="152">
        <v>10000</v>
      </c>
      <c r="M437" s="10"/>
      <c r="N437" s="152">
        <v>0</v>
      </c>
      <c r="O437" s="10">
        <v>10000</v>
      </c>
      <c r="P437" s="152">
        <v>0</v>
      </c>
      <c r="Q437" s="10"/>
      <c r="R437" s="9">
        <v>0</v>
      </c>
      <c r="S437" s="10"/>
      <c r="T437" s="9">
        <v>0</v>
      </c>
      <c r="U437" s="10"/>
      <c r="V437" s="9">
        <v>0</v>
      </c>
      <c r="W437" s="10"/>
      <c r="X437" s="9">
        <v>0</v>
      </c>
      <c r="Y437" s="10"/>
      <c r="Z437" s="9">
        <v>0</v>
      </c>
      <c r="AA437" s="10"/>
      <c r="AB437" s="11">
        <v>0</v>
      </c>
      <c r="AC437" s="10"/>
      <c r="AD437" s="7">
        <f>SUM(F437+H437+J437+L437+N437+P437+R437+T437+V437+X437+Z437+AB437)</f>
        <v>10000</v>
      </c>
      <c r="AE437" s="7">
        <f>E437+AD437</f>
        <v>10000</v>
      </c>
      <c r="AF437" s="8">
        <f>G437+I437+K437+M437+O437+Q437+S437+U437+W437+Y437+AA437+AC437</f>
        <v>10000</v>
      </c>
      <c r="AG437" s="153">
        <f>SUM(AE437-AF437)</f>
        <v>0</v>
      </c>
      <c r="AH437" s="99" t="s">
        <v>786</v>
      </c>
      <c r="AI437" s="99">
        <v>4</v>
      </c>
    </row>
    <row r="438" spans="1:42" customHeight="1" ht="11.5">
      <c r="A438" s="5">
        <v>430</v>
      </c>
      <c r="B438" s="166" t="s">
        <v>787</v>
      </c>
      <c r="C438" s="167" t="s">
        <v>36</v>
      </c>
      <c r="D438" s="88" t="s">
        <v>37</v>
      </c>
      <c r="E438" s="86">
        <v>0</v>
      </c>
      <c r="F438" s="9">
        <v>0</v>
      </c>
      <c r="G438" s="10"/>
      <c r="H438" s="9">
        <v>10000</v>
      </c>
      <c r="I438" s="10"/>
      <c r="J438" s="152">
        <v>0</v>
      </c>
      <c r="K438" s="10">
        <v>10000</v>
      </c>
      <c r="L438" s="152">
        <v>0</v>
      </c>
      <c r="M438" s="10"/>
      <c r="N438" s="152">
        <v>0</v>
      </c>
      <c r="O438" s="10"/>
      <c r="P438" s="152">
        <v>0</v>
      </c>
      <c r="Q438" s="10"/>
      <c r="R438" s="9">
        <v>0</v>
      </c>
      <c r="S438" s="10"/>
      <c r="T438" s="9">
        <v>0</v>
      </c>
      <c r="U438" s="10"/>
      <c r="V438" s="9">
        <v>0</v>
      </c>
      <c r="W438" s="10"/>
      <c r="X438" s="9">
        <v>0</v>
      </c>
      <c r="Y438" s="10"/>
      <c r="Z438" s="9">
        <v>0</v>
      </c>
      <c r="AA438" s="10"/>
      <c r="AB438" s="11">
        <v>0</v>
      </c>
      <c r="AC438" s="10"/>
      <c r="AD438" s="7">
        <f>SUM(F438+H438+J438+L438+N438+P438+R438+T438+V438+X438+Z438+AB438)</f>
        <v>10000</v>
      </c>
      <c r="AE438" s="7">
        <f>E438+AD438</f>
        <v>10000</v>
      </c>
      <c r="AF438" s="8">
        <f>G438+I438+K438+M438+O438+Q438+S438+U438+W438+Y438+AA438+AC438</f>
        <v>10000</v>
      </c>
      <c r="AG438" s="153">
        <f>SUM(AE438-AF438)</f>
        <v>0</v>
      </c>
      <c r="AH438" s="99" t="s">
        <v>788</v>
      </c>
      <c r="AI438" s="99">
        <v>4</v>
      </c>
    </row>
    <row r="439" spans="1:42" customHeight="1" ht="11.5">
      <c r="A439" s="5">
        <v>431</v>
      </c>
      <c r="B439" s="166" t="s">
        <v>789</v>
      </c>
      <c r="C439" s="167" t="s">
        <v>36</v>
      </c>
      <c r="D439" s="88" t="s">
        <v>37</v>
      </c>
      <c r="E439" s="86">
        <v>0</v>
      </c>
      <c r="F439" s="9">
        <v>0</v>
      </c>
      <c r="G439" s="10"/>
      <c r="H439" s="9">
        <v>0</v>
      </c>
      <c r="I439" s="10"/>
      <c r="J439" s="152">
        <v>0</v>
      </c>
      <c r="K439" s="10"/>
      <c r="L439" s="152">
        <v>0</v>
      </c>
      <c r="M439" s="10"/>
      <c r="N439" s="152">
        <v>0</v>
      </c>
      <c r="O439" s="10"/>
      <c r="P439" s="152">
        <v>0</v>
      </c>
      <c r="Q439" s="10"/>
      <c r="R439" s="9">
        <v>0</v>
      </c>
      <c r="S439" s="10"/>
      <c r="T439" s="9">
        <v>0</v>
      </c>
      <c r="U439" s="10"/>
      <c r="V439" s="9">
        <v>0</v>
      </c>
      <c r="W439" s="10"/>
      <c r="X439" s="9">
        <v>0</v>
      </c>
      <c r="Y439" s="10"/>
      <c r="Z439" s="9">
        <v>0</v>
      </c>
      <c r="AA439" s="10"/>
      <c r="AB439" s="11">
        <v>0</v>
      </c>
      <c r="AC439" s="10"/>
      <c r="AD439" s="7">
        <f>SUM(F439+H439+J439+L439+N439+P439+R439+T439+V439+X439+Z439+AB439)</f>
        <v>0</v>
      </c>
      <c r="AE439" s="7">
        <f>E439+AD439</f>
        <v>0</v>
      </c>
      <c r="AF439" s="8">
        <f>G439+I439+K439+M439+O439+Q439+S439+U439+W439+Y439+AA439+AC439</f>
        <v>0</v>
      </c>
      <c r="AG439" s="153">
        <f>SUM(AE439-AF439)</f>
        <v>0</v>
      </c>
      <c r="AH439" s="99" t="s">
        <v>790</v>
      </c>
      <c r="AI439" s="99">
        <v>4</v>
      </c>
    </row>
    <row r="440" spans="1:42" customHeight="1" ht="11.5">
      <c r="A440" s="5">
        <v>432</v>
      </c>
      <c r="B440" s="166" t="s">
        <v>791</v>
      </c>
      <c r="C440" s="167" t="s">
        <v>36</v>
      </c>
      <c r="D440" s="88" t="s">
        <v>37</v>
      </c>
      <c r="E440" s="86">
        <v>0</v>
      </c>
      <c r="F440" s="9">
        <v>0</v>
      </c>
      <c r="G440" s="10"/>
      <c r="H440" s="9">
        <v>0</v>
      </c>
      <c r="I440" s="10"/>
      <c r="J440" s="152">
        <v>0</v>
      </c>
      <c r="K440" s="10"/>
      <c r="L440" s="152">
        <v>0</v>
      </c>
      <c r="M440" s="10"/>
      <c r="N440" s="152">
        <v>0</v>
      </c>
      <c r="O440" s="10"/>
      <c r="P440" s="152">
        <v>0</v>
      </c>
      <c r="Q440" s="10"/>
      <c r="R440" s="9">
        <v>0</v>
      </c>
      <c r="S440" s="10"/>
      <c r="T440" s="9">
        <v>0</v>
      </c>
      <c r="U440" s="10"/>
      <c r="V440" s="9">
        <v>0</v>
      </c>
      <c r="W440" s="10"/>
      <c r="X440" s="9">
        <v>0</v>
      </c>
      <c r="Y440" s="10"/>
      <c r="Z440" s="9">
        <v>0</v>
      </c>
      <c r="AA440" s="10"/>
      <c r="AB440" s="11">
        <v>0</v>
      </c>
      <c r="AC440" s="10"/>
      <c r="AD440" s="7">
        <f>SUM(F440+H440+J440+L440+N440+P440+R440+T440+V440+X440+Z440+AB440)</f>
        <v>0</v>
      </c>
      <c r="AE440" s="7">
        <f>E440+AD440</f>
        <v>0</v>
      </c>
      <c r="AF440" s="8">
        <f>G440+I440+K440+M440+O440+Q440+S440+U440+W440+Y440+AA440+AC440</f>
        <v>0</v>
      </c>
      <c r="AG440" s="153">
        <f>SUM(AE440-AF440)</f>
        <v>0</v>
      </c>
      <c r="AH440" s="99" t="s">
        <v>792</v>
      </c>
      <c r="AI440" s="99">
        <v>4</v>
      </c>
    </row>
    <row r="441" spans="1:42" customHeight="1" ht="11.5">
      <c r="A441" s="5">
        <v>433</v>
      </c>
      <c r="B441" s="166" t="s">
        <v>793</v>
      </c>
      <c r="C441" s="167" t="s">
        <v>36</v>
      </c>
      <c r="D441" s="88" t="s">
        <v>37</v>
      </c>
      <c r="E441" s="86">
        <v>0</v>
      </c>
      <c r="F441" s="9">
        <v>0</v>
      </c>
      <c r="G441" s="10"/>
      <c r="H441" s="9">
        <v>0</v>
      </c>
      <c r="I441" s="10"/>
      <c r="J441" s="152">
        <v>0</v>
      </c>
      <c r="K441" s="10"/>
      <c r="L441" s="152">
        <v>0</v>
      </c>
      <c r="M441" s="10"/>
      <c r="N441" s="152">
        <v>0</v>
      </c>
      <c r="O441" s="10"/>
      <c r="P441" s="152">
        <v>0</v>
      </c>
      <c r="Q441" s="10"/>
      <c r="R441" s="9">
        <v>0</v>
      </c>
      <c r="S441" s="10"/>
      <c r="T441" s="9">
        <v>0</v>
      </c>
      <c r="U441" s="10"/>
      <c r="V441" s="9">
        <v>0</v>
      </c>
      <c r="W441" s="10"/>
      <c r="X441" s="9">
        <v>0</v>
      </c>
      <c r="Y441" s="10"/>
      <c r="Z441" s="9">
        <v>0</v>
      </c>
      <c r="AA441" s="10"/>
      <c r="AB441" s="11">
        <v>0</v>
      </c>
      <c r="AC441" s="10"/>
      <c r="AD441" s="7">
        <f>SUM(F441+H441+J441+L441+N441+P441+R441+T441+V441+X441+Z441+AB441)</f>
        <v>0</v>
      </c>
      <c r="AE441" s="7">
        <f>E441+AD441</f>
        <v>0</v>
      </c>
      <c r="AF441" s="8">
        <f>G441+I441+K441+M441+O441+Q441+S441+U441+W441+Y441+AA441+AC441</f>
        <v>0</v>
      </c>
      <c r="AG441" s="153">
        <f>SUM(AE441-AF441)</f>
        <v>0</v>
      </c>
      <c r="AH441" s="99" t="s">
        <v>794</v>
      </c>
      <c r="AI441" s="99">
        <v>4</v>
      </c>
    </row>
    <row r="442" spans="1:42" customHeight="1" ht="11.5">
      <c r="A442" s="5">
        <v>434</v>
      </c>
      <c r="B442" s="166" t="s">
        <v>795</v>
      </c>
      <c r="C442" s="167" t="s">
        <v>36</v>
      </c>
      <c r="D442" s="88" t="s">
        <v>37</v>
      </c>
      <c r="E442" s="86">
        <v>0</v>
      </c>
      <c r="F442" s="9">
        <v>0</v>
      </c>
      <c r="G442" s="10"/>
      <c r="H442" s="9">
        <v>0</v>
      </c>
      <c r="I442" s="10"/>
      <c r="J442" s="152">
        <v>0</v>
      </c>
      <c r="K442" s="10"/>
      <c r="L442" s="152">
        <v>10000</v>
      </c>
      <c r="M442" s="10"/>
      <c r="N442" s="152">
        <v>0</v>
      </c>
      <c r="O442" s="10">
        <v>10000</v>
      </c>
      <c r="P442" s="152">
        <v>0</v>
      </c>
      <c r="Q442" s="10"/>
      <c r="R442" s="9">
        <v>0</v>
      </c>
      <c r="S442" s="10"/>
      <c r="T442" s="9">
        <v>0</v>
      </c>
      <c r="U442" s="10"/>
      <c r="V442" s="9">
        <v>0</v>
      </c>
      <c r="W442" s="10"/>
      <c r="X442" s="9">
        <v>0</v>
      </c>
      <c r="Y442" s="10"/>
      <c r="Z442" s="9">
        <v>0</v>
      </c>
      <c r="AA442" s="10"/>
      <c r="AB442" s="11">
        <v>0</v>
      </c>
      <c r="AC442" s="10"/>
      <c r="AD442" s="7">
        <f>SUM(F442+H442+J442+L442+N442+P442+R442+T442+V442+X442+Z442+AB442)</f>
        <v>10000</v>
      </c>
      <c r="AE442" s="7">
        <f>E442+AD442</f>
        <v>10000</v>
      </c>
      <c r="AF442" s="8">
        <f>G442+I442+K442+M442+O442+Q442+S442+U442+W442+Y442+AA442+AC442</f>
        <v>10000</v>
      </c>
      <c r="AG442" s="153">
        <f>SUM(AE442-AF442)</f>
        <v>0</v>
      </c>
      <c r="AH442" s="99" t="s">
        <v>796</v>
      </c>
      <c r="AI442" s="99">
        <v>4</v>
      </c>
    </row>
    <row r="443" spans="1:42" customHeight="1" ht="11.5">
      <c r="A443" s="5">
        <v>435</v>
      </c>
      <c r="B443" s="166" t="s">
        <v>797</v>
      </c>
      <c r="C443" s="167" t="s">
        <v>36</v>
      </c>
      <c r="D443" s="88" t="s">
        <v>37</v>
      </c>
      <c r="E443" s="86">
        <v>10000</v>
      </c>
      <c r="F443" s="9">
        <v>10000</v>
      </c>
      <c r="G443" s="10">
        <v>10000</v>
      </c>
      <c r="H443" s="9">
        <v>10000</v>
      </c>
      <c r="I443" s="10">
        <v>10000</v>
      </c>
      <c r="J443" s="152">
        <v>5000</v>
      </c>
      <c r="K443" s="10">
        <v>10000</v>
      </c>
      <c r="L443" s="152">
        <v>15000</v>
      </c>
      <c r="M443" s="10">
        <v>5000</v>
      </c>
      <c r="N443" s="152">
        <v>10000</v>
      </c>
      <c r="O443" s="10">
        <v>15000</v>
      </c>
      <c r="P443" s="152">
        <v>5000</v>
      </c>
      <c r="Q443" s="10">
        <v>10000</v>
      </c>
      <c r="R443" s="9">
        <v>15000</v>
      </c>
      <c r="S443" s="10"/>
      <c r="T443" s="9">
        <v>0</v>
      </c>
      <c r="U443" s="10"/>
      <c r="V443" s="9">
        <v>0</v>
      </c>
      <c r="W443" s="10"/>
      <c r="X443" s="9">
        <v>0</v>
      </c>
      <c r="Y443" s="10"/>
      <c r="Z443" s="9">
        <v>0</v>
      </c>
      <c r="AA443" s="10"/>
      <c r="AB443" s="11">
        <v>0</v>
      </c>
      <c r="AC443" s="10"/>
      <c r="AD443" s="7">
        <f>SUM(F443+H443+J443+L443+N443+P443+R443+T443+V443+X443+Z443+AB443)</f>
        <v>70000</v>
      </c>
      <c r="AE443" s="7">
        <f>E443+AD443</f>
        <v>80000</v>
      </c>
      <c r="AF443" s="8">
        <f>G443+I443+K443+M443+O443+Q443+S443+U443+W443+Y443+AA443+AC443</f>
        <v>60000</v>
      </c>
      <c r="AG443" s="153">
        <f>SUM(AE443-AF443)</f>
        <v>20000</v>
      </c>
      <c r="AH443" s="99" t="s">
        <v>798</v>
      </c>
      <c r="AI443" s="99">
        <v>4</v>
      </c>
    </row>
    <row r="444" spans="1:42" customHeight="1" ht="11.5">
      <c r="A444" s="5">
        <v>436</v>
      </c>
      <c r="B444" s="169" t="s">
        <v>799</v>
      </c>
      <c r="C444" s="167" t="s">
        <v>36</v>
      </c>
      <c r="D444" s="88" t="s">
        <v>37</v>
      </c>
      <c r="E444" s="86">
        <v>5000</v>
      </c>
      <c r="F444" s="9">
        <v>5000</v>
      </c>
      <c r="G444" s="10">
        <v>5000</v>
      </c>
      <c r="H444" s="9">
        <v>10000</v>
      </c>
      <c r="I444" s="10">
        <v>5000</v>
      </c>
      <c r="J444" s="152">
        <v>5000</v>
      </c>
      <c r="K444" s="10">
        <v>10000</v>
      </c>
      <c r="L444" s="152">
        <v>5000</v>
      </c>
      <c r="M444" s="10">
        <v>5000</v>
      </c>
      <c r="N444" s="152">
        <v>10000</v>
      </c>
      <c r="O444" s="10">
        <v>5000</v>
      </c>
      <c r="P444" s="152">
        <v>5000</v>
      </c>
      <c r="Q444" s="10">
        <v>10000</v>
      </c>
      <c r="R444" s="9">
        <v>5000</v>
      </c>
      <c r="S444" s="10"/>
      <c r="T444" s="9">
        <v>0</v>
      </c>
      <c r="U444" s="10"/>
      <c r="V444" s="9">
        <v>0</v>
      </c>
      <c r="W444" s="10"/>
      <c r="X444" s="9">
        <v>0</v>
      </c>
      <c r="Y444" s="10"/>
      <c r="Z444" s="9">
        <v>0</v>
      </c>
      <c r="AA444" s="10"/>
      <c r="AB444" s="11">
        <v>0</v>
      </c>
      <c r="AC444" s="10"/>
      <c r="AD444" s="7">
        <f>SUM(F444+H444+J444+L444+N444+P444+R444+T444+V444+X444+Z444+AB444)</f>
        <v>45000</v>
      </c>
      <c r="AE444" s="7">
        <f>E444+AD444</f>
        <v>50000</v>
      </c>
      <c r="AF444" s="8">
        <f>G444+I444+K444+M444+O444+Q444+S444+U444+W444+Y444+AA444+AC444</f>
        <v>40000</v>
      </c>
      <c r="AG444" s="153">
        <f>SUM(AE444-AF444)</f>
        <v>10000</v>
      </c>
      <c r="AH444" s="99" t="s">
        <v>800</v>
      </c>
      <c r="AI444" s="99">
        <v>4</v>
      </c>
    </row>
    <row r="445" spans="1:42" customHeight="1" ht="11.5">
      <c r="A445" s="5">
        <v>437</v>
      </c>
      <c r="B445" s="166" t="s">
        <v>801</v>
      </c>
      <c r="C445" s="167" t="s">
        <v>36</v>
      </c>
      <c r="D445" s="88" t="s">
        <v>37</v>
      </c>
      <c r="E445" s="86">
        <v>70000</v>
      </c>
      <c r="F445" s="9">
        <v>130000</v>
      </c>
      <c r="G445" s="10">
        <v>70000</v>
      </c>
      <c r="H445" s="9">
        <v>110000</v>
      </c>
      <c r="I445" s="10">
        <v>130000</v>
      </c>
      <c r="J445" s="152">
        <v>70000</v>
      </c>
      <c r="K445" s="10">
        <v>110000</v>
      </c>
      <c r="L445" s="152">
        <v>50000</v>
      </c>
      <c r="M445" s="10">
        <v>70000</v>
      </c>
      <c r="N445" s="152">
        <v>70000</v>
      </c>
      <c r="O445" s="10">
        <v>50000</v>
      </c>
      <c r="P445" s="152">
        <v>60000</v>
      </c>
      <c r="Q445" s="10">
        <v>70000</v>
      </c>
      <c r="R445" s="9">
        <v>80000</v>
      </c>
      <c r="S445" s="10"/>
      <c r="T445" s="9">
        <v>0</v>
      </c>
      <c r="U445" s="10"/>
      <c r="V445" s="9">
        <v>0</v>
      </c>
      <c r="W445" s="10"/>
      <c r="X445" s="9">
        <v>0</v>
      </c>
      <c r="Y445" s="10"/>
      <c r="Z445" s="9">
        <v>0</v>
      </c>
      <c r="AA445" s="10"/>
      <c r="AB445" s="11">
        <v>0</v>
      </c>
      <c r="AC445" s="10"/>
      <c r="AD445" s="7">
        <f>SUM(F445+H445+J445+L445+N445+P445+R445+T445+V445+X445+Z445+AB445)</f>
        <v>570000</v>
      </c>
      <c r="AE445" s="7">
        <f>E445+AD445</f>
        <v>640000</v>
      </c>
      <c r="AF445" s="8">
        <f>G445+I445+K445+M445+O445+Q445+S445+U445+W445+Y445+AA445+AC445</f>
        <v>500000</v>
      </c>
      <c r="AG445" s="153">
        <f>SUM(AE445-AF445)</f>
        <v>140000</v>
      </c>
      <c r="AH445" s="99" t="s">
        <v>802</v>
      </c>
      <c r="AI445" s="99">
        <v>4</v>
      </c>
    </row>
    <row r="446" spans="1:42" customHeight="1" ht="11.5">
      <c r="A446" s="5">
        <v>438</v>
      </c>
      <c r="B446" s="166" t="s">
        <v>803</v>
      </c>
      <c r="C446" s="167" t="s">
        <v>36</v>
      </c>
      <c r="D446" s="88" t="s">
        <v>37</v>
      </c>
      <c r="E446" s="86">
        <v>10000</v>
      </c>
      <c r="F446" s="9">
        <v>10000</v>
      </c>
      <c r="G446" s="10">
        <v>10000</v>
      </c>
      <c r="H446" s="9">
        <v>10000</v>
      </c>
      <c r="I446" s="10">
        <v>10000</v>
      </c>
      <c r="J446" s="152">
        <v>10000</v>
      </c>
      <c r="K446" s="10">
        <v>10000</v>
      </c>
      <c r="L446" s="152">
        <v>0</v>
      </c>
      <c r="M446" s="10">
        <v>10000</v>
      </c>
      <c r="N446" s="152">
        <v>0</v>
      </c>
      <c r="O446" s="10"/>
      <c r="P446" s="152">
        <v>10000</v>
      </c>
      <c r="Q446" s="10"/>
      <c r="R446" s="9">
        <v>0</v>
      </c>
      <c r="S446" s="10"/>
      <c r="T446" s="9">
        <v>0</v>
      </c>
      <c r="U446" s="10"/>
      <c r="V446" s="9">
        <v>0</v>
      </c>
      <c r="W446" s="10"/>
      <c r="X446" s="9">
        <v>0</v>
      </c>
      <c r="Y446" s="10"/>
      <c r="Z446" s="9">
        <v>0</v>
      </c>
      <c r="AA446" s="10"/>
      <c r="AB446" s="11">
        <v>0</v>
      </c>
      <c r="AC446" s="10"/>
      <c r="AD446" s="7">
        <f>SUM(F446+H446+J446+L446+N446+P446+R446+T446+V446+X446+Z446+AB446)</f>
        <v>40000</v>
      </c>
      <c r="AE446" s="7">
        <f>E446+AD446</f>
        <v>50000</v>
      </c>
      <c r="AF446" s="8">
        <f>G446+I446+K446+M446+O446+Q446+S446+U446+W446+Y446+AA446+AC446</f>
        <v>40000</v>
      </c>
      <c r="AG446" s="153">
        <f>SUM(AE446-AF446)</f>
        <v>10000</v>
      </c>
      <c r="AH446" s="99" t="s">
        <v>804</v>
      </c>
      <c r="AI446" s="99">
        <v>4</v>
      </c>
    </row>
    <row r="447" spans="1:42" customHeight="1" ht="11.5">
      <c r="A447" s="5">
        <v>439</v>
      </c>
      <c r="B447" s="166" t="s">
        <v>805</v>
      </c>
      <c r="C447" s="167" t="s">
        <v>36</v>
      </c>
      <c r="D447" s="88" t="s">
        <v>37</v>
      </c>
      <c r="E447" s="86">
        <v>20000</v>
      </c>
      <c r="F447" s="9">
        <v>40000</v>
      </c>
      <c r="G447" s="10">
        <v>20000</v>
      </c>
      <c r="H447" s="9">
        <v>30000</v>
      </c>
      <c r="I447" s="10">
        <v>40000</v>
      </c>
      <c r="J447" s="152">
        <v>20000</v>
      </c>
      <c r="K447" s="10">
        <v>30000</v>
      </c>
      <c r="L447" s="152">
        <v>10000</v>
      </c>
      <c r="M447" s="10">
        <v>20000</v>
      </c>
      <c r="N447" s="152">
        <v>30000</v>
      </c>
      <c r="O447" s="10">
        <v>10000</v>
      </c>
      <c r="P447" s="152">
        <v>20000</v>
      </c>
      <c r="Q447" s="10">
        <v>30000</v>
      </c>
      <c r="R447" s="9">
        <v>30000</v>
      </c>
      <c r="S447" s="10"/>
      <c r="T447" s="9">
        <v>0</v>
      </c>
      <c r="U447" s="10"/>
      <c r="V447" s="9">
        <v>0</v>
      </c>
      <c r="W447" s="10"/>
      <c r="X447" s="9">
        <v>0</v>
      </c>
      <c r="Y447" s="10"/>
      <c r="Z447" s="9">
        <v>0</v>
      </c>
      <c r="AA447" s="10"/>
      <c r="AB447" s="11">
        <v>0</v>
      </c>
      <c r="AC447" s="10"/>
      <c r="AD447" s="7">
        <f>SUM(F447+H447+J447+L447+N447+P447+R447+T447+V447+X447+Z447+AB447)</f>
        <v>180000</v>
      </c>
      <c r="AE447" s="7">
        <f>E447+AD447</f>
        <v>200000</v>
      </c>
      <c r="AF447" s="8">
        <f>G447+I447+K447+M447+O447+Q447+S447+U447+W447+Y447+AA447+AC447</f>
        <v>150000</v>
      </c>
      <c r="AG447" s="153">
        <f>SUM(AE447-AF447)</f>
        <v>50000</v>
      </c>
      <c r="AH447" s="99" t="s">
        <v>806</v>
      </c>
      <c r="AI447" s="99">
        <v>4</v>
      </c>
    </row>
    <row r="448" spans="1:42" customHeight="1" ht="11.5">
      <c r="A448" s="5">
        <v>440</v>
      </c>
      <c r="B448" s="166" t="s">
        <v>807</v>
      </c>
      <c r="C448" s="167" t="s">
        <v>105</v>
      </c>
      <c r="D448" s="88" t="s">
        <v>106</v>
      </c>
      <c r="E448" s="86">
        <v>324963</v>
      </c>
      <c r="F448" s="9">
        <v>120000</v>
      </c>
      <c r="G448" s="10">
        <v>120042</v>
      </c>
      <c r="H448" s="9">
        <v>40000</v>
      </c>
      <c r="I448" s="10">
        <v>102758</v>
      </c>
      <c r="J448" s="152">
        <v>100000</v>
      </c>
      <c r="K448" s="10"/>
      <c r="L448" s="152">
        <v>60000</v>
      </c>
      <c r="M448" s="10">
        <v>57553</v>
      </c>
      <c r="N448" s="152">
        <v>40000</v>
      </c>
      <c r="O448" s="10">
        <v>364610</v>
      </c>
      <c r="P448" s="152">
        <v>60000</v>
      </c>
      <c r="Q448" s="10">
        <v>40000</v>
      </c>
      <c r="R448" s="9">
        <v>60000</v>
      </c>
      <c r="S448" s="10"/>
      <c r="T448" s="9">
        <v>0</v>
      </c>
      <c r="U448" s="10"/>
      <c r="V448" s="9">
        <v>0</v>
      </c>
      <c r="W448" s="10"/>
      <c r="X448" s="9">
        <v>0</v>
      </c>
      <c r="Y448" s="10"/>
      <c r="Z448" s="9">
        <v>0</v>
      </c>
      <c r="AA448" s="10"/>
      <c r="AB448" s="11">
        <v>0</v>
      </c>
      <c r="AC448" s="10"/>
      <c r="AD448" s="7">
        <f>SUM(F448+H448+J448+L448+N448+P448+R448+T448+V448+X448+Z448+AB448)</f>
        <v>480000</v>
      </c>
      <c r="AE448" s="7">
        <f>E448+AD448</f>
        <v>804963</v>
      </c>
      <c r="AF448" s="8">
        <f>G448+I448+K448+M448+O448+Q448+S448+U448+W448+Y448+AA448+AC448</f>
        <v>684963</v>
      </c>
      <c r="AG448" s="153">
        <f>SUM(AE448-AF448)</f>
        <v>120000</v>
      </c>
      <c r="AH448" s="99" t="s">
        <v>808</v>
      </c>
      <c r="AI448" s="99">
        <v>4</v>
      </c>
    </row>
    <row r="449" spans="1:42" customHeight="1" ht="11.5">
      <c r="A449" s="5">
        <v>441</v>
      </c>
      <c r="B449" s="166" t="s">
        <v>809</v>
      </c>
      <c r="C449" s="167" t="s">
        <v>36</v>
      </c>
      <c r="D449" s="88" t="s">
        <v>37</v>
      </c>
      <c r="E449" s="86">
        <v>25000</v>
      </c>
      <c r="F449" s="9">
        <v>45000</v>
      </c>
      <c r="G449" s="10">
        <v>25000</v>
      </c>
      <c r="H449" s="9">
        <v>15000</v>
      </c>
      <c r="I449" s="10">
        <v>45000</v>
      </c>
      <c r="J449" s="152">
        <v>35000</v>
      </c>
      <c r="K449" s="10">
        <v>15000</v>
      </c>
      <c r="L449" s="152">
        <v>30000</v>
      </c>
      <c r="M449" s="10">
        <v>35000</v>
      </c>
      <c r="N449" s="152">
        <v>25000</v>
      </c>
      <c r="O449" s="10">
        <v>30000</v>
      </c>
      <c r="P449" s="152">
        <v>15000</v>
      </c>
      <c r="Q449" s="10">
        <v>25000</v>
      </c>
      <c r="R449" s="9">
        <v>35000</v>
      </c>
      <c r="S449" s="10"/>
      <c r="T449" s="9">
        <v>0</v>
      </c>
      <c r="U449" s="10"/>
      <c r="V449" s="9">
        <v>0</v>
      </c>
      <c r="W449" s="10"/>
      <c r="X449" s="9">
        <v>0</v>
      </c>
      <c r="Y449" s="10"/>
      <c r="Z449" s="9">
        <v>0</v>
      </c>
      <c r="AA449" s="10"/>
      <c r="AB449" s="11">
        <v>0</v>
      </c>
      <c r="AC449" s="10"/>
      <c r="AD449" s="7">
        <f>SUM(F449+H449+J449+L449+N449+P449+R449+T449+V449+X449+Z449+AB449)</f>
        <v>200000</v>
      </c>
      <c r="AE449" s="7">
        <f>E449+AD449</f>
        <v>225000</v>
      </c>
      <c r="AF449" s="8">
        <f>G449+I449+K449+M449+O449+Q449+S449+U449+W449+Y449+AA449+AC449</f>
        <v>175000</v>
      </c>
      <c r="AG449" s="153">
        <f>SUM(AE449-AF449)</f>
        <v>50000</v>
      </c>
      <c r="AH449" s="99" t="s">
        <v>810</v>
      </c>
      <c r="AI449" s="99">
        <v>4</v>
      </c>
    </row>
    <row r="450" spans="1:42" customHeight="1" ht="11.5">
      <c r="A450" s="5">
        <v>442</v>
      </c>
      <c r="B450" s="166" t="s">
        <v>811</v>
      </c>
      <c r="C450" s="167" t="s">
        <v>36</v>
      </c>
      <c r="D450" s="88" t="s">
        <v>37</v>
      </c>
      <c r="E450" s="86">
        <v>-9620</v>
      </c>
      <c r="F450" s="9">
        <v>0</v>
      </c>
      <c r="G450" s="10">
        <v>20380</v>
      </c>
      <c r="H450" s="9">
        <v>0</v>
      </c>
      <c r="I450" s="10"/>
      <c r="J450" s="152">
        <v>0</v>
      </c>
      <c r="K450" s="10"/>
      <c r="L450" s="152">
        <v>0</v>
      </c>
      <c r="M450" s="10"/>
      <c r="N450" s="152">
        <v>0</v>
      </c>
      <c r="O450" s="10"/>
      <c r="P450" s="152">
        <v>0</v>
      </c>
      <c r="Q450" s="10"/>
      <c r="R450" s="9">
        <v>0</v>
      </c>
      <c r="S450" s="10"/>
      <c r="T450" s="9">
        <v>0</v>
      </c>
      <c r="U450" s="10"/>
      <c r="V450" s="9">
        <v>0</v>
      </c>
      <c r="W450" s="10"/>
      <c r="X450" s="9">
        <v>0</v>
      </c>
      <c r="Y450" s="10"/>
      <c r="Z450" s="9">
        <v>0</v>
      </c>
      <c r="AA450" s="10"/>
      <c r="AB450" s="11">
        <v>0</v>
      </c>
      <c r="AC450" s="10"/>
      <c r="AD450" s="7">
        <f>SUM(F450+H450+J450+L450+N450+P450+R450+T450+V450+X450+Z450+AB450)</f>
        <v>0</v>
      </c>
      <c r="AE450" s="7">
        <f>E450+AD450</f>
        <v>-9620</v>
      </c>
      <c r="AF450" s="8">
        <f>G450+I450+K450+M450+O450+Q450+S450+U450+W450+Y450+AA450+AC450</f>
        <v>20380</v>
      </c>
      <c r="AG450" s="153">
        <f>SUM(AE450-AF450)</f>
        <v>-30000</v>
      </c>
      <c r="AH450" s="99" t="s">
        <v>812</v>
      </c>
      <c r="AI450" s="99">
        <v>3</v>
      </c>
    </row>
    <row r="451" spans="1:42" customHeight="1" ht="11.5">
      <c r="A451" s="5">
        <v>443</v>
      </c>
      <c r="B451" s="166" t="s">
        <v>813</v>
      </c>
      <c r="C451" s="167" t="s">
        <v>112</v>
      </c>
      <c r="D451" s="88" t="s">
        <v>113</v>
      </c>
      <c r="E451" s="86">
        <v>0</v>
      </c>
      <c r="F451" s="9">
        <v>0</v>
      </c>
      <c r="G451" s="10"/>
      <c r="H451" s="9">
        <v>0</v>
      </c>
      <c r="I451" s="10"/>
      <c r="J451" s="152">
        <v>5000</v>
      </c>
      <c r="K451" s="10"/>
      <c r="L451" s="152">
        <v>0</v>
      </c>
      <c r="M451" s="10">
        <v>5000</v>
      </c>
      <c r="N451" s="152">
        <v>0</v>
      </c>
      <c r="O451" s="10"/>
      <c r="P451" s="152">
        <v>0</v>
      </c>
      <c r="Q451" s="10"/>
      <c r="R451" s="9">
        <v>0</v>
      </c>
      <c r="S451" s="10"/>
      <c r="T451" s="9">
        <v>0</v>
      </c>
      <c r="U451" s="10"/>
      <c r="V451" s="9">
        <v>0</v>
      </c>
      <c r="W451" s="10"/>
      <c r="X451" s="9">
        <v>0</v>
      </c>
      <c r="Y451" s="10"/>
      <c r="Z451" s="9">
        <v>0</v>
      </c>
      <c r="AA451" s="10"/>
      <c r="AB451" s="11">
        <v>0</v>
      </c>
      <c r="AC451" s="10"/>
      <c r="AD451" s="7">
        <f>SUM(F451+H451+J451+L451+N451+P451+R451+T451+V451+X451+Z451+AB451)</f>
        <v>5000</v>
      </c>
      <c r="AE451" s="7">
        <f>E451+AD451</f>
        <v>5000</v>
      </c>
      <c r="AF451" s="8">
        <f>G451+I451+K451+M451+O451+Q451+S451+U451+W451+Y451+AA451+AC451</f>
        <v>5000</v>
      </c>
      <c r="AG451" s="153">
        <f>SUM(AE451-AF451)</f>
        <v>0</v>
      </c>
      <c r="AH451" s="99" t="s">
        <v>814</v>
      </c>
      <c r="AI451" s="99">
        <v>4</v>
      </c>
    </row>
    <row r="452" spans="1:42" customHeight="1" ht="11.5">
      <c r="A452" s="5">
        <v>444</v>
      </c>
      <c r="B452" s="166" t="s">
        <v>815</v>
      </c>
      <c r="C452" s="167" t="s">
        <v>36</v>
      </c>
      <c r="D452" s="88" t="s">
        <v>37</v>
      </c>
      <c r="E452" s="86">
        <v>0</v>
      </c>
      <c r="F452" s="9">
        <v>0</v>
      </c>
      <c r="G452" s="10"/>
      <c r="H452" s="9">
        <v>0</v>
      </c>
      <c r="I452" s="10"/>
      <c r="J452" s="152">
        <v>0</v>
      </c>
      <c r="K452" s="10"/>
      <c r="L452" s="152">
        <v>0</v>
      </c>
      <c r="M452" s="10"/>
      <c r="N452" s="152">
        <v>0</v>
      </c>
      <c r="O452" s="10"/>
      <c r="P452" s="152">
        <v>0</v>
      </c>
      <c r="Q452" s="10"/>
      <c r="R452" s="9">
        <v>0</v>
      </c>
      <c r="S452" s="10"/>
      <c r="T452" s="9">
        <v>0</v>
      </c>
      <c r="U452" s="10"/>
      <c r="V452" s="9">
        <v>0</v>
      </c>
      <c r="W452" s="10"/>
      <c r="X452" s="9">
        <v>0</v>
      </c>
      <c r="Y452" s="10"/>
      <c r="Z452" s="9">
        <v>0</v>
      </c>
      <c r="AA452" s="10"/>
      <c r="AB452" s="11">
        <v>0</v>
      </c>
      <c r="AC452" s="10"/>
      <c r="AD452" s="7">
        <f>SUM(F452+H452+J452+L452+N452+P452+R452+T452+V452+X452+Z452+AB452)</f>
        <v>0</v>
      </c>
      <c r="AE452" s="7">
        <f>E452+AD452</f>
        <v>0</v>
      </c>
      <c r="AF452" s="8">
        <f>G452+I452+K452+M452+O452+Q452+S452+U452+W452+Y452+AA452+AC452</f>
        <v>0</v>
      </c>
      <c r="AG452" s="153">
        <f>SUM(AE452-AF452)</f>
        <v>0</v>
      </c>
      <c r="AH452" s="99" t="s">
        <v>816</v>
      </c>
      <c r="AI452" s="99">
        <v>4</v>
      </c>
    </row>
    <row r="453" spans="1:42" customHeight="1" ht="11.5">
      <c r="A453" s="5">
        <v>445</v>
      </c>
      <c r="B453" s="166" t="s">
        <v>817</v>
      </c>
      <c r="C453" s="167" t="s">
        <v>36</v>
      </c>
      <c r="D453" s="88" t="s">
        <v>37</v>
      </c>
      <c r="E453" s="86">
        <v>0</v>
      </c>
      <c r="F453" s="9">
        <v>0</v>
      </c>
      <c r="G453" s="10"/>
      <c r="H453" s="9">
        <v>0</v>
      </c>
      <c r="I453" s="10"/>
      <c r="J453" s="152">
        <v>0</v>
      </c>
      <c r="K453" s="10"/>
      <c r="L453" s="152">
        <v>0</v>
      </c>
      <c r="M453" s="10"/>
      <c r="N453" s="152">
        <v>0</v>
      </c>
      <c r="O453" s="10"/>
      <c r="P453" s="152">
        <v>0</v>
      </c>
      <c r="Q453" s="10"/>
      <c r="R453" s="9">
        <v>0</v>
      </c>
      <c r="S453" s="10"/>
      <c r="T453" s="9">
        <v>0</v>
      </c>
      <c r="U453" s="10"/>
      <c r="V453" s="9">
        <v>0</v>
      </c>
      <c r="W453" s="10"/>
      <c r="X453" s="9">
        <v>0</v>
      </c>
      <c r="Y453" s="10"/>
      <c r="Z453" s="9">
        <v>0</v>
      </c>
      <c r="AA453" s="10"/>
      <c r="AB453" s="11">
        <v>0</v>
      </c>
      <c r="AC453" s="10"/>
      <c r="AD453" s="7">
        <f>SUM(F453+H453+J453+L453+N453+P453+R453+T453+V453+X453+Z453+AB453)</f>
        <v>0</v>
      </c>
      <c r="AE453" s="7">
        <f>E453+AD453</f>
        <v>0</v>
      </c>
      <c r="AF453" s="8">
        <f>G453+I453+K453+M453+O453+Q453+S453+U453+W453+Y453+AA453+AC453</f>
        <v>0</v>
      </c>
      <c r="AG453" s="153">
        <f>SUM(AE453-AF453)</f>
        <v>0</v>
      </c>
      <c r="AH453" s="99" t="s">
        <v>818</v>
      </c>
      <c r="AI453" s="99">
        <v>4</v>
      </c>
    </row>
    <row r="454" spans="1:42" customHeight="1" ht="11.5">
      <c r="A454" s="5">
        <v>446</v>
      </c>
      <c r="B454" s="166" t="s">
        <v>819</v>
      </c>
      <c r="C454" s="167" t="s">
        <v>820</v>
      </c>
      <c r="D454" s="88" t="s">
        <v>821</v>
      </c>
      <c r="E454" s="86">
        <v>0</v>
      </c>
      <c r="F454" s="9">
        <v>0</v>
      </c>
      <c r="G454" s="10"/>
      <c r="H454" s="9">
        <v>0</v>
      </c>
      <c r="I454" s="10"/>
      <c r="J454" s="152">
        <v>0</v>
      </c>
      <c r="K454" s="10"/>
      <c r="L454" s="152">
        <v>0</v>
      </c>
      <c r="M454" s="10"/>
      <c r="N454" s="152">
        <v>0</v>
      </c>
      <c r="O454" s="10"/>
      <c r="P454" s="152">
        <v>0</v>
      </c>
      <c r="Q454" s="10"/>
      <c r="R454" s="9">
        <v>0</v>
      </c>
      <c r="S454" s="10"/>
      <c r="T454" s="9">
        <v>0</v>
      </c>
      <c r="U454" s="10"/>
      <c r="V454" s="9">
        <v>0</v>
      </c>
      <c r="W454" s="10"/>
      <c r="X454" s="9">
        <v>0</v>
      </c>
      <c r="Y454" s="10"/>
      <c r="Z454" s="9">
        <v>0</v>
      </c>
      <c r="AA454" s="10"/>
      <c r="AB454" s="11">
        <v>0</v>
      </c>
      <c r="AC454" s="10"/>
      <c r="AD454" s="7">
        <f>SUM(F454+H454+J454+L454+N454+P454+R454+T454+V454+X454+Z454+AB454)</f>
        <v>0</v>
      </c>
      <c r="AE454" s="7">
        <f>E454+AD454</f>
        <v>0</v>
      </c>
      <c r="AF454" s="8">
        <f>G454+I454+K454+M454+O454+Q454+S454+U454+W454+Y454+AA454+AC454</f>
        <v>0</v>
      </c>
      <c r="AG454" s="153">
        <f>SUM(AE454-AF454)</f>
        <v>0</v>
      </c>
      <c r="AH454" s="99" t="s">
        <v>822</v>
      </c>
      <c r="AI454" s="99">
        <v>4</v>
      </c>
    </row>
    <row r="455" spans="1:42" customHeight="1" ht="11.5">
      <c r="A455" s="5">
        <v>447</v>
      </c>
      <c r="B455" s="166" t="s">
        <v>823</v>
      </c>
      <c r="C455" s="167" t="s">
        <v>112</v>
      </c>
      <c r="D455" s="88" t="s">
        <v>113</v>
      </c>
      <c r="E455" s="86">
        <v>0</v>
      </c>
      <c r="F455" s="9">
        <v>0</v>
      </c>
      <c r="G455" s="10"/>
      <c r="H455" s="9">
        <v>0</v>
      </c>
      <c r="I455" s="10"/>
      <c r="J455" s="152">
        <v>0</v>
      </c>
      <c r="K455" s="10"/>
      <c r="L455" s="152">
        <v>0</v>
      </c>
      <c r="M455" s="10"/>
      <c r="N455" s="152">
        <v>0</v>
      </c>
      <c r="O455" s="10"/>
      <c r="P455" s="152">
        <v>0</v>
      </c>
      <c r="Q455" s="10"/>
      <c r="R455" s="9">
        <v>0</v>
      </c>
      <c r="S455" s="10"/>
      <c r="T455" s="9">
        <v>0</v>
      </c>
      <c r="U455" s="10"/>
      <c r="V455" s="9">
        <v>0</v>
      </c>
      <c r="W455" s="10"/>
      <c r="X455" s="9">
        <v>0</v>
      </c>
      <c r="Y455" s="10"/>
      <c r="Z455" s="9">
        <v>0</v>
      </c>
      <c r="AA455" s="10"/>
      <c r="AB455" s="11">
        <v>0</v>
      </c>
      <c r="AC455" s="10"/>
      <c r="AD455" s="7">
        <f>SUM(F455+H455+J455+L455+N455+P455+R455+T455+V455+X455+Z455+AB455)</f>
        <v>0</v>
      </c>
      <c r="AE455" s="7">
        <f>E455+AD455</f>
        <v>0</v>
      </c>
      <c r="AF455" s="8">
        <f>G455+I455+K455+M455+O455+Q455+S455+U455+W455+Y455+AA455+AC455</f>
        <v>0</v>
      </c>
      <c r="AG455" s="153">
        <f>SUM(AE455-AF455)</f>
        <v>0</v>
      </c>
      <c r="AH455" s="99" t="s">
        <v>824</v>
      </c>
      <c r="AI455" s="99">
        <v>4</v>
      </c>
    </row>
    <row r="456" spans="1:42" customHeight="1" ht="11.5">
      <c r="A456" s="5">
        <v>448</v>
      </c>
      <c r="B456" s="166" t="s">
        <v>825</v>
      </c>
      <c r="C456" s="167" t="s">
        <v>36</v>
      </c>
      <c r="D456" s="88" t="s">
        <v>37</v>
      </c>
      <c r="E456" s="86">
        <v>0</v>
      </c>
      <c r="F456" s="9">
        <v>0</v>
      </c>
      <c r="G456" s="10"/>
      <c r="H456" s="9">
        <v>0</v>
      </c>
      <c r="I456" s="10"/>
      <c r="J456" s="152">
        <v>0</v>
      </c>
      <c r="K456" s="10"/>
      <c r="L456" s="152">
        <v>0</v>
      </c>
      <c r="M456" s="10"/>
      <c r="N456" s="152">
        <v>0</v>
      </c>
      <c r="O456" s="10"/>
      <c r="P456" s="152">
        <v>0</v>
      </c>
      <c r="Q456" s="10"/>
      <c r="R456" s="9">
        <v>0</v>
      </c>
      <c r="S456" s="10"/>
      <c r="T456" s="9">
        <v>0</v>
      </c>
      <c r="U456" s="10"/>
      <c r="V456" s="9">
        <v>0</v>
      </c>
      <c r="W456" s="10"/>
      <c r="X456" s="9">
        <v>0</v>
      </c>
      <c r="Y456" s="10"/>
      <c r="Z456" s="9">
        <v>0</v>
      </c>
      <c r="AA456" s="10"/>
      <c r="AB456" s="11">
        <v>0</v>
      </c>
      <c r="AC456" s="10"/>
      <c r="AD456" s="7">
        <f>SUM(F456+H456+J456+L456+N456+P456+R456+T456+V456+X456+Z456+AB456)</f>
        <v>0</v>
      </c>
      <c r="AE456" s="7">
        <f>E456+AD456</f>
        <v>0</v>
      </c>
      <c r="AF456" s="8">
        <f>G456+I456+K456+M456+O456+Q456+S456+U456+W456+Y456+AA456+AC456</f>
        <v>0</v>
      </c>
      <c r="AG456" s="153">
        <f>SUM(AE456-AF456)</f>
        <v>0</v>
      </c>
      <c r="AH456" s="99" t="s">
        <v>826</v>
      </c>
      <c r="AI456" s="99">
        <v>4</v>
      </c>
    </row>
    <row r="457" spans="1:42" customHeight="1" ht="11.5">
      <c r="A457" s="5">
        <v>449</v>
      </c>
      <c r="B457" s="166" t="s">
        <v>827</v>
      </c>
      <c r="C457" s="167" t="s">
        <v>36</v>
      </c>
      <c r="D457" s="88" t="s">
        <v>37</v>
      </c>
      <c r="E457" s="86">
        <v>0</v>
      </c>
      <c r="F457" s="9">
        <v>10000</v>
      </c>
      <c r="G457" s="10"/>
      <c r="H457" s="9">
        <v>0</v>
      </c>
      <c r="I457" s="10">
        <v>10000</v>
      </c>
      <c r="J457" s="152">
        <v>0</v>
      </c>
      <c r="K457" s="10"/>
      <c r="L457" s="152">
        <v>0</v>
      </c>
      <c r="M457" s="10"/>
      <c r="N457" s="152">
        <v>0</v>
      </c>
      <c r="O457" s="10"/>
      <c r="P457" s="152">
        <v>0</v>
      </c>
      <c r="Q457" s="10"/>
      <c r="R457" s="9">
        <v>0</v>
      </c>
      <c r="S457" s="10"/>
      <c r="T457" s="9">
        <v>0</v>
      </c>
      <c r="U457" s="10"/>
      <c r="V457" s="9">
        <v>0</v>
      </c>
      <c r="W457" s="10"/>
      <c r="X457" s="9">
        <v>0</v>
      </c>
      <c r="Y457" s="10"/>
      <c r="Z457" s="9">
        <v>0</v>
      </c>
      <c r="AA457" s="10"/>
      <c r="AB457" s="11">
        <v>0</v>
      </c>
      <c r="AC457" s="10"/>
      <c r="AD457" s="7">
        <f>SUM(F457+H457+J457+L457+N457+P457+R457+T457+V457+X457+Z457+AB457)</f>
        <v>10000</v>
      </c>
      <c r="AE457" s="7">
        <f>E457+AD457</f>
        <v>10000</v>
      </c>
      <c r="AF457" s="8">
        <f>G457+I457+K457+M457+O457+Q457+S457+U457+W457+Y457+AA457+AC457</f>
        <v>10000</v>
      </c>
      <c r="AG457" s="153">
        <f>SUM(AE457-AF457)</f>
        <v>0</v>
      </c>
      <c r="AH457" s="99" t="s">
        <v>828</v>
      </c>
      <c r="AI457" s="99">
        <v>4</v>
      </c>
    </row>
    <row r="458" spans="1:42" customHeight="1" ht="11.5">
      <c r="A458" s="5">
        <v>450</v>
      </c>
      <c r="B458" s="166" t="s">
        <v>829</v>
      </c>
      <c r="C458" s="167" t="s">
        <v>36</v>
      </c>
      <c r="D458" s="88" t="s">
        <v>37</v>
      </c>
      <c r="E458" s="86">
        <v>-10000</v>
      </c>
      <c r="F458" s="9">
        <v>0</v>
      </c>
      <c r="G458" s="10"/>
      <c r="H458" s="9">
        <v>0</v>
      </c>
      <c r="I458" s="10"/>
      <c r="J458" s="152">
        <v>0</v>
      </c>
      <c r="K458" s="10"/>
      <c r="L458" s="152">
        <v>0</v>
      </c>
      <c r="M458" s="10"/>
      <c r="N458" s="152">
        <v>0</v>
      </c>
      <c r="O458" s="10"/>
      <c r="P458" s="152">
        <v>0</v>
      </c>
      <c r="Q458" s="10"/>
      <c r="R458" s="9">
        <v>0</v>
      </c>
      <c r="S458" s="10"/>
      <c r="T458" s="9">
        <v>0</v>
      </c>
      <c r="U458" s="10"/>
      <c r="V458" s="9">
        <v>0</v>
      </c>
      <c r="W458" s="10"/>
      <c r="X458" s="9">
        <v>0</v>
      </c>
      <c r="Y458" s="10"/>
      <c r="Z458" s="9">
        <v>0</v>
      </c>
      <c r="AA458" s="10"/>
      <c r="AB458" s="11">
        <v>0</v>
      </c>
      <c r="AC458" s="10"/>
      <c r="AD458" s="7">
        <f>SUM(F458+H458+J458+L458+N458+P458+R458+T458+V458+X458+Z458+AB458)</f>
        <v>0</v>
      </c>
      <c r="AE458" s="7">
        <f>E458+AD458</f>
        <v>-10000</v>
      </c>
      <c r="AF458" s="8">
        <f>G458+I458+K458+M458+O458+Q458+S458+U458+W458+Y458+AA458+AC458</f>
        <v>0</v>
      </c>
      <c r="AG458" s="153">
        <f>SUM(AE458-AF458)</f>
        <v>-10000</v>
      </c>
      <c r="AH458" s="99" t="s">
        <v>830</v>
      </c>
      <c r="AI458" s="99">
        <v>4</v>
      </c>
    </row>
    <row r="459" spans="1:42" customHeight="1" ht="11.5">
      <c r="A459" s="5">
        <v>451</v>
      </c>
      <c r="B459" s="166" t="s">
        <v>831</v>
      </c>
      <c r="C459" s="167" t="s">
        <v>91</v>
      </c>
      <c r="D459" s="88" t="s">
        <v>92</v>
      </c>
      <c r="E459" s="86">
        <v>0</v>
      </c>
      <c r="F459" s="9">
        <v>0</v>
      </c>
      <c r="G459" s="10"/>
      <c r="H459" s="9">
        <v>0</v>
      </c>
      <c r="I459" s="10"/>
      <c r="J459" s="152">
        <v>0</v>
      </c>
      <c r="K459" s="10"/>
      <c r="L459" s="152">
        <v>0</v>
      </c>
      <c r="M459" s="10"/>
      <c r="N459" s="152">
        <v>0</v>
      </c>
      <c r="O459" s="10"/>
      <c r="P459" s="152">
        <v>0</v>
      </c>
      <c r="Q459" s="10"/>
      <c r="R459" s="9">
        <v>0</v>
      </c>
      <c r="S459" s="10"/>
      <c r="T459" s="9">
        <v>0</v>
      </c>
      <c r="U459" s="10"/>
      <c r="V459" s="9">
        <v>0</v>
      </c>
      <c r="W459" s="10"/>
      <c r="X459" s="9">
        <v>0</v>
      </c>
      <c r="Y459" s="10"/>
      <c r="Z459" s="9">
        <v>0</v>
      </c>
      <c r="AA459" s="10"/>
      <c r="AB459" s="11">
        <v>0</v>
      </c>
      <c r="AC459" s="10"/>
      <c r="AD459" s="7">
        <f>SUM(F459+H459+J459+L459+N459+P459+R459+T459+V459+X459+Z459+AB459)</f>
        <v>0</v>
      </c>
      <c r="AE459" s="7">
        <f>E459+AD459</f>
        <v>0</v>
      </c>
      <c r="AF459" s="8">
        <f>G459+I459+K459+M459+O459+Q459+S459+U459+W459+Y459+AA459+AC459</f>
        <v>0</v>
      </c>
      <c r="AG459" s="153">
        <f>SUM(AE459-AF459)</f>
        <v>0</v>
      </c>
      <c r="AH459" s="99" t="s">
        <v>832</v>
      </c>
      <c r="AI459" s="99">
        <v>4</v>
      </c>
    </row>
    <row r="460" spans="1:42" customHeight="1" ht="11.5">
      <c r="A460" s="5">
        <v>452</v>
      </c>
      <c r="B460" s="166" t="s">
        <v>833</v>
      </c>
      <c r="C460" s="167" t="s">
        <v>91</v>
      </c>
      <c r="D460" s="88" t="s">
        <v>92</v>
      </c>
      <c r="E460" s="86">
        <v>0</v>
      </c>
      <c r="F460" s="9">
        <v>0</v>
      </c>
      <c r="G460" s="10"/>
      <c r="H460" s="9">
        <v>0</v>
      </c>
      <c r="I460" s="10"/>
      <c r="J460" s="152">
        <v>0</v>
      </c>
      <c r="K460" s="10"/>
      <c r="L460" s="152">
        <v>0</v>
      </c>
      <c r="M460" s="10"/>
      <c r="N460" s="152">
        <v>0</v>
      </c>
      <c r="O460" s="10"/>
      <c r="P460" s="152">
        <v>0</v>
      </c>
      <c r="Q460" s="10"/>
      <c r="R460" s="9">
        <v>0</v>
      </c>
      <c r="S460" s="10"/>
      <c r="T460" s="9">
        <v>0</v>
      </c>
      <c r="U460" s="10"/>
      <c r="V460" s="9">
        <v>0</v>
      </c>
      <c r="W460" s="10"/>
      <c r="X460" s="9">
        <v>0</v>
      </c>
      <c r="Y460" s="10"/>
      <c r="Z460" s="9">
        <v>0</v>
      </c>
      <c r="AA460" s="10"/>
      <c r="AB460" s="11">
        <v>0</v>
      </c>
      <c r="AC460" s="10"/>
      <c r="AD460" s="7">
        <f>SUM(F460+H460+J460+L460+N460+P460+R460+T460+V460+X460+Z460+AB460)</f>
        <v>0</v>
      </c>
      <c r="AE460" s="7">
        <f>E460+AD460</f>
        <v>0</v>
      </c>
      <c r="AF460" s="8">
        <f>G460+I460+K460+M460+O460+Q460+S460+U460+W460+Y460+AA460+AC460</f>
        <v>0</v>
      </c>
      <c r="AG460" s="153">
        <f>SUM(AE460-AF460)</f>
        <v>0</v>
      </c>
      <c r="AH460" s="99" t="s">
        <v>834</v>
      </c>
      <c r="AI460" s="99">
        <v>4</v>
      </c>
    </row>
    <row r="461" spans="1:42" customHeight="1" ht="11.5">
      <c r="A461" s="5">
        <v>453</v>
      </c>
      <c r="B461" s="166" t="s">
        <v>835</v>
      </c>
      <c r="C461" s="167" t="s">
        <v>91</v>
      </c>
      <c r="D461" s="88" t="s">
        <v>92</v>
      </c>
      <c r="E461" s="86">
        <v>0</v>
      </c>
      <c r="F461" s="9">
        <v>0</v>
      </c>
      <c r="G461" s="10"/>
      <c r="H461" s="9">
        <v>0</v>
      </c>
      <c r="I461" s="10"/>
      <c r="J461" s="152">
        <v>0</v>
      </c>
      <c r="K461" s="10"/>
      <c r="L461" s="152">
        <v>0</v>
      </c>
      <c r="M461" s="10"/>
      <c r="N461" s="152">
        <v>0</v>
      </c>
      <c r="O461" s="10"/>
      <c r="P461" s="152">
        <v>0</v>
      </c>
      <c r="Q461" s="10"/>
      <c r="R461" s="9">
        <v>0</v>
      </c>
      <c r="S461" s="10"/>
      <c r="T461" s="9">
        <v>0</v>
      </c>
      <c r="U461" s="10"/>
      <c r="V461" s="9">
        <v>0</v>
      </c>
      <c r="W461" s="10"/>
      <c r="X461" s="9">
        <v>0</v>
      </c>
      <c r="Y461" s="10"/>
      <c r="Z461" s="9">
        <v>0</v>
      </c>
      <c r="AA461" s="10"/>
      <c r="AB461" s="11">
        <v>0</v>
      </c>
      <c r="AC461" s="10"/>
      <c r="AD461" s="7">
        <f>SUM(F461+H461+J461+L461+N461+P461+R461+T461+V461+X461+Z461+AB461)</f>
        <v>0</v>
      </c>
      <c r="AE461" s="7">
        <f>E461+AD461</f>
        <v>0</v>
      </c>
      <c r="AF461" s="8">
        <f>G461+I461+K461+M461+O461+Q461+S461+U461+W461+Y461+AA461+AC461</f>
        <v>0</v>
      </c>
      <c r="AG461" s="153">
        <f>SUM(AE461-AF461)</f>
        <v>0</v>
      </c>
      <c r="AH461" s="99" t="s">
        <v>836</v>
      </c>
      <c r="AI461" s="99">
        <v>4</v>
      </c>
    </row>
    <row r="462" spans="1:42" customHeight="1" ht="11.5">
      <c r="A462" s="5">
        <v>454</v>
      </c>
      <c r="B462" s="166" t="s">
        <v>837</v>
      </c>
      <c r="C462" s="167" t="s">
        <v>91</v>
      </c>
      <c r="D462" s="88" t="s">
        <v>92</v>
      </c>
      <c r="E462" s="86">
        <v>0</v>
      </c>
      <c r="F462" s="9">
        <v>0</v>
      </c>
      <c r="G462" s="10"/>
      <c r="H462" s="9">
        <v>0</v>
      </c>
      <c r="I462" s="10"/>
      <c r="J462" s="152">
        <v>0</v>
      </c>
      <c r="K462" s="10"/>
      <c r="L462" s="152">
        <v>0</v>
      </c>
      <c r="M462" s="10"/>
      <c r="N462" s="152">
        <v>0</v>
      </c>
      <c r="O462" s="10"/>
      <c r="P462" s="152">
        <v>0</v>
      </c>
      <c r="Q462" s="10"/>
      <c r="R462" s="9">
        <v>0</v>
      </c>
      <c r="S462" s="10"/>
      <c r="T462" s="9">
        <v>0</v>
      </c>
      <c r="U462" s="10"/>
      <c r="V462" s="9">
        <v>0</v>
      </c>
      <c r="W462" s="10"/>
      <c r="X462" s="9">
        <v>0</v>
      </c>
      <c r="Y462" s="10"/>
      <c r="Z462" s="9">
        <v>0</v>
      </c>
      <c r="AA462" s="10"/>
      <c r="AB462" s="11">
        <v>0</v>
      </c>
      <c r="AC462" s="10"/>
      <c r="AD462" s="7">
        <f>SUM(F462+H462+J462+L462+N462+P462+R462+T462+V462+X462+Z462+AB462)</f>
        <v>0</v>
      </c>
      <c r="AE462" s="7">
        <f>E462+AD462</f>
        <v>0</v>
      </c>
      <c r="AF462" s="8">
        <f>G462+I462+K462+M462+O462+Q462+S462+U462+W462+Y462+AA462+AC462</f>
        <v>0</v>
      </c>
      <c r="AG462" s="153">
        <f>SUM(AE462-AF462)</f>
        <v>0</v>
      </c>
      <c r="AH462" s="99" t="s">
        <v>838</v>
      </c>
      <c r="AI462" s="99">
        <v>4</v>
      </c>
    </row>
    <row r="463" spans="1:42" customHeight="1" ht="11.5">
      <c r="A463" s="5">
        <v>455</v>
      </c>
      <c r="B463" s="166" t="s">
        <v>839</v>
      </c>
      <c r="C463" s="167" t="s">
        <v>91</v>
      </c>
      <c r="D463" s="88" t="s">
        <v>92</v>
      </c>
      <c r="E463" s="86">
        <v>0</v>
      </c>
      <c r="F463" s="9">
        <v>0</v>
      </c>
      <c r="G463" s="10"/>
      <c r="H463" s="9">
        <v>0</v>
      </c>
      <c r="I463" s="10"/>
      <c r="J463" s="152">
        <v>0</v>
      </c>
      <c r="K463" s="10"/>
      <c r="L463" s="152">
        <v>0</v>
      </c>
      <c r="M463" s="10"/>
      <c r="N463" s="152">
        <v>0</v>
      </c>
      <c r="O463" s="10"/>
      <c r="P463" s="152">
        <v>0</v>
      </c>
      <c r="Q463" s="10"/>
      <c r="R463" s="9">
        <v>0</v>
      </c>
      <c r="S463" s="10"/>
      <c r="T463" s="9">
        <v>0</v>
      </c>
      <c r="U463" s="10"/>
      <c r="V463" s="9">
        <v>0</v>
      </c>
      <c r="W463" s="10"/>
      <c r="X463" s="9">
        <v>0</v>
      </c>
      <c r="Y463" s="10"/>
      <c r="Z463" s="9">
        <v>0</v>
      </c>
      <c r="AA463" s="10"/>
      <c r="AB463" s="11">
        <v>0</v>
      </c>
      <c r="AC463" s="10"/>
      <c r="AD463" s="7">
        <f>SUM(F463+H463+J463+L463+N463+P463+R463+T463+V463+X463+Z463+AB463)</f>
        <v>0</v>
      </c>
      <c r="AE463" s="7">
        <f>E463+AD463</f>
        <v>0</v>
      </c>
      <c r="AF463" s="8">
        <f>G463+I463+K463+M463+O463+Q463+S463+U463+W463+Y463+AA463+AC463</f>
        <v>0</v>
      </c>
      <c r="AG463" s="153">
        <f>SUM(AE463-AF463)</f>
        <v>0</v>
      </c>
      <c r="AH463" s="99" t="s">
        <v>840</v>
      </c>
      <c r="AI463" s="99">
        <v>4</v>
      </c>
    </row>
    <row r="464" spans="1:42" customHeight="1" ht="11.5">
      <c r="A464" s="5">
        <v>456</v>
      </c>
      <c r="B464" s="166" t="s">
        <v>841</v>
      </c>
      <c r="C464" s="167" t="s">
        <v>91</v>
      </c>
      <c r="D464" s="88" t="s">
        <v>92</v>
      </c>
      <c r="E464" s="86">
        <v>0</v>
      </c>
      <c r="F464" s="9">
        <v>0</v>
      </c>
      <c r="G464" s="10"/>
      <c r="H464" s="9">
        <v>0</v>
      </c>
      <c r="I464" s="10"/>
      <c r="J464" s="152">
        <v>0</v>
      </c>
      <c r="K464" s="10"/>
      <c r="L464" s="152">
        <v>0</v>
      </c>
      <c r="M464" s="10"/>
      <c r="N464" s="152">
        <v>0</v>
      </c>
      <c r="O464" s="10"/>
      <c r="P464" s="152">
        <v>0</v>
      </c>
      <c r="Q464" s="10"/>
      <c r="R464" s="9">
        <v>0</v>
      </c>
      <c r="S464" s="10"/>
      <c r="T464" s="9">
        <v>0</v>
      </c>
      <c r="U464" s="10"/>
      <c r="V464" s="9">
        <v>0</v>
      </c>
      <c r="W464" s="10"/>
      <c r="X464" s="9">
        <v>0</v>
      </c>
      <c r="Y464" s="10"/>
      <c r="Z464" s="9">
        <v>0</v>
      </c>
      <c r="AA464" s="10"/>
      <c r="AB464" s="11">
        <v>0</v>
      </c>
      <c r="AC464" s="10"/>
      <c r="AD464" s="7">
        <f>SUM(F464+H464+J464+L464+N464+P464+R464+T464+V464+X464+Z464+AB464)</f>
        <v>0</v>
      </c>
      <c r="AE464" s="7">
        <f>E464+AD464</f>
        <v>0</v>
      </c>
      <c r="AF464" s="8">
        <f>G464+I464+K464+M464+O464+Q464+S464+U464+W464+Y464+AA464+AC464</f>
        <v>0</v>
      </c>
      <c r="AG464" s="153">
        <f>SUM(AE464-AF464)</f>
        <v>0</v>
      </c>
      <c r="AH464" s="99" t="s">
        <v>842</v>
      </c>
      <c r="AI464" s="99">
        <v>4</v>
      </c>
    </row>
    <row r="465" spans="1:42" customHeight="1" ht="11.5">
      <c r="A465" s="5">
        <v>457</v>
      </c>
      <c r="B465" s="166" t="s">
        <v>843</v>
      </c>
      <c r="C465" s="167" t="s">
        <v>91</v>
      </c>
      <c r="D465" s="88" t="s">
        <v>92</v>
      </c>
      <c r="E465" s="86">
        <v>0</v>
      </c>
      <c r="F465" s="9">
        <v>0</v>
      </c>
      <c r="G465" s="10"/>
      <c r="H465" s="9">
        <v>0</v>
      </c>
      <c r="I465" s="10"/>
      <c r="J465" s="152">
        <v>0</v>
      </c>
      <c r="K465" s="10"/>
      <c r="L465" s="152">
        <v>0</v>
      </c>
      <c r="M465" s="10"/>
      <c r="N465" s="152">
        <v>0</v>
      </c>
      <c r="O465" s="10"/>
      <c r="P465" s="152">
        <v>0</v>
      </c>
      <c r="Q465" s="10"/>
      <c r="R465" s="9">
        <v>0</v>
      </c>
      <c r="S465" s="10"/>
      <c r="T465" s="9">
        <v>0</v>
      </c>
      <c r="U465" s="10"/>
      <c r="V465" s="9">
        <v>0</v>
      </c>
      <c r="W465" s="10"/>
      <c r="X465" s="9">
        <v>0</v>
      </c>
      <c r="Y465" s="10"/>
      <c r="Z465" s="9">
        <v>0</v>
      </c>
      <c r="AA465" s="10"/>
      <c r="AB465" s="11">
        <v>0</v>
      </c>
      <c r="AC465" s="10"/>
      <c r="AD465" s="7">
        <f>SUM(F465+H465+J465+L465+N465+P465+R465+T465+V465+X465+Z465+AB465)</f>
        <v>0</v>
      </c>
      <c r="AE465" s="7">
        <f>E465+AD465</f>
        <v>0</v>
      </c>
      <c r="AF465" s="8">
        <f>G465+I465+K465+M465+O465+Q465+S465+U465+W465+Y465+AA465+AC465</f>
        <v>0</v>
      </c>
      <c r="AG465" s="153">
        <f>SUM(AE465-AF465)</f>
        <v>0</v>
      </c>
      <c r="AH465" s="99" t="s">
        <v>844</v>
      </c>
      <c r="AI465" s="99">
        <v>4</v>
      </c>
    </row>
    <row r="466" spans="1:42" customHeight="1" ht="11.5">
      <c r="A466" s="5">
        <v>458</v>
      </c>
      <c r="B466" s="166" t="s">
        <v>845</v>
      </c>
      <c r="C466" s="167" t="s">
        <v>36</v>
      </c>
      <c r="D466" s="88" t="s">
        <v>37</v>
      </c>
      <c r="E466" s="86">
        <v>-10000</v>
      </c>
      <c r="F466" s="9">
        <v>0</v>
      </c>
      <c r="G466" s="10"/>
      <c r="H466" s="9">
        <v>0</v>
      </c>
      <c r="I466" s="10"/>
      <c r="J466" s="152">
        <v>0</v>
      </c>
      <c r="K466" s="10"/>
      <c r="L466" s="152">
        <v>0</v>
      </c>
      <c r="M466" s="10"/>
      <c r="N466" s="152">
        <v>0</v>
      </c>
      <c r="O466" s="10"/>
      <c r="P466" s="152">
        <v>0</v>
      </c>
      <c r="Q466" s="10"/>
      <c r="R466" s="9">
        <v>0</v>
      </c>
      <c r="S466" s="10"/>
      <c r="T466" s="9">
        <v>0</v>
      </c>
      <c r="U466" s="10"/>
      <c r="V466" s="9">
        <v>0</v>
      </c>
      <c r="W466" s="10"/>
      <c r="X466" s="9">
        <v>0</v>
      </c>
      <c r="Y466" s="10"/>
      <c r="Z466" s="9">
        <v>0</v>
      </c>
      <c r="AA466" s="10"/>
      <c r="AB466" s="11">
        <v>0</v>
      </c>
      <c r="AC466" s="10"/>
      <c r="AD466" s="7">
        <f>SUM(F466+H466+J466+L466+N466+P466+R466+T466+V466+X466+Z466+AB466)</f>
        <v>0</v>
      </c>
      <c r="AE466" s="7">
        <f>E466+AD466</f>
        <v>-10000</v>
      </c>
      <c r="AF466" s="8">
        <f>G466+I466+K466+M466+O466+Q466+S466+U466+W466+Y466+AA466+AC466</f>
        <v>0</v>
      </c>
      <c r="AG466" s="153">
        <f>SUM(AE466-AF466)</f>
        <v>-10000</v>
      </c>
      <c r="AH466" s="99" t="s">
        <v>846</v>
      </c>
      <c r="AI466" s="99">
        <v>4</v>
      </c>
    </row>
    <row r="467" spans="1:42" customHeight="1" ht="11.5">
      <c r="A467" s="5">
        <v>459</v>
      </c>
      <c r="B467" s="166" t="s">
        <v>847</v>
      </c>
      <c r="C467" s="167" t="s">
        <v>36</v>
      </c>
      <c r="D467" s="88" t="s">
        <v>37</v>
      </c>
      <c r="E467" s="86">
        <v>-12000</v>
      </c>
      <c r="F467" s="9">
        <v>0</v>
      </c>
      <c r="G467" s="10"/>
      <c r="H467" s="9">
        <v>0</v>
      </c>
      <c r="I467" s="10"/>
      <c r="J467" s="152">
        <v>0</v>
      </c>
      <c r="K467" s="10"/>
      <c r="L467" s="152">
        <v>0</v>
      </c>
      <c r="M467" s="10"/>
      <c r="N467" s="152">
        <v>0</v>
      </c>
      <c r="O467" s="10"/>
      <c r="P467" s="152">
        <v>0</v>
      </c>
      <c r="Q467" s="10"/>
      <c r="R467" s="9">
        <v>0</v>
      </c>
      <c r="S467" s="10"/>
      <c r="T467" s="9">
        <v>0</v>
      </c>
      <c r="U467" s="10"/>
      <c r="V467" s="9">
        <v>0</v>
      </c>
      <c r="W467" s="10"/>
      <c r="X467" s="9">
        <v>0</v>
      </c>
      <c r="Y467" s="10"/>
      <c r="Z467" s="9">
        <v>0</v>
      </c>
      <c r="AA467" s="10"/>
      <c r="AB467" s="11">
        <v>0</v>
      </c>
      <c r="AC467" s="10"/>
      <c r="AD467" s="7">
        <f>SUM(F467+H467+J467+L467+N467+P467+R467+T467+V467+X467+Z467+AB467)</f>
        <v>0</v>
      </c>
      <c r="AE467" s="7">
        <f>E467+AD467</f>
        <v>-12000</v>
      </c>
      <c r="AF467" s="8">
        <f>G467+I467+K467+M467+O467+Q467+S467+U467+W467+Y467+AA467+AC467</f>
        <v>0</v>
      </c>
      <c r="AG467" s="153">
        <f>SUM(AE467-AF467)</f>
        <v>-12000</v>
      </c>
      <c r="AH467" s="99" t="s">
        <v>848</v>
      </c>
      <c r="AI467" s="99">
        <v>4</v>
      </c>
    </row>
    <row r="468" spans="1:42" customHeight="1" ht="11.5">
      <c r="A468" s="5">
        <v>460</v>
      </c>
      <c r="B468" s="166" t="s">
        <v>849</v>
      </c>
      <c r="C468" s="167" t="s">
        <v>36</v>
      </c>
      <c r="D468" s="88" t="s">
        <v>37</v>
      </c>
      <c r="E468" s="86">
        <v>-10000</v>
      </c>
      <c r="F468" s="9">
        <v>0</v>
      </c>
      <c r="G468" s="10"/>
      <c r="H468" s="9">
        <v>0</v>
      </c>
      <c r="I468" s="10"/>
      <c r="J468" s="152">
        <v>0</v>
      </c>
      <c r="K468" s="10"/>
      <c r="L468" s="152">
        <v>0</v>
      </c>
      <c r="M468" s="10"/>
      <c r="N468" s="152">
        <v>0</v>
      </c>
      <c r="O468" s="10"/>
      <c r="P468" s="152">
        <v>0</v>
      </c>
      <c r="Q468" s="10"/>
      <c r="R468" s="9">
        <v>0</v>
      </c>
      <c r="S468" s="10"/>
      <c r="T468" s="9">
        <v>0</v>
      </c>
      <c r="U468" s="10"/>
      <c r="V468" s="9">
        <v>0</v>
      </c>
      <c r="W468" s="10"/>
      <c r="X468" s="9">
        <v>0</v>
      </c>
      <c r="Y468" s="10"/>
      <c r="Z468" s="9">
        <v>0</v>
      </c>
      <c r="AA468" s="10"/>
      <c r="AB468" s="11">
        <v>0</v>
      </c>
      <c r="AC468" s="10"/>
      <c r="AD468" s="7">
        <f>SUM(F468+H468+J468+L468+N468+P468+R468+T468+V468+X468+Z468+AB468)</f>
        <v>0</v>
      </c>
      <c r="AE468" s="7">
        <f>E468+AD468</f>
        <v>-10000</v>
      </c>
      <c r="AF468" s="8">
        <f>G468+I468+K468+M468+O468+Q468+S468+U468+W468+Y468+AA468+AC468</f>
        <v>0</v>
      </c>
      <c r="AG468" s="153">
        <f>SUM(AE468-AF468)</f>
        <v>-10000</v>
      </c>
      <c r="AH468" s="99" t="s">
        <v>850</v>
      </c>
      <c r="AI468" s="99">
        <v>4</v>
      </c>
    </row>
    <row r="469" spans="1:42" customHeight="1" ht="11.5">
      <c r="A469" s="5">
        <v>461</v>
      </c>
      <c r="B469" s="168" t="s">
        <v>851</v>
      </c>
      <c r="C469" s="89" t="s">
        <v>36</v>
      </c>
      <c r="D469" s="88" t="s">
        <v>37</v>
      </c>
      <c r="E469" s="86">
        <v>-10000</v>
      </c>
      <c r="F469" s="9">
        <v>0</v>
      </c>
      <c r="G469" s="10"/>
      <c r="H469" s="9">
        <v>0</v>
      </c>
      <c r="I469" s="10"/>
      <c r="J469" s="152">
        <v>0</v>
      </c>
      <c r="K469" s="10"/>
      <c r="L469" s="152">
        <v>0</v>
      </c>
      <c r="M469" s="10"/>
      <c r="N469" s="152">
        <v>0</v>
      </c>
      <c r="O469" s="10"/>
      <c r="P469" s="152">
        <v>0</v>
      </c>
      <c r="Q469" s="10"/>
      <c r="R469" s="9">
        <v>0</v>
      </c>
      <c r="S469" s="10"/>
      <c r="T469" s="9">
        <v>0</v>
      </c>
      <c r="U469" s="10"/>
      <c r="V469" s="9">
        <v>0</v>
      </c>
      <c r="W469" s="10"/>
      <c r="X469" s="9">
        <v>0</v>
      </c>
      <c r="Y469" s="10"/>
      <c r="Z469" s="9">
        <v>0</v>
      </c>
      <c r="AA469" s="10"/>
      <c r="AB469" s="11">
        <v>0</v>
      </c>
      <c r="AC469" s="10"/>
      <c r="AD469" s="7">
        <f>SUM(F469+H469+J469+L469+N469+P469+R469+T469+V469+X469+Z469+AB469)</f>
        <v>0</v>
      </c>
      <c r="AE469" s="7">
        <f>E469+AD469</f>
        <v>-10000</v>
      </c>
      <c r="AF469" s="8">
        <f>G469+I469+K469+M469+O469+Q469+S469+U469+W469+Y469+AA469+AC469</f>
        <v>0</v>
      </c>
      <c r="AG469" s="153">
        <f>SUM(AE469-AF469)</f>
        <v>-10000</v>
      </c>
      <c r="AH469" s="99" t="s">
        <v>852</v>
      </c>
      <c r="AI469" s="99">
        <v>4</v>
      </c>
    </row>
    <row r="470" spans="1:42" customHeight="1" ht="11.5">
      <c r="A470" s="5">
        <v>462</v>
      </c>
      <c r="B470" s="166" t="s">
        <v>853</v>
      </c>
      <c r="C470" s="167" t="s">
        <v>36</v>
      </c>
      <c r="D470" s="88" t="s">
        <v>37</v>
      </c>
      <c r="E470" s="86">
        <v>0</v>
      </c>
      <c r="F470" s="9">
        <v>0</v>
      </c>
      <c r="G470" s="10"/>
      <c r="H470" s="9">
        <v>0</v>
      </c>
      <c r="I470" s="10"/>
      <c r="J470" s="152">
        <v>0</v>
      </c>
      <c r="K470" s="10"/>
      <c r="L470" s="152">
        <v>0</v>
      </c>
      <c r="M470" s="10"/>
      <c r="N470" s="152">
        <v>0</v>
      </c>
      <c r="O470" s="10"/>
      <c r="P470" s="152">
        <v>0</v>
      </c>
      <c r="Q470" s="10"/>
      <c r="R470" s="9">
        <v>0</v>
      </c>
      <c r="S470" s="10"/>
      <c r="T470" s="9">
        <v>0</v>
      </c>
      <c r="U470" s="10"/>
      <c r="V470" s="9">
        <v>0</v>
      </c>
      <c r="W470" s="10"/>
      <c r="X470" s="9">
        <v>0</v>
      </c>
      <c r="Y470" s="10"/>
      <c r="Z470" s="9">
        <v>0</v>
      </c>
      <c r="AA470" s="10"/>
      <c r="AB470" s="11">
        <v>0</v>
      </c>
      <c r="AC470" s="10"/>
      <c r="AD470" s="7">
        <f>SUM(F470+H470+J470+L470+N470+P470+R470+T470+V470+X470+Z470+AB470)</f>
        <v>0</v>
      </c>
      <c r="AE470" s="7">
        <f>E470+AD470</f>
        <v>0</v>
      </c>
      <c r="AF470" s="8">
        <f>G470+I470+K470+M470+O470+Q470+S470+U470+W470+Y470+AA470+AC470</f>
        <v>0</v>
      </c>
      <c r="AG470" s="153">
        <f>SUM(AE470-AF470)</f>
        <v>0</v>
      </c>
      <c r="AH470" s="99" t="s">
        <v>854</v>
      </c>
      <c r="AI470" s="99">
        <v>4</v>
      </c>
    </row>
    <row r="471" spans="1:42" customHeight="1" ht="11.5">
      <c r="A471" s="5">
        <v>463</v>
      </c>
      <c r="B471" s="169" t="s">
        <v>855</v>
      </c>
      <c r="C471" s="167" t="s">
        <v>36</v>
      </c>
      <c r="D471" s="88" t="s">
        <v>37</v>
      </c>
      <c r="E471" s="86">
        <v>0</v>
      </c>
      <c r="F471" s="9">
        <v>0</v>
      </c>
      <c r="G471" s="10"/>
      <c r="H471" s="9">
        <v>0</v>
      </c>
      <c r="I471" s="10"/>
      <c r="J471" s="152">
        <v>0</v>
      </c>
      <c r="K471" s="10"/>
      <c r="L471" s="152">
        <v>0</v>
      </c>
      <c r="M471" s="10"/>
      <c r="N471" s="152">
        <v>0</v>
      </c>
      <c r="O471" s="10"/>
      <c r="P471" s="152">
        <v>0</v>
      </c>
      <c r="Q471" s="10"/>
      <c r="R471" s="9">
        <v>0</v>
      </c>
      <c r="S471" s="10"/>
      <c r="T471" s="9">
        <v>0</v>
      </c>
      <c r="U471" s="10"/>
      <c r="V471" s="9">
        <v>0</v>
      </c>
      <c r="W471" s="10"/>
      <c r="X471" s="9">
        <v>0</v>
      </c>
      <c r="Y471" s="10"/>
      <c r="Z471" s="9">
        <v>0</v>
      </c>
      <c r="AA471" s="10"/>
      <c r="AB471" s="11">
        <v>0</v>
      </c>
      <c r="AC471" s="10"/>
      <c r="AD471" s="7">
        <f>SUM(F471+H471+J471+L471+N471+P471+R471+T471+V471+X471+Z471+AB471)</f>
        <v>0</v>
      </c>
      <c r="AE471" s="7">
        <f>E471+AD471</f>
        <v>0</v>
      </c>
      <c r="AF471" s="8">
        <f>G471+I471+K471+M471+O471+Q471+S471+U471+W471+Y471+AA471+AC471</f>
        <v>0</v>
      </c>
      <c r="AG471" s="153">
        <f>SUM(AE471-AF471)</f>
        <v>0</v>
      </c>
      <c r="AH471" s="99" t="s">
        <v>856</v>
      </c>
      <c r="AI471" s="99">
        <v>4</v>
      </c>
    </row>
    <row r="472" spans="1:42" customHeight="1" ht="11.5">
      <c r="A472" s="5">
        <v>464</v>
      </c>
      <c r="B472" s="166" t="s">
        <v>857</v>
      </c>
      <c r="C472" s="167" t="s">
        <v>36</v>
      </c>
      <c r="D472" s="88" t="s">
        <v>37</v>
      </c>
      <c r="E472" s="86">
        <v>0</v>
      </c>
      <c r="F472" s="9">
        <v>0</v>
      </c>
      <c r="G472" s="10"/>
      <c r="H472" s="9">
        <v>0</v>
      </c>
      <c r="I472" s="10"/>
      <c r="J472" s="152">
        <v>0</v>
      </c>
      <c r="K472" s="10"/>
      <c r="L472" s="152">
        <v>0</v>
      </c>
      <c r="M472" s="10"/>
      <c r="N472" s="152">
        <v>0</v>
      </c>
      <c r="O472" s="10"/>
      <c r="P472" s="152">
        <v>0</v>
      </c>
      <c r="Q472" s="10"/>
      <c r="R472" s="9">
        <v>0</v>
      </c>
      <c r="S472" s="10"/>
      <c r="T472" s="9">
        <v>0</v>
      </c>
      <c r="U472" s="10"/>
      <c r="V472" s="9">
        <v>0</v>
      </c>
      <c r="W472" s="10"/>
      <c r="X472" s="9">
        <v>0</v>
      </c>
      <c r="Y472" s="10"/>
      <c r="Z472" s="9">
        <v>0</v>
      </c>
      <c r="AA472" s="10"/>
      <c r="AB472" s="11">
        <v>0</v>
      </c>
      <c r="AC472" s="10"/>
      <c r="AD472" s="7">
        <f>SUM(F472+H472+J472+L472+N472+P472+R472+T472+V472+X472+Z472+AB472)</f>
        <v>0</v>
      </c>
      <c r="AE472" s="7">
        <f>E472+AD472</f>
        <v>0</v>
      </c>
      <c r="AF472" s="8">
        <f>G472+I472+K472+M472+O472+Q472+S472+U472+W472+Y472+AA472+AC472</f>
        <v>0</v>
      </c>
      <c r="AG472" s="153">
        <f>SUM(AE472-AF472)</f>
        <v>0</v>
      </c>
      <c r="AH472" s="99" t="s">
        <v>858</v>
      </c>
      <c r="AI472" s="99">
        <v>4</v>
      </c>
    </row>
    <row r="473" spans="1:42" customHeight="1" ht="11.5">
      <c r="A473" s="5">
        <v>465</v>
      </c>
      <c r="B473" s="166" t="s">
        <v>859</v>
      </c>
      <c r="C473" s="167" t="s">
        <v>36</v>
      </c>
      <c r="D473" s="88" t="s">
        <v>37</v>
      </c>
      <c r="E473" s="86">
        <v>0</v>
      </c>
      <c r="F473" s="9">
        <v>0</v>
      </c>
      <c r="G473" s="10"/>
      <c r="H473" s="9">
        <v>0</v>
      </c>
      <c r="I473" s="10"/>
      <c r="J473" s="152">
        <v>0</v>
      </c>
      <c r="K473" s="10"/>
      <c r="L473" s="152">
        <v>0</v>
      </c>
      <c r="M473" s="10"/>
      <c r="N473" s="152">
        <v>0</v>
      </c>
      <c r="O473" s="10"/>
      <c r="P473" s="152">
        <v>0</v>
      </c>
      <c r="Q473" s="10"/>
      <c r="R473" s="9">
        <v>0</v>
      </c>
      <c r="S473" s="10"/>
      <c r="T473" s="9">
        <v>0</v>
      </c>
      <c r="U473" s="10"/>
      <c r="V473" s="9">
        <v>0</v>
      </c>
      <c r="W473" s="10"/>
      <c r="X473" s="9">
        <v>0</v>
      </c>
      <c r="Y473" s="10"/>
      <c r="Z473" s="9">
        <v>0</v>
      </c>
      <c r="AA473" s="10"/>
      <c r="AB473" s="11">
        <v>0</v>
      </c>
      <c r="AC473" s="10"/>
      <c r="AD473" s="7">
        <f>SUM(F473+H473+J473+L473+N473+P473+R473+T473+V473+X473+Z473+AB473)</f>
        <v>0</v>
      </c>
      <c r="AE473" s="7">
        <f>E473+AD473</f>
        <v>0</v>
      </c>
      <c r="AF473" s="8">
        <f>G473+I473+K473+M473+O473+Q473+S473+U473+W473+Y473+AA473+AC473</f>
        <v>0</v>
      </c>
      <c r="AG473" s="153">
        <f>SUM(AE473-AF473)</f>
        <v>0</v>
      </c>
      <c r="AH473" s="99" t="s">
        <v>860</v>
      </c>
      <c r="AI473" s="99">
        <v>4</v>
      </c>
    </row>
    <row r="474" spans="1:42" customHeight="1" ht="11.5">
      <c r="A474" s="5">
        <v>466</v>
      </c>
      <c r="B474" s="166" t="s">
        <v>861</v>
      </c>
      <c r="C474" s="167" t="s">
        <v>36</v>
      </c>
      <c r="D474" s="88" t="s">
        <v>37</v>
      </c>
      <c r="E474" s="86">
        <v>-6000</v>
      </c>
      <c r="F474" s="9">
        <v>0</v>
      </c>
      <c r="G474" s="10"/>
      <c r="H474" s="9">
        <v>0</v>
      </c>
      <c r="I474" s="10"/>
      <c r="J474" s="152">
        <v>0</v>
      </c>
      <c r="K474" s="10"/>
      <c r="L474" s="152">
        <v>10000</v>
      </c>
      <c r="M474" s="10"/>
      <c r="N474" s="152">
        <v>0</v>
      </c>
      <c r="O474" s="10">
        <v>4000</v>
      </c>
      <c r="P474" s="152">
        <v>0</v>
      </c>
      <c r="Q474" s="10"/>
      <c r="R474" s="9">
        <v>0</v>
      </c>
      <c r="S474" s="10"/>
      <c r="T474" s="9">
        <v>0</v>
      </c>
      <c r="U474" s="10"/>
      <c r="V474" s="9">
        <v>0</v>
      </c>
      <c r="W474" s="10"/>
      <c r="X474" s="9">
        <v>0</v>
      </c>
      <c r="Y474" s="10"/>
      <c r="Z474" s="9">
        <v>0</v>
      </c>
      <c r="AA474" s="10"/>
      <c r="AB474" s="11">
        <v>0</v>
      </c>
      <c r="AC474" s="10"/>
      <c r="AD474" s="7">
        <f>SUM(F474+H474+J474+L474+N474+P474+R474+T474+V474+X474+Z474+AB474)</f>
        <v>10000</v>
      </c>
      <c r="AE474" s="7">
        <f>E474+AD474</f>
        <v>4000</v>
      </c>
      <c r="AF474" s="8">
        <f>G474+I474+K474+M474+O474+Q474+S474+U474+W474+Y474+AA474+AC474</f>
        <v>4000</v>
      </c>
      <c r="AG474" s="153">
        <f>SUM(AE474-AF474)</f>
        <v>0</v>
      </c>
      <c r="AH474" s="99" t="s">
        <v>862</v>
      </c>
      <c r="AI474" s="99">
        <v>4</v>
      </c>
    </row>
    <row r="475" spans="1:42" customHeight="1" ht="11.5">
      <c r="A475" s="5">
        <v>467</v>
      </c>
      <c r="B475" s="166" t="s">
        <v>863</v>
      </c>
      <c r="C475" s="167" t="s">
        <v>36</v>
      </c>
      <c r="D475" s="88" t="s">
        <v>37</v>
      </c>
      <c r="E475" s="86">
        <v>-10000</v>
      </c>
      <c r="F475" s="9">
        <v>0</v>
      </c>
      <c r="G475" s="10"/>
      <c r="H475" s="9">
        <v>0</v>
      </c>
      <c r="I475" s="10"/>
      <c r="J475" s="152">
        <v>0</v>
      </c>
      <c r="K475" s="10"/>
      <c r="L475" s="152">
        <v>0</v>
      </c>
      <c r="M475" s="10"/>
      <c r="N475" s="152">
        <v>0</v>
      </c>
      <c r="O475" s="10"/>
      <c r="P475" s="152">
        <v>0</v>
      </c>
      <c r="Q475" s="10"/>
      <c r="R475" s="9">
        <v>0</v>
      </c>
      <c r="S475" s="10"/>
      <c r="T475" s="9">
        <v>0</v>
      </c>
      <c r="U475" s="10"/>
      <c r="V475" s="9">
        <v>0</v>
      </c>
      <c r="W475" s="10"/>
      <c r="X475" s="9">
        <v>0</v>
      </c>
      <c r="Y475" s="10"/>
      <c r="Z475" s="9">
        <v>0</v>
      </c>
      <c r="AA475" s="10"/>
      <c r="AB475" s="11">
        <v>0</v>
      </c>
      <c r="AC475" s="10"/>
      <c r="AD475" s="7">
        <f>SUM(F475+H475+J475+L475+N475+P475+R475+T475+V475+X475+Z475+AB475)</f>
        <v>0</v>
      </c>
      <c r="AE475" s="7">
        <f>E475+AD475</f>
        <v>-10000</v>
      </c>
      <c r="AF475" s="8">
        <f>G475+I475+K475+M475+O475+Q475+S475+U475+W475+Y475+AA475+AC475</f>
        <v>0</v>
      </c>
      <c r="AG475" s="153">
        <f>SUM(AE475-AF475)</f>
        <v>-10000</v>
      </c>
      <c r="AH475" s="99" t="s">
        <v>864</v>
      </c>
      <c r="AI475" s="99">
        <v>4</v>
      </c>
    </row>
    <row r="476" spans="1:42" customHeight="1" ht="11.5">
      <c r="A476" s="5">
        <v>468</v>
      </c>
      <c r="B476" s="166" t="s">
        <v>865</v>
      </c>
      <c r="C476" s="167" t="s">
        <v>36</v>
      </c>
      <c r="D476" s="88" t="s">
        <v>37</v>
      </c>
      <c r="E476" s="86">
        <v>0</v>
      </c>
      <c r="F476" s="9">
        <v>0</v>
      </c>
      <c r="G476" s="10"/>
      <c r="H476" s="9">
        <v>0</v>
      </c>
      <c r="I476" s="10"/>
      <c r="J476" s="152">
        <v>0</v>
      </c>
      <c r="K476" s="10"/>
      <c r="L476" s="152">
        <v>0</v>
      </c>
      <c r="M476" s="10"/>
      <c r="N476" s="152">
        <v>0</v>
      </c>
      <c r="O476" s="10"/>
      <c r="P476" s="152">
        <v>0</v>
      </c>
      <c r="Q476" s="10"/>
      <c r="R476" s="9">
        <v>0</v>
      </c>
      <c r="S476" s="10"/>
      <c r="T476" s="9">
        <v>0</v>
      </c>
      <c r="U476" s="10"/>
      <c r="V476" s="9">
        <v>0</v>
      </c>
      <c r="W476" s="10"/>
      <c r="X476" s="9">
        <v>0</v>
      </c>
      <c r="Y476" s="10"/>
      <c r="Z476" s="9">
        <v>0</v>
      </c>
      <c r="AA476" s="10"/>
      <c r="AB476" s="11">
        <v>0</v>
      </c>
      <c r="AC476" s="10"/>
      <c r="AD476" s="7">
        <f>SUM(F476+H476+J476+L476+N476+P476+R476+T476+V476+X476+Z476+AB476)</f>
        <v>0</v>
      </c>
      <c r="AE476" s="7">
        <f>E476+AD476</f>
        <v>0</v>
      </c>
      <c r="AF476" s="8">
        <f>G476+I476+K476+M476+O476+Q476+S476+U476+W476+Y476+AA476+AC476</f>
        <v>0</v>
      </c>
      <c r="AG476" s="153">
        <f>SUM(AE476-AF476)</f>
        <v>0</v>
      </c>
      <c r="AH476" s="99" t="s">
        <v>866</v>
      </c>
      <c r="AI476" s="99">
        <v>4</v>
      </c>
    </row>
    <row r="477" spans="1:42" customHeight="1" ht="11.5">
      <c r="A477" s="5">
        <v>469</v>
      </c>
      <c r="B477" s="166" t="s">
        <v>867</v>
      </c>
      <c r="C477" s="167" t="s">
        <v>36</v>
      </c>
      <c r="D477" s="88" t="s">
        <v>37</v>
      </c>
      <c r="E477" s="86">
        <v>0</v>
      </c>
      <c r="F477" s="9">
        <v>0</v>
      </c>
      <c r="G477" s="10"/>
      <c r="H477" s="9">
        <v>0</v>
      </c>
      <c r="I477" s="10"/>
      <c r="J477" s="152">
        <v>0</v>
      </c>
      <c r="K477" s="10"/>
      <c r="L477" s="152">
        <v>0</v>
      </c>
      <c r="M477" s="10"/>
      <c r="N477" s="152">
        <v>0</v>
      </c>
      <c r="O477" s="10"/>
      <c r="P477" s="152">
        <v>0</v>
      </c>
      <c r="Q477" s="10"/>
      <c r="R477" s="9">
        <v>0</v>
      </c>
      <c r="S477" s="10"/>
      <c r="T477" s="9">
        <v>0</v>
      </c>
      <c r="U477" s="10"/>
      <c r="V477" s="9">
        <v>0</v>
      </c>
      <c r="W477" s="10"/>
      <c r="X477" s="9">
        <v>0</v>
      </c>
      <c r="Y477" s="10"/>
      <c r="Z477" s="9">
        <v>0</v>
      </c>
      <c r="AA477" s="10"/>
      <c r="AB477" s="11">
        <v>0</v>
      </c>
      <c r="AC477" s="10"/>
      <c r="AD477" s="7">
        <f>SUM(F477+H477+J477+L477+N477+P477+R477+T477+V477+X477+Z477+AB477)</f>
        <v>0</v>
      </c>
      <c r="AE477" s="7">
        <f>E477+AD477</f>
        <v>0</v>
      </c>
      <c r="AF477" s="8">
        <f>G477+I477+K477+M477+O477+Q477+S477+U477+W477+Y477+AA477+AC477</f>
        <v>0</v>
      </c>
      <c r="AG477" s="153">
        <f>SUM(AE477-AF477)</f>
        <v>0</v>
      </c>
      <c r="AH477" s="99" t="s">
        <v>868</v>
      </c>
      <c r="AI477" s="99">
        <v>4</v>
      </c>
    </row>
    <row r="478" spans="1:42" customHeight="1" ht="11.5">
      <c r="A478" s="5">
        <v>470</v>
      </c>
      <c r="B478" s="166" t="s">
        <v>869</v>
      </c>
      <c r="C478" s="167" t="s">
        <v>36</v>
      </c>
      <c r="D478" s="88" t="s">
        <v>37</v>
      </c>
      <c r="E478" s="86">
        <v>0</v>
      </c>
      <c r="F478" s="9">
        <v>0</v>
      </c>
      <c r="G478" s="10"/>
      <c r="H478" s="9">
        <v>0</v>
      </c>
      <c r="I478" s="10"/>
      <c r="J478" s="152">
        <v>0</v>
      </c>
      <c r="K478" s="10"/>
      <c r="L478" s="152">
        <v>0</v>
      </c>
      <c r="M478" s="10"/>
      <c r="N478" s="152">
        <v>0</v>
      </c>
      <c r="O478" s="10"/>
      <c r="P478" s="152">
        <v>0</v>
      </c>
      <c r="Q478" s="10"/>
      <c r="R478" s="9">
        <v>0</v>
      </c>
      <c r="S478" s="10"/>
      <c r="T478" s="9">
        <v>0</v>
      </c>
      <c r="U478" s="10"/>
      <c r="V478" s="9">
        <v>0</v>
      </c>
      <c r="W478" s="10"/>
      <c r="X478" s="9">
        <v>0</v>
      </c>
      <c r="Y478" s="10"/>
      <c r="Z478" s="9">
        <v>0</v>
      </c>
      <c r="AA478" s="10"/>
      <c r="AB478" s="11">
        <v>0</v>
      </c>
      <c r="AC478" s="10"/>
      <c r="AD478" s="7">
        <f>SUM(F478+H478+J478+L478+N478+P478+R478+T478+V478+X478+Z478+AB478)</f>
        <v>0</v>
      </c>
      <c r="AE478" s="7">
        <f>E478+AD478</f>
        <v>0</v>
      </c>
      <c r="AF478" s="8">
        <f>G478+I478+K478+M478+O478+Q478+S478+U478+W478+Y478+AA478+AC478</f>
        <v>0</v>
      </c>
      <c r="AG478" s="153">
        <f>SUM(AE478-AF478)</f>
        <v>0</v>
      </c>
      <c r="AH478" s="99" t="s">
        <v>870</v>
      </c>
      <c r="AI478" s="99">
        <v>4</v>
      </c>
    </row>
    <row r="479" spans="1:42" customHeight="1" ht="11.5">
      <c r="A479" s="5">
        <v>471</v>
      </c>
      <c r="B479" s="166" t="s">
        <v>871</v>
      </c>
      <c r="C479" s="167" t="s">
        <v>36</v>
      </c>
      <c r="D479" s="88" t="s">
        <v>37</v>
      </c>
      <c r="E479" s="86">
        <v>0</v>
      </c>
      <c r="F479" s="9">
        <v>0</v>
      </c>
      <c r="G479" s="10"/>
      <c r="H479" s="9">
        <v>0</v>
      </c>
      <c r="I479" s="10"/>
      <c r="J479" s="152">
        <v>0</v>
      </c>
      <c r="K479" s="10"/>
      <c r="L479" s="152">
        <v>0</v>
      </c>
      <c r="M479" s="10"/>
      <c r="N479" s="152">
        <v>0</v>
      </c>
      <c r="O479" s="10"/>
      <c r="P479" s="152">
        <v>0</v>
      </c>
      <c r="Q479" s="10"/>
      <c r="R479" s="9">
        <v>0</v>
      </c>
      <c r="S479" s="10"/>
      <c r="T479" s="9">
        <v>0</v>
      </c>
      <c r="U479" s="10"/>
      <c r="V479" s="9">
        <v>0</v>
      </c>
      <c r="W479" s="10"/>
      <c r="X479" s="9">
        <v>0</v>
      </c>
      <c r="Y479" s="10"/>
      <c r="Z479" s="9">
        <v>0</v>
      </c>
      <c r="AA479" s="10"/>
      <c r="AB479" s="11">
        <v>0</v>
      </c>
      <c r="AC479" s="10"/>
      <c r="AD479" s="7">
        <f>SUM(F479+H479+J479+L479+N479+P479+R479+T479+V479+X479+Z479+AB479)</f>
        <v>0</v>
      </c>
      <c r="AE479" s="7">
        <f>E479+AD479</f>
        <v>0</v>
      </c>
      <c r="AF479" s="8">
        <f>G479+I479+K479+M479+O479+Q479+S479+U479+W479+Y479+AA479+AC479</f>
        <v>0</v>
      </c>
      <c r="AG479" s="153">
        <f>SUM(AE479-AF479)</f>
        <v>0</v>
      </c>
      <c r="AH479" s="99" t="s">
        <v>872</v>
      </c>
      <c r="AI479" s="99">
        <v>4</v>
      </c>
    </row>
    <row r="480" spans="1:42" customHeight="1" ht="11.5">
      <c r="A480" s="5">
        <v>472</v>
      </c>
      <c r="B480" s="166" t="s">
        <v>873</v>
      </c>
      <c r="C480" s="167" t="s">
        <v>36</v>
      </c>
      <c r="D480" s="88" t="s">
        <v>37</v>
      </c>
      <c r="E480" s="86">
        <v>0</v>
      </c>
      <c r="F480" s="9">
        <v>0</v>
      </c>
      <c r="G480" s="10"/>
      <c r="H480" s="9">
        <v>0</v>
      </c>
      <c r="I480" s="10"/>
      <c r="J480" s="152">
        <v>0</v>
      </c>
      <c r="K480" s="10"/>
      <c r="L480" s="152">
        <v>0</v>
      </c>
      <c r="M480" s="10"/>
      <c r="N480" s="152">
        <v>0</v>
      </c>
      <c r="O480" s="10"/>
      <c r="P480" s="152">
        <v>0</v>
      </c>
      <c r="Q480" s="10"/>
      <c r="R480" s="9">
        <v>0</v>
      </c>
      <c r="S480" s="10"/>
      <c r="T480" s="9">
        <v>0</v>
      </c>
      <c r="U480" s="10"/>
      <c r="V480" s="9">
        <v>0</v>
      </c>
      <c r="W480" s="10"/>
      <c r="X480" s="9">
        <v>0</v>
      </c>
      <c r="Y480" s="10"/>
      <c r="Z480" s="9">
        <v>0</v>
      </c>
      <c r="AA480" s="10"/>
      <c r="AB480" s="11">
        <v>0</v>
      </c>
      <c r="AC480" s="10"/>
      <c r="AD480" s="7">
        <f>SUM(F480+H480+J480+L480+N480+P480+R480+T480+V480+X480+Z480+AB480)</f>
        <v>0</v>
      </c>
      <c r="AE480" s="7">
        <f>E480+AD480</f>
        <v>0</v>
      </c>
      <c r="AF480" s="8">
        <f>G480+I480+K480+M480+O480+Q480+S480+U480+W480+Y480+AA480+AC480</f>
        <v>0</v>
      </c>
      <c r="AG480" s="153">
        <f>SUM(AE480-AF480)</f>
        <v>0</v>
      </c>
      <c r="AH480" s="99" t="s">
        <v>874</v>
      </c>
      <c r="AI480" s="99">
        <v>4</v>
      </c>
    </row>
    <row r="481" spans="1:42" customHeight="1" ht="11.5">
      <c r="A481" s="5">
        <v>473</v>
      </c>
      <c r="B481" s="166" t="s">
        <v>875</v>
      </c>
      <c r="C481" s="167" t="s">
        <v>36</v>
      </c>
      <c r="D481" s="88" t="s">
        <v>37</v>
      </c>
      <c r="E481" s="86">
        <v>0</v>
      </c>
      <c r="F481" s="9">
        <v>0</v>
      </c>
      <c r="G481" s="10"/>
      <c r="H481" s="9">
        <v>0</v>
      </c>
      <c r="I481" s="10"/>
      <c r="J481" s="152">
        <v>0</v>
      </c>
      <c r="K481" s="10"/>
      <c r="L481" s="152">
        <v>0</v>
      </c>
      <c r="M481" s="10"/>
      <c r="N481" s="152">
        <v>0</v>
      </c>
      <c r="O481" s="10"/>
      <c r="P481" s="152">
        <v>0</v>
      </c>
      <c r="Q481" s="10"/>
      <c r="R481" s="9">
        <v>0</v>
      </c>
      <c r="S481" s="10"/>
      <c r="T481" s="9">
        <v>0</v>
      </c>
      <c r="U481" s="10"/>
      <c r="V481" s="9">
        <v>0</v>
      </c>
      <c r="W481" s="10"/>
      <c r="X481" s="9">
        <v>0</v>
      </c>
      <c r="Y481" s="10"/>
      <c r="Z481" s="9">
        <v>0</v>
      </c>
      <c r="AA481" s="10"/>
      <c r="AB481" s="11">
        <v>0</v>
      </c>
      <c r="AC481" s="10"/>
      <c r="AD481" s="7">
        <f>SUM(F481+H481+J481+L481+N481+P481+R481+T481+V481+X481+Z481+AB481)</f>
        <v>0</v>
      </c>
      <c r="AE481" s="7">
        <f>E481+AD481</f>
        <v>0</v>
      </c>
      <c r="AF481" s="8">
        <f>G481+I481+K481+M481+O481+Q481+S481+U481+W481+Y481+AA481+AC481</f>
        <v>0</v>
      </c>
      <c r="AG481" s="153">
        <f>SUM(AE481-AF481)</f>
        <v>0</v>
      </c>
      <c r="AH481" s="99" t="s">
        <v>876</v>
      </c>
      <c r="AI481" s="99">
        <v>4</v>
      </c>
    </row>
    <row r="482" spans="1:42" customHeight="1" ht="11.5">
      <c r="A482" s="5">
        <v>474</v>
      </c>
      <c r="B482" s="166" t="s">
        <v>877</v>
      </c>
      <c r="C482" s="167" t="s">
        <v>91</v>
      </c>
      <c r="D482" s="88" t="s">
        <v>92</v>
      </c>
      <c r="E482" s="86">
        <v>0</v>
      </c>
      <c r="F482" s="9">
        <v>0</v>
      </c>
      <c r="G482" s="10"/>
      <c r="H482" s="9">
        <v>0</v>
      </c>
      <c r="I482" s="10"/>
      <c r="J482" s="152">
        <v>0</v>
      </c>
      <c r="K482" s="10"/>
      <c r="L482" s="152">
        <v>0</v>
      </c>
      <c r="M482" s="10"/>
      <c r="N482" s="152">
        <v>0</v>
      </c>
      <c r="O482" s="10"/>
      <c r="P482" s="152">
        <v>0</v>
      </c>
      <c r="Q482" s="10"/>
      <c r="R482" s="9">
        <v>0</v>
      </c>
      <c r="S482" s="10"/>
      <c r="T482" s="9">
        <v>0</v>
      </c>
      <c r="U482" s="10"/>
      <c r="V482" s="9">
        <v>0</v>
      </c>
      <c r="W482" s="10"/>
      <c r="X482" s="9">
        <v>0</v>
      </c>
      <c r="Y482" s="10"/>
      <c r="Z482" s="9">
        <v>0</v>
      </c>
      <c r="AA482" s="10"/>
      <c r="AB482" s="11">
        <v>0</v>
      </c>
      <c r="AC482" s="10"/>
      <c r="AD482" s="7">
        <f>SUM(F482+H482+J482+L482+N482+P482+R482+T482+V482+X482+Z482+AB482)</f>
        <v>0</v>
      </c>
      <c r="AE482" s="7">
        <f>E482+AD482</f>
        <v>0</v>
      </c>
      <c r="AF482" s="8">
        <f>G482+I482+K482+M482+O482+Q482+S482+U482+W482+Y482+AA482+AC482</f>
        <v>0</v>
      </c>
      <c r="AG482" s="153">
        <f>SUM(AE482-AF482)</f>
        <v>0</v>
      </c>
      <c r="AH482" s="99" t="s">
        <v>878</v>
      </c>
      <c r="AI482" s="99">
        <v>4</v>
      </c>
    </row>
    <row r="483" spans="1:42" customHeight="1" ht="11.5">
      <c r="A483" s="5">
        <v>475</v>
      </c>
      <c r="B483" s="169" t="s">
        <v>879</v>
      </c>
      <c r="C483" s="167" t="s">
        <v>36</v>
      </c>
      <c r="D483" s="88" t="s">
        <v>37</v>
      </c>
      <c r="E483" s="86">
        <v>0</v>
      </c>
      <c r="F483" s="9">
        <v>0</v>
      </c>
      <c r="G483" s="10"/>
      <c r="H483" s="9">
        <v>0</v>
      </c>
      <c r="I483" s="10"/>
      <c r="J483" s="152">
        <v>0</v>
      </c>
      <c r="K483" s="10"/>
      <c r="L483" s="152">
        <v>0</v>
      </c>
      <c r="M483" s="10"/>
      <c r="N483" s="152">
        <v>0</v>
      </c>
      <c r="O483" s="10"/>
      <c r="P483" s="152">
        <v>0</v>
      </c>
      <c r="Q483" s="10"/>
      <c r="R483" s="9">
        <v>0</v>
      </c>
      <c r="S483" s="10"/>
      <c r="T483" s="9">
        <v>0</v>
      </c>
      <c r="U483" s="10"/>
      <c r="V483" s="9">
        <v>0</v>
      </c>
      <c r="W483" s="10"/>
      <c r="X483" s="9">
        <v>0</v>
      </c>
      <c r="Y483" s="10"/>
      <c r="Z483" s="9">
        <v>0</v>
      </c>
      <c r="AA483" s="10"/>
      <c r="AB483" s="11">
        <v>0</v>
      </c>
      <c r="AC483" s="10"/>
      <c r="AD483" s="7">
        <f>SUM(F483+H483+J483+L483+N483+P483+R483+T483+V483+X483+Z483+AB483)</f>
        <v>0</v>
      </c>
      <c r="AE483" s="7">
        <f>E483+AD483</f>
        <v>0</v>
      </c>
      <c r="AF483" s="8">
        <f>G483+I483+K483+M483+O483+Q483+S483+U483+W483+Y483+AA483+AC483</f>
        <v>0</v>
      </c>
      <c r="AG483" s="153">
        <f>SUM(AE483-AF483)</f>
        <v>0</v>
      </c>
      <c r="AH483" s="99" t="s">
        <v>880</v>
      </c>
      <c r="AI483" s="99">
        <v>4</v>
      </c>
    </row>
    <row r="484" spans="1:42" customHeight="1" ht="11.5">
      <c r="A484" s="5">
        <v>476</v>
      </c>
      <c r="B484" s="166" t="s">
        <v>881</v>
      </c>
      <c r="C484" s="167" t="s">
        <v>36</v>
      </c>
      <c r="D484" s="88" t="s">
        <v>37</v>
      </c>
      <c r="E484" s="86">
        <v>0</v>
      </c>
      <c r="F484" s="9">
        <v>0</v>
      </c>
      <c r="G484" s="10"/>
      <c r="H484" s="9">
        <v>0</v>
      </c>
      <c r="I484" s="10"/>
      <c r="J484" s="152">
        <v>0</v>
      </c>
      <c r="K484" s="10"/>
      <c r="L484" s="152">
        <v>0</v>
      </c>
      <c r="M484" s="10"/>
      <c r="N484" s="152">
        <v>0</v>
      </c>
      <c r="O484" s="10"/>
      <c r="P484" s="152">
        <v>0</v>
      </c>
      <c r="Q484" s="10"/>
      <c r="R484" s="9">
        <v>40</v>
      </c>
      <c r="S484" s="10"/>
      <c r="T484" s="9">
        <v>0</v>
      </c>
      <c r="U484" s="10"/>
      <c r="V484" s="9">
        <v>0</v>
      </c>
      <c r="W484" s="10"/>
      <c r="X484" s="9">
        <v>0</v>
      </c>
      <c r="Y484" s="10"/>
      <c r="Z484" s="9">
        <v>0</v>
      </c>
      <c r="AA484" s="10"/>
      <c r="AB484" s="11">
        <v>0</v>
      </c>
      <c r="AC484" s="10"/>
      <c r="AD484" s="7">
        <f>SUM(F484+H484+J484+L484+N484+P484+R484+T484+V484+X484+Z484+AB484)</f>
        <v>40</v>
      </c>
      <c r="AE484" s="7">
        <f>E484+AD484</f>
        <v>40</v>
      </c>
      <c r="AF484" s="8">
        <f>G484+I484+K484+M484+O484+Q484+S484+U484+W484+Y484+AA484+AC484</f>
        <v>0</v>
      </c>
      <c r="AG484" s="153">
        <f>SUM(AE484-AF484)</f>
        <v>40</v>
      </c>
      <c r="AH484" s="99" t="s">
        <v>882</v>
      </c>
      <c r="AI484" s="99">
        <v>4</v>
      </c>
    </row>
    <row r="485" spans="1:42" customHeight="1" ht="11.5">
      <c r="A485" s="5">
        <v>477</v>
      </c>
      <c r="B485" s="166" t="s">
        <v>883</v>
      </c>
      <c r="C485" s="167" t="s">
        <v>36</v>
      </c>
      <c r="D485" s="88" t="s">
        <v>37</v>
      </c>
      <c r="E485" s="86">
        <v>0</v>
      </c>
      <c r="F485" s="9">
        <v>0</v>
      </c>
      <c r="G485" s="10"/>
      <c r="H485" s="9">
        <v>0</v>
      </c>
      <c r="I485" s="10"/>
      <c r="J485" s="152">
        <v>0</v>
      </c>
      <c r="K485" s="10"/>
      <c r="L485" s="152">
        <v>0</v>
      </c>
      <c r="M485" s="10"/>
      <c r="N485" s="152">
        <v>0</v>
      </c>
      <c r="O485" s="10"/>
      <c r="P485" s="152">
        <v>0</v>
      </c>
      <c r="Q485" s="10"/>
      <c r="R485" s="9">
        <v>0</v>
      </c>
      <c r="S485" s="10"/>
      <c r="T485" s="9">
        <v>0</v>
      </c>
      <c r="U485" s="10"/>
      <c r="V485" s="9">
        <v>0</v>
      </c>
      <c r="W485" s="10"/>
      <c r="X485" s="9">
        <v>0</v>
      </c>
      <c r="Y485" s="10"/>
      <c r="Z485" s="9">
        <v>0</v>
      </c>
      <c r="AA485" s="10"/>
      <c r="AB485" s="11">
        <v>0</v>
      </c>
      <c r="AC485" s="10"/>
      <c r="AD485" s="7">
        <f>SUM(F485+H485+J485+L485+N485+P485+R485+T485+V485+X485+Z485+AB485)</f>
        <v>0</v>
      </c>
      <c r="AE485" s="7">
        <f>E485+AD485</f>
        <v>0</v>
      </c>
      <c r="AF485" s="8">
        <f>G485+I485+K485+M485+O485+Q485+S485+U485+W485+Y485+AA485+AC485</f>
        <v>0</v>
      </c>
      <c r="AG485" s="153">
        <f>SUM(AE485-AF485)</f>
        <v>0</v>
      </c>
      <c r="AH485" s="99" t="s">
        <v>884</v>
      </c>
      <c r="AI485" s="99">
        <v>4</v>
      </c>
    </row>
    <row r="486" spans="1:42" customHeight="1" ht="11.5">
      <c r="A486" s="5">
        <v>478</v>
      </c>
      <c r="B486" s="166" t="s">
        <v>885</v>
      </c>
      <c r="C486" s="167" t="s">
        <v>36</v>
      </c>
      <c r="D486" s="88" t="s">
        <v>37</v>
      </c>
      <c r="E486" s="86">
        <v>0</v>
      </c>
      <c r="F486" s="9">
        <v>10000</v>
      </c>
      <c r="G486" s="10"/>
      <c r="H486" s="9">
        <v>0</v>
      </c>
      <c r="I486" s="10">
        <v>10000</v>
      </c>
      <c r="J486" s="152">
        <v>0</v>
      </c>
      <c r="K486" s="10"/>
      <c r="L486" s="152">
        <v>0</v>
      </c>
      <c r="M486" s="10"/>
      <c r="N486" s="152">
        <v>0</v>
      </c>
      <c r="O486" s="10"/>
      <c r="P486" s="152">
        <v>0</v>
      </c>
      <c r="Q486" s="10"/>
      <c r="R486" s="9">
        <v>0</v>
      </c>
      <c r="S486" s="10"/>
      <c r="T486" s="9">
        <v>0</v>
      </c>
      <c r="U486" s="10"/>
      <c r="V486" s="9">
        <v>0</v>
      </c>
      <c r="W486" s="10"/>
      <c r="X486" s="9">
        <v>0</v>
      </c>
      <c r="Y486" s="10"/>
      <c r="Z486" s="9">
        <v>0</v>
      </c>
      <c r="AA486" s="10"/>
      <c r="AB486" s="11">
        <v>0</v>
      </c>
      <c r="AC486" s="10"/>
      <c r="AD486" s="7">
        <f>SUM(F486+H486+J486+L486+N486+P486+R486+T486+V486+X486+Z486+AB486)</f>
        <v>10000</v>
      </c>
      <c r="AE486" s="7">
        <f>E486+AD486</f>
        <v>10000</v>
      </c>
      <c r="AF486" s="8">
        <f>G486+I486+K486+M486+O486+Q486+S486+U486+W486+Y486+AA486+AC486</f>
        <v>10000</v>
      </c>
      <c r="AG486" s="153">
        <f>SUM(AE486-AF486)</f>
        <v>0</v>
      </c>
      <c r="AH486" s="99" t="s">
        <v>886</v>
      </c>
      <c r="AI486" s="99">
        <v>4</v>
      </c>
    </row>
    <row r="487" spans="1:42" customHeight="1" ht="11.5">
      <c r="A487" s="5">
        <v>479</v>
      </c>
      <c r="B487" s="166" t="s">
        <v>887</v>
      </c>
      <c r="C487" s="167" t="s">
        <v>36</v>
      </c>
      <c r="D487" s="88" t="s">
        <v>37</v>
      </c>
      <c r="E487" s="86">
        <v>0</v>
      </c>
      <c r="F487" s="9">
        <v>0</v>
      </c>
      <c r="G487" s="10"/>
      <c r="H487" s="9">
        <v>0</v>
      </c>
      <c r="I487" s="10"/>
      <c r="J487" s="152">
        <v>0</v>
      </c>
      <c r="K487" s="10"/>
      <c r="L487" s="152">
        <v>0</v>
      </c>
      <c r="M487" s="10"/>
      <c r="N487" s="152">
        <v>0</v>
      </c>
      <c r="O487" s="10"/>
      <c r="P487" s="152">
        <v>0</v>
      </c>
      <c r="Q487" s="10"/>
      <c r="R487" s="9">
        <v>0</v>
      </c>
      <c r="S487" s="10"/>
      <c r="T487" s="9">
        <v>0</v>
      </c>
      <c r="U487" s="10"/>
      <c r="V487" s="9">
        <v>0</v>
      </c>
      <c r="W487" s="10"/>
      <c r="X487" s="9">
        <v>0</v>
      </c>
      <c r="Y487" s="10"/>
      <c r="Z487" s="9">
        <v>0</v>
      </c>
      <c r="AA487" s="10"/>
      <c r="AB487" s="11">
        <v>0</v>
      </c>
      <c r="AC487" s="10"/>
      <c r="AD487" s="7">
        <f>SUM(F487+H487+J487+L487+N487+P487+R487+T487+V487+X487+Z487+AB487)</f>
        <v>0</v>
      </c>
      <c r="AE487" s="7">
        <f>E487+AD487</f>
        <v>0</v>
      </c>
      <c r="AF487" s="8">
        <f>G487+I487+K487+M487+O487+Q487+S487+U487+W487+Y487+AA487+AC487</f>
        <v>0</v>
      </c>
      <c r="AG487" s="153">
        <f>SUM(AE487-AF487)</f>
        <v>0</v>
      </c>
      <c r="AH487" s="99" t="s">
        <v>888</v>
      </c>
      <c r="AI487" s="99">
        <v>4</v>
      </c>
    </row>
    <row r="488" spans="1:42" customHeight="1" ht="11.5">
      <c r="A488" s="5">
        <v>480</v>
      </c>
      <c r="B488" s="166" t="s">
        <v>889</v>
      </c>
      <c r="C488" s="167" t="s">
        <v>36</v>
      </c>
      <c r="D488" s="88" t="s">
        <v>37</v>
      </c>
      <c r="E488" s="86">
        <v>0</v>
      </c>
      <c r="F488" s="9">
        <v>0</v>
      </c>
      <c r="G488" s="10"/>
      <c r="H488" s="9">
        <v>0</v>
      </c>
      <c r="I488" s="10"/>
      <c r="J488" s="152">
        <v>0</v>
      </c>
      <c r="K488" s="10"/>
      <c r="L488" s="152">
        <v>0</v>
      </c>
      <c r="M488" s="10"/>
      <c r="N488" s="152">
        <v>0</v>
      </c>
      <c r="O488" s="10"/>
      <c r="P488" s="152">
        <v>0</v>
      </c>
      <c r="Q488" s="10"/>
      <c r="R488" s="9">
        <v>0</v>
      </c>
      <c r="S488" s="10"/>
      <c r="T488" s="9">
        <v>0</v>
      </c>
      <c r="U488" s="10"/>
      <c r="V488" s="9">
        <v>0</v>
      </c>
      <c r="W488" s="10"/>
      <c r="X488" s="9">
        <v>0</v>
      </c>
      <c r="Y488" s="10"/>
      <c r="Z488" s="9">
        <v>0</v>
      </c>
      <c r="AA488" s="10"/>
      <c r="AB488" s="11">
        <v>0</v>
      </c>
      <c r="AC488" s="10"/>
      <c r="AD488" s="7">
        <f>SUM(F488+H488+J488+L488+N488+P488+R488+T488+V488+X488+Z488+AB488)</f>
        <v>0</v>
      </c>
      <c r="AE488" s="7">
        <f>E488+AD488</f>
        <v>0</v>
      </c>
      <c r="AF488" s="8">
        <f>G488+I488+K488+M488+O488+Q488+S488+U488+W488+Y488+AA488+AC488</f>
        <v>0</v>
      </c>
      <c r="AG488" s="153">
        <f>SUM(AE488-AF488)</f>
        <v>0</v>
      </c>
      <c r="AH488" s="99" t="s">
        <v>890</v>
      </c>
      <c r="AI488" s="99">
        <v>4</v>
      </c>
    </row>
    <row r="489" spans="1:42" customHeight="1" ht="11.5">
      <c r="A489" s="5">
        <v>481</v>
      </c>
      <c r="B489" s="166" t="s">
        <v>891</v>
      </c>
      <c r="C489" s="167" t="s">
        <v>36</v>
      </c>
      <c r="D489" s="88" t="s">
        <v>37</v>
      </c>
      <c r="E489" s="86">
        <v>0</v>
      </c>
      <c r="F489" s="9">
        <v>0</v>
      </c>
      <c r="G489" s="10"/>
      <c r="H489" s="9">
        <v>0</v>
      </c>
      <c r="I489" s="10"/>
      <c r="J489" s="152">
        <v>0</v>
      </c>
      <c r="K489" s="10"/>
      <c r="L489" s="152">
        <v>0</v>
      </c>
      <c r="M489" s="10"/>
      <c r="N489" s="152">
        <v>0</v>
      </c>
      <c r="O489" s="10"/>
      <c r="P489" s="152">
        <v>0</v>
      </c>
      <c r="Q489" s="10"/>
      <c r="R489" s="9">
        <v>0</v>
      </c>
      <c r="S489" s="10"/>
      <c r="T489" s="9">
        <v>0</v>
      </c>
      <c r="U489" s="10"/>
      <c r="V489" s="9">
        <v>0</v>
      </c>
      <c r="W489" s="10"/>
      <c r="X489" s="9">
        <v>0</v>
      </c>
      <c r="Y489" s="10"/>
      <c r="Z489" s="9">
        <v>0</v>
      </c>
      <c r="AA489" s="10"/>
      <c r="AB489" s="11">
        <v>0</v>
      </c>
      <c r="AC489" s="10"/>
      <c r="AD489" s="7">
        <f>SUM(F489+H489+J489+L489+N489+P489+R489+T489+V489+X489+Z489+AB489)</f>
        <v>0</v>
      </c>
      <c r="AE489" s="7">
        <f>E489+AD489</f>
        <v>0</v>
      </c>
      <c r="AF489" s="8">
        <f>G489+I489+K489+M489+O489+Q489+S489+U489+W489+Y489+AA489+AC489</f>
        <v>0</v>
      </c>
      <c r="AG489" s="153">
        <f>SUM(AE489-AF489)</f>
        <v>0</v>
      </c>
      <c r="AH489" s="99" t="s">
        <v>892</v>
      </c>
      <c r="AI489" s="99">
        <v>4</v>
      </c>
    </row>
    <row r="490" spans="1:42" customHeight="1" ht="11.5">
      <c r="A490" s="5">
        <v>482</v>
      </c>
      <c r="B490" s="166" t="s">
        <v>893</v>
      </c>
      <c r="C490" s="167" t="s">
        <v>36</v>
      </c>
      <c r="D490" s="88" t="s">
        <v>37</v>
      </c>
      <c r="E490" s="86">
        <v>0</v>
      </c>
      <c r="F490" s="9">
        <v>10000</v>
      </c>
      <c r="G490" s="10"/>
      <c r="H490" s="9">
        <v>0</v>
      </c>
      <c r="I490" s="10">
        <v>10000</v>
      </c>
      <c r="J490" s="152">
        <v>0</v>
      </c>
      <c r="K490" s="10"/>
      <c r="L490" s="152">
        <v>10000</v>
      </c>
      <c r="M490" s="10"/>
      <c r="N490" s="152">
        <v>0</v>
      </c>
      <c r="O490" s="10">
        <v>10000</v>
      </c>
      <c r="P490" s="152">
        <v>10000</v>
      </c>
      <c r="Q490" s="10"/>
      <c r="R490" s="9">
        <v>0</v>
      </c>
      <c r="S490" s="10"/>
      <c r="T490" s="9">
        <v>0</v>
      </c>
      <c r="U490" s="10"/>
      <c r="V490" s="9">
        <v>0</v>
      </c>
      <c r="W490" s="10"/>
      <c r="X490" s="9">
        <v>0</v>
      </c>
      <c r="Y490" s="10"/>
      <c r="Z490" s="9">
        <v>0</v>
      </c>
      <c r="AA490" s="10"/>
      <c r="AB490" s="11">
        <v>0</v>
      </c>
      <c r="AC490" s="10"/>
      <c r="AD490" s="7">
        <f>SUM(F490+H490+J490+L490+N490+P490+R490+T490+V490+X490+Z490+AB490)</f>
        <v>30000</v>
      </c>
      <c r="AE490" s="7">
        <f>E490+AD490</f>
        <v>30000</v>
      </c>
      <c r="AF490" s="8">
        <f>G490+I490+K490+M490+O490+Q490+S490+U490+W490+Y490+AA490+AC490</f>
        <v>20000</v>
      </c>
      <c r="AG490" s="153">
        <f>SUM(AE490-AF490)</f>
        <v>10000</v>
      </c>
      <c r="AH490" s="99" t="s">
        <v>894</v>
      </c>
      <c r="AI490" s="99">
        <v>4</v>
      </c>
    </row>
    <row r="491" spans="1:42" customHeight="1" ht="11.5">
      <c r="A491" s="5">
        <v>483</v>
      </c>
      <c r="B491" s="166" t="s">
        <v>895</v>
      </c>
      <c r="C491" s="167" t="s">
        <v>36</v>
      </c>
      <c r="D491" s="88" t="s">
        <v>37</v>
      </c>
      <c r="E491" s="86">
        <v>10000</v>
      </c>
      <c r="F491" s="9">
        <v>20000</v>
      </c>
      <c r="G491" s="10">
        <v>10000</v>
      </c>
      <c r="H491" s="9">
        <v>20000</v>
      </c>
      <c r="I491" s="10">
        <v>20000</v>
      </c>
      <c r="J491" s="152">
        <v>30000</v>
      </c>
      <c r="K491" s="10">
        <v>20000</v>
      </c>
      <c r="L491" s="152">
        <v>10000</v>
      </c>
      <c r="M491" s="10">
        <v>30000</v>
      </c>
      <c r="N491" s="152">
        <v>10000</v>
      </c>
      <c r="O491" s="10">
        <v>10000</v>
      </c>
      <c r="P491" s="152">
        <v>15000</v>
      </c>
      <c r="Q491" s="10">
        <v>10000</v>
      </c>
      <c r="R491" s="9">
        <v>25000</v>
      </c>
      <c r="S491" s="10"/>
      <c r="T491" s="9">
        <v>0</v>
      </c>
      <c r="U491" s="10"/>
      <c r="V491" s="9">
        <v>0</v>
      </c>
      <c r="W491" s="10"/>
      <c r="X491" s="9">
        <v>0</v>
      </c>
      <c r="Y491" s="10"/>
      <c r="Z491" s="9">
        <v>0</v>
      </c>
      <c r="AA491" s="10"/>
      <c r="AB491" s="11">
        <v>0</v>
      </c>
      <c r="AC491" s="10"/>
      <c r="AD491" s="7">
        <f>SUM(F491+H491+J491+L491+N491+P491+R491+T491+V491+X491+Z491+AB491)</f>
        <v>130000</v>
      </c>
      <c r="AE491" s="7">
        <f>E491+AD491</f>
        <v>140000</v>
      </c>
      <c r="AF491" s="8">
        <f>G491+I491+K491+M491+O491+Q491+S491+U491+W491+Y491+AA491+AC491</f>
        <v>100000</v>
      </c>
      <c r="AG491" s="153">
        <f>SUM(AE491-AF491)</f>
        <v>40000</v>
      </c>
      <c r="AH491" s="99" t="s">
        <v>896</v>
      </c>
      <c r="AI491" s="99">
        <v>4</v>
      </c>
    </row>
    <row r="492" spans="1:42" customHeight="1" ht="11.5">
      <c r="A492" s="5">
        <v>484</v>
      </c>
      <c r="B492" s="166" t="s">
        <v>897</v>
      </c>
      <c r="C492" s="167" t="s">
        <v>36</v>
      </c>
      <c r="D492" s="88" t="s">
        <v>37</v>
      </c>
      <c r="E492" s="86">
        <v>10000</v>
      </c>
      <c r="F492" s="9">
        <v>0</v>
      </c>
      <c r="G492" s="10">
        <v>10000</v>
      </c>
      <c r="H492" s="9">
        <v>10000</v>
      </c>
      <c r="I492" s="10"/>
      <c r="J492" s="152">
        <v>5000</v>
      </c>
      <c r="K492" s="10">
        <v>10000</v>
      </c>
      <c r="L492" s="152">
        <v>0</v>
      </c>
      <c r="M492" s="10">
        <v>5000</v>
      </c>
      <c r="N492" s="152">
        <v>5000</v>
      </c>
      <c r="O492" s="10"/>
      <c r="P492" s="152">
        <v>5000</v>
      </c>
      <c r="Q492" s="10">
        <v>4000</v>
      </c>
      <c r="R492" s="9">
        <v>5000</v>
      </c>
      <c r="S492" s="10"/>
      <c r="T492" s="9">
        <v>0</v>
      </c>
      <c r="U492" s="10"/>
      <c r="V492" s="9">
        <v>0</v>
      </c>
      <c r="W492" s="10"/>
      <c r="X492" s="9">
        <v>0</v>
      </c>
      <c r="Y492" s="10"/>
      <c r="Z492" s="9">
        <v>0</v>
      </c>
      <c r="AA492" s="10"/>
      <c r="AB492" s="11">
        <v>0</v>
      </c>
      <c r="AC492" s="10"/>
      <c r="AD492" s="7">
        <f>SUM(F492+H492+J492+L492+N492+P492+R492+T492+V492+X492+Z492+AB492)</f>
        <v>30000</v>
      </c>
      <c r="AE492" s="7">
        <f>E492+AD492</f>
        <v>40000</v>
      </c>
      <c r="AF492" s="8">
        <f>G492+I492+K492+M492+O492+Q492+S492+U492+W492+Y492+AA492+AC492</f>
        <v>29000</v>
      </c>
      <c r="AG492" s="153">
        <f>SUM(AE492-AF492)</f>
        <v>11000</v>
      </c>
      <c r="AH492" s="99" t="s">
        <v>898</v>
      </c>
      <c r="AI492" s="99">
        <v>4</v>
      </c>
    </row>
    <row r="493" spans="1:42" customHeight="1" ht="11.5">
      <c r="A493" s="5">
        <v>485</v>
      </c>
      <c r="B493" s="166" t="s">
        <v>899</v>
      </c>
      <c r="C493" s="167" t="s">
        <v>105</v>
      </c>
      <c r="D493" s="88" t="s">
        <v>106</v>
      </c>
      <c r="E493" s="86">
        <v>0</v>
      </c>
      <c r="F493" s="9">
        <v>0</v>
      </c>
      <c r="G493" s="10"/>
      <c r="H493" s="9">
        <v>10000</v>
      </c>
      <c r="I493" s="10"/>
      <c r="J493" s="152">
        <v>0</v>
      </c>
      <c r="K493" s="10">
        <v>10000</v>
      </c>
      <c r="L493" s="152">
        <v>10000</v>
      </c>
      <c r="M493" s="10"/>
      <c r="N493" s="152">
        <v>0</v>
      </c>
      <c r="O493" s="10">
        <v>10000</v>
      </c>
      <c r="P493" s="152">
        <v>0</v>
      </c>
      <c r="Q493" s="10"/>
      <c r="R493" s="9">
        <v>10000</v>
      </c>
      <c r="S493" s="10"/>
      <c r="T493" s="9">
        <v>0</v>
      </c>
      <c r="U493" s="10"/>
      <c r="V493" s="9">
        <v>0</v>
      </c>
      <c r="W493" s="10"/>
      <c r="X493" s="9">
        <v>0</v>
      </c>
      <c r="Y493" s="10"/>
      <c r="Z493" s="9">
        <v>0</v>
      </c>
      <c r="AA493" s="10"/>
      <c r="AB493" s="11">
        <v>0</v>
      </c>
      <c r="AC493" s="10"/>
      <c r="AD493" s="7">
        <f>SUM(F493+H493+J493+L493+N493+P493+R493+T493+V493+X493+Z493+AB493)</f>
        <v>30000</v>
      </c>
      <c r="AE493" s="7">
        <f>E493+AD493</f>
        <v>30000</v>
      </c>
      <c r="AF493" s="8">
        <f>G493+I493+K493+M493+O493+Q493+S493+U493+W493+Y493+AA493+AC493</f>
        <v>20000</v>
      </c>
      <c r="AG493" s="153">
        <f>SUM(AE493-AF493)</f>
        <v>10000</v>
      </c>
      <c r="AH493" s="99" t="s">
        <v>900</v>
      </c>
      <c r="AI493" s="99">
        <v>4</v>
      </c>
    </row>
    <row r="494" spans="1:42" customHeight="1" ht="11.5">
      <c r="A494" s="5">
        <v>486</v>
      </c>
      <c r="B494" s="166" t="s">
        <v>901</v>
      </c>
      <c r="C494" s="167" t="s">
        <v>91</v>
      </c>
      <c r="D494" s="88" t="s">
        <v>92</v>
      </c>
      <c r="E494" s="86">
        <v>0</v>
      </c>
      <c r="F494" s="9">
        <v>0</v>
      </c>
      <c r="G494" s="10"/>
      <c r="H494" s="9">
        <v>0</v>
      </c>
      <c r="I494" s="10"/>
      <c r="J494" s="152">
        <v>0</v>
      </c>
      <c r="K494" s="10"/>
      <c r="L494" s="152">
        <v>0</v>
      </c>
      <c r="M494" s="10"/>
      <c r="N494" s="152">
        <v>0</v>
      </c>
      <c r="O494" s="10"/>
      <c r="P494" s="152">
        <v>0</v>
      </c>
      <c r="Q494" s="10"/>
      <c r="R494" s="9">
        <v>0</v>
      </c>
      <c r="S494" s="10"/>
      <c r="T494" s="9">
        <v>0</v>
      </c>
      <c r="U494" s="10"/>
      <c r="V494" s="9">
        <v>0</v>
      </c>
      <c r="W494" s="10"/>
      <c r="X494" s="9">
        <v>0</v>
      </c>
      <c r="Y494" s="10"/>
      <c r="Z494" s="9">
        <v>0</v>
      </c>
      <c r="AA494" s="10"/>
      <c r="AB494" s="11">
        <v>0</v>
      </c>
      <c r="AC494" s="10"/>
      <c r="AD494" s="7">
        <f>SUM(F494+H494+J494+L494+N494+P494+R494+T494+V494+X494+Z494+AB494)</f>
        <v>0</v>
      </c>
      <c r="AE494" s="7">
        <f>E494+AD494</f>
        <v>0</v>
      </c>
      <c r="AF494" s="8">
        <f>G494+I494+K494+M494+O494+Q494+S494+U494+W494+Y494+AA494+AC494</f>
        <v>0</v>
      </c>
      <c r="AG494" s="153">
        <f>SUM(AE494-AF494)</f>
        <v>0</v>
      </c>
      <c r="AH494" s="99" t="s">
        <v>902</v>
      </c>
      <c r="AI494" s="99">
        <v>3</v>
      </c>
    </row>
    <row r="495" spans="1:42" customHeight="1" ht="11.5">
      <c r="A495" s="5">
        <v>487</v>
      </c>
      <c r="B495" s="170" t="s">
        <v>903</v>
      </c>
      <c r="C495" s="167" t="s">
        <v>36</v>
      </c>
      <c r="D495" s="88" t="s">
        <v>37</v>
      </c>
      <c r="E495" s="86">
        <v>30000</v>
      </c>
      <c r="F495" s="9">
        <v>0</v>
      </c>
      <c r="G495" s="10">
        <v>30000</v>
      </c>
      <c r="H495" s="9">
        <v>0</v>
      </c>
      <c r="I495" s="10"/>
      <c r="J495" s="152">
        <v>30000</v>
      </c>
      <c r="K495" s="10"/>
      <c r="L495" s="152">
        <v>0</v>
      </c>
      <c r="M495" s="10">
        <v>30000</v>
      </c>
      <c r="N495" s="152">
        <v>0</v>
      </c>
      <c r="O495" s="10"/>
      <c r="P495" s="152">
        <v>0</v>
      </c>
      <c r="Q495" s="10"/>
      <c r="R495" s="9">
        <v>0</v>
      </c>
      <c r="S495" s="10"/>
      <c r="T495" s="9">
        <v>0</v>
      </c>
      <c r="U495" s="10"/>
      <c r="V495" s="9">
        <v>0</v>
      </c>
      <c r="W495" s="10"/>
      <c r="X495" s="9">
        <v>0</v>
      </c>
      <c r="Y495" s="10"/>
      <c r="Z495" s="9">
        <v>0</v>
      </c>
      <c r="AA495" s="10"/>
      <c r="AB495" s="11">
        <v>0</v>
      </c>
      <c r="AC495" s="10"/>
      <c r="AD495" s="7">
        <f>SUM(F495+H495+J495+L495+N495+P495+R495+T495+V495+X495+Z495+AB495)</f>
        <v>30000</v>
      </c>
      <c r="AE495" s="7">
        <f>E495+AD495</f>
        <v>60000</v>
      </c>
      <c r="AF495" s="8">
        <f>G495+I495+K495+M495+O495+Q495+S495+U495+W495+Y495+AA495+AC495</f>
        <v>60000</v>
      </c>
      <c r="AG495" s="153">
        <f>SUM(AE495-AF495)</f>
        <v>0</v>
      </c>
      <c r="AH495" s="99" t="s">
        <v>904</v>
      </c>
      <c r="AI495" s="99">
        <v>4</v>
      </c>
    </row>
    <row r="496" spans="1:42" customHeight="1" ht="11.5">
      <c r="A496" s="5">
        <v>488</v>
      </c>
      <c r="B496" s="166" t="s">
        <v>905</v>
      </c>
      <c r="C496" s="167" t="s">
        <v>36</v>
      </c>
      <c r="D496" s="88" t="s">
        <v>37</v>
      </c>
      <c r="E496" s="86">
        <v>-5000</v>
      </c>
      <c r="F496" s="9">
        <v>0</v>
      </c>
      <c r="G496" s="10"/>
      <c r="H496" s="9">
        <v>0</v>
      </c>
      <c r="I496" s="10"/>
      <c r="J496" s="152">
        <v>0</v>
      </c>
      <c r="K496" s="10"/>
      <c r="L496" s="152">
        <v>0</v>
      </c>
      <c r="M496" s="10"/>
      <c r="N496" s="152">
        <v>0</v>
      </c>
      <c r="O496" s="10"/>
      <c r="P496" s="152">
        <v>0</v>
      </c>
      <c r="Q496" s="10"/>
      <c r="R496" s="9">
        <v>0</v>
      </c>
      <c r="S496" s="10"/>
      <c r="T496" s="9">
        <v>0</v>
      </c>
      <c r="U496" s="10"/>
      <c r="V496" s="9">
        <v>0</v>
      </c>
      <c r="W496" s="10"/>
      <c r="X496" s="9">
        <v>0</v>
      </c>
      <c r="Y496" s="10"/>
      <c r="Z496" s="9">
        <v>0</v>
      </c>
      <c r="AA496" s="10"/>
      <c r="AB496" s="11">
        <v>0</v>
      </c>
      <c r="AC496" s="10"/>
      <c r="AD496" s="7">
        <f>SUM(F496+H496+J496+L496+N496+P496+R496+T496+V496+X496+Z496+AB496)</f>
        <v>0</v>
      </c>
      <c r="AE496" s="7">
        <f>E496+AD496</f>
        <v>-5000</v>
      </c>
      <c r="AF496" s="8">
        <f>G496+I496+K496+M496+O496+Q496+S496+U496+W496+Y496+AA496+AC496</f>
        <v>0</v>
      </c>
      <c r="AG496" s="153">
        <f>SUM(AE496-AF496)</f>
        <v>-5000</v>
      </c>
      <c r="AH496" s="99" t="s">
        <v>906</v>
      </c>
      <c r="AI496" s="99">
        <v>4</v>
      </c>
    </row>
    <row r="497" spans="1:42" customHeight="1" ht="11.5">
      <c r="A497" s="5">
        <v>489</v>
      </c>
      <c r="B497" s="166" t="s">
        <v>907</v>
      </c>
      <c r="C497" s="167" t="s">
        <v>36</v>
      </c>
      <c r="D497" s="88" t="s">
        <v>37</v>
      </c>
      <c r="E497" s="86">
        <v>60000</v>
      </c>
      <c r="F497" s="9">
        <v>20000</v>
      </c>
      <c r="G497" s="10">
        <v>60000</v>
      </c>
      <c r="H497" s="9">
        <v>30000</v>
      </c>
      <c r="I497" s="10">
        <v>20000</v>
      </c>
      <c r="J497" s="152">
        <v>20000</v>
      </c>
      <c r="K497" s="10">
        <v>30000</v>
      </c>
      <c r="L497" s="152">
        <v>20000</v>
      </c>
      <c r="M497" s="10">
        <v>20000</v>
      </c>
      <c r="N497" s="152">
        <v>20000</v>
      </c>
      <c r="O497" s="10">
        <v>20000</v>
      </c>
      <c r="P497" s="152">
        <v>20000</v>
      </c>
      <c r="Q497" s="10">
        <v>20000</v>
      </c>
      <c r="R497" s="9">
        <v>40000</v>
      </c>
      <c r="S497" s="10"/>
      <c r="T497" s="9">
        <v>0</v>
      </c>
      <c r="U497" s="10"/>
      <c r="V497" s="9">
        <v>0</v>
      </c>
      <c r="W497" s="10"/>
      <c r="X497" s="9">
        <v>0</v>
      </c>
      <c r="Y497" s="10"/>
      <c r="Z497" s="9">
        <v>0</v>
      </c>
      <c r="AA497" s="10"/>
      <c r="AB497" s="11">
        <v>0</v>
      </c>
      <c r="AC497" s="10"/>
      <c r="AD497" s="7">
        <f>SUM(F497+H497+J497+L497+N497+P497+R497+T497+V497+X497+Z497+AB497)</f>
        <v>170000</v>
      </c>
      <c r="AE497" s="7">
        <f>E497+AD497</f>
        <v>230000</v>
      </c>
      <c r="AF497" s="8">
        <f>G497+I497+K497+M497+O497+Q497+S497+U497+W497+Y497+AA497+AC497</f>
        <v>170000</v>
      </c>
      <c r="AG497" s="153">
        <f>SUM(AE497-AF497)</f>
        <v>60000</v>
      </c>
      <c r="AH497" s="99" t="s">
        <v>908</v>
      </c>
      <c r="AI497" s="99">
        <v>4</v>
      </c>
    </row>
    <row r="498" spans="1:42" customHeight="1" ht="11.5">
      <c r="A498" s="5">
        <v>490</v>
      </c>
      <c r="B498" s="166" t="s">
        <v>909</v>
      </c>
      <c r="C498" s="167" t="s">
        <v>36</v>
      </c>
      <c r="D498" s="88" t="s">
        <v>37</v>
      </c>
      <c r="E498" s="86">
        <v>60000</v>
      </c>
      <c r="F498" s="9">
        <v>20000</v>
      </c>
      <c r="G498" s="10">
        <v>60000</v>
      </c>
      <c r="H498" s="9">
        <v>20000</v>
      </c>
      <c r="I498" s="10">
        <v>20000</v>
      </c>
      <c r="J498" s="152">
        <v>20000</v>
      </c>
      <c r="K498" s="10">
        <v>20000</v>
      </c>
      <c r="L498" s="152">
        <v>20000</v>
      </c>
      <c r="M498" s="10">
        <v>20000</v>
      </c>
      <c r="N498" s="152">
        <v>20000</v>
      </c>
      <c r="O498" s="10">
        <v>20000</v>
      </c>
      <c r="P498" s="152">
        <v>20000</v>
      </c>
      <c r="Q498" s="10">
        <v>20000</v>
      </c>
      <c r="R498" s="9">
        <v>20000</v>
      </c>
      <c r="S498" s="10"/>
      <c r="T498" s="9">
        <v>0</v>
      </c>
      <c r="U498" s="10"/>
      <c r="V498" s="9">
        <v>0</v>
      </c>
      <c r="W498" s="10"/>
      <c r="X498" s="9">
        <v>0</v>
      </c>
      <c r="Y498" s="10"/>
      <c r="Z498" s="9">
        <v>0</v>
      </c>
      <c r="AA498" s="10"/>
      <c r="AB498" s="11">
        <v>0</v>
      </c>
      <c r="AC498" s="10"/>
      <c r="AD498" s="7">
        <f>SUM(F498+H498+J498+L498+N498+P498+R498+T498+V498+X498+Z498+AB498)</f>
        <v>140000</v>
      </c>
      <c r="AE498" s="7">
        <f>E498+AD498</f>
        <v>200000</v>
      </c>
      <c r="AF498" s="8">
        <f>G498+I498+K498+M498+O498+Q498+S498+U498+W498+Y498+AA498+AC498</f>
        <v>160000</v>
      </c>
      <c r="AG498" s="153">
        <f>SUM(AE498-AF498)</f>
        <v>40000</v>
      </c>
      <c r="AH498" s="99" t="s">
        <v>910</v>
      </c>
      <c r="AI498" s="99">
        <v>4</v>
      </c>
    </row>
    <row r="499" spans="1:42" customHeight="1" ht="11.5">
      <c r="A499" s="5">
        <v>491</v>
      </c>
      <c r="B499" s="166" t="s">
        <v>911</v>
      </c>
      <c r="C499" s="167" t="s">
        <v>36</v>
      </c>
      <c r="D499" s="88" t="s">
        <v>37</v>
      </c>
      <c r="E499" s="86">
        <v>20000</v>
      </c>
      <c r="F499" s="9">
        <v>20000</v>
      </c>
      <c r="G499" s="10">
        <v>20000</v>
      </c>
      <c r="H499" s="9">
        <v>30000</v>
      </c>
      <c r="I499" s="10">
        <v>20000</v>
      </c>
      <c r="J499" s="152">
        <v>20000</v>
      </c>
      <c r="K499" s="10">
        <v>30000</v>
      </c>
      <c r="L499" s="152">
        <v>20000</v>
      </c>
      <c r="M499" s="10">
        <v>20000</v>
      </c>
      <c r="N499" s="152">
        <v>20000</v>
      </c>
      <c r="O499" s="10">
        <v>20000</v>
      </c>
      <c r="P499" s="152">
        <v>10000</v>
      </c>
      <c r="Q499" s="10">
        <v>20000</v>
      </c>
      <c r="R499" s="9">
        <v>20000</v>
      </c>
      <c r="S499" s="10"/>
      <c r="T499" s="9">
        <v>0</v>
      </c>
      <c r="U499" s="10"/>
      <c r="V499" s="9">
        <v>0</v>
      </c>
      <c r="W499" s="10"/>
      <c r="X499" s="9">
        <v>0</v>
      </c>
      <c r="Y499" s="10"/>
      <c r="Z499" s="9">
        <v>0</v>
      </c>
      <c r="AA499" s="10"/>
      <c r="AB499" s="11">
        <v>0</v>
      </c>
      <c r="AC499" s="10"/>
      <c r="AD499" s="7">
        <f>SUM(F499+H499+J499+L499+N499+P499+R499+T499+V499+X499+Z499+AB499)</f>
        <v>140000</v>
      </c>
      <c r="AE499" s="7">
        <f>E499+AD499</f>
        <v>160000</v>
      </c>
      <c r="AF499" s="8">
        <f>G499+I499+K499+M499+O499+Q499+S499+U499+W499+Y499+AA499+AC499</f>
        <v>130000</v>
      </c>
      <c r="AG499" s="153">
        <f>SUM(AE499-AF499)</f>
        <v>30000</v>
      </c>
      <c r="AH499" s="99" t="s">
        <v>912</v>
      </c>
      <c r="AI499" s="99">
        <v>4</v>
      </c>
    </row>
    <row r="500" spans="1:42" customHeight="1" ht="11.5">
      <c r="A500" s="5">
        <v>492</v>
      </c>
      <c r="B500" s="166" t="s">
        <v>913</v>
      </c>
      <c r="C500" s="167" t="s">
        <v>36</v>
      </c>
      <c r="D500" s="88" t="s">
        <v>37</v>
      </c>
      <c r="E500" s="86">
        <v>36000</v>
      </c>
      <c r="F500" s="9">
        <v>42000</v>
      </c>
      <c r="G500" s="10">
        <v>36000</v>
      </c>
      <c r="H500" s="9">
        <v>45000</v>
      </c>
      <c r="I500" s="10">
        <v>42000</v>
      </c>
      <c r="J500" s="152">
        <v>39000</v>
      </c>
      <c r="K500" s="10">
        <v>45000</v>
      </c>
      <c r="L500" s="152">
        <v>45000</v>
      </c>
      <c r="M500" s="10">
        <v>39000</v>
      </c>
      <c r="N500" s="152">
        <v>42000</v>
      </c>
      <c r="O500" s="10">
        <v>45000</v>
      </c>
      <c r="P500" s="152">
        <v>48000</v>
      </c>
      <c r="Q500" s="10">
        <v>42000</v>
      </c>
      <c r="R500" s="9">
        <v>42000</v>
      </c>
      <c r="S500" s="10"/>
      <c r="T500" s="9">
        <v>0</v>
      </c>
      <c r="U500" s="10"/>
      <c r="V500" s="9">
        <v>0</v>
      </c>
      <c r="W500" s="10"/>
      <c r="X500" s="9">
        <v>0</v>
      </c>
      <c r="Y500" s="10"/>
      <c r="Z500" s="9">
        <v>0</v>
      </c>
      <c r="AA500" s="10"/>
      <c r="AB500" s="11">
        <v>0</v>
      </c>
      <c r="AC500" s="10"/>
      <c r="AD500" s="7">
        <f>SUM(F500+H500+J500+L500+N500+P500+R500+T500+V500+X500+Z500+AB500)</f>
        <v>303000</v>
      </c>
      <c r="AE500" s="7">
        <f>E500+AD500</f>
        <v>339000</v>
      </c>
      <c r="AF500" s="8">
        <f>G500+I500+K500+M500+O500+Q500+S500+U500+W500+Y500+AA500+AC500</f>
        <v>249000</v>
      </c>
      <c r="AG500" s="153">
        <f>SUM(AE500-AF500)</f>
        <v>90000</v>
      </c>
      <c r="AH500" s="99" t="s">
        <v>914</v>
      </c>
      <c r="AI500" s="99">
        <v>4</v>
      </c>
    </row>
    <row r="501" spans="1:42" customHeight="1" ht="11.5">
      <c r="A501" s="5">
        <v>493</v>
      </c>
      <c r="B501" s="166" t="s">
        <v>915</v>
      </c>
      <c r="C501" s="167" t="s">
        <v>36</v>
      </c>
      <c r="D501" s="88" t="s">
        <v>37</v>
      </c>
      <c r="E501" s="86">
        <v>40000</v>
      </c>
      <c r="F501" s="9">
        <v>40000</v>
      </c>
      <c r="G501" s="10">
        <v>40000</v>
      </c>
      <c r="H501" s="9">
        <v>50000</v>
      </c>
      <c r="I501" s="10">
        <v>40000</v>
      </c>
      <c r="J501" s="152">
        <v>40000</v>
      </c>
      <c r="K501" s="10">
        <v>50000</v>
      </c>
      <c r="L501" s="152">
        <v>40000</v>
      </c>
      <c r="M501" s="10">
        <v>40000</v>
      </c>
      <c r="N501" s="152">
        <v>40000</v>
      </c>
      <c r="O501" s="10">
        <v>40000</v>
      </c>
      <c r="P501" s="152">
        <v>50000</v>
      </c>
      <c r="Q501" s="10">
        <v>40000</v>
      </c>
      <c r="R501" s="9">
        <v>40000</v>
      </c>
      <c r="S501" s="10"/>
      <c r="T501" s="9">
        <v>0</v>
      </c>
      <c r="U501" s="10"/>
      <c r="V501" s="9">
        <v>0</v>
      </c>
      <c r="W501" s="10"/>
      <c r="X501" s="9">
        <v>0</v>
      </c>
      <c r="Y501" s="10"/>
      <c r="Z501" s="9">
        <v>0</v>
      </c>
      <c r="AA501" s="10"/>
      <c r="AB501" s="11">
        <v>0</v>
      </c>
      <c r="AC501" s="10"/>
      <c r="AD501" s="7">
        <f>SUM(F501+H501+J501+L501+N501+P501+R501+T501+V501+X501+Z501+AB501)</f>
        <v>300000</v>
      </c>
      <c r="AE501" s="7">
        <f>E501+AD501</f>
        <v>340000</v>
      </c>
      <c r="AF501" s="8">
        <f>G501+I501+K501+M501+O501+Q501+S501+U501+W501+Y501+AA501+AC501</f>
        <v>250000</v>
      </c>
      <c r="AG501" s="153">
        <f>SUM(AE501-AF501)</f>
        <v>90000</v>
      </c>
      <c r="AH501" s="99" t="s">
        <v>916</v>
      </c>
      <c r="AI501" s="99">
        <v>4</v>
      </c>
    </row>
    <row r="502" spans="1:42" customHeight="1" ht="11.5">
      <c r="A502" s="5">
        <v>494</v>
      </c>
      <c r="B502" s="166" t="s">
        <v>917</v>
      </c>
      <c r="C502" s="167" t="s">
        <v>36</v>
      </c>
      <c r="D502" s="88" t="s">
        <v>37</v>
      </c>
      <c r="E502" s="86">
        <v>20000</v>
      </c>
      <c r="F502" s="9">
        <v>10000</v>
      </c>
      <c r="G502" s="10">
        <v>20000</v>
      </c>
      <c r="H502" s="9">
        <v>10000</v>
      </c>
      <c r="I502" s="10">
        <v>10000</v>
      </c>
      <c r="J502" s="152">
        <v>0</v>
      </c>
      <c r="K502" s="10">
        <v>10000</v>
      </c>
      <c r="L502" s="152">
        <v>10000</v>
      </c>
      <c r="M502" s="10"/>
      <c r="N502" s="152">
        <v>10000</v>
      </c>
      <c r="O502" s="10">
        <v>10000</v>
      </c>
      <c r="P502" s="152">
        <v>10000</v>
      </c>
      <c r="Q502" s="10">
        <v>10000</v>
      </c>
      <c r="R502" s="9">
        <v>0</v>
      </c>
      <c r="S502" s="10"/>
      <c r="T502" s="9">
        <v>0</v>
      </c>
      <c r="U502" s="10"/>
      <c r="V502" s="9">
        <v>0</v>
      </c>
      <c r="W502" s="10"/>
      <c r="X502" s="9">
        <v>0</v>
      </c>
      <c r="Y502" s="10"/>
      <c r="Z502" s="9">
        <v>0</v>
      </c>
      <c r="AA502" s="10"/>
      <c r="AB502" s="11">
        <v>0</v>
      </c>
      <c r="AC502" s="10"/>
      <c r="AD502" s="7">
        <f>SUM(F502+H502+J502+L502+N502+P502+R502+T502+V502+X502+Z502+AB502)</f>
        <v>50000</v>
      </c>
      <c r="AE502" s="7">
        <f>E502+AD502</f>
        <v>70000</v>
      </c>
      <c r="AF502" s="8">
        <f>G502+I502+K502+M502+O502+Q502+S502+U502+W502+Y502+AA502+AC502</f>
        <v>60000</v>
      </c>
      <c r="AG502" s="153">
        <f>SUM(AE502-AF502)</f>
        <v>10000</v>
      </c>
      <c r="AH502" s="99" t="s">
        <v>918</v>
      </c>
      <c r="AI502" s="99">
        <v>4</v>
      </c>
    </row>
    <row r="503" spans="1:42" customHeight="1" ht="11.5">
      <c r="A503" s="5">
        <v>495</v>
      </c>
      <c r="B503" s="166" t="s">
        <v>919</v>
      </c>
      <c r="C503" s="167" t="s">
        <v>36</v>
      </c>
      <c r="D503" s="88" t="s">
        <v>37</v>
      </c>
      <c r="E503" s="86">
        <v>40000</v>
      </c>
      <c r="F503" s="9">
        <v>40000</v>
      </c>
      <c r="G503" s="10">
        <v>40000</v>
      </c>
      <c r="H503" s="9">
        <v>40000</v>
      </c>
      <c r="I503" s="10">
        <v>40000</v>
      </c>
      <c r="J503" s="152">
        <v>30000</v>
      </c>
      <c r="K503" s="10">
        <v>40000</v>
      </c>
      <c r="L503" s="152">
        <v>50000</v>
      </c>
      <c r="M503" s="10">
        <v>30000</v>
      </c>
      <c r="N503" s="152">
        <v>40000</v>
      </c>
      <c r="O503" s="10">
        <v>50000</v>
      </c>
      <c r="P503" s="152">
        <v>40000</v>
      </c>
      <c r="Q503" s="10">
        <v>40000</v>
      </c>
      <c r="R503" s="9">
        <v>50000</v>
      </c>
      <c r="S503" s="10"/>
      <c r="T503" s="9">
        <v>0</v>
      </c>
      <c r="U503" s="10"/>
      <c r="V503" s="9">
        <v>0</v>
      </c>
      <c r="W503" s="10"/>
      <c r="X503" s="9">
        <v>0</v>
      </c>
      <c r="Y503" s="10"/>
      <c r="Z503" s="9">
        <v>0</v>
      </c>
      <c r="AA503" s="10"/>
      <c r="AB503" s="11">
        <v>0</v>
      </c>
      <c r="AC503" s="10"/>
      <c r="AD503" s="7">
        <f>SUM(F503+H503+J503+L503+N503+P503+R503+T503+V503+X503+Z503+AB503)</f>
        <v>290000</v>
      </c>
      <c r="AE503" s="7">
        <f>E503+AD503</f>
        <v>330000</v>
      </c>
      <c r="AF503" s="8">
        <f>G503+I503+K503+M503+O503+Q503+S503+U503+W503+Y503+AA503+AC503</f>
        <v>240000</v>
      </c>
      <c r="AG503" s="153">
        <f>SUM(AE503-AF503)</f>
        <v>90000</v>
      </c>
      <c r="AH503" s="99" t="s">
        <v>920</v>
      </c>
      <c r="AI503" s="99">
        <v>4</v>
      </c>
    </row>
    <row r="504" spans="1:42" customHeight="1" ht="11.5">
      <c r="A504" s="5">
        <v>496</v>
      </c>
      <c r="B504" s="168" t="s">
        <v>921</v>
      </c>
      <c r="C504" s="89" t="s">
        <v>36</v>
      </c>
      <c r="D504" s="88" t="s">
        <v>37</v>
      </c>
      <c r="E504" s="86">
        <v>40000</v>
      </c>
      <c r="F504" s="9">
        <v>30000</v>
      </c>
      <c r="G504" s="10">
        <v>40000</v>
      </c>
      <c r="H504" s="9">
        <v>75000</v>
      </c>
      <c r="I504" s="10">
        <v>30000</v>
      </c>
      <c r="J504" s="152">
        <v>25000</v>
      </c>
      <c r="K504" s="10">
        <v>75000</v>
      </c>
      <c r="L504" s="152">
        <v>35000</v>
      </c>
      <c r="M504" s="10">
        <v>25000</v>
      </c>
      <c r="N504" s="152">
        <v>50000</v>
      </c>
      <c r="O504" s="10">
        <v>35000</v>
      </c>
      <c r="P504" s="152">
        <v>40000</v>
      </c>
      <c r="Q504" s="10">
        <v>50000</v>
      </c>
      <c r="R504" s="9">
        <v>55000</v>
      </c>
      <c r="S504" s="10"/>
      <c r="T504" s="9">
        <v>0</v>
      </c>
      <c r="U504" s="10"/>
      <c r="V504" s="9">
        <v>0</v>
      </c>
      <c r="W504" s="10"/>
      <c r="X504" s="9">
        <v>0</v>
      </c>
      <c r="Y504" s="10"/>
      <c r="Z504" s="9">
        <v>0</v>
      </c>
      <c r="AA504" s="10"/>
      <c r="AB504" s="11">
        <v>0</v>
      </c>
      <c r="AC504" s="10"/>
      <c r="AD504" s="7">
        <f>SUM(F504+H504+J504+L504+N504+P504+R504+T504+V504+X504+Z504+AB504)</f>
        <v>310000</v>
      </c>
      <c r="AE504" s="7">
        <f>E504+AD504</f>
        <v>350000</v>
      </c>
      <c r="AF504" s="8">
        <f>G504+I504+K504+M504+O504+Q504+S504+U504+W504+Y504+AA504+AC504</f>
        <v>255000</v>
      </c>
      <c r="AG504" s="153">
        <f>SUM(AE504-AF504)</f>
        <v>95000</v>
      </c>
      <c r="AH504" s="99" t="s">
        <v>922</v>
      </c>
      <c r="AI504" s="99">
        <v>4</v>
      </c>
    </row>
    <row r="505" spans="1:42" customHeight="1" ht="11.5">
      <c r="A505" s="5">
        <v>497</v>
      </c>
      <c r="B505" s="166" t="s">
        <v>923</v>
      </c>
      <c r="C505" s="167" t="s">
        <v>36</v>
      </c>
      <c r="D505" s="88" t="s">
        <v>37</v>
      </c>
      <c r="E505" s="86">
        <v>90000</v>
      </c>
      <c r="F505" s="9">
        <v>80000</v>
      </c>
      <c r="G505" s="10">
        <v>90000</v>
      </c>
      <c r="H505" s="9">
        <v>100000</v>
      </c>
      <c r="I505" s="10">
        <v>80000</v>
      </c>
      <c r="J505" s="152">
        <v>80000</v>
      </c>
      <c r="K505" s="10">
        <v>100000</v>
      </c>
      <c r="L505" s="152">
        <v>60000</v>
      </c>
      <c r="M505" s="10">
        <v>80000</v>
      </c>
      <c r="N505" s="152">
        <v>100000</v>
      </c>
      <c r="O505" s="10">
        <v>60000</v>
      </c>
      <c r="P505" s="152">
        <v>70000</v>
      </c>
      <c r="Q505" s="10">
        <v>100000</v>
      </c>
      <c r="R505" s="9">
        <v>110000</v>
      </c>
      <c r="S505" s="10"/>
      <c r="T505" s="9">
        <v>0</v>
      </c>
      <c r="U505" s="10"/>
      <c r="V505" s="9">
        <v>0</v>
      </c>
      <c r="W505" s="10"/>
      <c r="X505" s="9">
        <v>0</v>
      </c>
      <c r="Y505" s="10"/>
      <c r="Z505" s="9">
        <v>0</v>
      </c>
      <c r="AA505" s="10"/>
      <c r="AB505" s="11">
        <v>0</v>
      </c>
      <c r="AC505" s="10"/>
      <c r="AD505" s="7">
        <f>SUM(F505+H505+J505+L505+N505+P505+R505+T505+V505+X505+Z505+AB505)</f>
        <v>600000</v>
      </c>
      <c r="AE505" s="7">
        <f>E505+AD505</f>
        <v>690000</v>
      </c>
      <c r="AF505" s="8">
        <f>G505+I505+K505+M505+O505+Q505+S505+U505+W505+Y505+AA505+AC505</f>
        <v>510000</v>
      </c>
      <c r="AG505" s="153">
        <f>SUM(AE505-AF505)</f>
        <v>180000</v>
      </c>
      <c r="AH505" s="99" t="s">
        <v>924</v>
      </c>
      <c r="AI505" s="99">
        <v>4</v>
      </c>
    </row>
    <row r="506" spans="1:42" customHeight="1" ht="11.5">
      <c r="A506" s="5">
        <v>498</v>
      </c>
      <c r="B506" s="166" t="s">
        <v>925</v>
      </c>
      <c r="C506" s="167" t="s">
        <v>36</v>
      </c>
      <c r="D506" s="88" t="s">
        <v>37</v>
      </c>
      <c r="E506" s="86">
        <v>20000</v>
      </c>
      <c r="F506" s="9">
        <v>20000</v>
      </c>
      <c r="G506" s="10">
        <v>20000</v>
      </c>
      <c r="H506" s="9">
        <v>40000</v>
      </c>
      <c r="I506" s="10">
        <v>20000</v>
      </c>
      <c r="J506" s="152">
        <v>30000</v>
      </c>
      <c r="K506" s="10">
        <v>40000</v>
      </c>
      <c r="L506" s="152">
        <v>20000</v>
      </c>
      <c r="M506" s="10">
        <v>30000</v>
      </c>
      <c r="N506" s="152">
        <v>40000</v>
      </c>
      <c r="O506" s="10">
        <v>20000</v>
      </c>
      <c r="P506" s="152">
        <v>20000</v>
      </c>
      <c r="Q506" s="10">
        <v>40000</v>
      </c>
      <c r="R506" s="9">
        <v>40000</v>
      </c>
      <c r="S506" s="10"/>
      <c r="T506" s="9">
        <v>0</v>
      </c>
      <c r="U506" s="10"/>
      <c r="V506" s="9">
        <v>0</v>
      </c>
      <c r="W506" s="10"/>
      <c r="X506" s="9">
        <v>0</v>
      </c>
      <c r="Y506" s="10"/>
      <c r="Z506" s="9">
        <v>0</v>
      </c>
      <c r="AA506" s="10"/>
      <c r="AB506" s="11">
        <v>0</v>
      </c>
      <c r="AC506" s="10"/>
      <c r="AD506" s="7">
        <f>SUM(F506+H506+J506+L506+N506+P506+R506+T506+V506+X506+Z506+AB506)</f>
        <v>210000</v>
      </c>
      <c r="AE506" s="7">
        <f>E506+AD506</f>
        <v>230000</v>
      </c>
      <c r="AF506" s="8">
        <f>G506+I506+K506+M506+O506+Q506+S506+U506+W506+Y506+AA506+AC506</f>
        <v>170000</v>
      </c>
      <c r="AG506" s="153">
        <f>SUM(AE506-AF506)</f>
        <v>60000</v>
      </c>
      <c r="AH506" s="99" t="s">
        <v>926</v>
      </c>
      <c r="AI506" s="99">
        <v>4</v>
      </c>
    </row>
    <row r="507" spans="1:42" customHeight="1" ht="11.5">
      <c r="A507" s="5">
        <v>499</v>
      </c>
      <c r="B507" s="166" t="s">
        <v>927</v>
      </c>
      <c r="C507" s="167" t="s">
        <v>36</v>
      </c>
      <c r="D507" s="88" t="s">
        <v>37</v>
      </c>
      <c r="E507" s="86">
        <v>10000</v>
      </c>
      <c r="F507" s="9">
        <v>20000</v>
      </c>
      <c r="G507" s="10">
        <v>10000</v>
      </c>
      <c r="H507" s="9">
        <v>30000</v>
      </c>
      <c r="I507" s="10">
        <v>20000</v>
      </c>
      <c r="J507" s="152">
        <v>40000</v>
      </c>
      <c r="K507" s="10">
        <v>30000</v>
      </c>
      <c r="L507" s="152">
        <v>20000</v>
      </c>
      <c r="M507" s="10">
        <v>40000</v>
      </c>
      <c r="N507" s="152">
        <v>40000</v>
      </c>
      <c r="O507" s="10">
        <v>20000</v>
      </c>
      <c r="P507" s="152">
        <v>20000</v>
      </c>
      <c r="Q507" s="10">
        <v>40000</v>
      </c>
      <c r="R507" s="9">
        <v>40000</v>
      </c>
      <c r="S507" s="10"/>
      <c r="T507" s="9">
        <v>0</v>
      </c>
      <c r="U507" s="10"/>
      <c r="V507" s="9">
        <v>0</v>
      </c>
      <c r="W507" s="10"/>
      <c r="X507" s="9">
        <v>0</v>
      </c>
      <c r="Y507" s="10"/>
      <c r="Z507" s="9">
        <v>0</v>
      </c>
      <c r="AA507" s="10"/>
      <c r="AB507" s="11">
        <v>0</v>
      </c>
      <c r="AC507" s="10"/>
      <c r="AD507" s="7">
        <f>SUM(F507+H507+J507+L507+N507+P507+R507+T507+V507+X507+Z507+AB507)</f>
        <v>210000</v>
      </c>
      <c r="AE507" s="7">
        <f>E507+AD507</f>
        <v>220000</v>
      </c>
      <c r="AF507" s="8">
        <f>G507+I507+K507+M507+O507+Q507+S507+U507+W507+Y507+AA507+AC507</f>
        <v>160000</v>
      </c>
      <c r="AG507" s="153">
        <f>SUM(AE507-AF507)</f>
        <v>60000</v>
      </c>
      <c r="AH507" s="99" t="s">
        <v>928</v>
      </c>
      <c r="AI507" s="99">
        <v>4</v>
      </c>
    </row>
    <row r="508" spans="1:42" customHeight="1" ht="11.5">
      <c r="A508" s="5">
        <v>500</v>
      </c>
      <c r="B508" s="166" t="s">
        <v>929</v>
      </c>
      <c r="C508" s="167" t="s">
        <v>112</v>
      </c>
      <c r="D508" s="88" t="s">
        <v>113</v>
      </c>
      <c r="E508" s="86">
        <v>89314</v>
      </c>
      <c r="F508" s="9">
        <v>40000</v>
      </c>
      <c r="G508" s="10">
        <v>89314</v>
      </c>
      <c r="H508" s="9">
        <v>40000</v>
      </c>
      <c r="I508" s="10">
        <v>40000</v>
      </c>
      <c r="J508" s="152">
        <v>30000</v>
      </c>
      <c r="K508" s="10">
        <v>40000</v>
      </c>
      <c r="L508" s="152">
        <v>40000</v>
      </c>
      <c r="M508" s="10">
        <v>30000</v>
      </c>
      <c r="N508" s="152">
        <v>40000</v>
      </c>
      <c r="O508" s="10">
        <v>40000</v>
      </c>
      <c r="P508" s="152">
        <v>20000</v>
      </c>
      <c r="Q508" s="10">
        <v>40000</v>
      </c>
      <c r="R508" s="9">
        <v>50000</v>
      </c>
      <c r="S508" s="10"/>
      <c r="T508" s="9">
        <v>0</v>
      </c>
      <c r="U508" s="10"/>
      <c r="V508" s="9">
        <v>0</v>
      </c>
      <c r="W508" s="10"/>
      <c r="X508" s="9">
        <v>0</v>
      </c>
      <c r="Y508" s="10"/>
      <c r="Z508" s="9">
        <v>0</v>
      </c>
      <c r="AA508" s="10"/>
      <c r="AB508" s="11">
        <v>0</v>
      </c>
      <c r="AC508" s="10"/>
      <c r="AD508" s="7">
        <f>SUM(F508+H508+J508+L508+N508+P508+R508+T508+V508+X508+Z508+AB508)</f>
        <v>260000</v>
      </c>
      <c r="AE508" s="7">
        <f>E508+AD508</f>
        <v>349314</v>
      </c>
      <c r="AF508" s="8">
        <f>G508+I508+K508+M508+O508+Q508+S508+U508+W508+Y508+AA508+AC508</f>
        <v>279314</v>
      </c>
      <c r="AG508" s="153">
        <f>SUM(AE508-AF508)</f>
        <v>70000</v>
      </c>
      <c r="AH508" s="99" t="s">
        <v>930</v>
      </c>
      <c r="AI508" s="99">
        <v>4</v>
      </c>
    </row>
    <row r="509" spans="1:42" customHeight="1" ht="11.5">
      <c r="A509" s="5">
        <v>501</v>
      </c>
      <c r="B509" s="166" t="s">
        <v>931</v>
      </c>
      <c r="C509" s="167" t="s">
        <v>112</v>
      </c>
      <c r="D509" s="88" t="s">
        <v>113</v>
      </c>
      <c r="E509" s="86">
        <v>130000</v>
      </c>
      <c r="F509" s="9">
        <v>40000</v>
      </c>
      <c r="G509" s="10"/>
      <c r="H509" s="9">
        <v>40000</v>
      </c>
      <c r="I509" s="10">
        <v>170000</v>
      </c>
      <c r="J509" s="152">
        <v>30000</v>
      </c>
      <c r="K509" s="10">
        <v>40000</v>
      </c>
      <c r="L509" s="152">
        <v>50000</v>
      </c>
      <c r="M509" s="10">
        <v>30000</v>
      </c>
      <c r="N509" s="152">
        <v>30000</v>
      </c>
      <c r="O509" s="10">
        <v>50000</v>
      </c>
      <c r="P509" s="152">
        <v>30000</v>
      </c>
      <c r="Q509" s="10">
        <v>30000</v>
      </c>
      <c r="R509" s="9">
        <v>40000</v>
      </c>
      <c r="S509" s="10"/>
      <c r="T509" s="9">
        <v>0</v>
      </c>
      <c r="U509" s="10"/>
      <c r="V509" s="9">
        <v>0</v>
      </c>
      <c r="W509" s="10"/>
      <c r="X509" s="9">
        <v>0</v>
      </c>
      <c r="Y509" s="10"/>
      <c r="Z509" s="9">
        <v>0</v>
      </c>
      <c r="AA509" s="10"/>
      <c r="AB509" s="11">
        <v>0</v>
      </c>
      <c r="AC509" s="10"/>
      <c r="AD509" s="7">
        <f>SUM(F509+H509+J509+L509+N509+P509+R509+T509+V509+X509+Z509+AB509)</f>
        <v>260000</v>
      </c>
      <c r="AE509" s="7">
        <f>E509+AD509</f>
        <v>390000</v>
      </c>
      <c r="AF509" s="8">
        <f>G509+I509+K509+M509+O509+Q509+S509+U509+W509+Y509+AA509+AC509</f>
        <v>320000</v>
      </c>
      <c r="AG509" s="153">
        <f>SUM(AE509-AF509)</f>
        <v>70000</v>
      </c>
      <c r="AH509" s="99" t="s">
        <v>932</v>
      </c>
      <c r="AI509" s="99">
        <v>4</v>
      </c>
    </row>
    <row r="510" spans="1:42" customHeight="1" ht="11.5">
      <c r="A510" s="5">
        <v>502</v>
      </c>
      <c r="B510" s="166" t="s">
        <v>933</v>
      </c>
      <c r="C510" s="167" t="s">
        <v>91</v>
      </c>
      <c r="D510" s="88" t="s">
        <v>92</v>
      </c>
      <c r="E510" s="86">
        <v>0</v>
      </c>
      <c r="F510" s="9">
        <v>0</v>
      </c>
      <c r="G510" s="10"/>
      <c r="H510" s="9">
        <v>0</v>
      </c>
      <c r="I510" s="10"/>
      <c r="J510" s="152">
        <v>0</v>
      </c>
      <c r="K510" s="10"/>
      <c r="L510" s="152">
        <v>0</v>
      </c>
      <c r="M510" s="10"/>
      <c r="N510" s="152">
        <v>0</v>
      </c>
      <c r="O510" s="10"/>
      <c r="P510" s="152">
        <v>0</v>
      </c>
      <c r="Q510" s="10"/>
      <c r="R510" s="9">
        <v>0</v>
      </c>
      <c r="S510" s="10"/>
      <c r="T510" s="9">
        <v>0</v>
      </c>
      <c r="U510" s="10"/>
      <c r="V510" s="9">
        <v>0</v>
      </c>
      <c r="W510" s="10"/>
      <c r="X510" s="9">
        <v>0</v>
      </c>
      <c r="Y510" s="10"/>
      <c r="Z510" s="9">
        <v>0</v>
      </c>
      <c r="AA510" s="10"/>
      <c r="AB510" s="11">
        <v>0</v>
      </c>
      <c r="AC510" s="10"/>
      <c r="AD510" s="7">
        <f>SUM(F510+H510+J510+L510+N510+P510+R510+T510+V510+X510+Z510+AB510)</f>
        <v>0</v>
      </c>
      <c r="AE510" s="7">
        <f>E510+AD510</f>
        <v>0</v>
      </c>
      <c r="AF510" s="8">
        <f>G510+I510+K510+M510+O510+Q510+S510+U510+W510+Y510+AA510+AC510</f>
        <v>0</v>
      </c>
      <c r="AG510" s="153">
        <f>SUM(AE510-AF510)</f>
        <v>0</v>
      </c>
      <c r="AH510" s="99" t="s">
        <v>934</v>
      </c>
      <c r="AI510" s="99">
        <v>4</v>
      </c>
    </row>
    <row r="511" spans="1:42" customHeight="1" ht="11.5">
      <c r="A511" s="5">
        <v>503</v>
      </c>
      <c r="B511" s="166" t="s">
        <v>935</v>
      </c>
      <c r="C511" s="167" t="s">
        <v>91</v>
      </c>
      <c r="D511" s="88" t="s">
        <v>92</v>
      </c>
      <c r="E511" s="86">
        <v>0</v>
      </c>
      <c r="F511" s="9">
        <v>0</v>
      </c>
      <c r="G511" s="10"/>
      <c r="H511" s="9">
        <v>0</v>
      </c>
      <c r="I511" s="10"/>
      <c r="J511" s="152">
        <v>0</v>
      </c>
      <c r="K511" s="10"/>
      <c r="L511" s="152">
        <v>0</v>
      </c>
      <c r="M511" s="10"/>
      <c r="N511" s="152">
        <v>0</v>
      </c>
      <c r="O511" s="10"/>
      <c r="P511" s="152">
        <v>0</v>
      </c>
      <c r="Q511" s="10"/>
      <c r="R511" s="9">
        <v>0</v>
      </c>
      <c r="S511" s="10"/>
      <c r="T511" s="9">
        <v>0</v>
      </c>
      <c r="U511" s="10"/>
      <c r="V511" s="9">
        <v>0</v>
      </c>
      <c r="W511" s="10"/>
      <c r="X511" s="9">
        <v>0</v>
      </c>
      <c r="Y511" s="10"/>
      <c r="Z511" s="9">
        <v>0</v>
      </c>
      <c r="AA511" s="10"/>
      <c r="AB511" s="11">
        <v>0</v>
      </c>
      <c r="AC511" s="10"/>
      <c r="AD511" s="7">
        <f>SUM(F511+H511+J511+L511+N511+P511+R511+T511+V511+X511+Z511+AB511)</f>
        <v>0</v>
      </c>
      <c r="AE511" s="7">
        <f>E511+AD511</f>
        <v>0</v>
      </c>
      <c r="AF511" s="8">
        <f>G511+I511+K511+M511+O511+Q511+S511+U511+W511+Y511+AA511+AC511</f>
        <v>0</v>
      </c>
      <c r="AG511" s="153">
        <f>SUM(AE511-AF511)</f>
        <v>0</v>
      </c>
      <c r="AH511" s="99" t="s">
        <v>936</v>
      </c>
      <c r="AI511" s="99">
        <v>4</v>
      </c>
    </row>
    <row r="512" spans="1:42" customHeight="1" ht="11.5">
      <c r="A512" s="5">
        <v>504</v>
      </c>
      <c r="B512" s="170" t="s">
        <v>937</v>
      </c>
      <c r="C512" s="167" t="s">
        <v>132</v>
      </c>
      <c r="D512" s="88" t="s">
        <v>133</v>
      </c>
      <c r="E512" s="86">
        <v>8000</v>
      </c>
      <c r="F512" s="9">
        <v>0</v>
      </c>
      <c r="G512" s="10"/>
      <c r="H512" s="9">
        <v>2000</v>
      </c>
      <c r="I512" s="10"/>
      <c r="J512" s="152">
        <v>4000</v>
      </c>
      <c r="K512" s="10">
        <v>10000</v>
      </c>
      <c r="L512" s="152">
        <v>0</v>
      </c>
      <c r="M512" s="10"/>
      <c r="N512" s="152">
        <v>0</v>
      </c>
      <c r="O512" s="10"/>
      <c r="P512" s="152">
        <v>0</v>
      </c>
      <c r="Q512" s="10"/>
      <c r="R512" s="9">
        <v>0</v>
      </c>
      <c r="S512" s="10"/>
      <c r="T512" s="9">
        <v>0</v>
      </c>
      <c r="U512" s="10"/>
      <c r="V512" s="9">
        <v>0</v>
      </c>
      <c r="W512" s="10"/>
      <c r="X512" s="9">
        <v>0</v>
      </c>
      <c r="Y512" s="10"/>
      <c r="Z512" s="9">
        <v>0</v>
      </c>
      <c r="AA512" s="10"/>
      <c r="AB512" s="11">
        <v>0</v>
      </c>
      <c r="AC512" s="10"/>
      <c r="AD512" s="7">
        <f>SUM(F512+H512+J512+L512+N512+P512+R512+T512+V512+X512+Z512+AB512)</f>
        <v>6000</v>
      </c>
      <c r="AE512" s="7">
        <f>E512+AD512</f>
        <v>14000</v>
      </c>
      <c r="AF512" s="8">
        <f>G512+I512+K512+M512+O512+Q512+S512+U512+W512+Y512+AA512+AC512</f>
        <v>10000</v>
      </c>
      <c r="AG512" s="153">
        <f>SUM(AE512-AF512)</f>
        <v>4000</v>
      </c>
      <c r="AH512" s="99" t="s">
        <v>938</v>
      </c>
      <c r="AI512" s="99">
        <v>4</v>
      </c>
    </row>
    <row r="513" spans="1:42" customHeight="1" ht="11.5">
      <c r="A513" s="5">
        <v>505</v>
      </c>
      <c r="B513" s="166" t="s">
        <v>939</v>
      </c>
      <c r="C513" s="167" t="s">
        <v>132</v>
      </c>
      <c r="D513" s="88" t="s">
        <v>133</v>
      </c>
      <c r="E513" s="86">
        <v>6000</v>
      </c>
      <c r="F513" s="9">
        <v>2000</v>
      </c>
      <c r="G513" s="10"/>
      <c r="H513" s="9">
        <v>2000</v>
      </c>
      <c r="I513" s="10"/>
      <c r="J513" s="152">
        <v>4000</v>
      </c>
      <c r="K513" s="10">
        <v>10000</v>
      </c>
      <c r="L513" s="152">
        <v>0</v>
      </c>
      <c r="M513" s="10"/>
      <c r="N513" s="152">
        <v>0</v>
      </c>
      <c r="O513" s="10"/>
      <c r="P513" s="152">
        <v>0</v>
      </c>
      <c r="Q513" s="10"/>
      <c r="R513" s="9">
        <v>0</v>
      </c>
      <c r="S513" s="10"/>
      <c r="T513" s="9">
        <v>0</v>
      </c>
      <c r="U513" s="10"/>
      <c r="V513" s="9">
        <v>0</v>
      </c>
      <c r="W513" s="10"/>
      <c r="X513" s="9">
        <v>0</v>
      </c>
      <c r="Y513" s="10"/>
      <c r="Z513" s="9">
        <v>0</v>
      </c>
      <c r="AA513" s="10"/>
      <c r="AB513" s="11">
        <v>0</v>
      </c>
      <c r="AC513" s="10"/>
      <c r="AD513" s="7">
        <f>SUM(F513+H513+J513+L513+N513+P513+R513+T513+V513+X513+Z513+AB513)</f>
        <v>8000</v>
      </c>
      <c r="AE513" s="7">
        <f>E513+AD513</f>
        <v>14000</v>
      </c>
      <c r="AF513" s="8">
        <f>G513+I513+K513+M513+O513+Q513+S513+U513+W513+Y513+AA513+AC513</f>
        <v>10000</v>
      </c>
      <c r="AG513" s="153">
        <f>SUM(AE513-AF513)</f>
        <v>4000</v>
      </c>
      <c r="AH513" s="99" t="s">
        <v>938</v>
      </c>
      <c r="AI513" s="99">
        <v>4</v>
      </c>
    </row>
    <row r="514" spans="1:42" customHeight="1" ht="11.5">
      <c r="A514" s="5">
        <v>506</v>
      </c>
      <c r="B514" s="166" t="s">
        <v>940</v>
      </c>
      <c r="C514" s="167" t="s">
        <v>105</v>
      </c>
      <c r="D514" s="88" t="s">
        <v>106</v>
      </c>
      <c r="E514" s="86">
        <v>10000</v>
      </c>
      <c r="F514" s="9">
        <v>20000</v>
      </c>
      <c r="G514" s="10">
        <v>10000</v>
      </c>
      <c r="H514" s="9">
        <v>30000</v>
      </c>
      <c r="I514" s="10"/>
      <c r="J514" s="152">
        <v>10000</v>
      </c>
      <c r="K514" s="10">
        <v>50000</v>
      </c>
      <c r="L514" s="152">
        <v>10000</v>
      </c>
      <c r="M514" s="10">
        <v>10000</v>
      </c>
      <c r="N514" s="152">
        <v>10000</v>
      </c>
      <c r="O514" s="10">
        <v>10000</v>
      </c>
      <c r="P514" s="152">
        <v>20000</v>
      </c>
      <c r="Q514" s="10">
        <v>10000</v>
      </c>
      <c r="R514" s="9">
        <v>20000</v>
      </c>
      <c r="S514" s="10"/>
      <c r="T514" s="9">
        <v>0</v>
      </c>
      <c r="U514" s="10"/>
      <c r="V514" s="9">
        <v>0</v>
      </c>
      <c r="W514" s="10"/>
      <c r="X514" s="9">
        <v>0</v>
      </c>
      <c r="Y514" s="10"/>
      <c r="Z514" s="9">
        <v>0</v>
      </c>
      <c r="AA514" s="10"/>
      <c r="AB514" s="11">
        <v>0</v>
      </c>
      <c r="AC514" s="10"/>
      <c r="AD514" s="7">
        <f>SUM(F514+H514+J514+L514+N514+P514+R514+T514+V514+X514+Z514+AB514)</f>
        <v>120000</v>
      </c>
      <c r="AE514" s="7">
        <f>E514+AD514</f>
        <v>130000</v>
      </c>
      <c r="AF514" s="8">
        <f>G514+I514+K514+M514+O514+Q514+S514+U514+W514+Y514+AA514+AC514</f>
        <v>90000</v>
      </c>
      <c r="AG514" s="153">
        <f>SUM(AE514-AF514)</f>
        <v>40000</v>
      </c>
      <c r="AH514" s="99" t="s">
        <v>938</v>
      </c>
      <c r="AI514" s="99">
        <v>4</v>
      </c>
    </row>
    <row r="515" spans="1:42" customHeight="1" ht="11.5">
      <c r="A515" s="5">
        <v>507</v>
      </c>
      <c r="B515" s="166" t="s">
        <v>941</v>
      </c>
      <c r="C515" s="167" t="s">
        <v>36</v>
      </c>
      <c r="D515" s="88" t="s">
        <v>37</v>
      </c>
      <c r="E515" s="86">
        <v>10000</v>
      </c>
      <c r="F515" s="9">
        <v>0</v>
      </c>
      <c r="G515" s="10">
        <v>10000</v>
      </c>
      <c r="H515" s="9">
        <v>10000</v>
      </c>
      <c r="I515" s="10"/>
      <c r="J515" s="152">
        <v>0</v>
      </c>
      <c r="K515" s="10">
        <v>10000</v>
      </c>
      <c r="L515" s="152">
        <v>10000</v>
      </c>
      <c r="M515" s="10"/>
      <c r="N515" s="152">
        <v>0</v>
      </c>
      <c r="O515" s="10">
        <v>10000</v>
      </c>
      <c r="P515" s="152">
        <v>20000</v>
      </c>
      <c r="Q515" s="10"/>
      <c r="R515" s="9">
        <v>0</v>
      </c>
      <c r="S515" s="10"/>
      <c r="T515" s="9">
        <v>0</v>
      </c>
      <c r="U515" s="10"/>
      <c r="V515" s="9">
        <v>0</v>
      </c>
      <c r="W515" s="10"/>
      <c r="X515" s="9">
        <v>0</v>
      </c>
      <c r="Y515" s="10"/>
      <c r="Z515" s="9">
        <v>0</v>
      </c>
      <c r="AA515" s="10"/>
      <c r="AB515" s="11">
        <v>0</v>
      </c>
      <c r="AC515" s="10"/>
      <c r="AD515" s="7">
        <f>SUM(F515+H515+J515+L515+N515+P515+R515+T515+V515+X515+Z515+AB515)</f>
        <v>40000</v>
      </c>
      <c r="AE515" s="7">
        <f>E515+AD515</f>
        <v>50000</v>
      </c>
      <c r="AF515" s="8">
        <f>G515+I515+K515+M515+O515+Q515+S515+U515+W515+Y515+AA515+AC515</f>
        <v>30000</v>
      </c>
      <c r="AG515" s="153">
        <f>SUM(AE515-AF515)</f>
        <v>20000</v>
      </c>
      <c r="AH515" s="99" t="s">
        <v>938</v>
      </c>
      <c r="AI515" s="99">
        <v>4</v>
      </c>
    </row>
    <row r="516" spans="1:42" customHeight="1" ht="11.5">
      <c r="A516" s="5">
        <v>508</v>
      </c>
      <c r="B516" s="166" t="s">
        <v>942</v>
      </c>
      <c r="C516" s="167" t="s">
        <v>36</v>
      </c>
      <c r="D516" s="88" t="s">
        <v>37</v>
      </c>
      <c r="E516" s="86">
        <v>10000</v>
      </c>
      <c r="F516" s="9">
        <v>0</v>
      </c>
      <c r="G516" s="10">
        <v>10000</v>
      </c>
      <c r="H516" s="9">
        <v>0</v>
      </c>
      <c r="I516" s="10"/>
      <c r="J516" s="152">
        <v>10000</v>
      </c>
      <c r="K516" s="10"/>
      <c r="L516" s="152">
        <v>0</v>
      </c>
      <c r="M516" s="10">
        <v>10000</v>
      </c>
      <c r="N516" s="152">
        <v>5000</v>
      </c>
      <c r="O516" s="10"/>
      <c r="P516" s="152">
        <v>0</v>
      </c>
      <c r="Q516" s="10">
        <v>5000</v>
      </c>
      <c r="R516" s="9">
        <v>0</v>
      </c>
      <c r="S516" s="10"/>
      <c r="T516" s="9">
        <v>0</v>
      </c>
      <c r="U516" s="10"/>
      <c r="V516" s="9">
        <v>0</v>
      </c>
      <c r="W516" s="10"/>
      <c r="X516" s="9">
        <v>0</v>
      </c>
      <c r="Y516" s="10"/>
      <c r="Z516" s="9">
        <v>0</v>
      </c>
      <c r="AA516" s="10"/>
      <c r="AB516" s="11">
        <v>0</v>
      </c>
      <c r="AC516" s="10"/>
      <c r="AD516" s="7">
        <f>SUM(F516+H516+J516+L516+N516+P516+R516+T516+V516+X516+Z516+AB516)</f>
        <v>15000</v>
      </c>
      <c r="AE516" s="7">
        <f>E516+AD516</f>
        <v>25000</v>
      </c>
      <c r="AF516" s="8">
        <f>G516+I516+K516+M516+O516+Q516+S516+U516+W516+Y516+AA516+AC516</f>
        <v>25000</v>
      </c>
      <c r="AG516" s="153">
        <f>SUM(AE516-AF516)</f>
        <v>0</v>
      </c>
      <c r="AH516" s="99" t="s">
        <v>943</v>
      </c>
      <c r="AI516" s="99">
        <v>4</v>
      </c>
    </row>
    <row r="517" spans="1:42" customHeight="1" ht="11.5">
      <c r="A517" s="5">
        <v>509</v>
      </c>
      <c r="B517" s="166" t="s">
        <v>944</v>
      </c>
      <c r="C517" s="167" t="s">
        <v>36</v>
      </c>
      <c r="D517" s="88" t="s">
        <v>37</v>
      </c>
      <c r="E517" s="86">
        <v>10000</v>
      </c>
      <c r="F517" s="9">
        <v>0</v>
      </c>
      <c r="G517" s="10">
        <v>10000</v>
      </c>
      <c r="H517" s="9">
        <v>10000</v>
      </c>
      <c r="I517" s="10"/>
      <c r="J517" s="152">
        <v>0</v>
      </c>
      <c r="K517" s="10">
        <v>10000</v>
      </c>
      <c r="L517" s="152">
        <v>0</v>
      </c>
      <c r="M517" s="10"/>
      <c r="N517" s="152">
        <v>10000</v>
      </c>
      <c r="O517" s="10"/>
      <c r="P517" s="152">
        <v>0</v>
      </c>
      <c r="Q517" s="10">
        <v>10000</v>
      </c>
      <c r="R517" s="9">
        <v>0</v>
      </c>
      <c r="S517" s="10"/>
      <c r="T517" s="9">
        <v>0</v>
      </c>
      <c r="U517" s="10"/>
      <c r="V517" s="9">
        <v>0</v>
      </c>
      <c r="W517" s="10"/>
      <c r="X517" s="9">
        <v>0</v>
      </c>
      <c r="Y517" s="10"/>
      <c r="Z517" s="9">
        <v>0</v>
      </c>
      <c r="AA517" s="10"/>
      <c r="AB517" s="11">
        <v>0</v>
      </c>
      <c r="AC517" s="10"/>
      <c r="AD517" s="7">
        <f>SUM(F517+H517+J517+L517+N517+P517+R517+T517+V517+X517+Z517+AB517)</f>
        <v>20000</v>
      </c>
      <c r="AE517" s="7">
        <f>E517+AD517</f>
        <v>30000</v>
      </c>
      <c r="AF517" s="8">
        <f>G517+I517+K517+M517+O517+Q517+S517+U517+W517+Y517+AA517+AC517</f>
        <v>30000</v>
      </c>
      <c r="AG517" s="153">
        <f>SUM(AE517-AF517)</f>
        <v>0</v>
      </c>
      <c r="AH517" s="99" t="s">
        <v>943</v>
      </c>
      <c r="AI517" s="99">
        <v>4</v>
      </c>
    </row>
    <row r="518" spans="1:42" customHeight="1" ht="11.5">
      <c r="A518" s="5">
        <v>510</v>
      </c>
      <c r="B518" s="166" t="s">
        <v>945</v>
      </c>
      <c r="C518" s="167" t="s">
        <v>109</v>
      </c>
      <c r="D518" s="88" t="s">
        <v>110</v>
      </c>
      <c r="E518" s="86">
        <v>3000</v>
      </c>
      <c r="F518" s="9">
        <v>2000</v>
      </c>
      <c r="G518" s="10"/>
      <c r="H518" s="9">
        <v>2000</v>
      </c>
      <c r="I518" s="10"/>
      <c r="J518" s="152">
        <v>3000</v>
      </c>
      <c r="K518" s="10">
        <v>7000</v>
      </c>
      <c r="L518" s="152">
        <v>0</v>
      </c>
      <c r="M518" s="10">
        <v>3000</v>
      </c>
      <c r="N518" s="152">
        <v>2000</v>
      </c>
      <c r="O518" s="10"/>
      <c r="P518" s="152">
        <v>0</v>
      </c>
      <c r="Q518" s="10">
        <v>2000</v>
      </c>
      <c r="R518" s="9">
        <v>0</v>
      </c>
      <c r="S518" s="10"/>
      <c r="T518" s="9">
        <v>0</v>
      </c>
      <c r="U518" s="10"/>
      <c r="V518" s="9">
        <v>0</v>
      </c>
      <c r="W518" s="10"/>
      <c r="X518" s="9">
        <v>0</v>
      </c>
      <c r="Y518" s="10"/>
      <c r="Z518" s="9">
        <v>0</v>
      </c>
      <c r="AA518" s="10"/>
      <c r="AB518" s="11">
        <v>0</v>
      </c>
      <c r="AC518" s="10"/>
      <c r="AD518" s="7">
        <f>SUM(F518+H518+J518+L518+N518+P518+R518+T518+V518+X518+Z518+AB518)</f>
        <v>9000</v>
      </c>
      <c r="AE518" s="7">
        <f>E518+AD518</f>
        <v>12000</v>
      </c>
      <c r="AF518" s="8">
        <f>G518+I518+K518+M518+O518+Q518+S518+U518+W518+Y518+AA518+AC518</f>
        <v>12000</v>
      </c>
      <c r="AG518" s="153">
        <f>SUM(AE518-AF518)</f>
        <v>0</v>
      </c>
      <c r="AH518" s="99" t="s">
        <v>943</v>
      </c>
      <c r="AI518" s="99">
        <v>4</v>
      </c>
    </row>
    <row r="519" spans="1:42" customHeight="1" ht="11.5">
      <c r="A519" s="5">
        <v>511</v>
      </c>
      <c r="B519" s="170" t="s">
        <v>946</v>
      </c>
      <c r="C519" s="167" t="s">
        <v>132</v>
      </c>
      <c r="D519" s="88" t="s">
        <v>133</v>
      </c>
      <c r="E519" s="86">
        <v>10000</v>
      </c>
      <c r="F519" s="9">
        <v>3000</v>
      </c>
      <c r="G519" s="10"/>
      <c r="H519" s="9">
        <v>3000</v>
      </c>
      <c r="I519" s="10"/>
      <c r="J519" s="152">
        <v>4000</v>
      </c>
      <c r="K519" s="10">
        <v>16000</v>
      </c>
      <c r="L519" s="152">
        <v>1500</v>
      </c>
      <c r="M519" s="10"/>
      <c r="N519" s="152">
        <v>3500</v>
      </c>
      <c r="O519" s="10"/>
      <c r="P519" s="152">
        <v>5000</v>
      </c>
      <c r="Q519" s="10"/>
      <c r="R519" s="9">
        <v>4500</v>
      </c>
      <c r="S519" s="10"/>
      <c r="T519" s="9">
        <v>0</v>
      </c>
      <c r="U519" s="10"/>
      <c r="V519" s="9">
        <v>0</v>
      </c>
      <c r="W519" s="10"/>
      <c r="X519" s="9">
        <v>0</v>
      </c>
      <c r="Y519" s="10"/>
      <c r="Z519" s="9">
        <v>0</v>
      </c>
      <c r="AA519" s="10"/>
      <c r="AB519" s="11">
        <v>0</v>
      </c>
      <c r="AC519" s="10"/>
      <c r="AD519" s="7">
        <f>SUM(F519+H519+J519+L519+N519+P519+R519+T519+V519+X519+Z519+AB519)</f>
        <v>24500</v>
      </c>
      <c r="AE519" s="7">
        <f>E519+AD519</f>
        <v>34500</v>
      </c>
      <c r="AF519" s="8">
        <f>G519+I519+K519+M519+O519+Q519+S519+U519+W519+Y519+AA519+AC519</f>
        <v>16000</v>
      </c>
      <c r="AG519" s="153">
        <f>SUM(AE519-AF519)</f>
        <v>18500</v>
      </c>
      <c r="AH519" s="99" t="s">
        <v>943</v>
      </c>
      <c r="AI519" s="99">
        <v>4</v>
      </c>
    </row>
    <row r="520" spans="1:42" customHeight="1" ht="11.5">
      <c r="A520" s="5">
        <v>512</v>
      </c>
      <c r="B520" s="166" t="s">
        <v>947</v>
      </c>
      <c r="C520" s="167" t="s">
        <v>36</v>
      </c>
      <c r="D520" s="88" t="s">
        <v>37</v>
      </c>
      <c r="E520" s="86">
        <v>20000</v>
      </c>
      <c r="F520" s="9">
        <v>0</v>
      </c>
      <c r="G520" s="10">
        <v>20000</v>
      </c>
      <c r="H520" s="9">
        <v>0</v>
      </c>
      <c r="I520" s="10"/>
      <c r="J520" s="152">
        <v>0</v>
      </c>
      <c r="K520" s="10"/>
      <c r="L520" s="152">
        <v>10000</v>
      </c>
      <c r="M520" s="10"/>
      <c r="N520" s="152">
        <v>5000</v>
      </c>
      <c r="O520" s="10">
        <v>10000</v>
      </c>
      <c r="P520" s="152">
        <v>5000</v>
      </c>
      <c r="Q520" s="10">
        <v>5000</v>
      </c>
      <c r="R520" s="9">
        <v>0</v>
      </c>
      <c r="S520" s="10"/>
      <c r="T520" s="9">
        <v>0</v>
      </c>
      <c r="U520" s="10"/>
      <c r="V520" s="9">
        <v>0</v>
      </c>
      <c r="W520" s="10"/>
      <c r="X520" s="9">
        <v>0</v>
      </c>
      <c r="Y520" s="10"/>
      <c r="Z520" s="9">
        <v>0</v>
      </c>
      <c r="AA520" s="10"/>
      <c r="AB520" s="11">
        <v>0</v>
      </c>
      <c r="AC520" s="10"/>
      <c r="AD520" s="7">
        <f>SUM(F520+H520+J520+L520+N520+P520+R520+T520+V520+X520+Z520+AB520)</f>
        <v>20000</v>
      </c>
      <c r="AE520" s="7">
        <f>E520+AD520</f>
        <v>40000</v>
      </c>
      <c r="AF520" s="8">
        <f>G520+I520+K520+M520+O520+Q520+S520+U520+W520+Y520+AA520+AC520</f>
        <v>35000</v>
      </c>
      <c r="AG520" s="153">
        <f>SUM(AE520-AF520)</f>
        <v>5000</v>
      </c>
      <c r="AH520" s="99" t="s">
        <v>943</v>
      </c>
      <c r="AI520" s="99">
        <v>4</v>
      </c>
    </row>
    <row r="521" spans="1:42" customHeight="1" ht="11.5">
      <c r="A521" s="5">
        <v>513</v>
      </c>
      <c r="B521" s="166" t="s">
        <v>948</v>
      </c>
      <c r="C521" s="167" t="s">
        <v>36</v>
      </c>
      <c r="D521" s="88" t="s">
        <v>37</v>
      </c>
      <c r="E521" s="86">
        <v>5000</v>
      </c>
      <c r="F521" s="9">
        <v>0</v>
      </c>
      <c r="G521" s="10">
        <v>5000</v>
      </c>
      <c r="H521" s="9">
        <v>0</v>
      </c>
      <c r="I521" s="10"/>
      <c r="J521" s="152">
        <v>10000</v>
      </c>
      <c r="K521" s="10"/>
      <c r="L521" s="152">
        <v>0</v>
      </c>
      <c r="M521" s="10">
        <v>10000</v>
      </c>
      <c r="N521" s="152">
        <v>0</v>
      </c>
      <c r="O521" s="10"/>
      <c r="P521" s="152">
        <v>0</v>
      </c>
      <c r="Q521" s="10"/>
      <c r="R521" s="9">
        <v>0</v>
      </c>
      <c r="S521" s="10"/>
      <c r="T521" s="9">
        <v>0</v>
      </c>
      <c r="U521" s="10"/>
      <c r="V521" s="9">
        <v>0</v>
      </c>
      <c r="W521" s="10"/>
      <c r="X521" s="9">
        <v>0</v>
      </c>
      <c r="Y521" s="10"/>
      <c r="Z521" s="9">
        <v>0</v>
      </c>
      <c r="AA521" s="10"/>
      <c r="AB521" s="11">
        <v>0</v>
      </c>
      <c r="AC521" s="10"/>
      <c r="AD521" s="7">
        <f>SUM(F521+H521+J521+L521+N521+P521+R521+T521+V521+X521+Z521+AB521)</f>
        <v>10000</v>
      </c>
      <c r="AE521" s="7">
        <f>E521+AD521</f>
        <v>15000</v>
      </c>
      <c r="AF521" s="8">
        <f>G521+I521+K521+M521+O521+Q521+S521+U521+W521+Y521+AA521+AC521</f>
        <v>15000</v>
      </c>
      <c r="AG521" s="153">
        <f>SUM(AE521-AF521)</f>
        <v>0</v>
      </c>
      <c r="AH521" s="99" t="s">
        <v>949</v>
      </c>
      <c r="AI521" s="99">
        <v>4</v>
      </c>
    </row>
    <row r="522" spans="1:42" customHeight="1" ht="11.5">
      <c r="A522" s="5">
        <v>514</v>
      </c>
      <c r="B522" s="166" t="s">
        <v>950</v>
      </c>
      <c r="C522" s="167" t="s">
        <v>36</v>
      </c>
      <c r="D522" s="88" t="s">
        <v>37</v>
      </c>
      <c r="E522" s="86">
        <v>10000</v>
      </c>
      <c r="F522" s="9">
        <v>0</v>
      </c>
      <c r="G522" s="10">
        <v>10000</v>
      </c>
      <c r="H522" s="9">
        <v>0</v>
      </c>
      <c r="I522" s="10"/>
      <c r="J522" s="152">
        <v>0</v>
      </c>
      <c r="K522" s="10"/>
      <c r="L522" s="152">
        <v>10000</v>
      </c>
      <c r="M522" s="10"/>
      <c r="N522" s="152">
        <v>0</v>
      </c>
      <c r="O522" s="10">
        <v>10000</v>
      </c>
      <c r="P522" s="152">
        <v>0</v>
      </c>
      <c r="Q522" s="10"/>
      <c r="R522" s="9">
        <v>10000</v>
      </c>
      <c r="S522" s="10"/>
      <c r="T522" s="9">
        <v>0</v>
      </c>
      <c r="U522" s="10"/>
      <c r="V522" s="9">
        <v>0</v>
      </c>
      <c r="W522" s="10"/>
      <c r="X522" s="9">
        <v>0</v>
      </c>
      <c r="Y522" s="10"/>
      <c r="Z522" s="9">
        <v>0</v>
      </c>
      <c r="AA522" s="10"/>
      <c r="AB522" s="11">
        <v>0</v>
      </c>
      <c r="AC522" s="10"/>
      <c r="AD522" s="7">
        <f>SUM(F522+H522+J522+L522+N522+P522+R522+T522+V522+X522+Z522+AB522)</f>
        <v>20000</v>
      </c>
      <c r="AE522" s="7">
        <f>E522+AD522</f>
        <v>30000</v>
      </c>
      <c r="AF522" s="8">
        <f>G522+I522+K522+M522+O522+Q522+S522+U522+W522+Y522+AA522+AC522</f>
        <v>20000</v>
      </c>
      <c r="AG522" s="153">
        <f>SUM(AE522-AF522)</f>
        <v>10000</v>
      </c>
      <c r="AH522" s="99" t="s">
        <v>949</v>
      </c>
      <c r="AI522" s="99">
        <v>4</v>
      </c>
    </row>
    <row r="523" spans="1:42" customHeight="1" ht="11.5">
      <c r="A523" s="5">
        <v>515</v>
      </c>
      <c r="B523" s="166" t="s">
        <v>951</v>
      </c>
      <c r="C523" s="167" t="s">
        <v>36</v>
      </c>
      <c r="D523" s="88" t="s">
        <v>37</v>
      </c>
      <c r="E523" s="86">
        <v>10000</v>
      </c>
      <c r="F523" s="9">
        <v>20000</v>
      </c>
      <c r="G523" s="10">
        <v>10000</v>
      </c>
      <c r="H523" s="9">
        <v>10000</v>
      </c>
      <c r="I523" s="10">
        <v>20000</v>
      </c>
      <c r="J523" s="152">
        <v>30000</v>
      </c>
      <c r="K523" s="10">
        <v>10000</v>
      </c>
      <c r="L523" s="152">
        <v>0</v>
      </c>
      <c r="M523" s="10">
        <v>30000</v>
      </c>
      <c r="N523" s="152">
        <v>20000</v>
      </c>
      <c r="O523" s="10"/>
      <c r="P523" s="152">
        <v>0</v>
      </c>
      <c r="Q523" s="10">
        <v>20000</v>
      </c>
      <c r="R523" s="9">
        <v>20000</v>
      </c>
      <c r="S523" s="10"/>
      <c r="T523" s="9">
        <v>0</v>
      </c>
      <c r="U523" s="10"/>
      <c r="V523" s="9">
        <v>0</v>
      </c>
      <c r="W523" s="10"/>
      <c r="X523" s="9">
        <v>0</v>
      </c>
      <c r="Y523" s="10"/>
      <c r="Z523" s="9">
        <v>0</v>
      </c>
      <c r="AA523" s="10"/>
      <c r="AB523" s="11">
        <v>0</v>
      </c>
      <c r="AC523" s="10"/>
      <c r="AD523" s="7">
        <f>SUM(F523+H523+J523+L523+N523+P523+R523+T523+V523+X523+Z523+AB523)</f>
        <v>100000</v>
      </c>
      <c r="AE523" s="7">
        <f>E523+AD523</f>
        <v>110000</v>
      </c>
      <c r="AF523" s="8">
        <f>G523+I523+K523+M523+O523+Q523+S523+U523+W523+Y523+AA523+AC523</f>
        <v>90000</v>
      </c>
      <c r="AG523" s="153">
        <f>SUM(AE523-AF523)</f>
        <v>20000</v>
      </c>
      <c r="AH523" s="99" t="s">
        <v>949</v>
      </c>
      <c r="AI523" s="99">
        <v>4</v>
      </c>
    </row>
    <row r="524" spans="1:42" customHeight="1" ht="11.5">
      <c r="A524" s="5">
        <v>516</v>
      </c>
      <c r="B524" s="166" t="s">
        <v>952</v>
      </c>
      <c r="C524" s="167" t="s">
        <v>36</v>
      </c>
      <c r="D524" s="88" t="s">
        <v>37</v>
      </c>
      <c r="E524" s="86">
        <v>5000</v>
      </c>
      <c r="F524" s="9">
        <v>15000</v>
      </c>
      <c r="G524" s="10">
        <v>5000</v>
      </c>
      <c r="H524" s="9">
        <v>10000</v>
      </c>
      <c r="I524" s="10">
        <v>15000</v>
      </c>
      <c r="J524" s="152">
        <v>20000</v>
      </c>
      <c r="K524" s="10">
        <v>10000</v>
      </c>
      <c r="L524" s="152">
        <v>0</v>
      </c>
      <c r="M524" s="10">
        <v>20000</v>
      </c>
      <c r="N524" s="152">
        <v>25000</v>
      </c>
      <c r="O524" s="10"/>
      <c r="P524" s="152">
        <v>0</v>
      </c>
      <c r="Q524" s="10">
        <v>25000</v>
      </c>
      <c r="R524" s="9">
        <v>5000</v>
      </c>
      <c r="S524" s="10"/>
      <c r="T524" s="9">
        <v>0</v>
      </c>
      <c r="U524" s="10"/>
      <c r="V524" s="9">
        <v>0</v>
      </c>
      <c r="W524" s="10"/>
      <c r="X524" s="9">
        <v>0</v>
      </c>
      <c r="Y524" s="10"/>
      <c r="Z524" s="9">
        <v>0</v>
      </c>
      <c r="AA524" s="10"/>
      <c r="AB524" s="11">
        <v>0</v>
      </c>
      <c r="AC524" s="10"/>
      <c r="AD524" s="7">
        <f>SUM(F524+H524+J524+L524+N524+P524+R524+T524+V524+X524+Z524+AB524)</f>
        <v>75000</v>
      </c>
      <c r="AE524" s="7">
        <f>E524+AD524</f>
        <v>80000</v>
      </c>
      <c r="AF524" s="8">
        <f>G524+I524+K524+M524+O524+Q524+S524+U524+W524+Y524+AA524+AC524</f>
        <v>75000</v>
      </c>
      <c r="AG524" s="153">
        <f>SUM(AE524-AF524)</f>
        <v>5000</v>
      </c>
      <c r="AH524" s="99" t="s">
        <v>953</v>
      </c>
      <c r="AI524" s="99">
        <v>4</v>
      </c>
    </row>
    <row r="525" spans="1:42" customHeight="1" ht="11.5">
      <c r="A525" s="5">
        <v>517</v>
      </c>
      <c r="B525" s="166" t="s">
        <v>954</v>
      </c>
      <c r="C525" s="167" t="s">
        <v>112</v>
      </c>
      <c r="D525" s="88" t="s">
        <v>113</v>
      </c>
      <c r="E525" s="86">
        <v>0</v>
      </c>
      <c r="F525" s="9">
        <v>0</v>
      </c>
      <c r="G525" s="10"/>
      <c r="H525" s="9">
        <v>0</v>
      </c>
      <c r="I525" s="10"/>
      <c r="J525" s="152">
        <v>0</v>
      </c>
      <c r="K525" s="10"/>
      <c r="L525" s="152">
        <v>0</v>
      </c>
      <c r="M525" s="10"/>
      <c r="N525" s="152">
        <v>0</v>
      </c>
      <c r="O525" s="10"/>
      <c r="P525" s="152">
        <v>0</v>
      </c>
      <c r="Q525" s="10"/>
      <c r="R525" s="9">
        <v>0</v>
      </c>
      <c r="S525" s="10"/>
      <c r="T525" s="9">
        <v>0</v>
      </c>
      <c r="U525" s="10"/>
      <c r="V525" s="9">
        <v>0</v>
      </c>
      <c r="W525" s="10"/>
      <c r="X525" s="9">
        <v>0</v>
      </c>
      <c r="Y525" s="10"/>
      <c r="Z525" s="9">
        <v>0</v>
      </c>
      <c r="AA525" s="10"/>
      <c r="AB525" s="11">
        <v>0</v>
      </c>
      <c r="AC525" s="10"/>
      <c r="AD525" s="7">
        <f>SUM(F525+H525+J525+L525+N525+P525+R525+T525+V525+X525+Z525+AB525)</f>
        <v>0</v>
      </c>
      <c r="AE525" s="7">
        <f>E525+AD525</f>
        <v>0</v>
      </c>
      <c r="AF525" s="8">
        <f>G525+I525+K525+M525+O525+Q525+S525+U525+W525+Y525+AA525+AC525</f>
        <v>0</v>
      </c>
      <c r="AG525" s="153">
        <f>SUM(AE525-AF525)</f>
        <v>0</v>
      </c>
      <c r="AH525" s="99" t="s">
        <v>955</v>
      </c>
      <c r="AI525" s="99">
        <v>4</v>
      </c>
    </row>
    <row r="526" spans="1:42" customHeight="1" ht="11.5">
      <c r="A526" s="5">
        <v>518</v>
      </c>
      <c r="B526" s="166" t="s">
        <v>956</v>
      </c>
      <c r="C526" s="167" t="s">
        <v>157</v>
      </c>
      <c r="D526" s="88" t="s">
        <v>158</v>
      </c>
      <c r="E526" s="86">
        <v>-306589</v>
      </c>
      <c r="F526" s="9">
        <v>2000</v>
      </c>
      <c r="G526" s="10"/>
      <c r="H526" s="9">
        <v>2000</v>
      </c>
      <c r="I526" s="10"/>
      <c r="J526" s="152">
        <v>0</v>
      </c>
      <c r="K526" s="10"/>
      <c r="L526" s="152">
        <v>0</v>
      </c>
      <c r="M526" s="10"/>
      <c r="N526" s="152">
        <v>2000</v>
      </c>
      <c r="O526" s="10"/>
      <c r="P526" s="152">
        <v>0</v>
      </c>
      <c r="Q526" s="10"/>
      <c r="R526" s="9">
        <v>2000</v>
      </c>
      <c r="S526" s="10"/>
      <c r="T526" s="9">
        <v>0</v>
      </c>
      <c r="U526" s="10"/>
      <c r="V526" s="9">
        <v>0</v>
      </c>
      <c r="W526" s="10"/>
      <c r="X526" s="9">
        <v>0</v>
      </c>
      <c r="Y526" s="10"/>
      <c r="Z526" s="9">
        <v>0</v>
      </c>
      <c r="AA526" s="10"/>
      <c r="AB526" s="11">
        <v>0</v>
      </c>
      <c r="AC526" s="10"/>
      <c r="AD526" s="7">
        <f>SUM(F526+H526+J526+L526+N526+P526+R526+T526+V526+X526+Z526+AB526)</f>
        <v>8000</v>
      </c>
      <c r="AE526" s="7">
        <f>E526+AD526</f>
        <v>-298589</v>
      </c>
      <c r="AF526" s="8">
        <f>G526+I526+K526+M526+O526+Q526+S526+U526+W526+Y526+AA526+AC526</f>
        <v>0</v>
      </c>
      <c r="AG526" s="153">
        <f>SUM(AE526-AF526)</f>
        <v>-298589</v>
      </c>
      <c r="AH526" s="99" t="s">
        <v>955</v>
      </c>
      <c r="AI526" s="99">
        <v>4</v>
      </c>
    </row>
    <row r="527" spans="1:42" customHeight="1" ht="11.5">
      <c r="A527" s="5">
        <v>519</v>
      </c>
      <c r="B527" s="166" t="s">
        <v>957</v>
      </c>
      <c r="C527" s="167" t="s">
        <v>36</v>
      </c>
      <c r="D527" s="88" t="s">
        <v>37</v>
      </c>
      <c r="E527" s="86">
        <v>19300</v>
      </c>
      <c r="F527" s="9">
        <v>0</v>
      </c>
      <c r="G527" s="10">
        <v>19300</v>
      </c>
      <c r="H527" s="9">
        <v>0</v>
      </c>
      <c r="I527" s="10"/>
      <c r="J527" s="152">
        <v>0</v>
      </c>
      <c r="K527" s="10"/>
      <c r="L527" s="152">
        <v>0</v>
      </c>
      <c r="M527" s="10"/>
      <c r="N527" s="152">
        <v>0</v>
      </c>
      <c r="O527" s="10"/>
      <c r="P527" s="152">
        <v>0</v>
      </c>
      <c r="Q527" s="10"/>
      <c r="R527" s="9">
        <v>0</v>
      </c>
      <c r="S527" s="10"/>
      <c r="T527" s="9">
        <v>0</v>
      </c>
      <c r="U527" s="10"/>
      <c r="V527" s="9">
        <v>0</v>
      </c>
      <c r="W527" s="10"/>
      <c r="X527" s="9">
        <v>0</v>
      </c>
      <c r="Y527" s="10"/>
      <c r="Z527" s="9">
        <v>0</v>
      </c>
      <c r="AA527" s="10"/>
      <c r="AB527" s="11">
        <v>0</v>
      </c>
      <c r="AC527" s="10"/>
      <c r="AD527" s="7">
        <f>SUM(F527+H527+J527+L527+N527+P527+R527+T527+V527+X527+Z527+AB527)</f>
        <v>0</v>
      </c>
      <c r="AE527" s="7">
        <f>E527+AD527</f>
        <v>19300</v>
      </c>
      <c r="AF527" s="8">
        <f>G527+I527+K527+M527+O527+Q527+S527+U527+W527+Y527+AA527+AC527</f>
        <v>19300</v>
      </c>
      <c r="AG527" s="153">
        <f>SUM(AE527-AF527)</f>
        <v>0</v>
      </c>
      <c r="AH527" s="99" t="s">
        <v>958</v>
      </c>
      <c r="AI527" s="99">
        <v>4</v>
      </c>
    </row>
    <row r="528" spans="1:42" customHeight="1" ht="11.5">
      <c r="A528" s="5">
        <v>520</v>
      </c>
      <c r="B528" s="166" t="s">
        <v>959</v>
      </c>
      <c r="C528" s="167" t="s">
        <v>36</v>
      </c>
      <c r="D528" s="88" t="s">
        <v>37</v>
      </c>
      <c r="E528" s="86">
        <v>240000</v>
      </c>
      <c r="F528" s="9">
        <v>110000</v>
      </c>
      <c r="G528" s="10">
        <v>240000</v>
      </c>
      <c r="H528" s="9">
        <v>140000</v>
      </c>
      <c r="I528" s="10">
        <v>110000</v>
      </c>
      <c r="J528" s="152">
        <v>140000</v>
      </c>
      <c r="K528" s="10">
        <v>140000</v>
      </c>
      <c r="L528" s="152">
        <v>100000</v>
      </c>
      <c r="M528" s="10">
        <v>140000</v>
      </c>
      <c r="N528" s="152">
        <v>150000</v>
      </c>
      <c r="O528" s="10">
        <v>100000</v>
      </c>
      <c r="P528" s="152">
        <v>110000</v>
      </c>
      <c r="Q528" s="10">
        <v>150000</v>
      </c>
      <c r="R528" s="9">
        <v>140000</v>
      </c>
      <c r="S528" s="10"/>
      <c r="T528" s="9">
        <v>0</v>
      </c>
      <c r="U528" s="10"/>
      <c r="V528" s="9">
        <v>0</v>
      </c>
      <c r="W528" s="10"/>
      <c r="X528" s="9">
        <v>0</v>
      </c>
      <c r="Y528" s="10"/>
      <c r="Z528" s="9">
        <v>0</v>
      </c>
      <c r="AA528" s="10"/>
      <c r="AB528" s="11">
        <v>0</v>
      </c>
      <c r="AC528" s="10"/>
      <c r="AD528" s="7">
        <f>SUM(F528+H528+J528+L528+N528+P528+R528+T528+V528+X528+Z528+AB528)</f>
        <v>890000</v>
      </c>
      <c r="AE528" s="7">
        <f>E528+AD528</f>
        <v>1130000</v>
      </c>
      <c r="AF528" s="8">
        <f>G528+I528+K528+M528+O528+Q528+S528+U528+W528+Y528+AA528+AC528</f>
        <v>880000</v>
      </c>
      <c r="AG528" s="153">
        <f>SUM(AE528-AF528)</f>
        <v>250000</v>
      </c>
      <c r="AH528" s="99" t="s">
        <v>960</v>
      </c>
      <c r="AI528" s="99">
        <v>3</v>
      </c>
    </row>
    <row r="529" spans="1:42" customHeight="1" ht="11.5">
      <c r="A529" s="5">
        <v>521</v>
      </c>
      <c r="B529" s="166" t="s">
        <v>961</v>
      </c>
      <c r="C529" s="167" t="s">
        <v>36</v>
      </c>
      <c r="D529" s="88" t="s">
        <v>37</v>
      </c>
      <c r="E529" s="86">
        <v>156553</v>
      </c>
      <c r="F529" s="9">
        <v>40000</v>
      </c>
      <c r="G529" s="10">
        <v>156553</v>
      </c>
      <c r="H529" s="9">
        <v>60000</v>
      </c>
      <c r="I529" s="10">
        <v>40000</v>
      </c>
      <c r="J529" s="152">
        <v>50000</v>
      </c>
      <c r="K529" s="10">
        <v>60000</v>
      </c>
      <c r="L529" s="152">
        <v>40000</v>
      </c>
      <c r="M529" s="10">
        <v>50000</v>
      </c>
      <c r="N529" s="152">
        <v>60000</v>
      </c>
      <c r="O529" s="10">
        <v>40000</v>
      </c>
      <c r="P529" s="152">
        <v>40000</v>
      </c>
      <c r="Q529" s="10">
        <v>60000</v>
      </c>
      <c r="R529" s="9">
        <v>80000</v>
      </c>
      <c r="S529" s="10"/>
      <c r="T529" s="9">
        <v>0</v>
      </c>
      <c r="U529" s="10"/>
      <c r="V529" s="9">
        <v>0</v>
      </c>
      <c r="W529" s="10"/>
      <c r="X529" s="9">
        <v>0</v>
      </c>
      <c r="Y529" s="10"/>
      <c r="Z529" s="9">
        <v>0</v>
      </c>
      <c r="AA529" s="10"/>
      <c r="AB529" s="11">
        <v>0</v>
      </c>
      <c r="AC529" s="10"/>
      <c r="AD529" s="7">
        <f>SUM(F529+H529+J529+L529+N529+P529+R529+T529+V529+X529+Z529+AB529)</f>
        <v>370000</v>
      </c>
      <c r="AE529" s="7">
        <f>E529+AD529</f>
        <v>526553</v>
      </c>
      <c r="AF529" s="8">
        <f>G529+I529+K529+M529+O529+Q529+S529+U529+W529+Y529+AA529+AC529</f>
        <v>406553</v>
      </c>
      <c r="AG529" s="153">
        <f>SUM(AE529-AF529)</f>
        <v>120000</v>
      </c>
      <c r="AH529" s="99" t="s">
        <v>962</v>
      </c>
      <c r="AI529" s="99">
        <v>4</v>
      </c>
    </row>
    <row r="530" spans="1:42" customHeight="1" ht="11.5">
      <c r="A530" s="5">
        <v>522</v>
      </c>
      <c r="B530" s="166" t="s">
        <v>963</v>
      </c>
      <c r="C530" s="167" t="s">
        <v>132</v>
      </c>
      <c r="D530" s="88" t="s">
        <v>133</v>
      </c>
      <c r="E530" s="86">
        <v>0</v>
      </c>
      <c r="F530" s="9">
        <v>0</v>
      </c>
      <c r="G530" s="10"/>
      <c r="H530" s="9">
        <v>0</v>
      </c>
      <c r="I530" s="10"/>
      <c r="J530" s="152">
        <v>0</v>
      </c>
      <c r="K530" s="10"/>
      <c r="L530" s="152">
        <v>0</v>
      </c>
      <c r="M530" s="10"/>
      <c r="N530" s="152">
        <v>0</v>
      </c>
      <c r="O530" s="10"/>
      <c r="P530" s="152">
        <v>0</v>
      </c>
      <c r="Q530" s="10"/>
      <c r="R530" s="9">
        <v>0</v>
      </c>
      <c r="S530" s="10"/>
      <c r="T530" s="9">
        <v>0</v>
      </c>
      <c r="U530" s="10"/>
      <c r="V530" s="9">
        <v>0</v>
      </c>
      <c r="W530" s="10"/>
      <c r="X530" s="9">
        <v>0</v>
      </c>
      <c r="Y530" s="10"/>
      <c r="Z530" s="9">
        <v>0</v>
      </c>
      <c r="AA530" s="10"/>
      <c r="AB530" s="11">
        <v>0</v>
      </c>
      <c r="AC530" s="10"/>
      <c r="AD530" s="7">
        <f>SUM(F530+H530+J530+L530+N530+P530+R530+T530+V530+X530+Z530+AB530)</f>
        <v>0</v>
      </c>
      <c r="AE530" s="7">
        <f>E530+AD530</f>
        <v>0</v>
      </c>
      <c r="AF530" s="8">
        <f>G530+I530+K530+M530+O530+Q530+S530+U530+W530+Y530+AA530+AC530</f>
        <v>0</v>
      </c>
      <c r="AG530" s="153">
        <f>SUM(AE530-AF530)</f>
        <v>0</v>
      </c>
      <c r="AH530" s="99" t="s">
        <v>964</v>
      </c>
      <c r="AI530" s="99">
        <v>4</v>
      </c>
    </row>
    <row r="531" spans="1:42" customHeight="1" ht="11.5">
      <c r="A531" s="5">
        <v>523</v>
      </c>
      <c r="B531" s="166" t="s">
        <v>965</v>
      </c>
      <c r="C531" s="167" t="s">
        <v>36</v>
      </c>
      <c r="D531" s="88" t="s">
        <v>37</v>
      </c>
      <c r="E531" s="86">
        <v>0</v>
      </c>
      <c r="F531" s="9">
        <v>0</v>
      </c>
      <c r="G531" s="10"/>
      <c r="H531" s="9">
        <v>0</v>
      </c>
      <c r="I531" s="10"/>
      <c r="J531" s="152">
        <v>0</v>
      </c>
      <c r="K531" s="10"/>
      <c r="L531" s="152">
        <v>0</v>
      </c>
      <c r="M531" s="10"/>
      <c r="N531" s="152">
        <v>0</v>
      </c>
      <c r="O531" s="10"/>
      <c r="P531" s="152">
        <v>0</v>
      </c>
      <c r="Q531" s="10"/>
      <c r="R531" s="9">
        <v>0</v>
      </c>
      <c r="S531" s="10"/>
      <c r="T531" s="9">
        <v>0</v>
      </c>
      <c r="U531" s="10"/>
      <c r="V531" s="9">
        <v>0</v>
      </c>
      <c r="W531" s="10"/>
      <c r="X531" s="9">
        <v>0</v>
      </c>
      <c r="Y531" s="10"/>
      <c r="Z531" s="9">
        <v>0</v>
      </c>
      <c r="AA531" s="10"/>
      <c r="AB531" s="11">
        <v>0</v>
      </c>
      <c r="AC531" s="10"/>
      <c r="AD531" s="7">
        <f>SUM(F531+H531+J531+L531+N531+P531+R531+T531+V531+X531+Z531+AB531)</f>
        <v>0</v>
      </c>
      <c r="AE531" s="7">
        <f>E531+AD531</f>
        <v>0</v>
      </c>
      <c r="AF531" s="8">
        <f>G531+I531+K531+M531+O531+Q531+S531+U531+W531+Y531+AA531+AC531</f>
        <v>0</v>
      </c>
      <c r="AG531" s="153">
        <f>SUM(AE531-AF531)</f>
        <v>0</v>
      </c>
      <c r="AH531" s="99" t="s">
        <v>966</v>
      </c>
      <c r="AI531" s="99">
        <v>3</v>
      </c>
    </row>
    <row r="532" spans="1:42" customHeight="1" ht="11.5">
      <c r="A532" s="5">
        <v>524</v>
      </c>
      <c r="B532" s="166" t="s">
        <v>967</v>
      </c>
      <c r="C532" s="167" t="s">
        <v>36</v>
      </c>
      <c r="D532" s="88" t="s">
        <v>37</v>
      </c>
      <c r="E532" s="86">
        <v>70000</v>
      </c>
      <c r="F532" s="9">
        <v>10000</v>
      </c>
      <c r="G532" s="10">
        <v>70000</v>
      </c>
      <c r="H532" s="9">
        <v>20000</v>
      </c>
      <c r="I532" s="10">
        <v>10000</v>
      </c>
      <c r="J532" s="152">
        <v>20000</v>
      </c>
      <c r="K532" s="10">
        <v>20000</v>
      </c>
      <c r="L532" s="152">
        <v>10000</v>
      </c>
      <c r="M532" s="10">
        <v>20000</v>
      </c>
      <c r="N532" s="152">
        <v>20000</v>
      </c>
      <c r="O532" s="10">
        <v>10000</v>
      </c>
      <c r="P532" s="152">
        <v>10000</v>
      </c>
      <c r="Q532" s="10">
        <v>20000</v>
      </c>
      <c r="R532" s="9">
        <v>10000</v>
      </c>
      <c r="S532" s="10"/>
      <c r="T532" s="9">
        <v>0</v>
      </c>
      <c r="U532" s="10"/>
      <c r="V532" s="9">
        <v>0</v>
      </c>
      <c r="W532" s="10"/>
      <c r="X532" s="9">
        <v>0</v>
      </c>
      <c r="Y532" s="10"/>
      <c r="Z532" s="9">
        <v>0</v>
      </c>
      <c r="AA532" s="10"/>
      <c r="AB532" s="11">
        <v>0</v>
      </c>
      <c r="AC532" s="10"/>
      <c r="AD532" s="7">
        <f>SUM(F532+H532+J532+L532+N532+P532+R532+T532+V532+X532+Z532+AB532)</f>
        <v>100000</v>
      </c>
      <c r="AE532" s="7">
        <f>E532+AD532</f>
        <v>170000</v>
      </c>
      <c r="AF532" s="8">
        <f>G532+I532+K532+M532+O532+Q532+S532+U532+W532+Y532+AA532+AC532</f>
        <v>150000</v>
      </c>
      <c r="AG532" s="153">
        <f>SUM(AE532-AF532)</f>
        <v>20000</v>
      </c>
      <c r="AH532" s="99" t="s">
        <v>968</v>
      </c>
      <c r="AI532" s="99">
        <v>4</v>
      </c>
    </row>
    <row r="533" spans="1:42" customHeight="1" ht="11.5">
      <c r="A533" s="5">
        <v>525</v>
      </c>
      <c r="B533" s="166" t="s">
        <v>969</v>
      </c>
      <c r="C533" s="167" t="s">
        <v>36</v>
      </c>
      <c r="D533" s="88" t="s">
        <v>37</v>
      </c>
      <c r="E533" s="86">
        <v>10000</v>
      </c>
      <c r="F533" s="9">
        <v>10000</v>
      </c>
      <c r="G533" s="10">
        <v>10000</v>
      </c>
      <c r="H533" s="9">
        <v>0</v>
      </c>
      <c r="I533" s="10">
        <v>10000</v>
      </c>
      <c r="J533" s="152">
        <v>0</v>
      </c>
      <c r="K533" s="10"/>
      <c r="L533" s="152">
        <v>10000</v>
      </c>
      <c r="M533" s="10"/>
      <c r="N533" s="152">
        <v>0</v>
      </c>
      <c r="O533" s="10">
        <v>10000</v>
      </c>
      <c r="P533" s="152">
        <v>10000</v>
      </c>
      <c r="Q533" s="10"/>
      <c r="R533" s="9">
        <v>30</v>
      </c>
      <c r="S533" s="10"/>
      <c r="T533" s="9">
        <v>0</v>
      </c>
      <c r="U533" s="10"/>
      <c r="V533" s="9">
        <v>0</v>
      </c>
      <c r="W533" s="10"/>
      <c r="X533" s="9">
        <v>0</v>
      </c>
      <c r="Y533" s="10"/>
      <c r="Z533" s="9">
        <v>0</v>
      </c>
      <c r="AA533" s="10"/>
      <c r="AB533" s="11">
        <v>0</v>
      </c>
      <c r="AC533" s="10"/>
      <c r="AD533" s="7">
        <f>SUM(F533+H533+J533+L533+N533+P533+R533+T533+V533+X533+Z533+AB533)</f>
        <v>30030</v>
      </c>
      <c r="AE533" s="7">
        <f>E533+AD533</f>
        <v>40030</v>
      </c>
      <c r="AF533" s="8">
        <f>G533+I533+K533+M533+O533+Q533+S533+U533+W533+Y533+AA533+AC533</f>
        <v>30000</v>
      </c>
      <c r="AG533" s="153">
        <f>SUM(AE533-AF533)</f>
        <v>10030</v>
      </c>
      <c r="AH533" s="99" t="s">
        <v>970</v>
      </c>
      <c r="AI533" s="99">
        <v>4</v>
      </c>
    </row>
    <row r="534" spans="1:42" customHeight="1" ht="11.5">
      <c r="A534" s="5">
        <v>526</v>
      </c>
      <c r="B534" s="166" t="s">
        <v>971</v>
      </c>
      <c r="C534" s="167" t="s">
        <v>36</v>
      </c>
      <c r="D534" s="88" t="s">
        <v>37</v>
      </c>
      <c r="E534" s="86">
        <v>24000</v>
      </c>
      <c r="F534" s="9">
        <v>6000</v>
      </c>
      <c r="G534" s="10">
        <v>1318</v>
      </c>
      <c r="H534" s="9">
        <v>3000</v>
      </c>
      <c r="I534" s="10">
        <v>28682</v>
      </c>
      <c r="J534" s="152">
        <v>6000</v>
      </c>
      <c r="K534" s="10">
        <v>3000</v>
      </c>
      <c r="L534" s="152">
        <v>9000</v>
      </c>
      <c r="M534" s="10">
        <v>6000</v>
      </c>
      <c r="N534" s="152">
        <v>3000</v>
      </c>
      <c r="O534" s="10">
        <v>9000</v>
      </c>
      <c r="P534" s="152">
        <v>3000</v>
      </c>
      <c r="Q534" s="10">
        <v>3000</v>
      </c>
      <c r="R534" s="9">
        <v>6000</v>
      </c>
      <c r="S534" s="10"/>
      <c r="T534" s="9">
        <v>0</v>
      </c>
      <c r="U534" s="10"/>
      <c r="V534" s="9">
        <v>0</v>
      </c>
      <c r="W534" s="10"/>
      <c r="X534" s="9">
        <v>0</v>
      </c>
      <c r="Y534" s="10"/>
      <c r="Z534" s="9">
        <v>0</v>
      </c>
      <c r="AA534" s="10"/>
      <c r="AB534" s="11">
        <v>0</v>
      </c>
      <c r="AC534" s="10"/>
      <c r="AD534" s="7">
        <f>SUM(F534+H534+J534+L534+N534+P534+R534+T534+V534+X534+Z534+AB534)</f>
        <v>36000</v>
      </c>
      <c r="AE534" s="7">
        <f>E534+AD534</f>
        <v>60000</v>
      </c>
      <c r="AF534" s="8">
        <f>G534+I534+K534+M534+O534+Q534+S534+U534+W534+Y534+AA534+AC534</f>
        <v>51000</v>
      </c>
      <c r="AG534" s="153">
        <f>SUM(AE534-AF534)</f>
        <v>9000</v>
      </c>
      <c r="AH534" s="99" t="s">
        <v>972</v>
      </c>
      <c r="AI534" s="99">
        <v>4</v>
      </c>
    </row>
    <row r="535" spans="1:42" customHeight="1" ht="11.5">
      <c r="A535" s="5">
        <v>527</v>
      </c>
      <c r="B535" s="166" t="s">
        <v>973</v>
      </c>
      <c r="C535" s="167" t="s">
        <v>101</v>
      </c>
      <c r="D535" s="88" t="s">
        <v>102</v>
      </c>
      <c r="E535" s="86">
        <v>4000</v>
      </c>
      <c r="F535" s="9">
        <v>4000</v>
      </c>
      <c r="G535" s="10">
        <v>4000</v>
      </c>
      <c r="H535" s="9">
        <v>2000</v>
      </c>
      <c r="I535" s="10">
        <v>4000</v>
      </c>
      <c r="J535" s="152">
        <v>4000</v>
      </c>
      <c r="K535" s="10">
        <v>2000</v>
      </c>
      <c r="L535" s="152">
        <v>4000</v>
      </c>
      <c r="M535" s="10">
        <v>4000</v>
      </c>
      <c r="N535" s="152">
        <v>4000</v>
      </c>
      <c r="O535" s="10">
        <v>4000</v>
      </c>
      <c r="P535" s="152">
        <v>4000</v>
      </c>
      <c r="Q535" s="10">
        <v>4000</v>
      </c>
      <c r="R535" s="9">
        <v>0</v>
      </c>
      <c r="S535" s="10"/>
      <c r="T535" s="9">
        <v>0</v>
      </c>
      <c r="U535" s="10"/>
      <c r="V535" s="9">
        <v>0</v>
      </c>
      <c r="W535" s="10"/>
      <c r="X535" s="9">
        <v>0</v>
      </c>
      <c r="Y535" s="10"/>
      <c r="Z535" s="9">
        <v>0</v>
      </c>
      <c r="AA535" s="10"/>
      <c r="AB535" s="11">
        <v>0</v>
      </c>
      <c r="AC535" s="10"/>
      <c r="AD535" s="7">
        <f>SUM(F535+H535+J535+L535+N535+P535+R535+T535+V535+X535+Z535+AB535)</f>
        <v>22000</v>
      </c>
      <c r="AE535" s="7">
        <f>E535+AD535</f>
        <v>26000</v>
      </c>
      <c r="AF535" s="8">
        <f>G535+I535+K535+M535+O535+Q535+S535+U535+W535+Y535+AA535+AC535</f>
        <v>22000</v>
      </c>
      <c r="AG535" s="153">
        <f>SUM(AE535-AF535)</f>
        <v>4000</v>
      </c>
      <c r="AH535" s="99" t="s">
        <v>974</v>
      </c>
      <c r="AI535" s="99">
        <v>4</v>
      </c>
    </row>
    <row r="536" spans="1:42" customHeight="1" ht="11.5">
      <c r="A536" s="5">
        <v>528</v>
      </c>
      <c r="B536" s="166" t="s">
        <v>975</v>
      </c>
      <c r="C536" s="167" t="s">
        <v>36</v>
      </c>
      <c r="D536" s="88" t="s">
        <v>37</v>
      </c>
      <c r="E536" s="86">
        <v>9000</v>
      </c>
      <c r="F536" s="9">
        <v>0</v>
      </c>
      <c r="G536" s="10">
        <v>9000</v>
      </c>
      <c r="H536" s="9">
        <v>10000</v>
      </c>
      <c r="I536" s="10"/>
      <c r="J536" s="152">
        <v>0</v>
      </c>
      <c r="K536" s="10">
        <v>10000</v>
      </c>
      <c r="L536" s="152">
        <v>0</v>
      </c>
      <c r="M536" s="10"/>
      <c r="N536" s="152">
        <v>0</v>
      </c>
      <c r="O536" s="10"/>
      <c r="P536" s="152">
        <v>0</v>
      </c>
      <c r="Q536" s="10"/>
      <c r="R536" s="9">
        <v>10030</v>
      </c>
      <c r="S536" s="10"/>
      <c r="T536" s="9">
        <v>0</v>
      </c>
      <c r="U536" s="10"/>
      <c r="V536" s="9">
        <v>0</v>
      </c>
      <c r="W536" s="10"/>
      <c r="X536" s="9">
        <v>0</v>
      </c>
      <c r="Y536" s="10"/>
      <c r="Z536" s="9">
        <v>0</v>
      </c>
      <c r="AA536" s="10"/>
      <c r="AB536" s="11">
        <v>0</v>
      </c>
      <c r="AC536" s="10"/>
      <c r="AD536" s="7">
        <f>SUM(F536+H536+J536+L536+N536+P536+R536+T536+V536+X536+Z536+AB536)</f>
        <v>20030</v>
      </c>
      <c r="AE536" s="7">
        <f>E536+AD536</f>
        <v>29030</v>
      </c>
      <c r="AF536" s="8">
        <f>G536+I536+K536+M536+O536+Q536+S536+U536+W536+Y536+AA536+AC536</f>
        <v>19000</v>
      </c>
      <c r="AG536" s="153">
        <f>SUM(AE536-AF536)</f>
        <v>10030</v>
      </c>
      <c r="AH536" s="99" t="s">
        <v>976</v>
      </c>
      <c r="AI536" s="99">
        <v>4</v>
      </c>
    </row>
    <row r="537" spans="1:42" customHeight="1" ht="11.5">
      <c r="A537" s="5">
        <v>529</v>
      </c>
      <c r="B537" s="166" t="s">
        <v>977</v>
      </c>
      <c r="C537" s="167" t="s">
        <v>132</v>
      </c>
      <c r="D537" s="88" t="s">
        <v>133</v>
      </c>
      <c r="E537" s="86">
        <v>7000</v>
      </c>
      <c r="F537" s="9">
        <v>2000</v>
      </c>
      <c r="G537" s="10"/>
      <c r="H537" s="9">
        <v>3500</v>
      </c>
      <c r="I537" s="10"/>
      <c r="J537" s="152">
        <v>3000</v>
      </c>
      <c r="K537" s="10">
        <v>12500</v>
      </c>
      <c r="L537" s="152">
        <v>4000</v>
      </c>
      <c r="M537" s="10">
        <v>3000</v>
      </c>
      <c r="N537" s="152">
        <v>2000</v>
      </c>
      <c r="O537" s="10"/>
      <c r="P537" s="152">
        <v>2500</v>
      </c>
      <c r="Q537" s="10"/>
      <c r="R537" s="9">
        <v>2000</v>
      </c>
      <c r="S537" s="10"/>
      <c r="T537" s="9">
        <v>0</v>
      </c>
      <c r="U537" s="10"/>
      <c r="V537" s="9">
        <v>0</v>
      </c>
      <c r="W537" s="10"/>
      <c r="X537" s="9">
        <v>0</v>
      </c>
      <c r="Y537" s="10"/>
      <c r="Z537" s="9">
        <v>0</v>
      </c>
      <c r="AA537" s="10"/>
      <c r="AB537" s="11">
        <v>0</v>
      </c>
      <c r="AC537" s="10"/>
      <c r="AD537" s="7">
        <f>SUM(F537+H537+J537+L537+N537+P537+R537+T537+V537+X537+Z537+AB537)</f>
        <v>19000</v>
      </c>
      <c r="AE537" s="7">
        <f>E537+AD537</f>
        <v>26000</v>
      </c>
      <c r="AF537" s="8">
        <f>G537+I537+K537+M537+O537+Q537+S537+U537+W537+Y537+AA537+AC537</f>
        <v>15500</v>
      </c>
      <c r="AG537" s="153">
        <f>SUM(AE537-AF537)</f>
        <v>10500</v>
      </c>
      <c r="AH537" s="99" t="s">
        <v>978</v>
      </c>
      <c r="AI537" s="99">
        <v>4</v>
      </c>
    </row>
    <row r="538" spans="1:42" customHeight="1" ht="11.5">
      <c r="A538" s="5">
        <v>530</v>
      </c>
      <c r="B538" s="166" t="s">
        <v>979</v>
      </c>
      <c r="C538" s="167" t="s">
        <v>132</v>
      </c>
      <c r="D538" s="88" t="s">
        <v>133</v>
      </c>
      <c r="E538" s="86">
        <v>3000</v>
      </c>
      <c r="F538" s="9">
        <v>1000</v>
      </c>
      <c r="G538" s="10"/>
      <c r="H538" s="9">
        <v>2000</v>
      </c>
      <c r="I538" s="10"/>
      <c r="J538" s="152">
        <v>2000</v>
      </c>
      <c r="K538" s="10">
        <v>6000</v>
      </c>
      <c r="L538" s="152">
        <v>2000</v>
      </c>
      <c r="M538" s="10">
        <v>2000</v>
      </c>
      <c r="N538" s="152">
        <v>1000</v>
      </c>
      <c r="O538" s="10"/>
      <c r="P538" s="152">
        <v>1000</v>
      </c>
      <c r="Q538" s="10"/>
      <c r="R538" s="9">
        <v>1000</v>
      </c>
      <c r="S538" s="10"/>
      <c r="T538" s="9">
        <v>0</v>
      </c>
      <c r="U538" s="10"/>
      <c r="V538" s="9">
        <v>0</v>
      </c>
      <c r="W538" s="10"/>
      <c r="X538" s="9">
        <v>0</v>
      </c>
      <c r="Y538" s="10"/>
      <c r="Z538" s="9">
        <v>0</v>
      </c>
      <c r="AA538" s="10"/>
      <c r="AB538" s="11">
        <v>0</v>
      </c>
      <c r="AC538" s="10"/>
      <c r="AD538" s="7">
        <f>SUM(F538+H538+J538+L538+N538+P538+R538+T538+V538+X538+Z538+AB538)</f>
        <v>10000</v>
      </c>
      <c r="AE538" s="7">
        <f>E538+AD538</f>
        <v>13000</v>
      </c>
      <c r="AF538" s="8">
        <f>G538+I538+K538+M538+O538+Q538+S538+U538+W538+Y538+AA538+AC538</f>
        <v>8000</v>
      </c>
      <c r="AG538" s="153">
        <f>SUM(AE538-AF538)</f>
        <v>5000</v>
      </c>
      <c r="AH538" s="99" t="s">
        <v>980</v>
      </c>
      <c r="AI538" s="99">
        <v>4</v>
      </c>
    </row>
    <row r="539" spans="1:42" customHeight="1" ht="11.5">
      <c r="A539" s="5">
        <v>531</v>
      </c>
      <c r="B539" s="166" t="s">
        <v>981</v>
      </c>
      <c r="C539" s="167" t="s">
        <v>132</v>
      </c>
      <c r="D539" s="88" t="s">
        <v>133</v>
      </c>
      <c r="E539" s="86">
        <v>0</v>
      </c>
      <c r="F539" s="9">
        <v>0</v>
      </c>
      <c r="G539" s="10"/>
      <c r="H539" s="9">
        <v>0</v>
      </c>
      <c r="I539" s="10"/>
      <c r="J539" s="152">
        <v>0</v>
      </c>
      <c r="K539" s="10"/>
      <c r="L539" s="152">
        <v>0</v>
      </c>
      <c r="M539" s="10"/>
      <c r="N539" s="152">
        <v>10000</v>
      </c>
      <c r="O539" s="10"/>
      <c r="P539" s="152">
        <v>0</v>
      </c>
      <c r="Q539" s="10"/>
      <c r="R539" s="9">
        <v>0</v>
      </c>
      <c r="S539" s="10"/>
      <c r="T539" s="9">
        <v>0</v>
      </c>
      <c r="U539" s="10"/>
      <c r="V539" s="9">
        <v>0</v>
      </c>
      <c r="W539" s="10"/>
      <c r="X539" s="9">
        <v>0</v>
      </c>
      <c r="Y539" s="10"/>
      <c r="Z539" s="9">
        <v>0</v>
      </c>
      <c r="AA539" s="10"/>
      <c r="AB539" s="11">
        <v>0</v>
      </c>
      <c r="AC539" s="10"/>
      <c r="AD539" s="7">
        <f>SUM(F539+H539+J539+L539+N539+P539+R539+T539+V539+X539+Z539+AB539)</f>
        <v>10000</v>
      </c>
      <c r="AE539" s="7">
        <f>E539+AD539</f>
        <v>10000</v>
      </c>
      <c r="AF539" s="8">
        <f>G539+I539+K539+M539+O539+Q539+S539+U539+W539+Y539+AA539+AC539</f>
        <v>0</v>
      </c>
      <c r="AG539" s="153">
        <f>SUM(AE539-AF539)</f>
        <v>10000</v>
      </c>
      <c r="AH539" s="99" t="s">
        <v>982</v>
      </c>
      <c r="AI539" s="99">
        <v>4</v>
      </c>
    </row>
    <row r="540" spans="1:42" customHeight="1" ht="11.5">
      <c r="A540" s="5">
        <v>532</v>
      </c>
      <c r="B540" s="166" t="s">
        <v>983</v>
      </c>
      <c r="C540" s="167" t="s">
        <v>36</v>
      </c>
      <c r="D540" s="88" t="s">
        <v>37</v>
      </c>
      <c r="E540" s="86">
        <v>50000</v>
      </c>
      <c r="F540" s="9">
        <v>10000</v>
      </c>
      <c r="G540" s="10">
        <v>50000</v>
      </c>
      <c r="H540" s="9">
        <v>10000</v>
      </c>
      <c r="I540" s="10">
        <v>10000</v>
      </c>
      <c r="J540" s="152">
        <v>10000</v>
      </c>
      <c r="K540" s="10">
        <v>10000</v>
      </c>
      <c r="L540" s="152">
        <v>10000</v>
      </c>
      <c r="M540" s="10">
        <v>10000</v>
      </c>
      <c r="N540" s="152">
        <v>10000</v>
      </c>
      <c r="O540" s="10">
        <v>10000</v>
      </c>
      <c r="P540" s="152">
        <v>10000</v>
      </c>
      <c r="Q540" s="10">
        <v>10000</v>
      </c>
      <c r="R540" s="9">
        <v>10000</v>
      </c>
      <c r="S540" s="10"/>
      <c r="T540" s="9">
        <v>0</v>
      </c>
      <c r="U540" s="10"/>
      <c r="V540" s="9">
        <v>0</v>
      </c>
      <c r="W540" s="10"/>
      <c r="X540" s="9">
        <v>0</v>
      </c>
      <c r="Y540" s="10"/>
      <c r="Z540" s="9">
        <v>0</v>
      </c>
      <c r="AA540" s="10"/>
      <c r="AB540" s="11">
        <v>0</v>
      </c>
      <c r="AC540" s="10"/>
      <c r="AD540" s="7">
        <f>SUM(F540+H540+J540+L540+N540+P540+R540+T540+V540+X540+Z540+AB540)</f>
        <v>70000</v>
      </c>
      <c r="AE540" s="7">
        <f>E540+AD540</f>
        <v>120000</v>
      </c>
      <c r="AF540" s="8">
        <f>G540+I540+K540+M540+O540+Q540+S540+U540+W540+Y540+AA540+AC540</f>
        <v>100000</v>
      </c>
      <c r="AG540" s="153">
        <f>SUM(AE540-AF540)</f>
        <v>20000</v>
      </c>
      <c r="AH540" s="99" t="s">
        <v>984</v>
      </c>
      <c r="AI540" s="99">
        <v>4</v>
      </c>
    </row>
    <row r="541" spans="1:42" customHeight="1" ht="11.5">
      <c r="A541" s="5">
        <v>533</v>
      </c>
      <c r="B541" s="166" t="s">
        <v>985</v>
      </c>
      <c r="C541" s="167" t="s">
        <v>36</v>
      </c>
      <c r="D541" s="88" t="s">
        <v>37</v>
      </c>
      <c r="E541" s="86">
        <v>0</v>
      </c>
      <c r="F541" s="9">
        <v>0</v>
      </c>
      <c r="G541" s="10"/>
      <c r="H541" s="9">
        <v>0</v>
      </c>
      <c r="I541" s="10"/>
      <c r="J541" s="152">
        <v>0</v>
      </c>
      <c r="K541" s="10"/>
      <c r="L541" s="152">
        <v>0</v>
      </c>
      <c r="M541" s="10"/>
      <c r="N541" s="152">
        <v>0</v>
      </c>
      <c r="O541" s="10"/>
      <c r="P541" s="152">
        <v>0</v>
      </c>
      <c r="Q541" s="10"/>
      <c r="R541" s="9">
        <v>0</v>
      </c>
      <c r="S541" s="10"/>
      <c r="T541" s="9">
        <v>0</v>
      </c>
      <c r="U541" s="10"/>
      <c r="V541" s="9">
        <v>0</v>
      </c>
      <c r="W541" s="10"/>
      <c r="X541" s="9">
        <v>0</v>
      </c>
      <c r="Y541" s="10"/>
      <c r="Z541" s="9">
        <v>0</v>
      </c>
      <c r="AA541" s="10"/>
      <c r="AB541" s="11">
        <v>0</v>
      </c>
      <c r="AC541" s="10"/>
      <c r="AD541" s="7">
        <f>SUM(F541+H541+J541+L541+N541+P541+R541+T541+V541+X541+Z541+AB541)</f>
        <v>0</v>
      </c>
      <c r="AE541" s="7">
        <f>E541+AD541</f>
        <v>0</v>
      </c>
      <c r="AF541" s="8">
        <f>G541+I541+K541+M541+O541+Q541+S541+U541+W541+Y541+AA541+AC541</f>
        <v>0</v>
      </c>
      <c r="AG541" s="153">
        <f>SUM(AE541-AF541)</f>
        <v>0</v>
      </c>
      <c r="AH541" s="99" t="s">
        <v>986</v>
      </c>
      <c r="AI541" s="99">
        <v>4</v>
      </c>
    </row>
    <row r="542" spans="1:42" customHeight="1" ht="11.5">
      <c r="A542" s="5">
        <v>534</v>
      </c>
      <c r="B542" s="166" t="s">
        <v>987</v>
      </c>
      <c r="C542" s="167" t="s">
        <v>36</v>
      </c>
      <c r="D542" s="88" t="s">
        <v>37</v>
      </c>
      <c r="E542" s="86">
        <v>0</v>
      </c>
      <c r="F542" s="9">
        <v>0</v>
      </c>
      <c r="G542" s="10"/>
      <c r="H542" s="9">
        <v>0</v>
      </c>
      <c r="I542" s="10"/>
      <c r="J542" s="152">
        <v>0</v>
      </c>
      <c r="K542" s="10"/>
      <c r="L542" s="152">
        <v>0</v>
      </c>
      <c r="M542" s="10"/>
      <c r="N542" s="152">
        <v>0</v>
      </c>
      <c r="O542" s="10"/>
      <c r="P542" s="152">
        <v>0</v>
      </c>
      <c r="Q542" s="10"/>
      <c r="R542" s="9">
        <v>0</v>
      </c>
      <c r="S542" s="10"/>
      <c r="T542" s="9">
        <v>0</v>
      </c>
      <c r="U542" s="10"/>
      <c r="V542" s="9">
        <v>0</v>
      </c>
      <c r="W542" s="10"/>
      <c r="X542" s="9">
        <v>0</v>
      </c>
      <c r="Y542" s="10"/>
      <c r="Z542" s="9">
        <v>0</v>
      </c>
      <c r="AA542" s="10"/>
      <c r="AB542" s="11">
        <v>0</v>
      </c>
      <c r="AC542" s="10"/>
      <c r="AD542" s="7">
        <f>SUM(F542+H542+J542+L542+N542+P542+R542+T542+V542+X542+Z542+AB542)</f>
        <v>0</v>
      </c>
      <c r="AE542" s="7">
        <f>E542+AD542</f>
        <v>0</v>
      </c>
      <c r="AF542" s="8">
        <f>G542+I542+K542+M542+O542+Q542+S542+U542+W542+Y542+AA542+AC542</f>
        <v>0</v>
      </c>
      <c r="AG542" s="153">
        <f>SUM(AE542-AF542)</f>
        <v>0</v>
      </c>
      <c r="AH542" s="99" t="s">
        <v>986</v>
      </c>
      <c r="AI542" s="99">
        <v>4</v>
      </c>
    </row>
    <row r="543" spans="1:42" customHeight="1" ht="11.5">
      <c r="A543" s="5">
        <v>535</v>
      </c>
      <c r="B543" s="169" t="s">
        <v>988</v>
      </c>
      <c r="C543" s="167" t="s">
        <v>36</v>
      </c>
      <c r="D543" s="88" t="s">
        <v>37</v>
      </c>
      <c r="E543" s="86">
        <v>0</v>
      </c>
      <c r="F543" s="9">
        <v>0</v>
      </c>
      <c r="G543" s="10"/>
      <c r="H543" s="9">
        <v>0</v>
      </c>
      <c r="I543" s="10"/>
      <c r="J543" s="152">
        <v>0</v>
      </c>
      <c r="K543" s="10"/>
      <c r="L543" s="152">
        <v>0</v>
      </c>
      <c r="M543" s="10"/>
      <c r="N543" s="152">
        <v>0</v>
      </c>
      <c r="O543" s="10"/>
      <c r="P543" s="152">
        <v>0</v>
      </c>
      <c r="Q543" s="10"/>
      <c r="R543" s="9">
        <v>0</v>
      </c>
      <c r="S543" s="10"/>
      <c r="T543" s="9">
        <v>0</v>
      </c>
      <c r="U543" s="10"/>
      <c r="V543" s="9">
        <v>0</v>
      </c>
      <c r="W543" s="10"/>
      <c r="X543" s="9">
        <v>0</v>
      </c>
      <c r="Y543" s="10"/>
      <c r="Z543" s="9">
        <v>0</v>
      </c>
      <c r="AA543" s="10"/>
      <c r="AB543" s="11">
        <v>0</v>
      </c>
      <c r="AC543" s="10"/>
      <c r="AD543" s="7">
        <f>SUM(F543+H543+J543+L543+N543+P543+R543+T543+V543+X543+Z543+AB543)</f>
        <v>0</v>
      </c>
      <c r="AE543" s="7">
        <f>E543+AD543</f>
        <v>0</v>
      </c>
      <c r="AF543" s="8">
        <f>G543+I543+K543+M543+O543+Q543+S543+U543+W543+Y543+AA543+AC543</f>
        <v>0</v>
      </c>
      <c r="AG543" s="153">
        <f>SUM(AE543-AF543)</f>
        <v>0</v>
      </c>
      <c r="AH543" s="99" t="s">
        <v>986</v>
      </c>
      <c r="AI543" s="99">
        <v>4</v>
      </c>
    </row>
    <row r="544" spans="1:42" customHeight="1" ht="11.5">
      <c r="A544" s="5">
        <v>536</v>
      </c>
      <c r="B544" s="166" t="s">
        <v>989</v>
      </c>
      <c r="C544" s="167" t="s">
        <v>36</v>
      </c>
      <c r="D544" s="88" t="s">
        <v>37</v>
      </c>
      <c r="E544" s="86">
        <v>0</v>
      </c>
      <c r="F544" s="9">
        <v>0</v>
      </c>
      <c r="G544" s="10"/>
      <c r="H544" s="9">
        <v>0</v>
      </c>
      <c r="I544" s="10"/>
      <c r="J544" s="152">
        <v>0</v>
      </c>
      <c r="K544" s="10"/>
      <c r="L544" s="152">
        <v>0</v>
      </c>
      <c r="M544" s="10"/>
      <c r="N544" s="152">
        <v>0</v>
      </c>
      <c r="O544" s="10"/>
      <c r="P544" s="152">
        <v>0</v>
      </c>
      <c r="Q544" s="10"/>
      <c r="R544" s="9">
        <v>0</v>
      </c>
      <c r="S544" s="10"/>
      <c r="T544" s="9">
        <v>0</v>
      </c>
      <c r="U544" s="10"/>
      <c r="V544" s="9">
        <v>0</v>
      </c>
      <c r="W544" s="10"/>
      <c r="X544" s="9">
        <v>0</v>
      </c>
      <c r="Y544" s="10"/>
      <c r="Z544" s="9">
        <v>0</v>
      </c>
      <c r="AA544" s="10"/>
      <c r="AB544" s="11">
        <v>0</v>
      </c>
      <c r="AC544" s="10"/>
      <c r="AD544" s="7">
        <f>SUM(F544+H544+J544+L544+N544+P544+R544+T544+V544+X544+Z544+AB544)</f>
        <v>0</v>
      </c>
      <c r="AE544" s="7">
        <f>E544+AD544</f>
        <v>0</v>
      </c>
      <c r="AF544" s="8">
        <f>G544+I544+K544+M544+O544+Q544+S544+U544+W544+Y544+AA544+AC544</f>
        <v>0</v>
      </c>
      <c r="AG544" s="153">
        <f>SUM(AE544-AF544)</f>
        <v>0</v>
      </c>
      <c r="AH544" s="99" t="s">
        <v>990</v>
      </c>
      <c r="AI544" s="99">
        <v>4</v>
      </c>
    </row>
    <row r="545" spans="1:42" customHeight="1" ht="11.5">
      <c r="A545" s="5">
        <v>537</v>
      </c>
      <c r="B545" s="166" t="s">
        <v>991</v>
      </c>
      <c r="C545" s="167" t="s">
        <v>36</v>
      </c>
      <c r="D545" s="88" t="s">
        <v>37</v>
      </c>
      <c r="E545" s="86">
        <v>0</v>
      </c>
      <c r="F545" s="9">
        <v>0</v>
      </c>
      <c r="G545" s="10"/>
      <c r="H545" s="9">
        <v>0</v>
      </c>
      <c r="I545" s="10"/>
      <c r="J545" s="152">
        <v>0</v>
      </c>
      <c r="K545" s="10"/>
      <c r="L545" s="152">
        <v>0</v>
      </c>
      <c r="M545" s="10"/>
      <c r="N545" s="152">
        <v>0</v>
      </c>
      <c r="O545" s="10"/>
      <c r="P545" s="152">
        <v>0</v>
      </c>
      <c r="Q545" s="10"/>
      <c r="R545" s="9">
        <v>0</v>
      </c>
      <c r="S545" s="10"/>
      <c r="T545" s="9">
        <v>0</v>
      </c>
      <c r="U545" s="10"/>
      <c r="V545" s="9">
        <v>0</v>
      </c>
      <c r="W545" s="10"/>
      <c r="X545" s="9">
        <v>0</v>
      </c>
      <c r="Y545" s="10"/>
      <c r="Z545" s="9">
        <v>0</v>
      </c>
      <c r="AA545" s="10"/>
      <c r="AB545" s="11">
        <v>0</v>
      </c>
      <c r="AC545" s="10"/>
      <c r="AD545" s="7">
        <f>SUM(F545+H545+J545+L545+N545+P545+R545+T545+V545+X545+Z545+AB545)</f>
        <v>0</v>
      </c>
      <c r="AE545" s="7">
        <f>E545+AD545</f>
        <v>0</v>
      </c>
      <c r="AF545" s="8">
        <f>G545+I545+K545+M545+O545+Q545+S545+U545+W545+Y545+AA545+AC545</f>
        <v>0</v>
      </c>
      <c r="AG545" s="153">
        <f>SUM(AE545-AF545)</f>
        <v>0</v>
      </c>
      <c r="AH545" s="99" t="s">
        <v>990</v>
      </c>
      <c r="AI545" s="99">
        <v>4</v>
      </c>
    </row>
    <row r="546" spans="1:42" customHeight="1" ht="11.5">
      <c r="A546" s="5">
        <v>538</v>
      </c>
      <c r="B546" s="166" t="s">
        <v>992</v>
      </c>
      <c r="C546" s="167" t="s">
        <v>36</v>
      </c>
      <c r="D546" s="97" t="s">
        <v>37</v>
      </c>
      <c r="E546" s="86">
        <v>0</v>
      </c>
      <c r="F546" s="9">
        <v>0</v>
      </c>
      <c r="G546" s="10"/>
      <c r="H546" s="9">
        <v>0</v>
      </c>
      <c r="I546" s="10"/>
      <c r="J546" s="152">
        <v>0</v>
      </c>
      <c r="K546" s="10"/>
      <c r="L546" s="152">
        <v>0</v>
      </c>
      <c r="M546" s="10"/>
      <c r="N546" s="152">
        <v>0</v>
      </c>
      <c r="O546" s="10"/>
      <c r="P546" s="152">
        <v>0</v>
      </c>
      <c r="Q546" s="10"/>
      <c r="R546" s="9">
        <v>0</v>
      </c>
      <c r="S546" s="10"/>
      <c r="T546" s="9">
        <v>0</v>
      </c>
      <c r="U546" s="10"/>
      <c r="V546" s="9">
        <v>0</v>
      </c>
      <c r="W546" s="10"/>
      <c r="X546" s="9">
        <v>0</v>
      </c>
      <c r="Y546" s="10"/>
      <c r="Z546" s="9">
        <v>0</v>
      </c>
      <c r="AA546" s="10"/>
      <c r="AB546" s="11">
        <v>0</v>
      </c>
      <c r="AC546" s="10"/>
      <c r="AD546" s="7">
        <f>SUM(F546+H546+J546+L546+N546+P546+R546+T546+V546+X546+Z546+AB546)</f>
        <v>0</v>
      </c>
      <c r="AE546" s="7">
        <f>E546+AD546</f>
        <v>0</v>
      </c>
      <c r="AF546" s="8">
        <f>G546+I546+K546+M546+O546+Q546+S546+U546+W546+Y546+AA546+AC546</f>
        <v>0</v>
      </c>
      <c r="AG546" s="153">
        <f>SUM(AE546-AF546)</f>
        <v>0</v>
      </c>
      <c r="AH546" s="99" t="s">
        <v>990</v>
      </c>
      <c r="AI546" s="99">
        <v>4</v>
      </c>
    </row>
    <row r="547" spans="1:42" customHeight="1" ht="11.5">
      <c r="A547" s="5">
        <v>539</v>
      </c>
      <c r="B547" s="166" t="s">
        <v>993</v>
      </c>
      <c r="C547" s="167" t="s">
        <v>36</v>
      </c>
      <c r="D547" s="97" t="s">
        <v>37</v>
      </c>
      <c r="E547" s="86">
        <v>0</v>
      </c>
      <c r="F547" s="9">
        <v>0</v>
      </c>
      <c r="G547" s="10"/>
      <c r="H547" s="9">
        <v>0</v>
      </c>
      <c r="I547" s="10"/>
      <c r="J547" s="152">
        <v>0</v>
      </c>
      <c r="K547" s="10"/>
      <c r="L547" s="152">
        <v>0</v>
      </c>
      <c r="M547" s="10"/>
      <c r="N547" s="152">
        <v>0</v>
      </c>
      <c r="O547" s="10"/>
      <c r="P547" s="152">
        <v>0</v>
      </c>
      <c r="Q547" s="10"/>
      <c r="R547" s="9">
        <v>0</v>
      </c>
      <c r="S547" s="10"/>
      <c r="T547" s="9">
        <v>0</v>
      </c>
      <c r="U547" s="10"/>
      <c r="V547" s="9">
        <v>0</v>
      </c>
      <c r="W547" s="10"/>
      <c r="X547" s="9">
        <v>0</v>
      </c>
      <c r="Y547" s="10"/>
      <c r="Z547" s="9">
        <v>0</v>
      </c>
      <c r="AA547" s="10"/>
      <c r="AB547" s="11">
        <v>0</v>
      </c>
      <c r="AC547" s="10"/>
      <c r="AD547" s="7">
        <f>SUM(F547+H547+J547+L547+N547+P547+R547+T547+V547+X547+Z547+AB547)</f>
        <v>0</v>
      </c>
      <c r="AE547" s="7">
        <f>E547+AD547</f>
        <v>0</v>
      </c>
      <c r="AF547" s="8">
        <f>G547+I547+K547+M547+O547+Q547+S547+U547+W547+Y547+AA547+AC547</f>
        <v>0</v>
      </c>
      <c r="AG547" s="153">
        <f>SUM(AE547-AF547)</f>
        <v>0</v>
      </c>
      <c r="AH547" s="99" t="s">
        <v>994</v>
      </c>
      <c r="AI547" s="99">
        <v>4</v>
      </c>
    </row>
    <row r="548" spans="1:42" customHeight="1" ht="11.5">
      <c r="A548" s="5">
        <v>540</v>
      </c>
      <c r="B548" s="166" t="s">
        <v>995</v>
      </c>
      <c r="C548" s="167" t="s">
        <v>36</v>
      </c>
      <c r="D548" s="97" t="s">
        <v>37</v>
      </c>
      <c r="E548" s="86">
        <v>0</v>
      </c>
      <c r="F548" s="9">
        <v>0</v>
      </c>
      <c r="G548" s="10"/>
      <c r="H548" s="9">
        <v>0</v>
      </c>
      <c r="I548" s="10"/>
      <c r="J548" s="152">
        <v>0</v>
      </c>
      <c r="K548" s="10"/>
      <c r="L548" s="152">
        <v>0</v>
      </c>
      <c r="M548" s="10"/>
      <c r="N548" s="152">
        <v>0</v>
      </c>
      <c r="O548" s="10"/>
      <c r="P548" s="152">
        <v>0</v>
      </c>
      <c r="Q548" s="10"/>
      <c r="R548" s="9">
        <v>0</v>
      </c>
      <c r="S548" s="10"/>
      <c r="T548" s="9">
        <v>0</v>
      </c>
      <c r="U548" s="10"/>
      <c r="V548" s="9">
        <v>0</v>
      </c>
      <c r="W548" s="10"/>
      <c r="X548" s="9">
        <v>0</v>
      </c>
      <c r="Y548" s="10"/>
      <c r="Z548" s="9">
        <v>0</v>
      </c>
      <c r="AA548" s="10"/>
      <c r="AB548" s="11">
        <v>0</v>
      </c>
      <c r="AC548" s="10"/>
      <c r="AD548" s="7">
        <f>SUM(F548+H548+J548+L548+N548+P548+R548+T548+V548+X548+Z548+AB548)</f>
        <v>0</v>
      </c>
      <c r="AE548" s="7">
        <f>E548+AD548</f>
        <v>0</v>
      </c>
      <c r="AF548" s="8">
        <f>G548+I548+K548+M548+O548+Q548+S548+U548+W548+Y548+AA548+AC548</f>
        <v>0</v>
      </c>
      <c r="AG548" s="153">
        <f>SUM(AE548-AF548)</f>
        <v>0</v>
      </c>
      <c r="AH548" s="99" t="s">
        <v>994</v>
      </c>
      <c r="AI548" s="99">
        <v>4</v>
      </c>
    </row>
    <row r="549" spans="1:42" customHeight="1" ht="11.5">
      <c r="A549" s="5">
        <v>541</v>
      </c>
      <c r="B549" s="166" t="s">
        <v>996</v>
      </c>
      <c r="C549" s="167" t="s">
        <v>105</v>
      </c>
      <c r="D549" s="97" t="s">
        <v>106</v>
      </c>
      <c r="E549" s="86">
        <v>0</v>
      </c>
      <c r="F549" s="9">
        <v>0</v>
      </c>
      <c r="G549" s="10"/>
      <c r="H549" s="9">
        <v>0</v>
      </c>
      <c r="I549" s="10"/>
      <c r="J549" s="152">
        <v>0</v>
      </c>
      <c r="K549" s="10"/>
      <c r="L549" s="152">
        <v>0</v>
      </c>
      <c r="M549" s="10"/>
      <c r="N549" s="152">
        <v>0</v>
      </c>
      <c r="O549" s="10"/>
      <c r="P549" s="152">
        <v>0</v>
      </c>
      <c r="Q549" s="10"/>
      <c r="R549" s="9">
        <v>0</v>
      </c>
      <c r="S549" s="10"/>
      <c r="T549" s="9">
        <v>0</v>
      </c>
      <c r="U549" s="10"/>
      <c r="V549" s="9">
        <v>0</v>
      </c>
      <c r="W549" s="10"/>
      <c r="X549" s="9">
        <v>0</v>
      </c>
      <c r="Y549" s="10"/>
      <c r="Z549" s="9">
        <v>0</v>
      </c>
      <c r="AA549" s="10"/>
      <c r="AB549" s="11">
        <v>0</v>
      </c>
      <c r="AC549" s="10"/>
      <c r="AD549" s="7">
        <f>SUM(F549+H549+J549+L549+N549+P549+R549+T549+V549+X549+Z549+AB549)</f>
        <v>0</v>
      </c>
      <c r="AE549" s="7">
        <f>E549+AD549</f>
        <v>0</v>
      </c>
      <c r="AF549" s="8">
        <f>G549+I549+K549+M549+O549+Q549+S549+U549+W549+Y549+AA549+AC549</f>
        <v>0</v>
      </c>
      <c r="AG549" s="153">
        <f>SUM(AE549-AF549)</f>
        <v>0</v>
      </c>
      <c r="AH549" s="99" t="s">
        <v>994</v>
      </c>
      <c r="AI549" s="99">
        <v>4</v>
      </c>
    </row>
    <row r="550" spans="1:42" customHeight="1" ht="11.5">
      <c r="A550" s="5">
        <v>542</v>
      </c>
      <c r="B550" s="166" t="s">
        <v>997</v>
      </c>
      <c r="C550" s="167" t="s">
        <v>36</v>
      </c>
      <c r="D550" s="97" t="s">
        <v>37</v>
      </c>
      <c r="E550" s="86">
        <v>0</v>
      </c>
      <c r="F550" s="9">
        <v>0</v>
      </c>
      <c r="G550" s="10"/>
      <c r="H550" s="9">
        <v>0</v>
      </c>
      <c r="I550" s="10"/>
      <c r="J550" s="152">
        <v>0</v>
      </c>
      <c r="K550" s="10"/>
      <c r="L550" s="152">
        <v>0</v>
      </c>
      <c r="M550" s="10"/>
      <c r="N550" s="152">
        <v>0</v>
      </c>
      <c r="O550" s="10"/>
      <c r="P550" s="152">
        <v>0</v>
      </c>
      <c r="Q550" s="10"/>
      <c r="R550" s="9">
        <v>0</v>
      </c>
      <c r="S550" s="10"/>
      <c r="T550" s="9">
        <v>0</v>
      </c>
      <c r="U550" s="10"/>
      <c r="V550" s="9">
        <v>0</v>
      </c>
      <c r="W550" s="10"/>
      <c r="X550" s="9">
        <v>0</v>
      </c>
      <c r="Y550" s="10"/>
      <c r="Z550" s="9">
        <v>0</v>
      </c>
      <c r="AA550" s="10"/>
      <c r="AB550" s="11">
        <v>0</v>
      </c>
      <c r="AC550" s="10"/>
      <c r="AD550" s="7">
        <f>SUM(F550+H550+J550+L550+N550+P550+R550+T550+V550+X550+Z550+AB550)</f>
        <v>0</v>
      </c>
      <c r="AE550" s="7">
        <f>E550+AD550</f>
        <v>0</v>
      </c>
      <c r="AF550" s="8">
        <f>G550+I550+K550+M550+O550+Q550+S550+U550+W550+Y550+AA550+AC550</f>
        <v>0</v>
      </c>
      <c r="AG550" s="153">
        <f>SUM(AE550-AF550)</f>
        <v>0</v>
      </c>
      <c r="AH550" s="99" t="s">
        <v>994</v>
      </c>
      <c r="AI550" s="99">
        <v>4</v>
      </c>
    </row>
    <row r="551" spans="1:42" customHeight="1" ht="11.5">
      <c r="A551" s="5">
        <v>543</v>
      </c>
      <c r="B551" s="166" t="s">
        <v>998</v>
      </c>
      <c r="C551" s="167" t="s">
        <v>36</v>
      </c>
      <c r="D551" s="88" t="s">
        <v>37</v>
      </c>
      <c r="E551" s="86">
        <v>0</v>
      </c>
      <c r="F551" s="9">
        <v>0</v>
      </c>
      <c r="G551" s="10"/>
      <c r="H551" s="9">
        <v>0</v>
      </c>
      <c r="I551" s="10"/>
      <c r="J551" s="152">
        <v>0</v>
      </c>
      <c r="K551" s="10"/>
      <c r="L551" s="152">
        <v>0</v>
      </c>
      <c r="M551" s="10"/>
      <c r="N551" s="152">
        <v>0</v>
      </c>
      <c r="O551" s="10"/>
      <c r="P551" s="152">
        <v>0</v>
      </c>
      <c r="Q551" s="10"/>
      <c r="R551" s="9">
        <v>0</v>
      </c>
      <c r="S551" s="10"/>
      <c r="T551" s="9">
        <v>0</v>
      </c>
      <c r="U551" s="10"/>
      <c r="V551" s="9">
        <v>0</v>
      </c>
      <c r="W551" s="10"/>
      <c r="X551" s="9">
        <v>0</v>
      </c>
      <c r="Y551" s="10"/>
      <c r="Z551" s="9">
        <v>0</v>
      </c>
      <c r="AA551" s="10"/>
      <c r="AB551" s="11">
        <v>0</v>
      </c>
      <c r="AC551" s="10"/>
      <c r="AD551" s="7">
        <f>SUM(F551+H551+J551+L551+N551+P551+R551+T551+V551+X551+Z551+AB551)</f>
        <v>0</v>
      </c>
      <c r="AE551" s="7">
        <f>E551+AD551</f>
        <v>0</v>
      </c>
      <c r="AF551" s="8">
        <f>G551+I551+K551+M551+O551+Q551+S551+U551+W551+Y551+AA551+AC551</f>
        <v>0</v>
      </c>
      <c r="AG551" s="153">
        <f>SUM(AE551-AF551)</f>
        <v>0</v>
      </c>
      <c r="AH551" s="99" t="s">
        <v>994</v>
      </c>
      <c r="AI551" s="99">
        <v>4</v>
      </c>
    </row>
    <row r="552" spans="1:42" customHeight="1" ht="11.5">
      <c r="A552" s="5">
        <v>544</v>
      </c>
      <c r="B552" s="166" t="s">
        <v>999</v>
      </c>
      <c r="C552" s="167" t="s">
        <v>36</v>
      </c>
      <c r="D552" s="97" t="s">
        <v>37</v>
      </c>
      <c r="E552" s="86">
        <v>0</v>
      </c>
      <c r="F552" s="9">
        <v>0</v>
      </c>
      <c r="G552" s="10"/>
      <c r="H552" s="9">
        <v>0</v>
      </c>
      <c r="I552" s="10"/>
      <c r="J552" s="152">
        <v>0</v>
      </c>
      <c r="K552" s="10"/>
      <c r="L552" s="152">
        <v>0</v>
      </c>
      <c r="M552" s="10"/>
      <c r="N552" s="152">
        <v>0</v>
      </c>
      <c r="O552" s="10"/>
      <c r="P552" s="152">
        <v>0</v>
      </c>
      <c r="Q552" s="10"/>
      <c r="R552" s="9">
        <v>0</v>
      </c>
      <c r="S552" s="10"/>
      <c r="T552" s="9">
        <v>0</v>
      </c>
      <c r="U552" s="10"/>
      <c r="V552" s="9">
        <v>0</v>
      </c>
      <c r="W552" s="10"/>
      <c r="X552" s="9">
        <v>0</v>
      </c>
      <c r="Y552" s="10"/>
      <c r="Z552" s="9">
        <v>0</v>
      </c>
      <c r="AA552" s="10"/>
      <c r="AB552" s="11">
        <v>0</v>
      </c>
      <c r="AC552" s="10"/>
      <c r="AD552" s="7">
        <f>SUM(F552+H552+J552+L552+N552+P552+R552+T552+V552+X552+Z552+AB552)</f>
        <v>0</v>
      </c>
      <c r="AE552" s="7">
        <f>E552+AD552</f>
        <v>0</v>
      </c>
      <c r="AF552" s="8">
        <f>G552+I552+K552+M552+O552+Q552+S552+U552+W552+Y552+AA552+AC552</f>
        <v>0</v>
      </c>
      <c r="AG552" s="153">
        <f>SUM(AE552-AF552)</f>
        <v>0</v>
      </c>
      <c r="AH552" s="99" t="s">
        <v>994</v>
      </c>
      <c r="AI552" s="99">
        <v>4</v>
      </c>
    </row>
    <row r="553" spans="1:42" customHeight="1" ht="11.5">
      <c r="A553" s="5">
        <v>545</v>
      </c>
      <c r="B553" s="168" t="s">
        <v>1000</v>
      </c>
      <c r="C553" s="89" t="s">
        <v>36</v>
      </c>
      <c r="D553" s="88" t="s">
        <v>37</v>
      </c>
      <c r="E553" s="86">
        <v>0</v>
      </c>
      <c r="F553" s="9">
        <v>0</v>
      </c>
      <c r="G553" s="10"/>
      <c r="H553" s="9">
        <v>0</v>
      </c>
      <c r="I553" s="10"/>
      <c r="J553" s="152">
        <v>0</v>
      </c>
      <c r="K553" s="10"/>
      <c r="L553" s="152">
        <v>0</v>
      </c>
      <c r="M553" s="10"/>
      <c r="N553" s="152">
        <v>0</v>
      </c>
      <c r="O553" s="10"/>
      <c r="P553" s="152">
        <v>0</v>
      </c>
      <c r="Q553" s="10"/>
      <c r="R553" s="9">
        <v>0</v>
      </c>
      <c r="S553" s="10"/>
      <c r="T553" s="9">
        <v>0</v>
      </c>
      <c r="U553" s="10"/>
      <c r="V553" s="9">
        <v>0</v>
      </c>
      <c r="W553" s="10"/>
      <c r="X553" s="9">
        <v>0</v>
      </c>
      <c r="Y553" s="10"/>
      <c r="Z553" s="9">
        <v>0</v>
      </c>
      <c r="AA553" s="10"/>
      <c r="AB553" s="11">
        <v>0</v>
      </c>
      <c r="AC553" s="10"/>
      <c r="AD553" s="7">
        <f>SUM(F553+H553+J553+L553+N553+P553+R553+T553+V553+X553+Z553+AB553)</f>
        <v>0</v>
      </c>
      <c r="AE553" s="7">
        <f>E553+AD553</f>
        <v>0</v>
      </c>
      <c r="AF553" s="8">
        <f>G553+I553+K553+M553+O553+Q553+S553+U553+W553+Y553+AA553+AC553</f>
        <v>0</v>
      </c>
      <c r="AG553" s="153">
        <f>SUM(AE553-AF553)</f>
        <v>0</v>
      </c>
      <c r="AH553" s="99" t="s">
        <v>1001</v>
      </c>
      <c r="AI553" s="99">
        <v>4</v>
      </c>
    </row>
    <row r="554" spans="1:42" customHeight="1" ht="11.5">
      <c r="A554" s="5">
        <v>546</v>
      </c>
      <c r="B554" s="166" t="s">
        <v>1002</v>
      </c>
      <c r="C554" s="167" t="s">
        <v>36</v>
      </c>
      <c r="D554" s="97" t="s">
        <v>37</v>
      </c>
      <c r="E554" s="86">
        <v>0</v>
      </c>
      <c r="F554" s="9">
        <v>0</v>
      </c>
      <c r="G554" s="10"/>
      <c r="H554" s="9">
        <v>0</v>
      </c>
      <c r="I554" s="10"/>
      <c r="J554" s="152">
        <v>0</v>
      </c>
      <c r="K554" s="10"/>
      <c r="L554" s="152">
        <v>0</v>
      </c>
      <c r="M554" s="10"/>
      <c r="N554" s="152">
        <v>0</v>
      </c>
      <c r="O554" s="10"/>
      <c r="P554" s="152">
        <v>0</v>
      </c>
      <c r="Q554" s="10"/>
      <c r="R554" s="9">
        <v>0</v>
      </c>
      <c r="S554" s="10"/>
      <c r="T554" s="9">
        <v>0</v>
      </c>
      <c r="U554" s="10"/>
      <c r="V554" s="9">
        <v>0</v>
      </c>
      <c r="W554" s="10"/>
      <c r="X554" s="9">
        <v>0</v>
      </c>
      <c r="Y554" s="10"/>
      <c r="Z554" s="9">
        <v>0</v>
      </c>
      <c r="AA554" s="10"/>
      <c r="AB554" s="11">
        <v>0</v>
      </c>
      <c r="AC554" s="10"/>
      <c r="AD554" s="7">
        <f>SUM(F554+H554+J554+L554+N554+P554+R554+T554+V554+X554+Z554+AB554)</f>
        <v>0</v>
      </c>
      <c r="AE554" s="7">
        <f>E554+AD554</f>
        <v>0</v>
      </c>
      <c r="AF554" s="8">
        <f>G554+I554+K554+M554+O554+Q554+S554+U554+W554+Y554+AA554+AC554</f>
        <v>0</v>
      </c>
      <c r="AG554" s="153">
        <f>SUM(AE554-AF554)</f>
        <v>0</v>
      </c>
      <c r="AH554" s="99" t="s">
        <v>1001</v>
      </c>
      <c r="AI554" s="99">
        <v>4</v>
      </c>
    </row>
    <row r="555" spans="1:42" customHeight="1" ht="11.5">
      <c r="A555" s="5">
        <v>547</v>
      </c>
      <c r="B555" s="166" t="s">
        <v>1003</v>
      </c>
      <c r="C555" s="167" t="s">
        <v>36</v>
      </c>
      <c r="D555" s="88" t="s">
        <v>37</v>
      </c>
      <c r="E555" s="86">
        <v>0</v>
      </c>
      <c r="F555" s="9">
        <v>0</v>
      </c>
      <c r="G555" s="10"/>
      <c r="H555" s="9">
        <v>0</v>
      </c>
      <c r="I555" s="10"/>
      <c r="J555" s="152">
        <v>0</v>
      </c>
      <c r="K555" s="10"/>
      <c r="L555" s="152">
        <v>0</v>
      </c>
      <c r="M555" s="10"/>
      <c r="N555" s="152">
        <v>0</v>
      </c>
      <c r="O555" s="10"/>
      <c r="P555" s="152">
        <v>0</v>
      </c>
      <c r="Q555" s="10"/>
      <c r="R555" s="9">
        <v>0</v>
      </c>
      <c r="S555" s="10"/>
      <c r="T555" s="9">
        <v>0</v>
      </c>
      <c r="U555" s="10"/>
      <c r="V555" s="9">
        <v>0</v>
      </c>
      <c r="W555" s="10"/>
      <c r="X555" s="9">
        <v>0</v>
      </c>
      <c r="Y555" s="10"/>
      <c r="Z555" s="9">
        <v>0</v>
      </c>
      <c r="AA555" s="10"/>
      <c r="AB555" s="11">
        <v>0</v>
      </c>
      <c r="AC555" s="10"/>
      <c r="AD555" s="7">
        <f>SUM(F555+H555+J555+L555+N555+P555+R555+T555+V555+X555+Z555+AB555)</f>
        <v>0</v>
      </c>
      <c r="AE555" s="7">
        <f>E555+AD555</f>
        <v>0</v>
      </c>
      <c r="AF555" s="8">
        <f>G555+I555+K555+M555+O555+Q555+S555+U555+W555+Y555+AA555+AC555</f>
        <v>0</v>
      </c>
      <c r="AG555" s="153">
        <f>SUM(AE555-AF555)</f>
        <v>0</v>
      </c>
      <c r="AH555" s="99" t="s">
        <v>1001</v>
      </c>
      <c r="AI555" s="99">
        <v>4</v>
      </c>
    </row>
    <row r="556" spans="1:42" customHeight="1" ht="11.5">
      <c r="A556" s="5">
        <v>548</v>
      </c>
      <c r="B556" s="166" t="s">
        <v>1004</v>
      </c>
      <c r="C556" s="167" t="s">
        <v>36</v>
      </c>
      <c r="D556" s="88" t="s">
        <v>37</v>
      </c>
      <c r="E556" s="86">
        <v>0</v>
      </c>
      <c r="F556" s="9">
        <v>0</v>
      </c>
      <c r="G556" s="10"/>
      <c r="H556" s="9">
        <v>0</v>
      </c>
      <c r="I556" s="10"/>
      <c r="J556" s="152">
        <v>0</v>
      </c>
      <c r="K556" s="10"/>
      <c r="L556" s="152">
        <v>0</v>
      </c>
      <c r="M556" s="10"/>
      <c r="N556" s="152">
        <v>0</v>
      </c>
      <c r="O556" s="10"/>
      <c r="P556" s="152">
        <v>0</v>
      </c>
      <c r="Q556" s="10"/>
      <c r="R556" s="9">
        <v>0</v>
      </c>
      <c r="S556" s="10"/>
      <c r="T556" s="9">
        <v>0</v>
      </c>
      <c r="U556" s="10"/>
      <c r="V556" s="9">
        <v>0</v>
      </c>
      <c r="W556" s="10"/>
      <c r="X556" s="9">
        <v>0</v>
      </c>
      <c r="Y556" s="10"/>
      <c r="Z556" s="9">
        <v>0</v>
      </c>
      <c r="AA556" s="10"/>
      <c r="AB556" s="11">
        <v>0</v>
      </c>
      <c r="AC556" s="10"/>
      <c r="AD556" s="7">
        <f>SUM(F556+H556+J556+L556+N556+P556+R556+T556+V556+X556+Z556+AB556)</f>
        <v>0</v>
      </c>
      <c r="AE556" s="7">
        <f>E556+AD556</f>
        <v>0</v>
      </c>
      <c r="AF556" s="8">
        <f>G556+I556+K556+M556+O556+Q556+S556+U556+W556+Y556+AA556+AC556</f>
        <v>0</v>
      </c>
      <c r="AG556" s="153">
        <f>SUM(AE556-AF556)</f>
        <v>0</v>
      </c>
      <c r="AH556" s="99" t="s">
        <v>1001</v>
      </c>
      <c r="AI556" s="99">
        <v>4</v>
      </c>
    </row>
    <row r="557" spans="1:42" customHeight="1" ht="11.5">
      <c r="A557" s="5">
        <v>549</v>
      </c>
      <c r="B557" s="169" t="s">
        <v>1005</v>
      </c>
      <c r="C557" s="167" t="s">
        <v>36</v>
      </c>
      <c r="D557" s="97" t="s">
        <v>37</v>
      </c>
      <c r="E557" s="86">
        <v>0</v>
      </c>
      <c r="F557" s="9">
        <v>0</v>
      </c>
      <c r="G557" s="10"/>
      <c r="H557" s="9">
        <v>0</v>
      </c>
      <c r="I557" s="10"/>
      <c r="J557" s="152">
        <v>0</v>
      </c>
      <c r="K557" s="10"/>
      <c r="L557" s="152">
        <v>0</v>
      </c>
      <c r="M557" s="10"/>
      <c r="N557" s="152">
        <v>0</v>
      </c>
      <c r="O557" s="10"/>
      <c r="P557" s="152">
        <v>0</v>
      </c>
      <c r="Q557" s="10"/>
      <c r="R557" s="9">
        <v>0</v>
      </c>
      <c r="S557" s="10"/>
      <c r="T557" s="9">
        <v>0</v>
      </c>
      <c r="U557" s="10"/>
      <c r="V557" s="9">
        <v>0</v>
      </c>
      <c r="W557" s="10"/>
      <c r="X557" s="9">
        <v>0</v>
      </c>
      <c r="Y557" s="10"/>
      <c r="Z557" s="9">
        <v>0</v>
      </c>
      <c r="AA557" s="10"/>
      <c r="AB557" s="11">
        <v>0</v>
      </c>
      <c r="AC557" s="10"/>
      <c r="AD557" s="7">
        <f>SUM(F557+H557+J557+L557+N557+P557+R557+T557+V557+X557+Z557+AB557)</f>
        <v>0</v>
      </c>
      <c r="AE557" s="7">
        <f>E557+AD557</f>
        <v>0</v>
      </c>
      <c r="AF557" s="8">
        <f>G557+I557+K557+M557+O557+Q557+S557+U557+W557+Y557+AA557+AC557</f>
        <v>0</v>
      </c>
      <c r="AG557" s="153">
        <f>SUM(AE557-AF557)</f>
        <v>0</v>
      </c>
      <c r="AH557" s="99" t="s">
        <v>1006</v>
      </c>
      <c r="AI557" s="99">
        <v>4</v>
      </c>
    </row>
    <row r="558" spans="1:42" customHeight="1" ht="11.5">
      <c r="A558" s="5">
        <v>550</v>
      </c>
      <c r="B558" s="166" t="s">
        <v>1007</v>
      </c>
      <c r="C558" s="167" t="s">
        <v>36</v>
      </c>
      <c r="D558" s="88" t="s">
        <v>37</v>
      </c>
      <c r="E558" s="86">
        <v>0</v>
      </c>
      <c r="F558" s="9">
        <v>0</v>
      </c>
      <c r="G558" s="10"/>
      <c r="H558" s="9">
        <v>0</v>
      </c>
      <c r="I558" s="10"/>
      <c r="J558" s="152">
        <v>0</v>
      </c>
      <c r="K558" s="10"/>
      <c r="L558" s="152">
        <v>0</v>
      </c>
      <c r="M558" s="10"/>
      <c r="N558" s="152">
        <v>0</v>
      </c>
      <c r="O558" s="10"/>
      <c r="P558" s="152">
        <v>0</v>
      </c>
      <c r="Q558" s="10"/>
      <c r="R558" s="9">
        <v>0</v>
      </c>
      <c r="S558" s="10"/>
      <c r="T558" s="9">
        <v>0</v>
      </c>
      <c r="U558" s="10"/>
      <c r="V558" s="9">
        <v>0</v>
      </c>
      <c r="W558" s="10"/>
      <c r="X558" s="9">
        <v>0</v>
      </c>
      <c r="Y558" s="10"/>
      <c r="Z558" s="9">
        <v>0</v>
      </c>
      <c r="AA558" s="10"/>
      <c r="AB558" s="11">
        <v>0</v>
      </c>
      <c r="AC558" s="10"/>
      <c r="AD558" s="7">
        <f>SUM(F558+H558+J558+L558+N558+P558+R558+T558+V558+X558+Z558+AB558)</f>
        <v>0</v>
      </c>
      <c r="AE558" s="7">
        <f>E558+AD558</f>
        <v>0</v>
      </c>
      <c r="AF558" s="8">
        <f>G558+I558+K558+M558+O558+Q558+S558+U558+W558+Y558+AA558+AC558</f>
        <v>0</v>
      </c>
      <c r="AG558" s="153">
        <f>SUM(AE558-AF558)</f>
        <v>0</v>
      </c>
      <c r="AH558" s="99" t="s">
        <v>1006</v>
      </c>
      <c r="AI558" s="99">
        <v>4</v>
      </c>
    </row>
    <row r="559" spans="1:42" customHeight="1" ht="11.5">
      <c r="A559" s="5">
        <v>551</v>
      </c>
      <c r="B559" s="166" t="s">
        <v>1008</v>
      </c>
      <c r="C559" s="167" t="s">
        <v>36</v>
      </c>
      <c r="D559" s="88" t="s">
        <v>37</v>
      </c>
      <c r="E559" s="86">
        <v>0</v>
      </c>
      <c r="F559" s="9">
        <v>0</v>
      </c>
      <c r="G559" s="10"/>
      <c r="H559" s="9">
        <v>0</v>
      </c>
      <c r="I559" s="10"/>
      <c r="J559" s="152">
        <v>0</v>
      </c>
      <c r="K559" s="10"/>
      <c r="L559" s="152">
        <v>0</v>
      </c>
      <c r="M559" s="10"/>
      <c r="N559" s="152">
        <v>0</v>
      </c>
      <c r="O559" s="10"/>
      <c r="P559" s="152">
        <v>0</v>
      </c>
      <c r="Q559" s="10"/>
      <c r="R559" s="9">
        <v>0</v>
      </c>
      <c r="S559" s="10"/>
      <c r="T559" s="9">
        <v>0</v>
      </c>
      <c r="U559" s="10"/>
      <c r="V559" s="9">
        <v>0</v>
      </c>
      <c r="W559" s="10"/>
      <c r="X559" s="9">
        <v>0</v>
      </c>
      <c r="Y559" s="10"/>
      <c r="Z559" s="9">
        <v>0</v>
      </c>
      <c r="AA559" s="10"/>
      <c r="AB559" s="11">
        <v>0</v>
      </c>
      <c r="AC559" s="10"/>
      <c r="AD559" s="7">
        <f>SUM(F559+H559+J559+L559+N559+P559+R559+T559+V559+X559+Z559+AB559)</f>
        <v>0</v>
      </c>
      <c r="AE559" s="7">
        <f>E559+AD559</f>
        <v>0</v>
      </c>
      <c r="AF559" s="8">
        <f>G559+I559+K559+M559+O559+Q559+S559+U559+W559+Y559+AA559+AC559</f>
        <v>0</v>
      </c>
      <c r="AG559" s="153">
        <f>SUM(AE559-AF559)</f>
        <v>0</v>
      </c>
      <c r="AH559" s="99" t="s">
        <v>1006</v>
      </c>
      <c r="AI559" s="99">
        <v>4</v>
      </c>
    </row>
    <row r="560" spans="1:42" customHeight="1" ht="11.5">
      <c r="A560" s="5">
        <v>552</v>
      </c>
      <c r="B560" s="166" t="s">
        <v>1009</v>
      </c>
      <c r="C560" s="167" t="s">
        <v>36</v>
      </c>
      <c r="D560" s="97" t="s">
        <v>37</v>
      </c>
      <c r="E560" s="86">
        <v>0</v>
      </c>
      <c r="F560" s="9">
        <v>0</v>
      </c>
      <c r="G560" s="10"/>
      <c r="H560" s="9">
        <v>0</v>
      </c>
      <c r="I560" s="10"/>
      <c r="J560" s="152">
        <v>0</v>
      </c>
      <c r="K560" s="10"/>
      <c r="L560" s="152">
        <v>0</v>
      </c>
      <c r="M560" s="10"/>
      <c r="N560" s="152">
        <v>0</v>
      </c>
      <c r="O560" s="10"/>
      <c r="P560" s="152">
        <v>0</v>
      </c>
      <c r="Q560" s="10"/>
      <c r="R560" s="9">
        <v>0</v>
      </c>
      <c r="S560" s="10"/>
      <c r="T560" s="9">
        <v>0</v>
      </c>
      <c r="U560" s="10"/>
      <c r="V560" s="9">
        <v>0</v>
      </c>
      <c r="W560" s="10"/>
      <c r="X560" s="9">
        <v>0</v>
      </c>
      <c r="Y560" s="10"/>
      <c r="Z560" s="9">
        <v>0</v>
      </c>
      <c r="AA560" s="10"/>
      <c r="AB560" s="11">
        <v>0</v>
      </c>
      <c r="AC560" s="10"/>
      <c r="AD560" s="7">
        <f>SUM(F560+H560+J560+L560+N560+P560+R560+T560+V560+X560+Z560+AB560)</f>
        <v>0</v>
      </c>
      <c r="AE560" s="7">
        <f>E560+AD560</f>
        <v>0</v>
      </c>
      <c r="AF560" s="8">
        <f>G560+I560+K560+M560+O560+Q560+S560+U560+W560+Y560+AA560+AC560</f>
        <v>0</v>
      </c>
      <c r="AG560" s="153">
        <f>SUM(AE560-AF560)</f>
        <v>0</v>
      </c>
      <c r="AH560" s="99" t="s">
        <v>1006</v>
      </c>
      <c r="AI560" s="99">
        <v>4</v>
      </c>
    </row>
    <row r="561" spans="1:42" customHeight="1" ht="11.5">
      <c r="A561" s="5">
        <v>553</v>
      </c>
      <c r="B561" s="166" t="s">
        <v>1010</v>
      </c>
      <c r="C561" s="167" t="s">
        <v>36</v>
      </c>
      <c r="D561" s="88" t="s">
        <v>37</v>
      </c>
      <c r="E561" s="86">
        <v>0</v>
      </c>
      <c r="F561" s="9">
        <v>0</v>
      </c>
      <c r="G561" s="10"/>
      <c r="H561" s="9">
        <v>0</v>
      </c>
      <c r="I561" s="10"/>
      <c r="J561" s="152">
        <v>0</v>
      </c>
      <c r="K561" s="10"/>
      <c r="L561" s="152">
        <v>0</v>
      </c>
      <c r="M561" s="10"/>
      <c r="N561" s="152">
        <v>0</v>
      </c>
      <c r="O561" s="10"/>
      <c r="P561" s="152">
        <v>0</v>
      </c>
      <c r="Q561" s="10"/>
      <c r="R561" s="9">
        <v>0</v>
      </c>
      <c r="S561" s="10"/>
      <c r="T561" s="9">
        <v>0</v>
      </c>
      <c r="U561" s="10"/>
      <c r="V561" s="9">
        <v>0</v>
      </c>
      <c r="W561" s="10"/>
      <c r="X561" s="9">
        <v>0</v>
      </c>
      <c r="Y561" s="10"/>
      <c r="Z561" s="9">
        <v>0</v>
      </c>
      <c r="AA561" s="10"/>
      <c r="AB561" s="11">
        <v>0</v>
      </c>
      <c r="AC561" s="10"/>
      <c r="AD561" s="7">
        <f>SUM(F561+H561+J561+L561+N561+P561+R561+T561+V561+X561+Z561+AB561)</f>
        <v>0</v>
      </c>
      <c r="AE561" s="7">
        <f>E561+AD561</f>
        <v>0</v>
      </c>
      <c r="AF561" s="8">
        <f>G561+I561+K561+M561+O561+Q561+S561+U561+W561+Y561+AA561+AC561</f>
        <v>0</v>
      </c>
      <c r="AG561" s="153">
        <f>SUM(AE561-AF561)</f>
        <v>0</v>
      </c>
      <c r="AH561" s="99" t="s">
        <v>1011</v>
      </c>
      <c r="AI561" s="99">
        <v>4</v>
      </c>
    </row>
    <row r="562" spans="1:42" customHeight="1" ht="11.5">
      <c r="A562" s="5">
        <v>554</v>
      </c>
      <c r="B562" s="166" t="s">
        <v>1012</v>
      </c>
      <c r="C562" s="167" t="s">
        <v>36</v>
      </c>
      <c r="D562" s="88" t="s">
        <v>37</v>
      </c>
      <c r="E562" s="86">
        <v>0</v>
      </c>
      <c r="F562" s="9">
        <v>0</v>
      </c>
      <c r="G562" s="10"/>
      <c r="H562" s="9">
        <v>0</v>
      </c>
      <c r="I562" s="10"/>
      <c r="J562" s="152">
        <v>0</v>
      </c>
      <c r="K562" s="10"/>
      <c r="L562" s="152">
        <v>0</v>
      </c>
      <c r="M562" s="10"/>
      <c r="N562" s="152">
        <v>0</v>
      </c>
      <c r="O562" s="10"/>
      <c r="P562" s="152">
        <v>0</v>
      </c>
      <c r="Q562" s="10"/>
      <c r="R562" s="9">
        <v>0</v>
      </c>
      <c r="S562" s="10"/>
      <c r="T562" s="9">
        <v>0</v>
      </c>
      <c r="U562" s="10"/>
      <c r="V562" s="9">
        <v>0</v>
      </c>
      <c r="W562" s="10"/>
      <c r="X562" s="9">
        <v>0</v>
      </c>
      <c r="Y562" s="10"/>
      <c r="Z562" s="9">
        <v>0</v>
      </c>
      <c r="AA562" s="10"/>
      <c r="AB562" s="11">
        <v>0</v>
      </c>
      <c r="AC562" s="10"/>
      <c r="AD562" s="7">
        <f>SUM(F562+H562+J562+L562+N562+P562+R562+T562+V562+X562+Z562+AB562)</f>
        <v>0</v>
      </c>
      <c r="AE562" s="7">
        <f>E562+AD562</f>
        <v>0</v>
      </c>
      <c r="AF562" s="8">
        <f>G562+I562+K562+M562+O562+Q562+S562+U562+W562+Y562+AA562+AC562</f>
        <v>0</v>
      </c>
      <c r="AG562" s="153">
        <f>SUM(AE562-AF562)</f>
        <v>0</v>
      </c>
      <c r="AH562" s="99" t="s">
        <v>1011</v>
      </c>
      <c r="AI562" s="99">
        <v>4</v>
      </c>
    </row>
    <row r="563" spans="1:42" customHeight="1" ht="11.5">
      <c r="A563" s="5">
        <v>555</v>
      </c>
      <c r="B563" s="166" t="s">
        <v>1013</v>
      </c>
      <c r="C563" s="167" t="s">
        <v>36</v>
      </c>
      <c r="D563" s="88" t="s">
        <v>37</v>
      </c>
      <c r="E563" s="86">
        <v>0</v>
      </c>
      <c r="F563" s="9">
        <v>0</v>
      </c>
      <c r="G563" s="10"/>
      <c r="H563" s="9">
        <v>0</v>
      </c>
      <c r="I563" s="10"/>
      <c r="J563" s="152">
        <v>0</v>
      </c>
      <c r="K563" s="10"/>
      <c r="L563" s="152">
        <v>0</v>
      </c>
      <c r="M563" s="10"/>
      <c r="N563" s="152">
        <v>0</v>
      </c>
      <c r="O563" s="10"/>
      <c r="P563" s="152">
        <v>0</v>
      </c>
      <c r="Q563" s="10"/>
      <c r="R563" s="9">
        <v>0</v>
      </c>
      <c r="S563" s="10"/>
      <c r="T563" s="9">
        <v>0</v>
      </c>
      <c r="U563" s="10"/>
      <c r="V563" s="9">
        <v>0</v>
      </c>
      <c r="W563" s="10"/>
      <c r="X563" s="9">
        <v>0</v>
      </c>
      <c r="Y563" s="10"/>
      <c r="Z563" s="9">
        <v>0</v>
      </c>
      <c r="AA563" s="10"/>
      <c r="AB563" s="11">
        <v>0</v>
      </c>
      <c r="AC563" s="10"/>
      <c r="AD563" s="7">
        <f>SUM(F563+H563+J563+L563+N563+P563+R563+T563+V563+X563+Z563+AB563)</f>
        <v>0</v>
      </c>
      <c r="AE563" s="7">
        <f>E563+AD563</f>
        <v>0</v>
      </c>
      <c r="AF563" s="8">
        <f>G563+I563+K563+M563+O563+Q563+S563+U563+W563+Y563+AA563+AC563</f>
        <v>0</v>
      </c>
      <c r="AG563" s="153">
        <f>SUM(AE563-AF563)</f>
        <v>0</v>
      </c>
      <c r="AH563" s="99" t="s">
        <v>1011</v>
      </c>
      <c r="AI563" s="99">
        <v>4</v>
      </c>
    </row>
    <row r="564" spans="1:42" customHeight="1" ht="11.5">
      <c r="A564" s="5">
        <v>556</v>
      </c>
      <c r="B564" s="166" t="s">
        <v>1014</v>
      </c>
      <c r="C564" s="167" t="s">
        <v>36</v>
      </c>
      <c r="D564" s="88" t="s">
        <v>37</v>
      </c>
      <c r="E564" s="86">
        <v>0</v>
      </c>
      <c r="F564" s="9">
        <v>0</v>
      </c>
      <c r="G564" s="10"/>
      <c r="H564" s="9">
        <v>0</v>
      </c>
      <c r="I564" s="10"/>
      <c r="J564" s="152">
        <v>0</v>
      </c>
      <c r="K564" s="10"/>
      <c r="L564" s="152">
        <v>0</v>
      </c>
      <c r="M564" s="10"/>
      <c r="N564" s="152">
        <v>0</v>
      </c>
      <c r="O564" s="10"/>
      <c r="P564" s="152">
        <v>0</v>
      </c>
      <c r="Q564" s="10"/>
      <c r="R564" s="9">
        <v>0</v>
      </c>
      <c r="S564" s="10"/>
      <c r="T564" s="9">
        <v>0</v>
      </c>
      <c r="U564" s="10"/>
      <c r="V564" s="9">
        <v>0</v>
      </c>
      <c r="W564" s="10"/>
      <c r="X564" s="9">
        <v>0</v>
      </c>
      <c r="Y564" s="10"/>
      <c r="Z564" s="9">
        <v>0</v>
      </c>
      <c r="AA564" s="10"/>
      <c r="AB564" s="11">
        <v>0</v>
      </c>
      <c r="AC564" s="10"/>
      <c r="AD564" s="7">
        <f>SUM(F564+H564+J564+L564+N564+P564+R564+T564+V564+X564+Z564+AB564)</f>
        <v>0</v>
      </c>
      <c r="AE564" s="7">
        <f>E564+AD564</f>
        <v>0</v>
      </c>
      <c r="AF564" s="8">
        <f>G564+I564+K564+M564+O564+Q564+S564+U564+W564+Y564+AA564+AC564</f>
        <v>0</v>
      </c>
      <c r="AG564" s="153">
        <f>SUM(AE564-AF564)</f>
        <v>0</v>
      </c>
      <c r="AH564" s="99" t="s">
        <v>1011</v>
      </c>
      <c r="AI564" s="99">
        <v>4</v>
      </c>
    </row>
    <row r="565" spans="1:42" customHeight="1" ht="11.5">
      <c r="A565" s="5">
        <v>557</v>
      </c>
      <c r="B565" s="166" t="s">
        <v>1015</v>
      </c>
      <c r="C565" s="167" t="s">
        <v>36</v>
      </c>
      <c r="D565" s="88" t="s">
        <v>37</v>
      </c>
      <c r="E565" s="86">
        <v>0</v>
      </c>
      <c r="F565" s="9">
        <v>0</v>
      </c>
      <c r="G565" s="10"/>
      <c r="H565" s="9">
        <v>0</v>
      </c>
      <c r="I565" s="10"/>
      <c r="J565" s="152">
        <v>0</v>
      </c>
      <c r="K565" s="10"/>
      <c r="L565" s="152">
        <v>0</v>
      </c>
      <c r="M565" s="10"/>
      <c r="N565" s="152">
        <v>0</v>
      </c>
      <c r="O565" s="10"/>
      <c r="P565" s="152">
        <v>0</v>
      </c>
      <c r="Q565" s="10"/>
      <c r="R565" s="9">
        <v>0</v>
      </c>
      <c r="S565" s="10"/>
      <c r="T565" s="9">
        <v>0</v>
      </c>
      <c r="U565" s="10"/>
      <c r="V565" s="9">
        <v>0</v>
      </c>
      <c r="W565" s="10"/>
      <c r="X565" s="9">
        <v>0</v>
      </c>
      <c r="Y565" s="10"/>
      <c r="Z565" s="9">
        <v>0</v>
      </c>
      <c r="AA565" s="10"/>
      <c r="AB565" s="11">
        <v>0</v>
      </c>
      <c r="AC565" s="10"/>
      <c r="AD565" s="7">
        <f>SUM(F565+H565+J565+L565+N565+P565+R565+T565+V565+X565+Z565+AB565)</f>
        <v>0</v>
      </c>
      <c r="AE565" s="7">
        <f>E565+AD565</f>
        <v>0</v>
      </c>
      <c r="AF565" s="8">
        <f>G565+I565+K565+M565+O565+Q565+S565+U565+W565+Y565+AA565+AC565</f>
        <v>0</v>
      </c>
      <c r="AG565" s="153">
        <f>SUM(AE565-AF565)</f>
        <v>0</v>
      </c>
      <c r="AH565" s="99" t="s">
        <v>1011</v>
      </c>
      <c r="AI565" s="99">
        <v>4</v>
      </c>
    </row>
    <row r="566" spans="1:42" customHeight="1" ht="11.5">
      <c r="A566" s="5">
        <v>558</v>
      </c>
      <c r="B566" s="166" t="s">
        <v>1016</v>
      </c>
      <c r="C566" s="167" t="s">
        <v>36</v>
      </c>
      <c r="D566" s="88" t="s">
        <v>37</v>
      </c>
      <c r="E566" s="86">
        <v>0</v>
      </c>
      <c r="F566" s="9">
        <v>0</v>
      </c>
      <c r="G566" s="10"/>
      <c r="H566" s="9">
        <v>0</v>
      </c>
      <c r="I566" s="10"/>
      <c r="J566" s="152">
        <v>0</v>
      </c>
      <c r="K566" s="10"/>
      <c r="L566" s="152">
        <v>0</v>
      </c>
      <c r="M566" s="10"/>
      <c r="N566" s="152">
        <v>0</v>
      </c>
      <c r="O566" s="10"/>
      <c r="P566" s="152">
        <v>0</v>
      </c>
      <c r="Q566" s="10"/>
      <c r="R566" s="9">
        <v>0</v>
      </c>
      <c r="S566" s="10"/>
      <c r="T566" s="9">
        <v>0</v>
      </c>
      <c r="U566" s="10"/>
      <c r="V566" s="9">
        <v>0</v>
      </c>
      <c r="W566" s="10"/>
      <c r="X566" s="9">
        <v>0</v>
      </c>
      <c r="Y566" s="10"/>
      <c r="Z566" s="9">
        <v>0</v>
      </c>
      <c r="AA566" s="10"/>
      <c r="AB566" s="11">
        <v>0</v>
      </c>
      <c r="AC566" s="10"/>
      <c r="AD566" s="7">
        <f>SUM(F566+H566+J566+L566+N566+P566+R566+T566+V566+X566+Z566+AB566)</f>
        <v>0</v>
      </c>
      <c r="AE566" s="7">
        <f>E566+AD566</f>
        <v>0</v>
      </c>
      <c r="AF566" s="8">
        <f>G566+I566+K566+M566+O566+Q566+S566+U566+W566+Y566+AA566+AC566</f>
        <v>0</v>
      </c>
      <c r="AG566" s="153">
        <f>SUM(AE566-AF566)</f>
        <v>0</v>
      </c>
      <c r="AH566" s="99" t="s">
        <v>1011</v>
      </c>
      <c r="AI566" s="99">
        <v>4</v>
      </c>
    </row>
    <row r="567" spans="1:42" customHeight="1" ht="11.5">
      <c r="A567" s="5">
        <v>559</v>
      </c>
      <c r="B567" s="166" t="s">
        <v>1017</v>
      </c>
      <c r="C567" s="167" t="s">
        <v>36</v>
      </c>
      <c r="D567" s="88" t="s">
        <v>37</v>
      </c>
      <c r="E567" s="86">
        <v>0</v>
      </c>
      <c r="F567" s="9">
        <v>0</v>
      </c>
      <c r="G567" s="10"/>
      <c r="H567" s="9">
        <v>0</v>
      </c>
      <c r="I567" s="10"/>
      <c r="J567" s="152">
        <v>0</v>
      </c>
      <c r="K567" s="10"/>
      <c r="L567" s="152">
        <v>0</v>
      </c>
      <c r="M567" s="10"/>
      <c r="N567" s="152">
        <v>0</v>
      </c>
      <c r="O567" s="10"/>
      <c r="P567" s="152">
        <v>0</v>
      </c>
      <c r="Q567" s="10"/>
      <c r="R567" s="9">
        <v>0</v>
      </c>
      <c r="S567" s="10"/>
      <c r="T567" s="9">
        <v>0</v>
      </c>
      <c r="U567" s="10"/>
      <c r="V567" s="9">
        <v>0</v>
      </c>
      <c r="W567" s="10"/>
      <c r="X567" s="9">
        <v>0</v>
      </c>
      <c r="Y567" s="10"/>
      <c r="Z567" s="9">
        <v>0</v>
      </c>
      <c r="AA567" s="10"/>
      <c r="AB567" s="11">
        <v>0</v>
      </c>
      <c r="AC567" s="10"/>
      <c r="AD567" s="7">
        <f>SUM(F567+H567+J567+L567+N567+P567+R567+T567+V567+X567+Z567+AB567)</f>
        <v>0</v>
      </c>
      <c r="AE567" s="7">
        <f>E567+AD567</f>
        <v>0</v>
      </c>
      <c r="AF567" s="8">
        <f>G567+I567+K567+M567+O567+Q567+S567+U567+W567+Y567+AA567+AC567</f>
        <v>0</v>
      </c>
      <c r="AG567" s="153">
        <f>SUM(AE567-AF567)</f>
        <v>0</v>
      </c>
      <c r="AH567" s="99" t="s">
        <v>1018</v>
      </c>
      <c r="AI567" s="99">
        <v>4</v>
      </c>
    </row>
    <row r="568" spans="1:42" customHeight="1" ht="11.5">
      <c r="A568" s="5">
        <v>560</v>
      </c>
      <c r="B568" s="166" t="s">
        <v>1019</v>
      </c>
      <c r="C568" s="167" t="s">
        <v>36</v>
      </c>
      <c r="D568" s="88" t="s">
        <v>37</v>
      </c>
      <c r="E568" s="86">
        <v>0</v>
      </c>
      <c r="F568" s="9">
        <v>0</v>
      </c>
      <c r="G568" s="10"/>
      <c r="H568" s="9">
        <v>0</v>
      </c>
      <c r="I568" s="10"/>
      <c r="J568" s="152">
        <v>0</v>
      </c>
      <c r="K568" s="10"/>
      <c r="L568" s="152">
        <v>0</v>
      </c>
      <c r="M568" s="10"/>
      <c r="N568" s="152">
        <v>0</v>
      </c>
      <c r="O568" s="10"/>
      <c r="P568" s="152">
        <v>0</v>
      </c>
      <c r="Q568" s="10"/>
      <c r="R568" s="9">
        <v>0</v>
      </c>
      <c r="S568" s="10"/>
      <c r="T568" s="9">
        <v>0</v>
      </c>
      <c r="U568" s="10"/>
      <c r="V568" s="9">
        <v>0</v>
      </c>
      <c r="W568" s="10"/>
      <c r="X568" s="9">
        <v>0</v>
      </c>
      <c r="Y568" s="10"/>
      <c r="Z568" s="9">
        <v>0</v>
      </c>
      <c r="AA568" s="10"/>
      <c r="AB568" s="11">
        <v>0</v>
      </c>
      <c r="AC568" s="10"/>
      <c r="AD568" s="7">
        <f>SUM(F568+H568+J568+L568+N568+P568+R568+T568+V568+X568+Z568+AB568)</f>
        <v>0</v>
      </c>
      <c r="AE568" s="7">
        <f>E568+AD568</f>
        <v>0</v>
      </c>
      <c r="AF568" s="8">
        <f>G568+I568+K568+M568+O568+Q568+S568+U568+W568+Y568+AA568+AC568</f>
        <v>0</v>
      </c>
      <c r="AG568" s="153">
        <f>SUM(AE568-AF568)</f>
        <v>0</v>
      </c>
      <c r="AH568" s="99" t="s">
        <v>1018</v>
      </c>
      <c r="AI568" s="99">
        <v>4</v>
      </c>
    </row>
    <row r="569" spans="1:42" customHeight="1" ht="11.5">
      <c r="A569" s="5">
        <v>561</v>
      </c>
      <c r="B569" s="166" t="s">
        <v>1020</v>
      </c>
      <c r="C569" s="167" t="s">
        <v>36</v>
      </c>
      <c r="D569" s="88" t="s">
        <v>37</v>
      </c>
      <c r="E569" s="86">
        <v>0</v>
      </c>
      <c r="F569" s="9">
        <v>0</v>
      </c>
      <c r="G569" s="10"/>
      <c r="H569" s="9">
        <v>0</v>
      </c>
      <c r="I569" s="10"/>
      <c r="J569" s="152">
        <v>0</v>
      </c>
      <c r="K569" s="10"/>
      <c r="L569" s="152">
        <v>0</v>
      </c>
      <c r="M569" s="10"/>
      <c r="N569" s="152">
        <v>0</v>
      </c>
      <c r="O569" s="10"/>
      <c r="P569" s="152">
        <v>0</v>
      </c>
      <c r="Q569" s="10"/>
      <c r="R569" s="9">
        <v>0</v>
      </c>
      <c r="S569" s="10"/>
      <c r="T569" s="9">
        <v>0</v>
      </c>
      <c r="U569" s="10"/>
      <c r="V569" s="9">
        <v>0</v>
      </c>
      <c r="W569" s="10"/>
      <c r="X569" s="9">
        <v>0</v>
      </c>
      <c r="Y569" s="10"/>
      <c r="Z569" s="9">
        <v>0</v>
      </c>
      <c r="AA569" s="10"/>
      <c r="AB569" s="11">
        <v>0</v>
      </c>
      <c r="AC569" s="10"/>
      <c r="AD569" s="7">
        <f>SUM(F569+H569+J569+L569+N569+P569+R569+T569+V569+X569+Z569+AB569)</f>
        <v>0</v>
      </c>
      <c r="AE569" s="7">
        <f>E569+AD569</f>
        <v>0</v>
      </c>
      <c r="AF569" s="8">
        <f>G569+I569+K569+M569+O569+Q569+S569+U569+W569+Y569+AA569+AC569</f>
        <v>0</v>
      </c>
      <c r="AG569" s="153">
        <f>SUM(AE569-AF569)</f>
        <v>0</v>
      </c>
      <c r="AH569" s="99" t="s">
        <v>1018</v>
      </c>
      <c r="AI569" s="99">
        <v>4</v>
      </c>
    </row>
    <row r="570" spans="1:42" customHeight="1" ht="11.5">
      <c r="A570" s="5">
        <v>562</v>
      </c>
      <c r="B570" s="166" t="s">
        <v>1021</v>
      </c>
      <c r="C570" s="167" t="s">
        <v>36</v>
      </c>
      <c r="D570" s="88" t="s">
        <v>37</v>
      </c>
      <c r="E570" s="86">
        <v>0</v>
      </c>
      <c r="F570" s="9">
        <v>0</v>
      </c>
      <c r="G570" s="10"/>
      <c r="H570" s="9">
        <v>0</v>
      </c>
      <c r="I570" s="10"/>
      <c r="J570" s="152">
        <v>0</v>
      </c>
      <c r="K570" s="10"/>
      <c r="L570" s="152">
        <v>0</v>
      </c>
      <c r="M570" s="10"/>
      <c r="N570" s="152">
        <v>0</v>
      </c>
      <c r="O570" s="10"/>
      <c r="P570" s="152">
        <v>0</v>
      </c>
      <c r="Q570" s="10"/>
      <c r="R570" s="9">
        <v>0</v>
      </c>
      <c r="S570" s="10"/>
      <c r="T570" s="9">
        <v>0</v>
      </c>
      <c r="U570" s="10"/>
      <c r="V570" s="9">
        <v>0</v>
      </c>
      <c r="W570" s="10"/>
      <c r="X570" s="9">
        <v>0</v>
      </c>
      <c r="Y570" s="10"/>
      <c r="Z570" s="9">
        <v>0</v>
      </c>
      <c r="AA570" s="10"/>
      <c r="AB570" s="11">
        <v>0</v>
      </c>
      <c r="AC570" s="10"/>
      <c r="AD570" s="7">
        <f>SUM(F570+H570+J570+L570+N570+P570+R570+T570+V570+X570+Z570+AB570)</f>
        <v>0</v>
      </c>
      <c r="AE570" s="7">
        <f>E570+AD570</f>
        <v>0</v>
      </c>
      <c r="AF570" s="8">
        <f>G570+I570+K570+M570+O570+Q570+S570+U570+W570+Y570+AA570+AC570</f>
        <v>0</v>
      </c>
      <c r="AG570" s="153">
        <f>SUM(AE570-AF570)</f>
        <v>0</v>
      </c>
      <c r="AH570" s="82" t="s">
        <v>1018</v>
      </c>
      <c r="AI570">
        <v>4</v>
      </c>
    </row>
    <row r="571" spans="1:42" customHeight="1" ht="11.5">
      <c r="A571" s="5">
        <v>563</v>
      </c>
      <c r="B571" s="166" t="s">
        <v>1022</v>
      </c>
      <c r="C571" s="167" t="s">
        <v>36</v>
      </c>
      <c r="D571" s="88" t="s">
        <v>37</v>
      </c>
      <c r="E571" s="86">
        <v>0</v>
      </c>
      <c r="F571" s="9">
        <v>0</v>
      </c>
      <c r="G571" s="10"/>
      <c r="H571" s="9">
        <v>0</v>
      </c>
      <c r="I571" s="10"/>
      <c r="J571" s="152">
        <v>0</v>
      </c>
      <c r="K571" s="10"/>
      <c r="L571" s="152">
        <v>0</v>
      </c>
      <c r="M571" s="10"/>
      <c r="N571" s="152">
        <v>0</v>
      </c>
      <c r="O571" s="10"/>
      <c r="P571" s="152">
        <v>0</v>
      </c>
      <c r="Q571" s="10"/>
      <c r="R571" s="9">
        <v>0</v>
      </c>
      <c r="S571" s="10"/>
      <c r="T571" s="9">
        <v>0</v>
      </c>
      <c r="U571" s="10"/>
      <c r="V571" s="9">
        <v>0</v>
      </c>
      <c r="W571" s="10"/>
      <c r="X571" s="9">
        <v>0</v>
      </c>
      <c r="Y571" s="10"/>
      <c r="Z571" s="9">
        <v>0</v>
      </c>
      <c r="AA571" s="10"/>
      <c r="AB571" s="11">
        <v>0</v>
      </c>
      <c r="AC571" s="10"/>
      <c r="AD571" s="7">
        <f>SUM(F571+H571+J571+L571+N571+P571+R571+T571+V571+X571+Z571+AB571)</f>
        <v>0</v>
      </c>
      <c r="AE571" s="7">
        <f>E571+AD571</f>
        <v>0</v>
      </c>
      <c r="AF571" s="8">
        <f>G571+I571+K571+M571+O571+Q571+S571+U571+W571+Y571+AA571+AC571</f>
        <v>0</v>
      </c>
      <c r="AG571" s="153">
        <f>SUM(AE571-AF571)</f>
        <v>0</v>
      </c>
      <c r="AH571" s="82" t="s">
        <v>1459</v>
      </c>
      <c r="AI571">
        <v>4</v>
      </c>
    </row>
    <row r="572" spans="1:42" customHeight="1" ht="11.5">
      <c r="A572" s="5">
        <v>564</v>
      </c>
      <c r="B572" s="166" t="s">
        <v>1023</v>
      </c>
      <c r="C572" s="167" t="s">
        <v>101</v>
      </c>
      <c r="D572" s="88" t="s">
        <v>102</v>
      </c>
      <c r="E572" s="86">
        <v>0</v>
      </c>
      <c r="F572" s="9">
        <v>0</v>
      </c>
      <c r="G572" s="10"/>
      <c r="H572" s="9">
        <v>0</v>
      </c>
      <c r="I572" s="10"/>
      <c r="J572" s="152">
        <v>0</v>
      </c>
      <c r="K572" s="10"/>
      <c r="L572" s="152">
        <v>0</v>
      </c>
      <c r="M572" s="10"/>
      <c r="N572" s="152">
        <v>0</v>
      </c>
      <c r="O572" s="10"/>
      <c r="P572" s="152">
        <v>0</v>
      </c>
      <c r="Q572" s="10"/>
      <c r="R572" s="9">
        <v>0</v>
      </c>
      <c r="S572" s="10"/>
      <c r="T572" s="9">
        <v>0</v>
      </c>
      <c r="U572" s="10"/>
      <c r="V572" s="9">
        <v>0</v>
      </c>
      <c r="W572" s="10"/>
      <c r="X572" s="9">
        <v>0</v>
      </c>
      <c r="Y572" s="10"/>
      <c r="Z572" s="9">
        <v>0</v>
      </c>
      <c r="AA572" s="10"/>
      <c r="AB572" s="11">
        <v>0</v>
      </c>
      <c r="AC572" s="10"/>
      <c r="AD572" s="7">
        <f>SUM(F572+H572+J572+L572+N572+P572+R572+T572+V572+X572+Z572+AB572)</f>
        <v>0</v>
      </c>
      <c r="AE572" s="7">
        <f>E572+AD572</f>
        <v>0</v>
      </c>
      <c r="AF572" s="8">
        <f>G572+I572+K572+M572+O572+Q572+S572+U572+W572+Y572+AA572+AC572</f>
        <v>0</v>
      </c>
      <c r="AG572" s="153">
        <f>SUM(AE572-AF572)</f>
        <v>0</v>
      </c>
      <c r="AH572" s="82" t="s">
        <v>1459</v>
      </c>
      <c r="AI572">
        <v>4</v>
      </c>
    </row>
    <row r="573" spans="1:42" customHeight="1" ht="11.5">
      <c r="A573" s="5">
        <v>565</v>
      </c>
      <c r="B573" s="166" t="s">
        <v>1024</v>
      </c>
      <c r="C573" s="167" t="s">
        <v>105</v>
      </c>
      <c r="D573" s="88" t="s">
        <v>106</v>
      </c>
      <c r="E573" s="86">
        <v>0</v>
      </c>
      <c r="F573" s="9">
        <v>0</v>
      </c>
      <c r="G573" s="10"/>
      <c r="H573" s="9">
        <v>0</v>
      </c>
      <c r="I573" s="10"/>
      <c r="J573" s="152">
        <v>0</v>
      </c>
      <c r="K573" s="10"/>
      <c r="L573" s="152">
        <v>0</v>
      </c>
      <c r="M573" s="10"/>
      <c r="N573" s="152">
        <v>0</v>
      </c>
      <c r="O573" s="10"/>
      <c r="P573" s="152">
        <v>0</v>
      </c>
      <c r="Q573" s="10"/>
      <c r="R573" s="9">
        <v>0</v>
      </c>
      <c r="S573" s="10"/>
      <c r="T573" s="9">
        <v>0</v>
      </c>
      <c r="U573" s="10"/>
      <c r="V573" s="9">
        <v>0</v>
      </c>
      <c r="W573" s="10"/>
      <c r="X573" s="9">
        <v>0</v>
      </c>
      <c r="Y573" s="10"/>
      <c r="Z573" s="9">
        <v>0</v>
      </c>
      <c r="AA573" s="10"/>
      <c r="AB573" s="11">
        <v>0</v>
      </c>
      <c r="AC573" s="10"/>
      <c r="AD573" s="7">
        <f>SUM(F573+H573+J573+L573+N573+P573+R573+T573+V573+X573+Z573+AB573)</f>
        <v>0</v>
      </c>
      <c r="AE573" s="7">
        <f>E573+AD573</f>
        <v>0</v>
      </c>
      <c r="AF573" s="8">
        <f>G573+I573+K573+M573+O573+Q573+S573+U573+W573+Y573+AA573+AC573</f>
        <v>0</v>
      </c>
      <c r="AG573" s="153">
        <f>SUM(AE573-AF573)</f>
        <v>0</v>
      </c>
      <c r="AH573" s="82" t="s">
        <v>1459</v>
      </c>
      <c r="AI573">
        <v>4</v>
      </c>
    </row>
    <row r="574" spans="1:42" customHeight="1" ht="11.5">
      <c r="A574" s="5">
        <v>566</v>
      </c>
      <c r="B574" s="166" t="s">
        <v>1025</v>
      </c>
      <c r="C574" s="167" t="s">
        <v>109</v>
      </c>
      <c r="D574" s="88" t="s">
        <v>110</v>
      </c>
      <c r="E574" s="86">
        <v>0</v>
      </c>
      <c r="F574" s="9">
        <v>0</v>
      </c>
      <c r="G574" s="10"/>
      <c r="H574" s="9">
        <v>0</v>
      </c>
      <c r="I574" s="10"/>
      <c r="J574" s="152">
        <v>0</v>
      </c>
      <c r="K574" s="10"/>
      <c r="L574" s="152">
        <v>0</v>
      </c>
      <c r="M574" s="10"/>
      <c r="N574" s="152">
        <v>0</v>
      </c>
      <c r="O574" s="10"/>
      <c r="P574" s="152">
        <v>0</v>
      </c>
      <c r="Q574" s="10"/>
      <c r="R574" s="9">
        <v>0</v>
      </c>
      <c r="S574" s="10"/>
      <c r="T574" s="9">
        <v>0</v>
      </c>
      <c r="U574" s="10"/>
      <c r="V574" s="9">
        <v>0</v>
      </c>
      <c r="W574" s="10"/>
      <c r="X574" s="9">
        <v>0</v>
      </c>
      <c r="Y574" s="10"/>
      <c r="Z574" s="9">
        <v>0</v>
      </c>
      <c r="AA574" s="10"/>
      <c r="AB574" s="11">
        <v>0</v>
      </c>
      <c r="AC574" s="10"/>
      <c r="AD574" s="7">
        <f>SUM(F574+H574+J574+L574+N574+P574+R574+T574+V574+X574+Z574+AB574)</f>
        <v>0</v>
      </c>
      <c r="AE574" s="7">
        <f>E574+AD574</f>
        <v>0</v>
      </c>
      <c r="AF574" s="8">
        <f>G574+I574+K574+M574+O574+Q574+S574+U574+W574+Y574+AA574+AC574</f>
        <v>0</v>
      </c>
      <c r="AG574" s="153">
        <f>SUM(AE574-AF574)</f>
        <v>0</v>
      </c>
      <c r="AH574" s="82" t="s">
        <v>1459</v>
      </c>
      <c r="AI574">
        <v>4</v>
      </c>
    </row>
    <row r="575" spans="1:42" customHeight="1" ht="11.5" s="96" customFormat="1">
      <c r="A575" s="5">
        <v>567</v>
      </c>
      <c r="B575" s="166" t="s">
        <v>1026</v>
      </c>
      <c r="C575" s="167" t="s">
        <v>36</v>
      </c>
      <c r="D575" s="88" t="s">
        <v>37</v>
      </c>
      <c r="E575" s="86">
        <v>0</v>
      </c>
      <c r="F575" s="9">
        <v>0</v>
      </c>
      <c r="G575" s="10"/>
      <c r="H575" s="9">
        <v>0</v>
      </c>
      <c r="I575" s="10"/>
      <c r="J575" s="152">
        <v>0</v>
      </c>
      <c r="K575" s="10"/>
      <c r="L575" s="152">
        <v>0</v>
      </c>
      <c r="M575" s="10"/>
      <c r="N575" s="152">
        <v>0</v>
      </c>
      <c r="O575" s="10"/>
      <c r="P575" s="152">
        <v>0</v>
      </c>
      <c r="Q575" s="10"/>
      <c r="R575" s="9">
        <v>0</v>
      </c>
      <c r="S575" s="10"/>
      <c r="T575" s="9">
        <v>0</v>
      </c>
      <c r="U575" s="10"/>
      <c r="V575" s="9">
        <v>0</v>
      </c>
      <c r="W575" s="10"/>
      <c r="X575" s="9">
        <v>0</v>
      </c>
      <c r="Y575" s="10"/>
      <c r="Z575" s="9">
        <v>0</v>
      </c>
      <c r="AA575" s="10"/>
      <c r="AB575" s="11">
        <v>0</v>
      </c>
      <c r="AC575" s="10"/>
      <c r="AD575" s="7">
        <f>SUM(F575+H575+J575+L575+N575+P575+R575+T575+V575+X575+Z575+AB575)</f>
        <v>0</v>
      </c>
      <c r="AE575" s="7">
        <f>E575+AD575</f>
        <v>0</v>
      </c>
      <c r="AF575" s="8">
        <f>G575+I575+K575+M575+O575+Q575+S575+U575+W575+Y575+AA575+AC575</f>
        <v>0</v>
      </c>
      <c r="AG575" s="153">
        <f>SUM(AE575-AF575)</f>
        <v>0</v>
      </c>
      <c r="AH575" s="96" t="s">
        <v>1459</v>
      </c>
      <c r="AI575" s="96">
        <v>4</v>
      </c>
    </row>
    <row r="576" spans="1:42" customHeight="1" ht="11.5" s="96" customFormat="1">
      <c r="A576" s="5">
        <v>568</v>
      </c>
      <c r="B576" s="166" t="s">
        <v>1027</v>
      </c>
      <c r="C576" s="167" t="s">
        <v>36</v>
      </c>
      <c r="D576" s="88" t="s">
        <v>37</v>
      </c>
      <c r="E576" s="86">
        <v>0</v>
      </c>
      <c r="F576" s="9">
        <v>0</v>
      </c>
      <c r="G576" s="10"/>
      <c r="H576" s="9">
        <v>0</v>
      </c>
      <c r="I576" s="10"/>
      <c r="J576" s="152">
        <v>0</v>
      </c>
      <c r="K576" s="10"/>
      <c r="L576" s="152">
        <v>0</v>
      </c>
      <c r="M576" s="10"/>
      <c r="N576" s="152">
        <v>0</v>
      </c>
      <c r="O576" s="10"/>
      <c r="P576" s="152">
        <v>0</v>
      </c>
      <c r="Q576" s="10"/>
      <c r="R576" s="9">
        <v>0</v>
      </c>
      <c r="S576" s="10"/>
      <c r="T576" s="9">
        <v>0</v>
      </c>
      <c r="U576" s="10"/>
      <c r="V576" s="9">
        <v>0</v>
      </c>
      <c r="W576" s="10"/>
      <c r="X576" s="9">
        <v>0</v>
      </c>
      <c r="Y576" s="10"/>
      <c r="Z576" s="9">
        <v>0</v>
      </c>
      <c r="AA576" s="10"/>
      <c r="AB576" s="11">
        <v>0</v>
      </c>
      <c r="AC576" s="10"/>
      <c r="AD576" s="7">
        <f>SUM(F576+H576+J576+L576+N576+P576+R576+T576+V576+X576+Z576+AB576)</f>
        <v>0</v>
      </c>
      <c r="AE576" s="7">
        <f>E576+AD576</f>
        <v>0</v>
      </c>
      <c r="AF576" s="8">
        <f>G576+I576+K576+M576+O576+Q576+S576+U576+W576+Y576+AA576+AC576</f>
        <v>0</v>
      </c>
      <c r="AG576" s="153">
        <f>SUM(AE576-AF576)</f>
        <v>0</v>
      </c>
      <c r="AH576" s="96" t="s">
        <v>1460</v>
      </c>
      <c r="AI576" s="96">
        <v>4</v>
      </c>
    </row>
    <row r="577" spans="1:42" customHeight="1" ht="11.5" s="96" customFormat="1">
      <c r="A577" s="5">
        <v>569</v>
      </c>
      <c r="B577" s="166" t="s">
        <v>1028</v>
      </c>
      <c r="C577" s="167" t="s">
        <v>36</v>
      </c>
      <c r="D577" s="88" t="s">
        <v>37</v>
      </c>
      <c r="E577" s="86">
        <v>0</v>
      </c>
      <c r="F577" s="9">
        <v>0</v>
      </c>
      <c r="G577" s="10"/>
      <c r="H577" s="9">
        <v>0</v>
      </c>
      <c r="I577" s="10"/>
      <c r="J577" s="152">
        <v>0</v>
      </c>
      <c r="K577" s="10"/>
      <c r="L577" s="152">
        <v>0</v>
      </c>
      <c r="M577" s="10"/>
      <c r="N577" s="152">
        <v>0</v>
      </c>
      <c r="O577" s="10"/>
      <c r="P577" s="152">
        <v>0</v>
      </c>
      <c r="Q577" s="10"/>
      <c r="R577" s="9">
        <v>0</v>
      </c>
      <c r="S577" s="10"/>
      <c r="T577" s="9">
        <v>0</v>
      </c>
      <c r="U577" s="10"/>
      <c r="V577" s="9">
        <v>0</v>
      </c>
      <c r="W577" s="10"/>
      <c r="X577" s="9">
        <v>0</v>
      </c>
      <c r="Y577" s="10"/>
      <c r="Z577" s="9">
        <v>0</v>
      </c>
      <c r="AA577" s="10"/>
      <c r="AB577" s="11">
        <v>0</v>
      </c>
      <c r="AC577" s="10"/>
      <c r="AD577" s="7">
        <f>SUM(F577+H577+J577+L577+N577+P577+R577+T577+V577+X577+Z577+AB577)</f>
        <v>0</v>
      </c>
      <c r="AE577" s="7">
        <f>E577+AD577</f>
        <v>0</v>
      </c>
      <c r="AF577" s="8">
        <f>G577+I577+K577+M577+O577+Q577+S577+U577+W577+Y577+AA577+AC577</f>
        <v>0</v>
      </c>
      <c r="AG577" s="153">
        <f>SUM(AE577-AF577)</f>
        <v>0</v>
      </c>
      <c r="AH577" s="96" t="s">
        <v>1460</v>
      </c>
      <c r="AI577" s="96">
        <v>4</v>
      </c>
    </row>
    <row r="578" spans="1:42" customHeight="1" ht="11.5" s="96" customFormat="1">
      <c r="A578" s="5">
        <v>570</v>
      </c>
      <c r="B578" s="166" t="s">
        <v>1029</v>
      </c>
      <c r="C578" s="167" t="s">
        <v>36</v>
      </c>
      <c r="D578" s="88" t="s">
        <v>37</v>
      </c>
      <c r="E578" s="86">
        <v>0</v>
      </c>
      <c r="F578" s="9">
        <v>0</v>
      </c>
      <c r="G578" s="10"/>
      <c r="H578" s="9">
        <v>0</v>
      </c>
      <c r="I578" s="10"/>
      <c r="J578" s="152">
        <v>0</v>
      </c>
      <c r="K578" s="10"/>
      <c r="L578" s="152">
        <v>0</v>
      </c>
      <c r="M578" s="10"/>
      <c r="N578" s="152">
        <v>0</v>
      </c>
      <c r="O578" s="10"/>
      <c r="P578" s="152">
        <v>0</v>
      </c>
      <c r="Q578" s="10"/>
      <c r="R578" s="9">
        <v>0</v>
      </c>
      <c r="S578" s="10"/>
      <c r="T578" s="9">
        <v>0</v>
      </c>
      <c r="U578" s="10"/>
      <c r="V578" s="9">
        <v>0</v>
      </c>
      <c r="W578" s="10"/>
      <c r="X578" s="9">
        <v>0</v>
      </c>
      <c r="Y578" s="10"/>
      <c r="Z578" s="9">
        <v>0</v>
      </c>
      <c r="AA578" s="10"/>
      <c r="AB578" s="11">
        <v>0</v>
      </c>
      <c r="AC578" s="10"/>
      <c r="AD578" s="7">
        <f>SUM(F578+H578+J578+L578+N578+P578+R578+T578+V578+X578+Z578+AB578)</f>
        <v>0</v>
      </c>
      <c r="AE578" s="7">
        <f>E578+AD578</f>
        <v>0</v>
      </c>
      <c r="AF578" s="8">
        <f>G578+I578+K578+M578+O578+Q578+S578+U578+W578+Y578+AA578+AC578</f>
        <v>0</v>
      </c>
      <c r="AG578" s="153">
        <f>SUM(AE578-AF578)</f>
        <v>0</v>
      </c>
      <c r="AH578" s="96" t="s">
        <v>1460</v>
      </c>
      <c r="AI578" s="96">
        <v>4</v>
      </c>
    </row>
    <row r="579" spans="1:42" customHeight="1" ht="11.5" s="96" customFormat="1">
      <c r="A579" s="5">
        <v>571</v>
      </c>
      <c r="B579" s="166" t="s">
        <v>1030</v>
      </c>
      <c r="C579" s="167" t="s">
        <v>36</v>
      </c>
      <c r="D579" s="88" t="s">
        <v>37</v>
      </c>
      <c r="E579" s="86">
        <v>0</v>
      </c>
      <c r="F579" s="9">
        <v>0</v>
      </c>
      <c r="G579" s="10"/>
      <c r="H579" s="9">
        <v>0</v>
      </c>
      <c r="I579" s="10"/>
      <c r="J579" s="152">
        <v>0</v>
      </c>
      <c r="K579" s="10"/>
      <c r="L579" s="152">
        <v>0</v>
      </c>
      <c r="M579" s="10"/>
      <c r="N579" s="152">
        <v>0</v>
      </c>
      <c r="O579" s="10"/>
      <c r="P579" s="152">
        <v>0</v>
      </c>
      <c r="Q579" s="10"/>
      <c r="R579" s="9">
        <v>0</v>
      </c>
      <c r="S579" s="10"/>
      <c r="T579" s="9">
        <v>0</v>
      </c>
      <c r="U579" s="10"/>
      <c r="V579" s="9">
        <v>0</v>
      </c>
      <c r="W579" s="10"/>
      <c r="X579" s="9">
        <v>0</v>
      </c>
      <c r="Y579" s="10"/>
      <c r="Z579" s="9">
        <v>0</v>
      </c>
      <c r="AA579" s="10"/>
      <c r="AB579" s="11">
        <v>0</v>
      </c>
      <c r="AC579" s="10"/>
      <c r="AD579" s="7">
        <f>SUM(F579+H579+J579+L579+N579+P579+R579+T579+V579+X579+Z579+AB579)</f>
        <v>0</v>
      </c>
      <c r="AE579" s="7">
        <f>E579+AD579</f>
        <v>0</v>
      </c>
      <c r="AF579" s="8">
        <f>G579+I579+K579+M579+O579+Q579+S579+U579+W579+Y579+AA579+AC579</f>
        <v>0</v>
      </c>
      <c r="AG579" s="153">
        <f>SUM(AE579-AF579)</f>
        <v>0</v>
      </c>
      <c r="AH579" s="96" t="s">
        <v>1460</v>
      </c>
      <c r="AI579" s="96">
        <v>4</v>
      </c>
    </row>
    <row r="580" spans="1:42" customHeight="1" ht="11.5" s="96" customFormat="1">
      <c r="A580" s="5">
        <v>572</v>
      </c>
      <c r="B580" s="166" t="s">
        <v>1031</v>
      </c>
      <c r="C580" s="167" t="s">
        <v>36</v>
      </c>
      <c r="D580" s="88" t="s">
        <v>37</v>
      </c>
      <c r="E580" s="86">
        <v>0</v>
      </c>
      <c r="F580" s="9">
        <v>0</v>
      </c>
      <c r="G580" s="10"/>
      <c r="H580" s="9">
        <v>0</v>
      </c>
      <c r="I580" s="10"/>
      <c r="J580" s="152">
        <v>0</v>
      </c>
      <c r="K580" s="10"/>
      <c r="L580" s="152">
        <v>0</v>
      </c>
      <c r="M580" s="10"/>
      <c r="N580" s="152">
        <v>0</v>
      </c>
      <c r="O580" s="10"/>
      <c r="P580" s="152">
        <v>0</v>
      </c>
      <c r="Q580" s="10"/>
      <c r="R580" s="9">
        <v>0</v>
      </c>
      <c r="S580" s="10"/>
      <c r="T580" s="9">
        <v>0</v>
      </c>
      <c r="U580" s="10"/>
      <c r="V580" s="9">
        <v>0</v>
      </c>
      <c r="W580" s="10"/>
      <c r="X580" s="9">
        <v>0</v>
      </c>
      <c r="Y580" s="10"/>
      <c r="Z580" s="9">
        <v>0</v>
      </c>
      <c r="AA580" s="10"/>
      <c r="AB580" s="11">
        <v>0</v>
      </c>
      <c r="AC580" s="10"/>
      <c r="AD580" s="7">
        <f>SUM(F580+H580+J580+L580+N580+P580+R580+T580+V580+X580+Z580+AB580)</f>
        <v>0</v>
      </c>
      <c r="AE580" s="7">
        <f>E580+AD580</f>
        <v>0</v>
      </c>
      <c r="AF580" s="8">
        <f>G580+I580+K580+M580+O580+Q580+S580+U580+W580+Y580+AA580+AC580</f>
        <v>0</v>
      </c>
      <c r="AG580" s="153">
        <f>SUM(AE580-AF580)</f>
        <v>0</v>
      </c>
      <c r="AH580" s="96" t="s">
        <v>1460</v>
      </c>
      <c r="AI580" s="96">
        <v>4</v>
      </c>
    </row>
    <row r="581" spans="1:42" customHeight="1" ht="11.5" s="96" customFormat="1">
      <c r="A581" s="5">
        <v>573</v>
      </c>
      <c r="B581" s="166" t="s">
        <v>1032</v>
      </c>
      <c r="C581" s="167" t="s">
        <v>36</v>
      </c>
      <c r="D581" s="88" t="s">
        <v>37</v>
      </c>
      <c r="E581" s="86">
        <v>0</v>
      </c>
      <c r="F581" s="9">
        <v>0</v>
      </c>
      <c r="G581" s="10"/>
      <c r="H581" s="9">
        <v>0</v>
      </c>
      <c r="I581" s="10"/>
      <c r="J581" s="152">
        <v>0</v>
      </c>
      <c r="K581" s="10"/>
      <c r="L581" s="152">
        <v>0</v>
      </c>
      <c r="M581" s="10"/>
      <c r="N581" s="152">
        <v>0</v>
      </c>
      <c r="O581" s="10"/>
      <c r="P581" s="152">
        <v>0</v>
      </c>
      <c r="Q581" s="10"/>
      <c r="R581" s="9">
        <v>0</v>
      </c>
      <c r="S581" s="10"/>
      <c r="T581" s="9">
        <v>0</v>
      </c>
      <c r="U581" s="10"/>
      <c r="V581" s="9">
        <v>0</v>
      </c>
      <c r="W581" s="10"/>
      <c r="X581" s="9">
        <v>0</v>
      </c>
      <c r="Y581" s="10"/>
      <c r="Z581" s="9">
        <v>0</v>
      </c>
      <c r="AA581" s="10"/>
      <c r="AB581" s="11">
        <v>0</v>
      </c>
      <c r="AC581" s="10"/>
      <c r="AD581" s="7">
        <f>SUM(F581+H581+J581+L581+N581+P581+R581+T581+V581+X581+Z581+AB581)</f>
        <v>0</v>
      </c>
      <c r="AE581" s="7">
        <f>E581+AD581</f>
        <v>0</v>
      </c>
      <c r="AF581" s="8">
        <f>G581+I581+K581+M581+O581+Q581+S581+U581+W581+Y581+AA581+AC581</f>
        <v>0</v>
      </c>
      <c r="AG581" s="153">
        <f>SUM(AE581-AF581)</f>
        <v>0</v>
      </c>
      <c r="AH581" s="96" t="s">
        <v>1461</v>
      </c>
      <c r="AI581" s="96">
        <v>4</v>
      </c>
    </row>
    <row r="582" spans="1:42" customHeight="1" ht="11.5" s="96" customFormat="1">
      <c r="A582" s="5">
        <v>574</v>
      </c>
      <c r="B582" s="166" t="s">
        <v>1033</v>
      </c>
      <c r="C582" s="167" t="s">
        <v>36</v>
      </c>
      <c r="D582" s="88" t="s">
        <v>37</v>
      </c>
      <c r="E582" s="86">
        <v>0</v>
      </c>
      <c r="F582" s="9">
        <v>0</v>
      </c>
      <c r="G582" s="10"/>
      <c r="H582" s="9">
        <v>0</v>
      </c>
      <c r="I582" s="10"/>
      <c r="J582" s="152">
        <v>0</v>
      </c>
      <c r="K582" s="10"/>
      <c r="L582" s="152">
        <v>0</v>
      </c>
      <c r="M582" s="10"/>
      <c r="N582" s="152">
        <v>0</v>
      </c>
      <c r="O582" s="10"/>
      <c r="P582" s="152">
        <v>0</v>
      </c>
      <c r="Q582" s="10"/>
      <c r="R582" s="9">
        <v>0</v>
      </c>
      <c r="S582" s="10"/>
      <c r="T582" s="9">
        <v>0</v>
      </c>
      <c r="U582" s="10"/>
      <c r="V582" s="9">
        <v>0</v>
      </c>
      <c r="W582" s="10"/>
      <c r="X582" s="9">
        <v>0</v>
      </c>
      <c r="Y582" s="10"/>
      <c r="Z582" s="9">
        <v>0</v>
      </c>
      <c r="AA582" s="10"/>
      <c r="AB582" s="11">
        <v>0</v>
      </c>
      <c r="AC582" s="10"/>
      <c r="AD582" s="7">
        <f>SUM(F582+H582+J582+L582+N582+P582+R582+T582+V582+X582+Z582+AB582)</f>
        <v>0</v>
      </c>
      <c r="AE582" s="7">
        <f>E582+AD582</f>
        <v>0</v>
      </c>
      <c r="AF582" s="8">
        <f>G582+I582+K582+M582+O582+Q582+S582+U582+W582+Y582+AA582+AC582</f>
        <v>0</v>
      </c>
      <c r="AG582" s="153">
        <f>SUM(AE582-AF582)</f>
        <v>0</v>
      </c>
      <c r="AH582" s="96" t="s">
        <v>1461</v>
      </c>
      <c r="AI582" s="96">
        <v>4</v>
      </c>
    </row>
    <row r="583" spans="1:42" customHeight="1" ht="11.5" s="96" customFormat="1">
      <c r="A583" s="5">
        <v>575</v>
      </c>
      <c r="B583" s="166" t="s">
        <v>1034</v>
      </c>
      <c r="C583" s="167" t="s">
        <v>36</v>
      </c>
      <c r="D583" s="88" t="s">
        <v>37</v>
      </c>
      <c r="E583" s="86">
        <v>0</v>
      </c>
      <c r="F583" s="9">
        <v>0</v>
      </c>
      <c r="G583" s="10"/>
      <c r="H583" s="9">
        <v>0</v>
      </c>
      <c r="I583" s="10"/>
      <c r="J583" s="152">
        <v>0</v>
      </c>
      <c r="K583" s="10"/>
      <c r="L583" s="152">
        <v>0</v>
      </c>
      <c r="M583" s="10"/>
      <c r="N583" s="152">
        <v>0</v>
      </c>
      <c r="O583" s="10"/>
      <c r="P583" s="152">
        <v>0</v>
      </c>
      <c r="Q583" s="10"/>
      <c r="R583" s="9">
        <v>0</v>
      </c>
      <c r="S583" s="10"/>
      <c r="T583" s="9">
        <v>0</v>
      </c>
      <c r="U583" s="10"/>
      <c r="V583" s="9">
        <v>0</v>
      </c>
      <c r="W583" s="10"/>
      <c r="X583" s="9">
        <v>0</v>
      </c>
      <c r="Y583" s="10"/>
      <c r="Z583" s="9">
        <v>0</v>
      </c>
      <c r="AA583" s="10"/>
      <c r="AB583" s="11">
        <v>0</v>
      </c>
      <c r="AC583" s="10"/>
      <c r="AD583" s="7">
        <f>SUM(F583+H583+J583+L583+N583+P583+R583+T583+V583+X583+Z583+AB583)</f>
        <v>0</v>
      </c>
      <c r="AE583" s="7">
        <f>E583+AD583</f>
        <v>0</v>
      </c>
      <c r="AF583" s="8">
        <f>G583+I583+K583+M583+O583+Q583+S583+U583+W583+Y583+AA583+AC583</f>
        <v>0</v>
      </c>
      <c r="AG583" s="153">
        <f>SUM(AE583-AF583)</f>
        <v>0</v>
      </c>
      <c r="AH583" s="96" t="s">
        <v>1462</v>
      </c>
      <c r="AI583" s="96">
        <v>4</v>
      </c>
    </row>
    <row r="584" spans="1:42" customHeight="1" ht="11.5" s="96" customFormat="1">
      <c r="A584" s="5">
        <v>576</v>
      </c>
      <c r="B584" s="166" t="s">
        <v>1035</v>
      </c>
      <c r="C584" s="167" t="s">
        <v>36</v>
      </c>
      <c r="D584" s="88" t="s">
        <v>37</v>
      </c>
      <c r="E584" s="86">
        <v>0</v>
      </c>
      <c r="F584" s="9">
        <v>0</v>
      </c>
      <c r="G584" s="10"/>
      <c r="H584" s="9">
        <v>0</v>
      </c>
      <c r="I584" s="10"/>
      <c r="J584" s="152">
        <v>0</v>
      </c>
      <c r="K584" s="10"/>
      <c r="L584" s="152">
        <v>0</v>
      </c>
      <c r="M584" s="10"/>
      <c r="N584" s="152">
        <v>0</v>
      </c>
      <c r="O584" s="10"/>
      <c r="P584" s="152">
        <v>0</v>
      </c>
      <c r="Q584" s="10"/>
      <c r="R584" s="9">
        <v>0</v>
      </c>
      <c r="S584" s="10"/>
      <c r="T584" s="9">
        <v>0</v>
      </c>
      <c r="U584" s="10"/>
      <c r="V584" s="9">
        <v>0</v>
      </c>
      <c r="W584" s="10"/>
      <c r="X584" s="9">
        <v>0</v>
      </c>
      <c r="Y584" s="10"/>
      <c r="Z584" s="9">
        <v>0</v>
      </c>
      <c r="AA584" s="10"/>
      <c r="AB584" s="11">
        <v>0</v>
      </c>
      <c r="AC584" s="10"/>
      <c r="AD584" s="7">
        <f>SUM(F584+H584+J584+L584+N584+P584+R584+T584+V584+X584+Z584+AB584)</f>
        <v>0</v>
      </c>
      <c r="AE584" s="7">
        <f>E584+AD584</f>
        <v>0</v>
      </c>
      <c r="AF584" s="8">
        <f>G584+I584+K584+M584+O584+Q584+S584+U584+W584+Y584+AA584+AC584</f>
        <v>0</v>
      </c>
      <c r="AG584" s="153">
        <f>SUM(AE584-AF584)</f>
        <v>0</v>
      </c>
      <c r="AH584" s="96" t="s">
        <v>1462</v>
      </c>
      <c r="AI584" s="96">
        <v>4</v>
      </c>
    </row>
    <row r="585" spans="1:42" customHeight="1" ht="11.5" s="96" customFormat="1">
      <c r="A585" s="5">
        <v>577</v>
      </c>
      <c r="B585" s="166" t="s">
        <v>1036</v>
      </c>
      <c r="C585" s="167" t="s">
        <v>36</v>
      </c>
      <c r="D585" s="88" t="s">
        <v>37</v>
      </c>
      <c r="E585" s="86">
        <v>0</v>
      </c>
      <c r="F585" s="9">
        <v>0</v>
      </c>
      <c r="G585" s="10"/>
      <c r="H585" s="9">
        <v>0</v>
      </c>
      <c r="I585" s="10"/>
      <c r="J585" s="152">
        <v>0</v>
      </c>
      <c r="K585" s="10"/>
      <c r="L585" s="152">
        <v>0</v>
      </c>
      <c r="M585" s="10"/>
      <c r="N585" s="152">
        <v>0</v>
      </c>
      <c r="O585" s="10"/>
      <c r="P585" s="152">
        <v>0</v>
      </c>
      <c r="Q585" s="10"/>
      <c r="R585" s="9">
        <v>0</v>
      </c>
      <c r="S585" s="10"/>
      <c r="T585" s="9">
        <v>0</v>
      </c>
      <c r="U585" s="10"/>
      <c r="V585" s="9">
        <v>0</v>
      </c>
      <c r="W585" s="10"/>
      <c r="X585" s="9">
        <v>0</v>
      </c>
      <c r="Y585" s="10"/>
      <c r="Z585" s="9">
        <v>0</v>
      </c>
      <c r="AA585" s="10"/>
      <c r="AB585" s="11">
        <v>0</v>
      </c>
      <c r="AC585" s="10"/>
      <c r="AD585" s="7">
        <f>SUM(F585+H585+J585+L585+N585+P585+R585+T585+V585+X585+Z585+AB585)</f>
        <v>0</v>
      </c>
      <c r="AE585" s="7">
        <f>E585+AD585</f>
        <v>0</v>
      </c>
      <c r="AF585" s="8">
        <f>G585+I585+K585+M585+O585+Q585+S585+U585+W585+Y585+AA585+AC585</f>
        <v>0</v>
      </c>
      <c r="AG585" s="153">
        <f>SUM(AE585-AF585)</f>
        <v>0</v>
      </c>
      <c r="AH585" s="96" t="s">
        <v>1462</v>
      </c>
      <c r="AI585" s="96">
        <v>4</v>
      </c>
    </row>
    <row r="586" spans="1:42" customHeight="1" ht="11.5" s="96" customFormat="1">
      <c r="A586" s="5">
        <v>578</v>
      </c>
      <c r="B586" s="166" t="s">
        <v>1037</v>
      </c>
      <c r="C586" s="167" t="s">
        <v>36</v>
      </c>
      <c r="D586" s="88" t="s">
        <v>37</v>
      </c>
      <c r="E586" s="86">
        <v>0</v>
      </c>
      <c r="F586" s="9">
        <v>0</v>
      </c>
      <c r="G586" s="10"/>
      <c r="H586" s="9">
        <v>0</v>
      </c>
      <c r="I586" s="10"/>
      <c r="J586" s="152">
        <v>0</v>
      </c>
      <c r="K586" s="10"/>
      <c r="L586" s="152">
        <v>0</v>
      </c>
      <c r="M586" s="10"/>
      <c r="N586" s="152">
        <v>0</v>
      </c>
      <c r="O586" s="10"/>
      <c r="P586" s="152">
        <v>0</v>
      </c>
      <c r="Q586" s="10"/>
      <c r="R586" s="9">
        <v>0</v>
      </c>
      <c r="S586" s="10"/>
      <c r="T586" s="9">
        <v>0</v>
      </c>
      <c r="U586" s="10"/>
      <c r="V586" s="9">
        <v>0</v>
      </c>
      <c r="W586" s="10"/>
      <c r="X586" s="9">
        <v>0</v>
      </c>
      <c r="Y586" s="10"/>
      <c r="Z586" s="9">
        <v>0</v>
      </c>
      <c r="AA586" s="10"/>
      <c r="AB586" s="11">
        <v>0</v>
      </c>
      <c r="AC586" s="10"/>
      <c r="AD586" s="7">
        <f>SUM(F586+H586+J586+L586+N586+P586+R586+T586+V586+X586+Z586+AB586)</f>
        <v>0</v>
      </c>
      <c r="AE586" s="7">
        <f>E586+AD586</f>
        <v>0</v>
      </c>
      <c r="AF586" s="8">
        <f>G586+I586+K586+M586+O586+Q586+S586+U586+W586+Y586+AA586+AC586</f>
        <v>0</v>
      </c>
      <c r="AG586" s="153">
        <f>SUM(AE586-AF586)</f>
        <v>0</v>
      </c>
      <c r="AH586" s="96" t="s">
        <v>1462</v>
      </c>
      <c r="AI586" s="96">
        <v>4</v>
      </c>
    </row>
    <row r="587" spans="1:42" customHeight="1" ht="11.5" s="96" customFormat="1">
      <c r="A587" s="5">
        <v>579</v>
      </c>
      <c r="B587" s="166" t="s">
        <v>1038</v>
      </c>
      <c r="C587" s="167" t="s">
        <v>36</v>
      </c>
      <c r="D587" s="88" t="s">
        <v>37</v>
      </c>
      <c r="E587" s="86">
        <v>0</v>
      </c>
      <c r="F587" s="9">
        <v>0</v>
      </c>
      <c r="G587" s="10"/>
      <c r="H587" s="9">
        <v>0</v>
      </c>
      <c r="I587" s="10"/>
      <c r="J587" s="152">
        <v>0</v>
      </c>
      <c r="K587" s="10"/>
      <c r="L587" s="152">
        <v>0</v>
      </c>
      <c r="M587" s="10"/>
      <c r="N587" s="152">
        <v>0</v>
      </c>
      <c r="O587" s="10"/>
      <c r="P587" s="152">
        <v>0</v>
      </c>
      <c r="Q587" s="10"/>
      <c r="R587" s="9">
        <v>0</v>
      </c>
      <c r="S587" s="10"/>
      <c r="T587" s="9">
        <v>0</v>
      </c>
      <c r="U587" s="10"/>
      <c r="V587" s="9">
        <v>0</v>
      </c>
      <c r="W587" s="10"/>
      <c r="X587" s="9">
        <v>0</v>
      </c>
      <c r="Y587" s="10"/>
      <c r="Z587" s="9">
        <v>0</v>
      </c>
      <c r="AA587" s="10"/>
      <c r="AB587" s="11">
        <v>0</v>
      </c>
      <c r="AC587" s="10"/>
      <c r="AD587" s="7">
        <f>SUM(F587+H587+J587+L587+N587+P587+R587+T587+V587+X587+Z587+AB587)</f>
        <v>0</v>
      </c>
      <c r="AE587" s="7">
        <f>E587+AD587</f>
        <v>0</v>
      </c>
      <c r="AF587" s="8">
        <f>G587+I587+K587+M587+O587+Q587+S587+U587+W587+Y587+AA587+AC587</f>
        <v>0</v>
      </c>
      <c r="AG587" s="153">
        <f>SUM(AE587-AF587)</f>
        <v>0</v>
      </c>
      <c r="AH587" s="96" t="s">
        <v>1462</v>
      </c>
      <c r="AI587" s="96">
        <v>4</v>
      </c>
    </row>
    <row r="588" spans="1:42" customHeight="1" ht="11.5" s="96" customFormat="1">
      <c r="A588" s="5">
        <v>580</v>
      </c>
      <c r="B588" s="166" t="s">
        <v>1039</v>
      </c>
      <c r="C588" s="167" t="s">
        <v>36</v>
      </c>
      <c r="D588" s="88" t="s">
        <v>37</v>
      </c>
      <c r="E588" s="86">
        <v>0</v>
      </c>
      <c r="F588" s="9">
        <v>0</v>
      </c>
      <c r="G588" s="10"/>
      <c r="H588" s="9">
        <v>0</v>
      </c>
      <c r="I588" s="10"/>
      <c r="J588" s="152">
        <v>0</v>
      </c>
      <c r="K588" s="10"/>
      <c r="L588" s="152">
        <v>0</v>
      </c>
      <c r="M588" s="10"/>
      <c r="N588" s="152">
        <v>0</v>
      </c>
      <c r="O588" s="10"/>
      <c r="P588" s="152">
        <v>0</v>
      </c>
      <c r="Q588" s="10"/>
      <c r="R588" s="9">
        <v>0</v>
      </c>
      <c r="S588" s="10"/>
      <c r="T588" s="9">
        <v>0</v>
      </c>
      <c r="U588" s="10"/>
      <c r="V588" s="9">
        <v>0</v>
      </c>
      <c r="W588" s="10"/>
      <c r="X588" s="9">
        <v>0</v>
      </c>
      <c r="Y588" s="10"/>
      <c r="Z588" s="9">
        <v>0</v>
      </c>
      <c r="AA588" s="10"/>
      <c r="AB588" s="11">
        <v>0</v>
      </c>
      <c r="AC588" s="10"/>
      <c r="AD588" s="7">
        <f>SUM(F588+H588+J588+L588+N588+P588+R588+T588+V588+X588+Z588+AB588)</f>
        <v>0</v>
      </c>
      <c r="AE588" s="7">
        <f>E588+AD588</f>
        <v>0</v>
      </c>
      <c r="AF588" s="8">
        <f>G588+I588+K588+M588+O588+Q588+S588+U588+W588+Y588+AA588+AC588</f>
        <v>0</v>
      </c>
      <c r="AG588" s="153">
        <f>SUM(AE588-AF588)</f>
        <v>0</v>
      </c>
      <c r="AH588" s="96" t="s">
        <v>1463</v>
      </c>
      <c r="AI588" s="96">
        <v>4</v>
      </c>
    </row>
    <row r="589" spans="1:42" customHeight="1" ht="11.5" s="96" customFormat="1">
      <c r="A589" s="5">
        <v>581</v>
      </c>
      <c r="B589" s="166" t="s">
        <v>1040</v>
      </c>
      <c r="C589" s="167" t="s">
        <v>36</v>
      </c>
      <c r="D589" s="88" t="s">
        <v>37</v>
      </c>
      <c r="E589" s="86">
        <v>0</v>
      </c>
      <c r="F589" s="9">
        <v>0</v>
      </c>
      <c r="G589" s="10"/>
      <c r="H589" s="9">
        <v>0</v>
      </c>
      <c r="I589" s="10"/>
      <c r="J589" s="152">
        <v>0</v>
      </c>
      <c r="K589" s="10"/>
      <c r="L589" s="152">
        <v>0</v>
      </c>
      <c r="M589" s="10"/>
      <c r="N589" s="152">
        <v>0</v>
      </c>
      <c r="O589" s="10"/>
      <c r="P589" s="152">
        <v>0</v>
      </c>
      <c r="Q589" s="10"/>
      <c r="R589" s="9">
        <v>0</v>
      </c>
      <c r="S589" s="10"/>
      <c r="T589" s="9">
        <v>0</v>
      </c>
      <c r="U589" s="10"/>
      <c r="V589" s="9">
        <v>0</v>
      </c>
      <c r="W589" s="10"/>
      <c r="X589" s="9">
        <v>0</v>
      </c>
      <c r="Y589" s="10"/>
      <c r="Z589" s="9">
        <v>0</v>
      </c>
      <c r="AA589" s="10"/>
      <c r="AB589" s="11">
        <v>0</v>
      </c>
      <c r="AC589" s="10"/>
      <c r="AD589" s="7">
        <f>SUM(F589+H589+J589+L589+N589+P589+R589+T589+V589+X589+Z589+AB589)</f>
        <v>0</v>
      </c>
      <c r="AE589" s="7">
        <f>E589+AD589</f>
        <v>0</v>
      </c>
      <c r="AF589" s="8">
        <f>G589+I589+K589+M589+O589+Q589+S589+U589+W589+Y589+AA589+AC589</f>
        <v>0</v>
      </c>
      <c r="AG589" s="153">
        <f>SUM(AE589-AF589)</f>
        <v>0</v>
      </c>
      <c r="AH589" s="96" t="s">
        <v>1463</v>
      </c>
      <c r="AI589" s="96">
        <v>4</v>
      </c>
    </row>
    <row r="590" spans="1:42" customHeight="1" ht="11.5" s="96" customFormat="1">
      <c r="A590" s="5">
        <v>582</v>
      </c>
      <c r="B590" s="166" t="s">
        <v>1041</v>
      </c>
      <c r="C590" s="167" t="s">
        <v>36</v>
      </c>
      <c r="D590" s="88" t="s">
        <v>37</v>
      </c>
      <c r="E590" s="86">
        <v>0</v>
      </c>
      <c r="F590" s="9">
        <v>0</v>
      </c>
      <c r="G590" s="10"/>
      <c r="H590" s="9">
        <v>0</v>
      </c>
      <c r="I590" s="10"/>
      <c r="J590" s="152">
        <v>0</v>
      </c>
      <c r="K590" s="10"/>
      <c r="L590" s="152">
        <v>0</v>
      </c>
      <c r="M590" s="10"/>
      <c r="N590" s="152">
        <v>0</v>
      </c>
      <c r="O590" s="10"/>
      <c r="P590" s="152">
        <v>0</v>
      </c>
      <c r="Q590" s="10"/>
      <c r="R590" s="9">
        <v>0</v>
      </c>
      <c r="S590" s="10"/>
      <c r="T590" s="9">
        <v>0</v>
      </c>
      <c r="U590" s="10"/>
      <c r="V590" s="9">
        <v>0</v>
      </c>
      <c r="W590" s="10"/>
      <c r="X590" s="9">
        <v>0</v>
      </c>
      <c r="Y590" s="10"/>
      <c r="Z590" s="9">
        <v>0</v>
      </c>
      <c r="AA590" s="10"/>
      <c r="AB590" s="11">
        <v>0</v>
      </c>
      <c r="AC590" s="10"/>
      <c r="AD590" s="7">
        <f>SUM(F590+H590+J590+L590+N590+P590+R590+T590+V590+X590+Z590+AB590)</f>
        <v>0</v>
      </c>
      <c r="AE590" s="7">
        <f>E590+AD590</f>
        <v>0</v>
      </c>
      <c r="AF590" s="8">
        <f>G590+I590+K590+M590+O590+Q590+S590+U590+W590+Y590+AA590+AC590</f>
        <v>0</v>
      </c>
      <c r="AG590" s="153">
        <f>SUM(AE590-AF590)</f>
        <v>0</v>
      </c>
      <c r="AH590" s="96" t="s">
        <v>1463</v>
      </c>
      <c r="AI590" s="96">
        <v>4</v>
      </c>
    </row>
    <row r="591" spans="1:42" customHeight="1" ht="11.5" s="96" customFormat="1">
      <c r="A591" s="5">
        <v>583</v>
      </c>
      <c r="B591" s="166" t="s">
        <v>1042</v>
      </c>
      <c r="C591" s="167" t="s">
        <v>36</v>
      </c>
      <c r="D591" s="88" t="s">
        <v>37</v>
      </c>
      <c r="E591" s="86">
        <v>0</v>
      </c>
      <c r="F591" s="9">
        <v>0</v>
      </c>
      <c r="G591" s="10"/>
      <c r="H591" s="9">
        <v>0</v>
      </c>
      <c r="I591" s="10"/>
      <c r="J591" s="152">
        <v>0</v>
      </c>
      <c r="K591" s="10"/>
      <c r="L591" s="152">
        <v>0</v>
      </c>
      <c r="M591" s="10"/>
      <c r="N591" s="152">
        <v>0</v>
      </c>
      <c r="O591" s="10"/>
      <c r="P591" s="152">
        <v>0</v>
      </c>
      <c r="Q591" s="10"/>
      <c r="R591" s="9">
        <v>0</v>
      </c>
      <c r="S591" s="10"/>
      <c r="T591" s="9">
        <v>0</v>
      </c>
      <c r="U591" s="10"/>
      <c r="V591" s="9">
        <v>0</v>
      </c>
      <c r="W591" s="10"/>
      <c r="X591" s="9">
        <v>0</v>
      </c>
      <c r="Y591" s="10"/>
      <c r="Z591" s="9">
        <v>0</v>
      </c>
      <c r="AA591" s="10"/>
      <c r="AB591" s="11">
        <v>0</v>
      </c>
      <c r="AC591" s="10"/>
      <c r="AD591" s="7">
        <f>SUM(F591+H591+J591+L591+N591+P591+R591+T591+V591+X591+Z591+AB591)</f>
        <v>0</v>
      </c>
      <c r="AE591" s="7">
        <f>E591+AD591</f>
        <v>0</v>
      </c>
      <c r="AF591" s="8">
        <f>G591+I591+K591+M591+O591+Q591+S591+U591+W591+Y591+AA591+AC591</f>
        <v>0</v>
      </c>
      <c r="AG591" s="153">
        <f>SUM(AE591-AF591)</f>
        <v>0</v>
      </c>
      <c r="AH591" s="96" t="s">
        <v>1463</v>
      </c>
      <c r="AI591" s="96">
        <v>4</v>
      </c>
    </row>
    <row r="592" spans="1:42" customHeight="1" ht="11.5" s="96" customFormat="1">
      <c r="A592" s="5">
        <v>584</v>
      </c>
      <c r="B592" s="166" t="s">
        <v>1043</v>
      </c>
      <c r="C592" s="167" t="s">
        <v>105</v>
      </c>
      <c r="D592" s="88" t="s">
        <v>106</v>
      </c>
      <c r="E592" s="86">
        <v>20000</v>
      </c>
      <c r="F592" s="9">
        <v>0</v>
      </c>
      <c r="G592" s="10"/>
      <c r="H592" s="9">
        <v>0</v>
      </c>
      <c r="I592" s="10"/>
      <c r="J592" s="152">
        <v>0</v>
      </c>
      <c r="K592" s="10"/>
      <c r="L592" s="152">
        <v>0</v>
      </c>
      <c r="M592" s="10"/>
      <c r="N592" s="152">
        <v>0</v>
      </c>
      <c r="O592" s="10">
        <v>15410</v>
      </c>
      <c r="P592" s="152">
        <v>0</v>
      </c>
      <c r="Q592" s="10">
        <v>4590</v>
      </c>
      <c r="R592" s="9">
        <v>0</v>
      </c>
      <c r="S592" s="10"/>
      <c r="T592" s="9">
        <v>0</v>
      </c>
      <c r="U592" s="10"/>
      <c r="V592" s="9">
        <v>0</v>
      </c>
      <c r="W592" s="10"/>
      <c r="X592" s="9">
        <v>0</v>
      </c>
      <c r="Y592" s="10"/>
      <c r="Z592" s="9">
        <v>0</v>
      </c>
      <c r="AA592" s="10"/>
      <c r="AB592" s="11">
        <v>0</v>
      </c>
      <c r="AC592" s="10"/>
      <c r="AD592" s="7">
        <f>SUM(F592+H592+J592+L592+N592+P592+R592+T592+V592+X592+Z592+AB592)</f>
        <v>0</v>
      </c>
      <c r="AE592" s="7">
        <f>E592+AD592</f>
        <v>20000</v>
      </c>
      <c r="AF592" s="8">
        <f>G592+I592+K592+M592+O592+Q592+S592+U592+W592+Y592+AA592+AC592</f>
        <v>20000</v>
      </c>
      <c r="AG592" s="153">
        <f>SUM(AE592-AF592)</f>
        <v>0</v>
      </c>
      <c r="AH592" s="96" t="s">
        <v>1464</v>
      </c>
      <c r="AI592" s="96">
        <v>4</v>
      </c>
    </row>
    <row r="593" spans="1:42" customHeight="1" ht="11.5" s="96" customFormat="1">
      <c r="A593" s="5">
        <v>585</v>
      </c>
      <c r="B593" s="166" t="s">
        <v>1044</v>
      </c>
      <c r="C593" s="167" t="s">
        <v>36</v>
      </c>
      <c r="D593" s="88" t="s">
        <v>37</v>
      </c>
      <c r="E593" s="86">
        <v>0</v>
      </c>
      <c r="F593" s="9">
        <v>0</v>
      </c>
      <c r="G593" s="10"/>
      <c r="H593" s="9">
        <v>0</v>
      </c>
      <c r="I593" s="10"/>
      <c r="J593" s="152">
        <v>0</v>
      </c>
      <c r="K593" s="10"/>
      <c r="L593" s="152">
        <v>0</v>
      </c>
      <c r="M593" s="10"/>
      <c r="N593" s="152">
        <v>0</v>
      </c>
      <c r="O593" s="10"/>
      <c r="P593" s="152">
        <v>0</v>
      </c>
      <c r="Q593" s="10"/>
      <c r="R593" s="9">
        <v>0</v>
      </c>
      <c r="S593" s="10"/>
      <c r="T593" s="9">
        <v>0</v>
      </c>
      <c r="U593" s="10"/>
      <c r="V593" s="9">
        <v>0</v>
      </c>
      <c r="W593" s="10"/>
      <c r="X593" s="9">
        <v>0</v>
      </c>
      <c r="Y593" s="10"/>
      <c r="Z593" s="9">
        <v>0</v>
      </c>
      <c r="AA593" s="10"/>
      <c r="AB593" s="11">
        <v>0</v>
      </c>
      <c r="AC593" s="10"/>
      <c r="AD593" s="7">
        <f>SUM(F593+H593+J593+L593+N593+P593+R593+T593+V593+X593+Z593+AB593)</f>
        <v>0</v>
      </c>
      <c r="AE593" s="7">
        <f>E593+AD593</f>
        <v>0</v>
      </c>
      <c r="AF593" s="8">
        <f>G593+I593+K593+M593+O593+Q593+S593+U593+W593+Y593+AA593+AC593</f>
        <v>0</v>
      </c>
      <c r="AG593" s="153">
        <f>SUM(AE593-AF593)</f>
        <v>0</v>
      </c>
      <c r="AH593" s="96" t="s">
        <v>1465</v>
      </c>
      <c r="AI593" s="96">
        <v>4</v>
      </c>
    </row>
    <row r="594" spans="1:42" customHeight="1" ht="11.5" s="96" customFormat="1">
      <c r="A594" s="5">
        <v>586</v>
      </c>
      <c r="B594" s="166" t="s">
        <v>1045</v>
      </c>
      <c r="C594" s="167" t="s">
        <v>36</v>
      </c>
      <c r="D594" s="88" t="s">
        <v>37</v>
      </c>
      <c r="E594" s="86">
        <v>0</v>
      </c>
      <c r="F594" s="9">
        <v>0</v>
      </c>
      <c r="G594" s="10">
        <v>9120</v>
      </c>
      <c r="H594" s="9">
        <v>0</v>
      </c>
      <c r="I594" s="10"/>
      <c r="J594" s="152">
        <v>0</v>
      </c>
      <c r="K594" s="10"/>
      <c r="L594" s="152">
        <v>0</v>
      </c>
      <c r="M594" s="10"/>
      <c r="N594" s="152">
        <v>0</v>
      </c>
      <c r="O594" s="10"/>
      <c r="P594" s="152">
        <v>0</v>
      </c>
      <c r="Q594" s="10"/>
      <c r="R594" s="9">
        <v>0</v>
      </c>
      <c r="S594" s="10"/>
      <c r="T594" s="9">
        <v>0</v>
      </c>
      <c r="U594" s="10"/>
      <c r="V594" s="9">
        <v>0</v>
      </c>
      <c r="W594" s="10"/>
      <c r="X594" s="9">
        <v>0</v>
      </c>
      <c r="Y594" s="10"/>
      <c r="Z594" s="9">
        <v>0</v>
      </c>
      <c r="AA594" s="10"/>
      <c r="AB594" s="11">
        <v>0</v>
      </c>
      <c r="AC594" s="10"/>
      <c r="AD594" s="7">
        <f>SUM(F594+H594+J594+L594+N594+P594+R594+T594+V594+X594+Z594+AB594)</f>
        <v>0</v>
      </c>
      <c r="AE594" s="7">
        <f>E594+AD594</f>
        <v>0</v>
      </c>
      <c r="AF594" s="8">
        <f>G594+I594+K594+M594+O594+Q594+S594+U594+W594+Y594+AA594+AC594</f>
        <v>9120</v>
      </c>
      <c r="AG594" s="153">
        <f>SUM(AE594-AF594)</f>
        <v>-9120</v>
      </c>
      <c r="AH594" s="96" t="s">
        <v>1466</v>
      </c>
      <c r="AI594" s="96">
        <v>3</v>
      </c>
    </row>
    <row r="595" spans="1:42" customHeight="1" ht="11.5" s="96" customFormat="1">
      <c r="A595" s="5">
        <v>587</v>
      </c>
      <c r="B595" s="166" t="s">
        <v>1046</v>
      </c>
      <c r="C595" s="167" t="s">
        <v>36</v>
      </c>
      <c r="D595" s="88" t="s">
        <v>37</v>
      </c>
      <c r="E595" s="86">
        <v>0</v>
      </c>
      <c r="F595" s="9">
        <v>0</v>
      </c>
      <c r="G595" s="10"/>
      <c r="H595" s="9">
        <v>0</v>
      </c>
      <c r="I595" s="10"/>
      <c r="J595" s="152">
        <v>0</v>
      </c>
      <c r="K595" s="10"/>
      <c r="L595" s="152">
        <v>0</v>
      </c>
      <c r="M595" s="10"/>
      <c r="N595" s="152">
        <v>0</v>
      </c>
      <c r="O595" s="10"/>
      <c r="P595" s="152">
        <v>0</v>
      </c>
      <c r="Q595" s="10"/>
      <c r="R595" s="9">
        <v>0</v>
      </c>
      <c r="S595" s="10"/>
      <c r="T595" s="9">
        <v>0</v>
      </c>
      <c r="U595" s="10"/>
      <c r="V595" s="9">
        <v>0</v>
      </c>
      <c r="W595" s="10"/>
      <c r="X595" s="9">
        <v>0</v>
      </c>
      <c r="Y595" s="10"/>
      <c r="Z595" s="9">
        <v>0</v>
      </c>
      <c r="AA595" s="10"/>
      <c r="AB595" s="11">
        <v>0</v>
      </c>
      <c r="AC595" s="10"/>
      <c r="AD595" s="7">
        <f>SUM(F595+H595+J595+L595+N595+P595+R595+T595+V595+X595+Z595+AB595)</f>
        <v>0</v>
      </c>
      <c r="AE595" s="7">
        <f>E595+AD595</f>
        <v>0</v>
      </c>
      <c r="AF595" s="8">
        <f>G595+I595+K595+M595+O595+Q595+S595+U595+W595+Y595+AA595+AC595</f>
        <v>0</v>
      </c>
      <c r="AG595" s="153">
        <f>SUM(AE595-AF595)</f>
        <v>0</v>
      </c>
      <c r="AH595" s="96" t="s">
        <v>1467</v>
      </c>
      <c r="AI595" s="96">
        <v>4</v>
      </c>
    </row>
    <row r="596" spans="1:42" customHeight="1" ht="11.5" s="96" customFormat="1">
      <c r="A596" s="5">
        <v>588</v>
      </c>
      <c r="B596" s="166" t="s">
        <v>1047</v>
      </c>
      <c r="C596" s="167" t="s">
        <v>36</v>
      </c>
      <c r="D596" s="88" t="s">
        <v>37</v>
      </c>
      <c r="E596" s="86">
        <v>0</v>
      </c>
      <c r="F596" s="9">
        <v>0</v>
      </c>
      <c r="G596" s="10"/>
      <c r="H596" s="9">
        <v>0</v>
      </c>
      <c r="I596" s="10"/>
      <c r="J596" s="152">
        <v>0</v>
      </c>
      <c r="K596" s="10"/>
      <c r="L596" s="152">
        <v>0</v>
      </c>
      <c r="M596" s="10"/>
      <c r="N596" s="152">
        <v>0</v>
      </c>
      <c r="O596" s="10"/>
      <c r="P596" s="152">
        <v>0</v>
      </c>
      <c r="Q596" s="10"/>
      <c r="R596" s="9">
        <v>0</v>
      </c>
      <c r="S596" s="10"/>
      <c r="T596" s="9">
        <v>0</v>
      </c>
      <c r="U596" s="10"/>
      <c r="V596" s="9">
        <v>0</v>
      </c>
      <c r="W596" s="10"/>
      <c r="X596" s="9">
        <v>0</v>
      </c>
      <c r="Y596" s="10"/>
      <c r="Z596" s="9">
        <v>0</v>
      </c>
      <c r="AA596" s="10"/>
      <c r="AB596" s="11">
        <v>0</v>
      </c>
      <c r="AC596" s="10"/>
      <c r="AD596" s="7">
        <f>SUM(F596+H596+J596+L596+N596+P596+R596+T596+V596+X596+Z596+AB596)</f>
        <v>0</v>
      </c>
      <c r="AE596" s="7">
        <f>E596+AD596</f>
        <v>0</v>
      </c>
      <c r="AF596" s="8">
        <f>G596+I596+K596+M596+O596+Q596+S596+U596+W596+Y596+AA596+AC596</f>
        <v>0</v>
      </c>
      <c r="AG596" s="153">
        <f>SUM(AE596-AF596)</f>
        <v>0</v>
      </c>
      <c r="AH596" s="96" t="s">
        <v>1467</v>
      </c>
      <c r="AI596" s="96">
        <v>4</v>
      </c>
    </row>
    <row r="597" spans="1:42" customHeight="1" ht="11.5" s="96" customFormat="1">
      <c r="A597" s="5">
        <v>589</v>
      </c>
      <c r="B597" s="166" t="s">
        <v>1048</v>
      </c>
      <c r="C597" s="167" t="s">
        <v>36</v>
      </c>
      <c r="D597" s="88" t="s">
        <v>37</v>
      </c>
      <c r="E597" s="86">
        <v>0</v>
      </c>
      <c r="F597" s="9">
        <v>0</v>
      </c>
      <c r="G597" s="10"/>
      <c r="H597" s="9">
        <v>0</v>
      </c>
      <c r="I597" s="10"/>
      <c r="J597" s="152">
        <v>0</v>
      </c>
      <c r="K597" s="10"/>
      <c r="L597" s="152">
        <v>0</v>
      </c>
      <c r="M597" s="10"/>
      <c r="N597" s="152">
        <v>0</v>
      </c>
      <c r="O597" s="10"/>
      <c r="P597" s="152">
        <v>0</v>
      </c>
      <c r="Q597" s="10"/>
      <c r="R597" s="9">
        <v>0</v>
      </c>
      <c r="S597" s="10"/>
      <c r="T597" s="9">
        <v>0</v>
      </c>
      <c r="U597" s="10"/>
      <c r="V597" s="9">
        <v>0</v>
      </c>
      <c r="W597" s="10"/>
      <c r="X597" s="9">
        <v>0</v>
      </c>
      <c r="Y597" s="10"/>
      <c r="Z597" s="9">
        <v>0</v>
      </c>
      <c r="AA597" s="10"/>
      <c r="AB597" s="11">
        <v>0</v>
      </c>
      <c r="AC597" s="10"/>
      <c r="AD597" s="7">
        <f>SUM(F597+H597+J597+L597+N597+P597+R597+T597+V597+X597+Z597+AB597)</f>
        <v>0</v>
      </c>
      <c r="AE597" s="7">
        <f>E597+AD597</f>
        <v>0</v>
      </c>
      <c r="AF597" s="8">
        <f>G597+I597+K597+M597+O597+Q597+S597+U597+W597+Y597+AA597+AC597</f>
        <v>0</v>
      </c>
      <c r="AG597" s="153">
        <f>SUM(AE597-AF597)</f>
        <v>0</v>
      </c>
      <c r="AH597" s="96" t="s">
        <v>1468</v>
      </c>
      <c r="AI597" s="96">
        <v>4</v>
      </c>
    </row>
    <row r="598" spans="1:42" customHeight="1" ht="11.5" s="96" customFormat="1">
      <c r="A598" s="5">
        <v>590</v>
      </c>
      <c r="B598" s="166" t="s">
        <v>1049</v>
      </c>
      <c r="C598" s="167" t="s">
        <v>36</v>
      </c>
      <c r="D598" s="88" t="s">
        <v>37</v>
      </c>
      <c r="E598" s="86">
        <v>0</v>
      </c>
      <c r="F598" s="9">
        <v>0</v>
      </c>
      <c r="G598" s="10"/>
      <c r="H598" s="9">
        <v>0</v>
      </c>
      <c r="I598" s="10"/>
      <c r="J598" s="152">
        <v>0</v>
      </c>
      <c r="K598" s="10"/>
      <c r="L598" s="152">
        <v>0</v>
      </c>
      <c r="M598" s="10"/>
      <c r="N598" s="152">
        <v>0</v>
      </c>
      <c r="O598" s="10"/>
      <c r="P598" s="152">
        <v>0</v>
      </c>
      <c r="Q598" s="10"/>
      <c r="R598" s="9">
        <v>0</v>
      </c>
      <c r="S598" s="10"/>
      <c r="T598" s="9">
        <v>0</v>
      </c>
      <c r="U598" s="10"/>
      <c r="V598" s="9">
        <v>0</v>
      </c>
      <c r="W598" s="10"/>
      <c r="X598" s="9">
        <v>0</v>
      </c>
      <c r="Y598" s="10"/>
      <c r="Z598" s="9">
        <v>0</v>
      </c>
      <c r="AA598" s="10"/>
      <c r="AB598" s="11">
        <v>0</v>
      </c>
      <c r="AC598" s="10"/>
      <c r="AD598" s="7">
        <f>SUM(F598+H598+J598+L598+N598+P598+R598+T598+V598+X598+Z598+AB598)</f>
        <v>0</v>
      </c>
      <c r="AE598" s="7">
        <f>E598+AD598</f>
        <v>0</v>
      </c>
      <c r="AF598" s="8">
        <f>G598+I598+K598+M598+O598+Q598+S598+U598+W598+Y598+AA598+AC598</f>
        <v>0</v>
      </c>
      <c r="AG598" s="153">
        <f>SUM(AE598-AF598)</f>
        <v>0</v>
      </c>
      <c r="AH598" s="96" t="s">
        <v>1468</v>
      </c>
      <c r="AI598" s="96">
        <v>4</v>
      </c>
    </row>
    <row r="599" spans="1:42" customHeight="1" ht="11.5" s="96" customFormat="1">
      <c r="A599" s="5">
        <v>591</v>
      </c>
      <c r="B599" s="166" t="s">
        <v>1050</v>
      </c>
      <c r="C599" s="167" t="s">
        <v>36</v>
      </c>
      <c r="D599" s="88" t="s">
        <v>37</v>
      </c>
      <c r="E599" s="86">
        <v>0</v>
      </c>
      <c r="F599" s="9">
        <v>0</v>
      </c>
      <c r="G599" s="10"/>
      <c r="H599" s="9">
        <v>0</v>
      </c>
      <c r="I599" s="10"/>
      <c r="J599" s="152">
        <v>0</v>
      </c>
      <c r="K599" s="10"/>
      <c r="L599" s="152">
        <v>0</v>
      </c>
      <c r="M599" s="10"/>
      <c r="N599" s="152">
        <v>0</v>
      </c>
      <c r="O599" s="10"/>
      <c r="P599" s="152">
        <v>0</v>
      </c>
      <c r="Q599" s="10"/>
      <c r="R599" s="9">
        <v>0</v>
      </c>
      <c r="S599" s="10"/>
      <c r="T599" s="9">
        <v>0</v>
      </c>
      <c r="U599" s="10"/>
      <c r="V599" s="9">
        <v>0</v>
      </c>
      <c r="W599" s="10"/>
      <c r="X599" s="9">
        <v>0</v>
      </c>
      <c r="Y599" s="10"/>
      <c r="Z599" s="9">
        <v>0</v>
      </c>
      <c r="AA599" s="10"/>
      <c r="AB599" s="11">
        <v>0</v>
      </c>
      <c r="AC599" s="10"/>
      <c r="AD599" s="7">
        <f>SUM(F599+H599+J599+L599+N599+P599+R599+T599+V599+X599+Z599+AB599)</f>
        <v>0</v>
      </c>
      <c r="AE599" s="7">
        <f>E599+AD599</f>
        <v>0</v>
      </c>
      <c r="AF599" s="8">
        <f>G599+I599+K599+M599+O599+Q599+S599+U599+W599+Y599+AA599+AC599</f>
        <v>0</v>
      </c>
      <c r="AG599" s="153">
        <f>SUM(AE599-AF599)</f>
        <v>0</v>
      </c>
      <c r="AH599" s="96" t="s">
        <v>1468</v>
      </c>
      <c r="AI599" s="96">
        <v>4</v>
      </c>
    </row>
    <row r="600" spans="1:42" customHeight="1" ht="11.5" s="96" customFormat="1">
      <c r="A600" s="5">
        <v>592</v>
      </c>
      <c r="B600" s="166" t="s">
        <v>1051</v>
      </c>
      <c r="C600" s="167" t="s">
        <v>36</v>
      </c>
      <c r="D600" s="88" t="s">
        <v>37</v>
      </c>
      <c r="E600" s="86">
        <v>0</v>
      </c>
      <c r="F600" s="9">
        <v>0</v>
      </c>
      <c r="G600" s="10"/>
      <c r="H600" s="9">
        <v>0</v>
      </c>
      <c r="I600" s="10"/>
      <c r="J600" s="152">
        <v>0</v>
      </c>
      <c r="K600" s="10"/>
      <c r="L600" s="152">
        <v>0</v>
      </c>
      <c r="M600" s="10"/>
      <c r="N600" s="152">
        <v>0</v>
      </c>
      <c r="O600" s="10"/>
      <c r="P600" s="152">
        <v>0</v>
      </c>
      <c r="Q600" s="10"/>
      <c r="R600" s="9">
        <v>0</v>
      </c>
      <c r="S600" s="10"/>
      <c r="T600" s="9">
        <v>0</v>
      </c>
      <c r="U600" s="10"/>
      <c r="V600" s="9">
        <v>0</v>
      </c>
      <c r="W600" s="10"/>
      <c r="X600" s="9">
        <v>0</v>
      </c>
      <c r="Y600" s="10"/>
      <c r="Z600" s="9">
        <v>0</v>
      </c>
      <c r="AA600" s="10"/>
      <c r="AB600" s="11">
        <v>0</v>
      </c>
      <c r="AC600" s="10"/>
      <c r="AD600" s="7">
        <f>SUM(F600+H600+J600+L600+N600+P600+R600+T600+V600+X600+Z600+AB600)</f>
        <v>0</v>
      </c>
      <c r="AE600" s="7">
        <f>E600+AD600</f>
        <v>0</v>
      </c>
      <c r="AF600" s="8">
        <f>G600+I600+K600+M600+O600+Q600+S600+U600+W600+Y600+AA600+AC600</f>
        <v>0</v>
      </c>
      <c r="AG600" s="153">
        <f>SUM(AE600-AF600)</f>
        <v>0</v>
      </c>
      <c r="AH600" s="96" t="s">
        <v>1468</v>
      </c>
      <c r="AI600" s="96">
        <v>4</v>
      </c>
    </row>
    <row r="601" spans="1:42" customHeight="1" ht="11.5" s="96" customFormat="1">
      <c r="A601" s="5">
        <v>593</v>
      </c>
      <c r="B601" s="163" t="s">
        <v>1052</v>
      </c>
      <c r="C601" s="151" t="s">
        <v>36</v>
      </c>
      <c r="D601" s="85" t="s">
        <v>37</v>
      </c>
      <c r="E601" s="86">
        <v>0</v>
      </c>
      <c r="F601" s="9">
        <v>0</v>
      </c>
      <c r="G601" s="10"/>
      <c r="H601" s="9">
        <v>0</v>
      </c>
      <c r="I601" s="10"/>
      <c r="J601" s="152">
        <v>0</v>
      </c>
      <c r="K601" s="10"/>
      <c r="L601" s="152">
        <v>0</v>
      </c>
      <c r="M601" s="10"/>
      <c r="N601" s="152">
        <v>0</v>
      </c>
      <c r="O601" s="10"/>
      <c r="P601" s="152">
        <v>0</v>
      </c>
      <c r="Q601" s="10"/>
      <c r="R601" s="9">
        <v>0</v>
      </c>
      <c r="S601" s="10"/>
      <c r="T601" s="9">
        <v>0</v>
      </c>
      <c r="U601" s="10"/>
      <c r="V601" s="9">
        <v>0</v>
      </c>
      <c r="W601" s="10"/>
      <c r="X601" s="9">
        <v>0</v>
      </c>
      <c r="Y601" s="10"/>
      <c r="Z601" s="9">
        <v>0</v>
      </c>
      <c r="AA601" s="10"/>
      <c r="AB601" s="11">
        <v>0</v>
      </c>
      <c r="AC601" s="10"/>
      <c r="AD601" s="7">
        <f>SUM(F601+H601+J601+L601+N601+P601+R601+T601+V601+X601+Z601+AB601)</f>
        <v>0</v>
      </c>
      <c r="AE601" s="7">
        <f>E601+AD601</f>
        <v>0</v>
      </c>
      <c r="AF601" s="8">
        <f>G601+I601+K601+M601+O601+Q601+S601+U601+W601+Y601+AA601+AC601</f>
        <v>0</v>
      </c>
      <c r="AG601" s="153">
        <f>SUM(AE601-AF601)</f>
        <v>0</v>
      </c>
      <c r="AH601" s="96" t="s">
        <v>1469</v>
      </c>
      <c r="AI601" s="96">
        <v>4</v>
      </c>
    </row>
    <row r="602" spans="1:42" customHeight="1" ht="11.5" s="96" customFormat="1">
      <c r="A602" s="5">
        <v>594</v>
      </c>
      <c r="B602" s="163" t="s">
        <v>1053</v>
      </c>
      <c r="C602" s="151" t="s">
        <v>36</v>
      </c>
      <c r="D602" s="85" t="s">
        <v>37</v>
      </c>
      <c r="E602" s="86">
        <v>0</v>
      </c>
      <c r="F602" s="9">
        <v>0</v>
      </c>
      <c r="G602" s="10"/>
      <c r="H602" s="9">
        <v>0</v>
      </c>
      <c r="I602" s="10"/>
      <c r="J602" s="152">
        <v>0</v>
      </c>
      <c r="K602" s="10"/>
      <c r="L602" s="152">
        <v>0</v>
      </c>
      <c r="M602" s="10"/>
      <c r="N602" s="152">
        <v>0</v>
      </c>
      <c r="O602" s="10"/>
      <c r="P602" s="152">
        <v>0</v>
      </c>
      <c r="Q602" s="10"/>
      <c r="R602" s="9">
        <v>0</v>
      </c>
      <c r="S602" s="10"/>
      <c r="T602" s="9">
        <v>0</v>
      </c>
      <c r="U602" s="10"/>
      <c r="V602" s="9">
        <v>0</v>
      </c>
      <c r="W602" s="10"/>
      <c r="X602" s="9">
        <v>0</v>
      </c>
      <c r="Y602" s="10"/>
      <c r="Z602" s="9">
        <v>0</v>
      </c>
      <c r="AA602" s="10"/>
      <c r="AB602" s="11">
        <v>0</v>
      </c>
      <c r="AC602" s="10"/>
      <c r="AD602" s="7">
        <f>SUM(F602+H602+J602+L602+N602+P602+R602+T602+V602+X602+Z602+AB602)</f>
        <v>0</v>
      </c>
      <c r="AE602" s="7">
        <f>E602+AD602</f>
        <v>0</v>
      </c>
      <c r="AF602" s="8">
        <f>G602+I602+K602+M602+O602+Q602+S602+U602+W602+Y602+AA602+AC602</f>
        <v>0</v>
      </c>
      <c r="AG602" s="153">
        <f>SUM(AE602-AF602)</f>
        <v>0</v>
      </c>
      <c r="AH602" s="96" t="s">
        <v>1469</v>
      </c>
      <c r="AI602" s="96">
        <v>4</v>
      </c>
    </row>
    <row r="603" spans="1:42" customHeight="1" ht="11.5" s="96" customFormat="1">
      <c r="A603" s="5">
        <v>595</v>
      </c>
      <c r="B603" s="163" t="s">
        <v>1054</v>
      </c>
      <c r="C603" s="151" t="s">
        <v>36</v>
      </c>
      <c r="D603" s="85" t="s">
        <v>37</v>
      </c>
      <c r="E603" s="86">
        <v>0</v>
      </c>
      <c r="F603" s="9">
        <v>0</v>
      </c>
      <c r="G603" s="10"/>
      <c r="H603" s="9">
        <v>0</v>
      </c>
      <c r="I603" s="10"/>
      <c r="J603" s="152">
        <v>0</v>
      </c>
      <c r="K603" s="10"/>
      <c r="L603" s="152">
        <v>0</v>
      </c>
      <c r="M603" s="10"/>
      <c r="N603" s="152">
        <v>0</v>
      </c>
      <c r="O603" s="10"/>
      <c r="P603" s="152">
        <v>0</v>
      </c>
      <c r="Q603" s="10"/>
      <c r="R603" s="9">
        <v>0</v>
      </c>
      <c r="S603" s="10"/>
      <c r="T603" s="9">
        <v>0</v>
      </c>
      <c r="U603" s="10"/>
      <c r="V603" s="9">
        <v>0</v>
      </c>
      <c r="W603" s="10"/>
      <c r="X603" s="9">
        <v>0</v>
      </c>
      <c r="Y603" s="10"/>
      <c r="Z603" s="9">
        <v>0</v>
      </c>
      <c r="AA603" s="10"/>
      <c r="AB603" s="11">
        <v>0</v>
      </c>
      <c r="AC603" s="10"/>
      <c r="AD603" s="7">
        <f>SUM(F603+H603+J603+L603+N603+P603+R603+T603+V603+X603+Z603+AB603)</f>
        <v>0</v>
      </c>
      <c r="AE603" s="7">
        <f>E603+AD603</f>
        <v>0</v>
      </c>
      <c r="AF603" s="8">
        <f>G603+I603+K603+M603+O603+Q603+S603+U603+W603+Y603+AA603+AC603</f>
        <v>0</v>
      </c>
      <c r="AG603" s="153">
        <f>SUM(AE603-AF603)</f>
        <v>0</v>
      </c>
      <c r="AH603" s="96" t="s">
        <v>1469</v>
      </c>
      <c r="AI603" s="96">
        <v>4</v>
      </c>
    </row>
    <row r="604" spans="1:42" customHeight="1" ht="11.5" s="96" customFormat="1">
      <c r="A604" s="5">
        <v>596</v>
      </c>
      <c r="B604" s="163" t="s">
        <v>1055</v>
      </c>
      <c r="C604" s="151" t="s">
        <v>36</v>
      </c>
      <c r="D604" s="85" t="s">
        <v>37</v>
      </c>
      <c r="E604" s="86">
        <v>0</v>
      </c>
      <c r="F604" s="9">
        <v>0</v>
      </c>
      <c r="G604" s="10"/>
      <c r="H604" s="9">
        <v>0</v>
      </c>
      <c r="I604" s="10"/>
      <c r="J604" s="152">
        <v>0</v>
      </c>
      <c r="K604" s="10"/>
      <c r="L604" s="152">
        <v>0</v>
      </c>
      <c r="M604" s="10"/>
      <c r="N604" s="152">
        <v>0</v>
      </c>
      <c r="O604" s="10"/>
      <c r="P604" s="152">
        <v>0</v>
      </c>
      <c r="Q604" s="10"/>
      <c r="R604" s="9">
        <v>0</v>
      </c>
      <c r="S604" s="10"/>
      <c r="T604" s="9">
        <v>0</v>
      </c>
      <c r="U604" s="10"/>
      <c r="V604" s="9">
        <v>0</v>
      </c>
      <c r="W604" s="10"/>
      <c r="X604" s="9">
        <v>0</v>
      </c>
      <c r="Y604" s="10"/>
      <c r="Z604" s="9">
        <v>0</v>
      </c>
      <c r="AA604" s="10"/>
      <c r="AB604" s="11">
        <v>0</v>
      </c>
      <c r="AC604" s="10"/>
      <c r="AD604" s="7">
        <f>SUM(F604+H604+J604+L604+N604+P604+R604+T604+V604+X604+Z604+AB604)</f>
        <v>0</v>
      </c>
      <c r="AE604" s="7">
        <f>E604+AD604</f>
        <v>0</v>
      </c>
      <c r="AF604" s="8">
        <f>G604+I604+K604+M604+O604+Q604+S604+U604+W604+Y604+AA604+AC604</f>
        <v>0</v>
      </c>
      <c r="AG604" s="153">
        <f>SUM(AE604-AF604)</f>
        <v>0</v>
      </c>
      <c r="AH604" s="96" t="s">
        <v>1469</v>
      </c>
      <c r="AI604" s="96">
        <v>4</v>
      </c>
    </row>
    <row r="605" spans="1:42" customHeight="1" ht="11.5" s="96" customFormat="1">
      <c r="A605" s="5">
        <v>597</v>
      </c>
      <c r="B605" s="172" t="s">
        <v>1056</v>
      </c>
      <c r="C605" s="151" t="s">
        <v>36</v>
      </c>
      <c r="D605" s="85" t="s">
        <v>37</v>
      </c>
      <c r="E605" s="86">
        <v>0</v>
      </c>
      <c r="F605" s="9">
        <v>0</v>
      </c>
      <c r="G605" s="10"/>
      <c r="H605" s="9">
        <v>0</v>
      </c>
      <c r="I605" s="10"/>
      <c r="J605" s="152">
        <v>0</v>
      </c>
      <c r="K605" s="10"/>
      <c r="L605" s="152">
        <v>0</v>
      </c>
      <c r="M605" s="10"/>
      <c r="N605" s="152">
        <v>0</v>
      </c>
      <c r="O605" s="10"/>
      <c r="P605" s="152">
        <v>0</v>
      </c>
      <c r="Q605" s="10"/>
      <c r="R605" s="9">
        <v>0</v>
      </c>
      <c r="S605" s="10"/>
      <c r="T605" s="9">
        <v>0</v>
      </c>
      <c r="U605" s="10"/>
      <c r="V605" s="9">
        <v>0</v>
      </c>
      <c r="W605" s="10"/>
      <c r="X605" s="9">
        <v>0</v>
      </c>
      <c r="Y605" s="10"/>
      <c r="Z605" s="9">
        <v>0</v>
      </c>
      <c r="AA605" s="10"/>
      <c r="AB605" s="11">
        <v>0</v>
      </c>
      <c r="AC605" s="10"/>
      <c r="AD605" s="7">
        <f>SUM(F605+H605+J605+L605+N605+P605+R605+T605+V605+X605+Z605+AB605)</f>
        <v>0</v>
      </c>
      <c r="AE605" s="7">
        <f>E605+AD605</f>
        <v>0</v>
      </c>
      <c r="AF605" s="8">
        <f>G605+I605+K605+M605+O605+Q605+S605+U605+W605+Y605+AA605+AC605</f>
        <v>0</v>
      </c>
      <c r="AG605" s="153">
        <f>SUM(AE605-AF605)</f>
        <v>0</v>
      </c>
      <c r="AH605" s="96" t="s">
        <v>1470</v>
      </c>
      <c r="AI605" s="96">
        <v>4</v>
      </c>
    </row>
    <row r="606" spans="1:42" customHeight="1" ht="11.5" s="96" customFormat="1">
      <c r="A606" s="5">
        <v>598</v>
      </c>
      <c r="B606" s="163" t="s">
        <v>1057</v>
      </c>
      <c r="C606" s="151" t="s">
        <v>36</v>
      </c>
      <c r="D606" s="85" t="s">
        <v>37</v>
      </c>
      <c r="E606" s="86">
        <v>0</v>
      </c>
      <c r="F606" s="9">
        <v>0</v>
      </c>
      <c r="G606" s="10"/>
      <c r="H606" s="9">
        <v>0</v>
      </c>
      <c r="I606" s="10"/>
      <c r="J606" s="152">
        <v>0</v>
      </c>
      <c r="K606" s="10"/>
      <c r="L606" s="152">
        <v>0</v>
      </c>
      <c r="M606" s="10"/>
      <c r="N606" s="152">
        <v>0</v>
      </c>
      <c r="O606" s="10"/>
      <c r="P606" s="152">
        <v>0</v>
      </c>
      <c r="Q606" s="10"/>
      <c r="R606" s="9">
        <v>0</v>
      </c>
      <c r="S606" s="10"/>
      <c r="T606" s="9">
        <v>0</v>
      </c>
      <c r="U606" s="10"/>
      <c r="V606" s="9">
        <v>0</v>
      </c>
      <c r="W606" s="10"/>
      <c r="X606" s="9">
        <v>0</v>
      </c>
      <c r="Y606" s="10"/>
      <c r="Z606" s="9">
        <v>0</v>
      </c>
      <c r="AA606" s="10"/>
      <c r="AB606" s="11">
        <v>0</v>
      </c>
      <c r="AC606" s="10"/>
      <c r="AD606" s="7">
        <f>SUM(F606+H606+J606+L606+N606+P606+R606+T606+V606+X606+Z606+AB606)</f>
        <v>0</v>
      </c>
      <c r="AE606" s="7">
        <f>E606+AD606</f>
        <v>0</v>
      </c>
      <c r="AF606" s="8">
        <f>G606+I606+K606+M606+O606+Q606+S606+U606+W606+Y606+AA606+AC606</f>
        <v>0</v>
      </c>
      <c r="AG606" s="153">
        <f>SUM(AE606-AF606)</f>
        <v>0</v>
      </c>
      <c r="AH606" s="96" t="s">
        <v>1471</v>
      </c>
      <c r="AI606" s="96">
        <v>4</v>
      </c>
    </row>
    <row r="607" spans="1:42" customHeight="1" ht="11.5" s="96" customFormat="1">
      <c r="A607" s="5">
        <v>599</v>
      </c>
      <c r="B607" s="163" t="s">
        <v>1058</v>
      </c>
      <c r="C607" s="151" t="s">
        <v>36</v>
      </c>
      <c r="D607" s="85" t="s">
        <v>37</v>
      </c>
      <c r="E607" s="86">
        <v>0</v>
      </c>
      <c r="F607" s="9">
        <v>0</v>
      </c>
      <c r="G607" s="10"/>
      <c r="H607" s="9">
        <v>0</v>
      </c>
      <c r="I607" s="10"/>
      <c r="J607" s="152">
        <v>0</v>
      </c>
      <c r="K607" s="10"/>
      <c r="L607" s="152">
        <v>0</v>
      </c>
      <c r="M607" s="10"/>
      <c r="N607" s="152">
        <v>0</v>
      </c>
      <c r="O607" s="10"/>
      <c r="P607" s="152">
        <v>0</v>
      </c>
      <c r="Q607" s="10"/>
      <c r="R607" s="9">
        <v>0</v>
      </c>
      <c r="S607" s="10"/>
      <c r="T607" s="9">
        <v>0</v>
      </c>
      <c r="U607" s="10"/>
      <c r="V607" s="9">
        <v>0</v>
      </c>
      <c r="W607" s="10"/>
      <c r="X607" s="9">
        <v>0</v>
      </c>
      <c r="Y607" s="10"/>
      <c r="Z607" s="9">
        <v>0</v>
      </c>
      <c r="AA607" s="10"/>
      <c r="AB607" s="11">
        <v>0</v>
      </c>
      <c r="AC607" s="10"/>
      <c r="AD607" s="7">
        <f>SUM(F607+H607+J607+L607+N607+P607+R607+T607+V607+X607+Z607+AB607)</f>
        <v>0</v>
      </c>
      <c r="AE607" s="7">
        <f>E607+AD607</f>
        <v>0</v>
      </c>
      <c r="AF607" s="8">
        <f>G607+I607+K607+M607+O607+Q607+S607+U607+W607+Y607+AA607+AC607</f>
        <v>0</v>
      </c>
      <c r="AG607" s="153">
        <f>SUM(AE607-AF607)</f>
        <v>0</v>
      </c>
      <c r="AH607" s="96" t="s">
        <v>1471</v>
      </c>
      <c r="AI607" s="96">
        <v>4</v>
      </c>
    </row>
    <row r="608" spans="1:42" customHeight="1" ht="11.5" s="96" customFormat="1">
      <c r="A608" s="5">
        <v>600</v>
      </c>
      <c r="B608" s="163" t="s">
        <v>1059</v>
      </c>
      <c r="C608" s="151" t="s">
        <v>36</v>
      </c>
      <c r="D608" s="85" t="s">
        <v>37</v>
      </c>
      <c r="E608" s="86">
        <v>0</v>
      </c>
      <c r="F608" s="9">
        <v>0</v>
      </c>
      <c r="G608" s="10"/>
      <c r="H608" s="9">
        <v>0</v>
      </c>
      <c r="I608" s="10"/>
      <c r="J608" s="152">
        <v>0</v>
      </c>
      <c r="K608" s="10"/>
      <c r="L608" s="152">
        <v>0</v>
      </c>
      <c r="M608" s="10"/>
      <c r="N608" s="152">
        <v>0</v>
      </c>
      <c r="O608" s="10"/>
      <c r="P608" s="152">
        <v>0</v>
      </c>
      <c r="Q608" s="10"/>
      <c r="R608" s="9">
        <v>0</v>
      </c>
      <c r="S608" s="10"/>
      <c r="T608" s="9">
        <v>0</v>
      </c>
      <c r="U608" s="10"/>
      <c r="V608" s="9">
        <v>0</v>
      </c>
      <c r="W608" s="10"/>
      <c r="X608" s="9">
        <v>0</v>
      </c>
      <c r="Y608" s="10"/>
      <c r="Z608" s="9">
        <v>0</v>
      </c>
      <c r="AA608" s="10"/>
      <c r="AB608" s="11">
        <v>0</v>
      </c>
      <c r="AC608" s="10"/>
      <c r="AD608" s="7">
        <f>SUM(F608+H608+J608+L608+N608+P608+R608+T608+V608+X608+Z608+AB608)</f>
        <v>0</v>
      </c>
      <c r="AE608" s="7">
        <f>E608+AD608</f>
        <v>0</v>
      </c>
      <c r="AF608" s="8">
        <f>G608+I608+K608+M608+O608+Q608+S608+U608+W608+Y608+AA608+AC608</f>
        <v>0</v>
      </c>
      <c r="AG608" s="153">
        <f>SUM(AE608-AF608)</f>
        <v>0</v>
      </c>
      <c r="AH608" s="96" t="s">
        <v>1472</v>
      </c>
      <c r="AI608" s="96">
        <v>4</v>
      </c>
    </row>
    <row r="609" spans="1:42" customHeight="1" ht="11.5" s="96" customFormat="1">
      <c r="A609" s="5">
        <v>601</v>
      </c>
      <c r="B609" s="163" t="s">
        <v>1060</v>
      </c>
      <c r="C609" s="151" t="s">
        <v>36</v>
      </c>
      <c r="D609" s="85" t="s">
        <v>37</v>
      </c>
      <c r="E609" s="86">
        <v>0</v>
      </c>
      <c r="F609" s="9">
        <v>0</v>
      </c>
      <c r="G609" s="10"/>
      <c r="H609" s="9">
        <v>0</v>
      </c>
      <c r="I609" s="10"/>
      <c r="J609" s="152">
        <v>0</v>
      </c>
      <c r="K609" s="10"/>
      <c r="L609" s="152">
        <v>0</v>
      </c>
      <c r="M609" s="10"/>
      <c r="N609" s="152">
        <v>0</v>
      </c>
      <c r="O609" s="10"/>
      <c r="P609" s="152">
        <v>0</v>
      </c>
      <c r="Q609" s="10"/>
      <c r="R609" s="9">
        <v>0</v>
      </c>
      <c r="S609" s="10"/>
      <c r="T609" s="9">
        <v>0</v>
      </c>
      <c r="U609" s="10"/>
      <c r="V609" s="9">
        <v>0</v>
      </c>
      <c r="W609" s="10"/>
      <c r="X609" s="9">
        <v>0</v>
      </c>
      <c r="Y609" s="10"/>
      <c r="Z609" s="9">
        <v>0</v>
      </c>
      <c r="AA609" s="10"/>
      <c r="AB609" s="11">
        <v>0</v>
      </c>
      <c r="AC609" s="10"/>
      <c r="AD609" s="7">
        <f>SUM(F609+H609+J609+L609+N609+P609+R609+T609+V609+X609+Z609+AB609)</f>
        <v>0</v>
      </c>
      <c r="AE609" s="7">
        <f>E609+AD609</f>
        <v>0</v>
      </c>
      <c r="AF609" s="8">
        <f>G609+I609+K609+M609+O609+Q609+S609+U609+W609+Y609+AA609+AC609</f>
        <v>0</v>
      </c>
      <c r="AG609" s="153">
        <f>SUM(AE609-AF609)</f>
        <v>0</v>
      </c>
      <c r="AH609" s="96" t="s">
        <v>1473</v>
      </c>
      <c r="AI609" s="96">
        <v>4</v>
      </c>
    </row>
    <row r="610" spans="1:42" customHeight="1" ht="11.5" s="96" customFormat="1">
      <c r="A610" s="5">
        <v>602</v>
      </c>
      <c r="B610" s="163" t="s">
        <v>1061</v>
      </c>
      <c r="C610" s="151" t="s">
        <v>105</v>
      </c>
      <c r="D610" s="85" t="s">
        <v>106</v>
      </c>
      <c r="E610" s="86">
        <v>0</v>
      </c>
      <c r="F610" s="9">
        <v>0</v>
      </c>
      <c r="G610" s="10"/>
      <c r="H610" s="9">
        <v>0</v>
      </c>
      <c r="I610" s="10"/>
      <c r="J610" s="152">
        <v>0</v>
      </c>
      <c r="K610" s="10"/>
      <c r="L610" s="152">
        <v>0</v>
      </c>
      <c r="M610" s="10"/>
      <c r="N610" s="152">
        <v>0</v>
      </c>
      <c r="O610" s="10"/>
      <c r="P610" s="152">
        <v>0</v>
      </c>
      <c r="Q610" s="10"/>
      <c r="R610" s="9">
        <v>0</v>
      </c>
      <c r="S610" s="10"/>
      <c r="T610" s="9">
        <v>0</v>
      </c>
      <c r="U610" s="10"/>
      <c r="V610" s="9">
        <v>0</v>
      </c>
      <c r="W610" s="10"/>
      <c r="X610" s="9">
        <v>0</v>
      </c>
      <c r="Y610" s="10"/>
      <c r="Z610" s="9">
        <v>0</v>
      </c>
      <c r="AA610" s="10"/>
      <c r="AB610" s="11">
        <v>0</v>
      </c>
      <c r="AC610" s="10"/>
      <c r="AD610" s="7">
        <f>SUM(F610+H610+J610+L610+N610+P610+R610+T610+V610+X610+Z610+AB610)</f>
        <v>0</v>
      </c>
      <c r="AE610" s="7">
        <f>E610+AD610</f>
        <v>0</v>
      </c>
      <c r="AF610" s="8">
        <f>G610+I610+K610+M610+O610+Q610+S610+U610+W610+Y610+AA610+AC610</f>
        <v>0</v>
      </c>
      <c r="AG610" s="153">
        <f>SUM(AE610-AF610)</f>
        <v>0</v>
      </c>
      <c r="AH610" s="96" t="s">
        <v>1473</v>
      </c>
      <c r="AI610" s="96">
        <v>4</v>
      </c>
    </row>
    <row r="611" spans="1:42" customHeight="1" ht="11.5" s="96" customFormat="1">
      <c r="A611" s="5">
        <v>603</v>
      </c>
      <c r="B611" s="172" t="s">
        <v>1062</v>
      </c>
      <c r="C611" s="151" t="s">
        <v>101</v>
      </c>
      <c r="D611" s="85" t="s">
        <v>102</v>
      </c>
      <c r="E611" s="86">
        <v>10000</v>
      </c>
      <c r="F611" s="9">
        <v>0</v>
      </c>
      <c r="G611" s="10"/>
      <c r="H611" s="9">
        <v>0</v>
      </c>
      <c r="I611" s="10"/>
      <c r="J611" s="152">
        <v>0</v>
      </c>
      <c r="K611" s="10"/>
      <c r="L611" s="152">
        <v>0</v>
      </c>
      <c r="M611" s="10"/>
      <c r="N611" s="152">
        <v>0</v>
      </c>
      <c r="O611" s="10"/>
      <c r="P611" s="152">
        <v>0</v>
      </c>
      <c r="Q611" s="10"/>
      <c r="R611" s="9">
        <v>0</v>
      </c>
      <c r="S611" s="10"/>
      <c r="T611" s="9">
        <v>0</v>
      </c>
      <c r="U611" s="10"/>
      <c r="V611" s="9">
        <v>0</v>
      </c>
      <c r="W611" s="10"/>
      <c r="X611" s="9">
        <v>0</v>
      </c>
      <c r="Y611" s="10"/>
      <c r="Z611" s="9">
        <v>0</v>
      </c>
      <c r="AA611" s="10"/>
      <c r="AB611" s="11">
        <v>0</v>
      </c>
      <c r="AC611" s="10"/>
      <c r="AD611" s="7">
        <f>SUM(F611+H611+J611+L611+N611+P611+R611+T611+V611+X611+Z611+AB611)</f>
        <v>0</v>
      </c>
      <c r="AE611" s="7">
        <f>E611+AD611</f>
        <v>10000</v>
      </c>
      <c r="AF611" s="8">
        <f>G611+I611+K611+M611+O611+Q611+S611+U611+W611+Y611+AA611+AC611</f>
        <v>0</v>
      </c>
      <c r="AG611" s="153">
        <f>SUM(AE611-AF611)</f>
        <v>10000</v>
      </c>
      <c r="AH611" s="96" t="s">
        <v>1473</v>
      </c>
      <c r="AI611" s="96">
        <v>4</v>
      </c>
    </row>
    <row r="612" spans="1:42" customHeight="1" ht="11.5" s="96" customFormat="1">
      <c r="A612" s="5">
        <v>604</v>
      </c>
      <c r="B612" s="163" t="s">
        <v>1063</v>
      </c>
      <c r="C612" s="151" t="s">
        <v>36</v>
      </c>
      <c r="D612" s="85" t="s">
        <v>37</v>
      </c>
      <c r="E612" s="86">
        <v>0</v>
      </c>
      <c r="F612" s="9">
        <v>10000</v>
      </c>
      <c r="G612" s="10"/>
      <c r="H612" s="9">
        <v>0</v>
      </c>
      <c r="I612" s="10">
        <v>10000</v>
      </c>
      <c r="J612" s="152">
        <v>10000</v>
      </c>
      <c r="K612" s="10"/>
      <c r="L612" s="152">
        <v>0</v>
      </c>
      <c r="M612" s="10">
        <v>10000</v>
      </c>
      <c r="N612" s="152">
        <v>0</v>
      </c>
      <c r="O612" s="10"/>
      <c r="P612" s="152">
        <v>0</v>
      </c>
      <c r="Q612" s="10"/>
      <c r="R612" s="9">
        <v>10000</v>
      </c>
      <c r="S612" s="10"/>
      <c r="T612" s="9">
        <v>0</v>
      </c>
      <c r="U612" s="10"/>
      <c r="V612" s="9">
        <v>0</v>
      </c>
      <c r="W612" s="10"/>
      <c r="X612" s="9">
        <v>0</v>
      </c>
      <c r="Y612" s="10"/>
      <c r="Z612" s="9">
        <v>0</v>
      </c>
      <c r="AA612" s="10"/>
      <c r="AB612" s="11">
        <v>0</v>
      </c>
      <c r="AC612" s="10"/>
      <c r="AD612" s="7">
        <f>SUM(F612+H612+J612+L612+N612+P612+R612+T612+V612+X612+Z612+AB612)</f>
        <v>30000</v>
      </c>
      <c r="AE612" s="7">
        <f>E612+AD612</f>
        <v>30000</v>
      </c>
      <c r="AF612" s="8">
        <f>G612+I612+K612+M612+O612+Q612+S612+U612+W612+Y612+AA612+AC612</f>
        <v>20000</v>
      </c>
      <c r="AG612" s="153">
        <f>SUM(AE612-AF612)</f>
        <v>10000</v>
      </c>
      <c r="AH612" s="96" t="s">
        <v>1474</v>
      </c>
      <c r="AI612" s="96">
        <v>4</v>
      </c>
    </row>
    <row r="613" spans="1:42" customHeight="1" ht="11.5" s="96" customFormat="1">
      <c r="A613" s="5">
        <v>605</v>
      </c>
      <c r="B613" s="163" t="s">
        <v>1064</v>
      </c>
      <c r="C613" s="151" t="s">
        <v>36</v>
      </c>
      <c r="D613" s="85" t="s">
        <v>37</v>
      </c>
      <c r="E613" s="86">
        <v>0</v>
      </c>
      <c r="F613" s="9">
        <v>0</v>
      </c>
      <c r="G613" s="10"/>
      <c r="H613" s="9">
        <v>0</v>
      </c>
      <c r="I613" s="10"/>
      <c r="J613" s="152">
        <v>30000</v>
      </c>
      <c r="K613" s="10"/>
      <c r="L613" s="152">
        <v>0</v>
      </c>
      <c r="M613" s="10">
        <v>30000</v>
      </c>
      <c r="N613" s="152">
        <v>0</v>
      </c>
      <c r="O613" s="10"/>
      <c r="P613" s="152">
        <v>0</v>
      </c>
      <c r="Q613" s="10"/>
      <c r="R613" s="9">
        <v>0</v>
      </c>
      <c r="S613" s="10"/>
      <c r="T613" s="9">
        <v>0</v>
      </c>
      <c r="U613" s="10"/>
      <c r="V613" s="9">
        <v>0</v>
      </c>
      <c r="W613" s="10"/>
      <c r="X613" s="9">
        <v>0</v>
      </c>
      <c r="Y613" s="10"/>
      <c r="Z613" s="9">
        <v>0</v>
      </c>
      <c r="AA613" s="10"/>
      <c r="AB613" s="11">
        <v>0</v>
      </c>
      <c r="AC613" s="10"/>
      <c r="AD613" s="7">
        <f>SUM(F613+H613+J613+L613+N613+P613+R613+T613+V613+X613+Z613+AB613)</f>
        <v>30000</v>
      </c>
      <c r="AE613" s="7">
        <f>E613+AD613</f>
        <v>30000</v>
      </c>
      <c r="AF613" s="8">
        <f>G613+I613+K613+M613+O613+Q613+S613+U613+W613+Y613+AA613+AC613</f>
        <v>30000</v>
      </c>
      <c r="AG613" s="153">
        <f>SUM(AE613-AF613)</f>
        <v>0</v>
      </c>
      <c r="AH613" s="96" t="s">
        <v>1475</v>
      </c>
      <c r="AI613" s="96">
        <v>4</v>
      </c>
    </row>
    <row r="614" spans="1:42" customHeight="1" ht="11.5" s="96" customFormat="1">
      <c r="A614" s="5">
        <v>606</v>
      </c>
      <c r="B614" s="163" t="s">
        <v>1065</v>
      </c>
      <c r="C614" s="151" t="s">
        <v>105</v>
      </c>
      <c r="D614" s="85" t="s">
        <v>106</v>
      </c>
      <c r="E614" s="86">
        <v>0</v>
      </c>
      <c r="F614" s="9">
        <v>0</v>
      </c>
      <c r="G614" s="10"/>
      <c r="H614" s="9">
        <v>0</v>
      </c>
      <c r="I614" s="10"/>
      <c r="J614" s="152">
        <v>0</v>
      </c>
      <c r="K614" s="10"/>
      <c r="L614" s="152">
        <v>0</v>
      </c>
      <c r="M614" s="10"/>
      <c r="N614" s="152">
        <v>0</v>
      </c>
      <c r="O614" s="10"/>
      <c r="P614" s="152">
        <v>0</v>
      </c>
      <c r="Q614" s="10"/>
      <c r="R614" s="9">
        <v>0</v>
      </c>
      <c r="S614" s="10"/>
      <c r="T614" s="9">
        <v>0</v>
      </c>
      <c r="U614" s="10"/>
      <c r="V614" s="9">
        <v>0</v>
      </c>
      <c r="W614" s="10"/>
      <c r="X614" s="9">
        <v>0</v>
      </c>
      <c r="Y614" s="10"/>
      <c r="Z614" s="9">
        <v>0</v>
      </c>
      <c r="AA614" s="10"/>
      <c r="AB614" s="11">
        <v>0</v>
      </c>
      <c r="AC614" s="10"/>
      <c r="AD614" s="7">
        <f>SUM(F614+H614+J614+L614+N614+P614+R614+T614+V614+X614+Z614+AB614)</f>
        <v>0</v>
      </c>
      <c r="AE614" s="7">
        <f>E614+AD614</f>
        <v>0</v>
      </c>
      <c r="AF614" s="8">
        <f>G614+I614+K614+M614+O614+Q614+S614+U614+W614+Y614+AA614+AC614</f>
        <v>0</v>
      </c>
      <c r="AG614" s="153">
        <f>SUM(AE614-AF614)</f>
        <v>0</v>
      </c>
      <c r="AH614" s="96" t="s">
        <v>1476</v>
      </c>
      <c r="AI614" s="96">
        <v>3</v>
      </c>
    </row>
    <row r="615" spans="1:42" customHeight="1" ht="11.5" s="96" customFormat="1">
      <c r="A615" s="5">
        <v>607</v>
      </c>
      <c r="B615" s="163" t="s">
        <v>1066</v>
      </c>
      <c r="C615" s="151" t="s">
        <v>132</v>
      </c>
      <c r="D615" s="85" t="s">
        <v>133</v>
      </c>
      <c r="E615" s="86">
        <v>5000</v>
      </c>
      <c r="F615" s="9">
        <v>0</v>
      </c>
      <c r="G615" s="10"/>
      <c r="H615" s="9">
        <v>0</v>
      </c>
      <c r="I615" s="10"/>
      <c r="J615" s="152">
        <v>0</v>
      </c>
      <c r="K615" s="10">
        <v>5000</v>
      </c>
      <c r="L615" s="152">
        <v>0</v>
      </c>
      <c r="M615" s="10"/>
      <c r="N615" s="152">
        <v>0</v>
      </c>
      <c r="O615" s="10"/>
      <c r="P615" s="152">
        <v>0</v>
      </c>
      <c r="Q615" s="10"/>
      <c r="R615" s="9">
        <v>0</v>
      </c>
      <c r="S615" s="10"/>
      <c r="T615" s="9">
        <v>0</v>
      </c>
      <c r="U615" s="10"/>
      <c r="V615" s="9">
        <v>0</v>
      </c>
      <c r="W615" s="10"/>
      <c r="X615" s="9">
        <v>0</v>
      </c>
      <c r="Y615" s="10"/>
      <c r="Z615" s="9">
        <v>0</v>
      </c>
      <c r="AA615" s="10"/>
      <c r="AB615" s="11">
        <v>0</v>
      </c>
      <c r="AC615" s="10"/>
      <c r="AD615" s="7">
        <f>SUM(F615+H615+J615+L615+N615+P615+R615+T615+V615+X615+Z615+AB615)</f>
        <v>0</v>
      </c>
      <c r="AE615" s="7">
        <f>E615+AD615</f>
        <v>5000</v>
      </c>
      <c r="AF615" s="8">
        <f>G615+I615+K615+M615+O615+Q615+S615+U615+W615+Y615+AA615+AC615</f>
        <v>5000</v>
      </c>
      <c r="AG615" s="153">
        <f>SUM(AE615-AF615)</f>
        <v>0</v>
      </c>
      <c r="AH615" s="96" t="s">
        <v>1477</v>
      </c>
      <c r="AI615" s="96">
        <v>4</v>
      </c>
    </row>
    <row r="616" spans="1:42" customHeight="1" ht="11.5" s="96" customFormat="1">
      <c r="A616" s="5">
        <v>608</v>
      </c>
      <c r="B616" s="163" t="s">
        <v>1067</v>
      </c>
      <c r="C616" s="151" t="s">
        <v>36</v>
      </c>
      <c r="D616" s="85" t="s">
        <v>37</v>
      </c>
      <c r="E616" s="86">
        <v>0</v>
      </c>
      <c r="F616" s="9">
        <v>0</v>
      </c>
      <c r="G616" s="10"/>
      <c r="H616" s="9">
        <v>0</v>
      </c>
      <c r="I616" s="10"/>
      <c r="J616" s="152">
        <v>0</v>
      </c>
      <c r="K616" s="10"/>
      <c r="L616" s="152">
        <v>0</v>
      </c>
      <c r="M616" s="10"/>
      <c r="N616" s="152">
        <v>0</v>
      </c>
      <c r="O616" s="10"/>
      <c r="P616" s="152">
        <v>0</v>
      </c>
      <c r="Q616" s="10"/>
      <c r="R616" s="9">
        <v>0</v>
      </c>
      <c r="S616" s="10"/>
      <c r="T616" s="9">
        <v>0</v>
      </c>
      <c r="U616" s="10"/>
      <c r="V616" s="9">
        <v>0</v>
      </c>
      <c r="W616" s="10"/>
      <c r="X616" s="9">
        <v>0</v>
      </c>
      <c r="Y616" s="10"/>
      <c r="Z616" s="9">
        <v>0</v>
      </c>
      <c r="AA616" s="10"/>
      <c r="AB616" s="11">
        <v>0</v>
      </c>
      <c r="AC616" s="10"/>
      <c r="AD616" s="7">
        <f>SUM(F616+H616+J616+L616+N616+P616+R616+T616+V616+X616+Z616+AB616)</f>
        <v>0</v>
      </c>
      <c r="AE616" s="7">
        <f>E616+AD616</f>
        <v>0</v>
      </c>
      <c r="AF616" s="8">
        <f>G616+I616+K616+M616+O616+Q616+S616+U616+W616+Y616+AA616+AC616</f>
        <v>0</v>
      </c>
      <c r="AG616" s="153">
        <f>SUM(AE616-AF616)</f>
        <v>0</v>
      </c>
      <c r="AH616" s="96" t="s">
        <v>1478</v>
      </c>
      <c r="AI616" s="96">
        <v>3</v>
      </c>
    </row>
    <row r="617" spans="1:42" customHeight="1" ht="11.5" s="96" customFormat="1">
      <c r="A617" s="5">
        <v>609</v>
      </c>
      <c r="B617" s="163" t="s">
        <v>1068</v>
      </c>
      <c r="C617" s="151" t="s">
        <v>36</v>
      </c>
      <c r="D617" s="85" t="s">
        <v>37</v>
      </c>
      <c r="E617" s="86">
        <v>0</v>
      </c>
      <c r="F617" s="9">
        <v>0</v>
      </c>
      <c r="G617" s="10"/>
      <c r="H617" s="9">
        <v>0</v>
      </c>
      <c r="I617" s="10"/>
      <c r="J617" s="152">
        <v>0</v>
      </c>
      <c r="K617" s="10"/>
      <c r="L617" s="152">
        <v>0</v>
      </c>
      <c r="M617" s="10"/>
      <c r="N617" s="152">
        <v>0</v>
      </c>
      <c r="O617" s="10"/>
      <c r="P617" s="152">
        <v>0</v>
      </c>
      <c r="Q617" s="10"/>
      <c r="R617" s="9">
        <v>0</v>
      </c>
      <c r="S617" s="10"/>
      <c r="T617" s="9">
        <v>0</v>
      </c>
      <c r="U617" s="10"/>
      <c r="V617" s="9">
        <v>0</v>
      </c>
      <c r="W617" s="10"/>
      <c r="X617" s="9">
        <v>0</v>
      </c>
      <c r="Y617" s="10"/>
      <c r="Z617" s="9">
        <v>0</v>
      </c>
      <c r="AA617" s="10"/>
      <c r="AB617" s="11">
        <v>0</v>
      </c>
      <c r="AC617" s="10"/>
      <c r="AD617" s="7">
        <f>SUM(F617+H617+J617+L617+N617+P617+R617+T617+V617+X617+Z617+AB617)</f>
        <v>0</v>
      </c>
      <c r="AE617" s="7">
        <f>E617+AD617</f>
        <v>0</v>
      </c>
      <c r="AF617" s="8">
        <f>G617+I617+K617+M617+O617+Q617+S617+U617+W617+Y617+AA617+AC617</f>
        <v>0</v>
      </c>
      <c r="AG617" s="153">
        <f>SUM(AE617-AF617)</f>
        <v>0</v>
      </c>
      <c r="AH617" s="96" t="s">
        <v>1479</v>
      </c>
      <c r="AI617" s="96">
        <v>4</v>
      </c>
    </row>
    <row r="618" spans="1:42" customHeight="1" ht="11.5" s="96" customFormat="1">
      <c r="A618" s="5">
        <v>610</v>
      </c>
      <c r="B618" s="163" t="s">
        <v>1069</v>
      </c>
      <c r="C618" s="151" t="s">
        <v>36</v>
      </c>
      <c r="D618" s="85" t="s">
        <v>37</v>
      </c>
      <c r="E618" s="86">
        <v>0</v>
      </c>
      <c r="F618" s="9">
        <v>0</v>
      </c>
      <c r="G618" s="10"/>
      <c r="H618" s="9">
        <v>0</v>
      </c>
      <c r="I618" s="10"/>
      <c r="J618" s="152">
        <v>0</v>
      </c>
      <c r="K618" s="10"/>
      <c r="L618" s="152">
        <v>0</v>
      </c>
      <c r="M618" s="10"/>
      <c r="N618" s="152">
        <v>0</v>
      </c>
      <c r="O618" s="10"/>
      <c r="P618" s="152">
        <v>0</v>
      </c>
      <c r="Q618" s="10"/>
      <c r="R618" s="9">
        <v>0</v>
      </c>
      <c r="S618" s="10"/>
      <c r="T618" s="9">
        <v>0</v>
      </c>
      <c r="U618" s="10"/>
      <c r="V618" s="9">
        <v>0</v>
      </c>
      <c r="W618" s="10"/>
      <c r="X618" s="9">
        <v>0</v>
      </c>
      <c r="Y618" s="10"/>
      <c r="Z618" s="9">
        <v>0</v>
      </c>
      <c r="AA618" s="10"/>
      <c r="AB618" s="11">
        <v>0</v>
      </c>
      <c r="AC618" s="10"/>
      <c r="AD618" s="7">
        <f>SUM(F618+H618+J618+L618+N618+P618+R618+T618+V618+X618+Z618+AB618)</f>
        <v>0</v>
      </c>
      <c r="AE618" s="7">
        <f>E618+AD618</f>
        <v>0</v>
      </c>
      <c r="AF618" s="8">
        <f>G618+I618+K618+M618+O618+Q618+S618+U618+W618+Y618+AA618+AC618</f>
        <v>0</v>
      </c>
      <c r="AG618" s="153">
        <f>SUM(AE618-AF618)</f>
        <v>0</v>
      </c>
      <c r="AH618" s="96" t="s">
        <v>1480</v>
      </c>
      <c r="AI618" s="96">
        <v>4</v>
      </c>
    </row>
    <row r="619" spans="1:42" customHeight="1" ht="11.5" s="96" customFormat="1">
      <c r="A619" s="5">
        <v>611</v>
      </c>
      <c r="B619" s="163" t="s">
        <v>1070</v>
      </c>
      <c r="C619" s="151" t="s">
        <v>36</v>
      </c>
      <c r="D619" s="85" t="s">
        <v>37</v>
      </c>
      <c r="E619" s="86">
        <v>0</v>
      </c>
      <c r="F619" s="9">
        <v>0</v>
      </c>
      <c r="G619" s="10"/>
      <c r="H619" s="9">
        <v>0</v>
      </c>
      <c r="I619" s="10"/>
      <c r="J619" s="152">
        <v>0</v>
      </c>
      <c r="K619" s="10"/>
      <c r="L619" s="152">
        <v>0</v>
      </c>
      <c r="M619" s="10"/>
      <c r="N619" s="152">
        <v>0</v>
      </c>
      <c r="O619" s="10"/>
      <c r="P619" s="152">
        <v>0</v>
      </c>
      <c r="Q619" s="10"/>
      <c r="R619" s="9">
        <v>0</v>
      </c>
      <c r="S619" s="10"/>
      <c r="T619" s="9">
        <v>0</v>
      </c>
      <c r="U619" s="10"/>
      <c r="V619" s="9">
        <v>0</v>
      </c>
      <c r="W619" s="10"/>
      <c r="X619" s="9">
        <v>0</v>
      </c>
      <c r="Y619" s="10"/>
      <c r="Z619" s="9">
        <v>0</v>
      </c>
      <c r="AA619" s="10"/>
      <c r="AB619" s="11">
        <v>0</v>
      </c>
      <c r="AC619" s="10"/>
      <c r="AD619" s="7">
        <f>SUM(F619+H619+J619+L619+N619+P619+R619+T619+V619+X619+Z619+AB619)</f>
        <v>0</v>
      </c>
      <c r="AE619" s="7">
        <f>E619+AD619</f>
        <v>0</v>
      </c>
      <c r="AF619" s="8">
        <f>G619+I619+K619+M619+O619+Q619+S619+U619+W619+Y619+AA619+AC619</f>
        <v>0</v>
      </c>
      <c r="AG619" s="153">
        <f>SUM(AE619-AF619)</f>
        <v>0</v>
      </c>
      <c r="AH619" s="96" t="s">
        <v>1481</v>
      </c>
      <c r="AI619" s="96">
        <v>4</v>
      </c>
    </row>
    <row r="620" spans="1:42" customHeight="1" ht="11.5" s="96" customFormat="1">
      <c r="A620" s="5">
        <v>612</v>
      </c>
      <c r="B620" s="162" t="s">
        <v>1071</v>
      </c>
      <c r="C620" s="4" t="s">
        <v>36</v>
      </c>
      <c r="D620" s="85" t="s">
        <v>37</v>
      </c>
      <c r="E620" s="86">
        <v>0</v>
      </c>
      <c r="F620" s="9">
        <v>0</v>
      </c>
      <c r="G620" s="10"/>
      <c r="H620" s="9">
        <v>0</v>
      </c>
      <c r="I620" s="10"/>
      <c r="J620" s="152">
        <v>0</v>
      </c>
      <c r="K620" s="10"/>
      <c r="L620" s="152">
        <v>0</v>
      </c>
      <c r="M620" s="10"/>
      <c r="N620" s="152">
        <v>0</v>
      </c>
      <c r="O620" s="10"/>
      <c r="P620" s="152">
        <v>0</v>
      </c>
      <c r="Q620" s="10"/>
      <c r="R620" s="9">
        <v>0</v>
      </c>
      <c r="S620" s="10"/>
      <c r="T620" s="9">
        <v>0</v>
      </c>
      <c r="U620" s="10"/>
      <c r="V620" s="9">
        <v>0</v>
      </c>
      <c r="W620" s="10"/>
      <c r="X620" s="9">
        <v>0</v>
      </c>
      <c r="Y620" s="10"/>
      <c r="Z620" s="9">
        <v>0</v>
      </c>
      <c r="AA620" s="10"/>
      <c r="AB620" s="11">
        <v>0</v>
      </c>
      <c r="AC620" s="10"/>
      <c r="AD620" s="7">
        <f>SUM(F620+H620+J620+L620+N620+P620+R620+T620+V620+X620+Z620+AB620)</f>
        <v>0</v>
      </c>
      <c r="AE620" s="7">
        <f>E620+AD620</f>
        <v>0</v>
      </c>
      <c r="AF620" s="8">
        <f>G620+I620+K620+M620+O620+Q620+S620+U620+W620+Y620+AA620+AC620</f>
        <v>0</v>
      </c>
      <c r="AG620" s="153">
        <f>SUM(AE620-AF620)</f>
        <v>0</v>
      </c>
      <c r="AH620" s="96" t="s">
        <v>1481</v>
      </c>
      <c r="AI620" s="96">
        <v>4</v>
      </c>
    </row>
    <row r="621" spans="1:42" customHeight="1" ht="11.5" s="96" customFormat="1">
      <c r="A621" s="5">
        <v>613</v>
      </c>
      <c r="B621" s="163" t="s">
        <v>1072</v>
      </c>
      <c r="C621" s="151" t="s">
        <v>36</v>
      </c>
      <c r="D621" s="85" t="s">
        <v>37</v>
      </c>
      <c r="E621" s="86">
        <v>0</v>
      </c>
      <c r="F621" s="9">
        <v>0</v>
      </c>
      <c r="G621" s="10"/>
      <c r="H621" s="9">
        <v>0</v>
      </c>
      <c r="I621" s="10"/>
      <c r="J621" s="152">
        <v>0</v>
      </c>
      <c r="K621" s="10"/>
      <c r="L621" s="152">
        <v>0</v>
      </c>
      <c r="M621" s="10"/>
      <c r="N621" s="152">
        <v>0</v>
      </c>
      <c r="O621" s="10"/>
      <c r="P621" s="152">
        <v>0</v>
      </c>
      <c r="Q621" s="10"/>
      <c r="R621" s="9">
        <v>0</v>
      </c>
      <c r="S621" s="10"/>
      <c r="T621" s="9">
        <v>0</v>
      </c>
      <c r="U621" s="10"/>
      <c r="V621" s="9">
        <v>0</v>
      </c>
      <c r="W621" s="10"/>
      <c r="X621" s="9">
        <v>0</v>
      </c>
      <c r="Y621" s="10"/>
      <c r="Z621" s="9">
        <v>0</v>
      </c>
      <c r="AA621" s="10"/>
      <c r="AB621" s="11">
        <v>0</v>
      </c>
      <c r="AC621" s="10"/>
      <c r="AD621" s="7">
        <f>SUM(F621+H621+J621+L621+N621+P621+R621+T621+V621+X621+Z621+AB621)</f>
        <v>0</v>
      </c>
      <c r="AE621" s="7">
        <f>E621+AD621</f>
        <v>0</v>
      </c>
      <c r="AF621" s="8">
        <f>G621+I621+K621+M621+O621+Q621+S621+U621+W621+Y621+AA621+AC621</f>
        <v>0</v>
      </c>
      <c r="AG621" s="153">
        <f>SUM(AE621-AF621)</f>
        <v>0</v>
      </c>
      <c r="AH621" s="96" t="s">
        <v>1481</v>
      </c>
      <c r="AI621" s="96">
        <v>4</v>
      </c>
    </row>
    <row r="622" spans="1:42" customHeight="1" ht="11.5" s="96" customFormat="1">
      <c r="A622" s="5">
        <v>614</v>
      </c>
      <c r="B622" s="163" t="s">
        <v>1073</v>
      </c>
      <c r="C622" s="151" t="s">
        <v>36</v>
      </c>
      <c r="D622" s="85" t="s">
        <v>37</v>
      </c>
      <c r="E622" s="86">
        <v>0</v>
      </c>
      <c r="F622" s="9">
        <v>0</v>
      </c>
      <c r="G622" s="10"/>
      <c r="H622" s="9">
        <v>0</v>
      </c>
      <c r="I622" s="10"/>
      <c r="J622" s="152">
        <v>0</v>
      </c>
      <c r="K622" s="10"/>
      <c r="L622" s="152">
        <v>0</v>
      </c>
      <c r="M622" s="10"/>
      <c r="N622" s="152">
        <v>0</v>
      </c>
      <c r="O622" s="10"/>
      <c r="P622" s="152">
        <v>0</v>
      </c>
      <c r="Q622" s="10"/>
      <c r="R622" s="9">
        <v>0</v>
      </c>
      <c r="S622" s="10"/>
      <c r="T622" s="9">
        <v>0</v>
      </c>
      <c r="U622" s="10"/>
      <c r="V622" s="9">
        <v>0</v>
      </c>
      <c r="W622" s="10"/>
      <c r="X622" s="9">
        <v>0</v>
      </c>
      <c r="Y622" s="10"/>
      <c r="Z622" s="9">
        <v>0</v>
      </c>
      <c r="AA622" s="10"/>
      <c r="AB622" s="11">
        <v>0</v>
      </c>
      <c r="AC622" s="10"/>
      <c r="AD622" s="7">
        <f>SUM(F622+H622+J622+L622+N622+P622+R622+T622+V622+X622+Z622+AB622)</f>
        <v>0</v>
      </c>
      <c r="AE622" s="7">
        <f>E622+AD622</f>
        <v>0</v>
      </c>
      <c r="AF622" s="8">
        <f>G622+I622+K622+M622+O622+Q622+S622+U622+W622+Y622+AA622+AC622</f>
        <v>0</v>
      </c>
      <c r="AG622" s="153">
        <f>SUM(AE622-AF622)</f>
        <v>0</v>
      </c>
      <c r="AH622" s="96" t="s">
        <v>1481</v>
      </c>
      <c r="AI622" s="96">
        <v>4</v>
      </c>
    </row>
    <row r="623" spans="1:42" customHeight="1" ht="11.5" s="96" customFormat="1">
      <c r="A623" s="5">
        <v>615</v>
      </c>
      <c r="B623" s="163" t="s">
        <v>1074</v>
      </c>
      <c r="C623" s="151" t="s">
        <v>36</v>
      </c>
      <c r="D623" s="85" t="s">
        <v>37</v>
      </c>
      <c r="E623" s="86">
        <v>0</v>
      </c>
      <c r="F623" s="9">
        <v>0</v>
      </c>
      <c r="G623" s="10"/>
      <c r="H623" s="9">
        <v>0</v>
      </c>
      <c r="I623" s="10"/>
      <c r="J623" s="152">
        <v>0</v>
      </c>
      <c r="K623" s="10"/>
      <c r="L623" s="152">
        <v>0</v>
      </c>
      <c r="M623" s="10"/>
      <c r="N623" s="152">
        <v>0</v>
      </c>
      <c r="O623" s="10"/>
      <c r="P623" s="152">
        <v>0</v>
      </c>
      <c r="Q623" s="10"/>
      <c r="R623" s="9">
        <v>0</v>
      </c>
      <c r="S623" s="10"/>
      <c r="T623" s="9">
        <v>0</v>
      </c>
      <c r="U623" s="10"/>
      <c r="V623" s="9">
        <v>0</v>
      </c>
      <c r="W623" s="10"/>
      <c r="X623" s="9">
        <v>0</v>
      </c>
      <c r="Y623" s="10"/>
      <c r="Z623" s="9">
        <v>0</v>
      </c>
      <c r="AA623" s="10"/>
      <c r="AB623" s="11">
        <v>0</v>
      </c>
      <c r="AC623" s="10"/>
      <c r="AD623" s="7">
        <f>SUM(F623+H623+J623+L623+N623+P623+R623+T623+V623+X623+Z623+AB623)</f>
        <v>0</v>
      </c>
      <c r="AE623" s="7">
        <f>E623+AD623</f>
        <v>0</v>
      </c>
      <c r="AF623" s="8">
        <f>G623+I623+K623+M623+O623+Q623+S623+U623+W623+Y623+AA623+AC623</f>
        <v>0</v>
      </c>
      <c r="AG623" s="153">
        <f>SUM(AE623-AF623)</f>
        <v>0</v>
      </c>
      <c r="AH623" s="96" t="s">
        <v>1481</v>
      </c>
      <c r="AI623" s="96">
        <v>4</v>
      </c>
    </row>
    <row r="624" spans="1:42" customHeight="1" ht="11.5" s="96" customFormat="1">
      <c r="A624" s="5">
        <v>616</v>
      </c>
      <c r="B624" s="163" t="s">
        <v>1075</v>
      </c>
      <c r="C624" s="151" t="s">
        <v>36</v>
      </c>
      <c r="D624" s="85" t="s">
        <v>37</v>
      </c>
      <c r="E624" s="86">
        <v>0</v>
      </c>
      <c r="F624" s="9">
        <v>0</v>
      </c>
      <c r="G624" s="10"/>
      <c r="H624" s="9">
        <v>0</v>
      </c>
      <c r="I624" s="10"/>
      <c r="J624" s="152">
        <v>0</v>
      </c>
      <c r="K624" s="10"/>
      <c r="L624" s="152">
        <v>0</v>
      </c>
      <c r="M624" s="10"/>
      <c r="N624" s="152">
        <v>0</v>
      </c>
      <c r="O624" s="10"/>
      <c r="P624" s="152">
        <v>0</v>
      </c>
      <c r="Q624" s="10"/>
      <c r="R624" s="9">
        <v>0</v>
      </c>
      <c r="S624" s="10"/>
      <c r="T624" s="9">
        <v>0</v>
      </c>
      <c r="U624" s="10"/>
      <c r="V624" s="9">
        <v>0</v>
      </c>
      <c r="W624" s="10"/>
      <c r="X624" s="9">
        <v>0</v>
      </c>
      <c r="Y624" s="10"/>
      <c r="Z624" s="9">
        <v>0</v>
      </c>
      <c r="AA624" s="10"/>
      <c r="AB624" s="11">
        <v>0</v>
      </c>
      <c r="AC624" s="10"/>
      <c r="AD624" s="7">
        <f>SUM(F624+H624+J624+L624+N624+P624+R624+T624+V624+X624+Z624+AB624)</f>
        <v>0</v>
      </c>
      <c r="AE624" s="7">
        <f>E624+AD624</f>
        <v>0</v>
      </c>
      <c r="AF624" s="8">
        <f>G624+I624+K624+M624+O624+Q624+S624+U624+W624+Y624+AA624+AC624</f>
        <v>0</v>
      </c>
      <c r="AG624" s="153">
        <f>SUM(AE624-AF624)</f>
        <v>0</v>
      </c>
      <c r="AH624" s="96" t="s">
        <v>1482</v>
      </c>
      <c r="AI624" s="96">
        <v>4</v>
      </c>
    </row>
    <row r="625" spans="1:42" customHeight="1" ht="11.5" s="96" customFormat="1">
      <c r="A625" s="5">
        <v>617</v>
      </c>
      <c r="B625" s="163" t="s">
        <v>1076</v>
      </c>
      <c r="C625" s="151" t="s">
        <v>36</v>
      </c>
      <c r="D625" s="85" t="s">
        <v>37</v>
      </c>
      <c r="E625" s="86">
        <v>0</v>
      </c>
      <c r="F625" s="9">
        <v>0</v>
      </c>
      <c r="G625" s="10"/>
      <c r="H625" s="9">
        <v>0</v>
      </c>
      <c r="I625" s="10"/>
      <c r="J625" s="152">
        <v>0</v>
      </c>
      <c r="K625" s="10"/>
      <c r="L625" s="152">
        <v>0</v>
      </c>
      <c r="M625" s="10"/>
      <c r="N625" s="152">
        <v>0</v>
      </c>
      <c r="O625" s="10"/>
      <c r="P625" s="152">
        <v>0</v>
      </c>
      <c r="Q625" s="10"/>
      <c r="R625" s="9">
        <v>0</v>
      </c>
      <c r="S625" s="10"/>
      <c r="T625" s="9">
        <v>0</v>
      </c>
      <c r="U625" s="10"/>
      <c r="V625" s="9">
        <v>0</v>
      </c>
      <c r="W625" s="10"/>
      <c r="X625" s="9">
        <v>0</v>
      </c>
      <c r="Y625" s="10"/>
      <c r="Z625" s="9">
        <v>0</v>
      </c>
      <c r="AA625" s="10"/>
      <c r="AB625" s="11">
        <v>0</v>
      </c>
      <c r="AC625" s="10"/>
      <c r="AD625" s="7">
        <f>SUM(F625+H625+J625+L625+N625+P625+R625+T625+V625+X625+Z625+AB625)</f>
        <v>0</v>
      </c>
      <c r="AE625" s="7">
        <f>E625+AD625</f>
        <v>0</v>
      </c>
      <c r="AF625" s="8">
        <f>G625+I625+K625+M625+O625+Q625+S625+U625+W625+Y625+AA625+AC625</f>
        <v>0</v>
      </c>
      <c r="AG625" s="153">
        <f>SUM(AE625-AF625)</f>
        <v>0</v>
      </c>
      <c r="AH625" s="96" t="s">
        <v>1482</v>
      </c>
      <c r="AI625" s="96">
        <v>4</v>
      </c>
    </row>
    <row r="626" spans="1:42" customHeight="1" ht="11.5" s="96" customFormat="1">
      <c r="A626" s="5">
        <v>618</v>
      </c>
      <c r="B626" s="163" t="s">
        <v>1077</v>
      </c>
      <c r="C626" s="151" t="s">
        <v>36</v>
      </c>
      <c r="D626" s="85" t="s">
        <v>37</v>
      </c>
      <c r="E626" s="86">
        <v>0</v>
      </c>
      <c r="F626" s="9">
        <v>0</v>
      </c>
      <c r="G626" s="10"/>
      <c r="H626" s="9">
        <v>0</v>
      </c>
      <c r="I626" s="10"/>
      <c r="J626" s="152">
        <v>0</v>
      </c>
      <c r="K626" s="10"/>
      <c r="L626" s="152">
        <v>0</v>
      </c>
      <c r="M626" s="10"/>
      <c r="N626" s="152">
        <v>0</v>
      </c>
      <c r="O626" s="10"/>
      <c r="P626" s="152">
        <v>0</v>
      </c>
      <c r="Q626" s="10"/>
      <c r="R626" s="9">
        <v>0</v>
      </c>
      <c r="S626" s="10"/>
      <c r="T626" s="9">
        <v>0</v>
      </c>
      <c r="U626" s="10"/>
      <c r="V626" s="9">
        <v>0</v>
      </c>
      <c r="W626" s="10"/>
      <c r="X626" s="9">
        <v>0</v>
      </c>
      <c r="Y626" s="10"/>
      <c r="Z626" s="9">
        <v>0</v>
      </c>
      <c r="AA626" s="10"/>
      <c r="AB626" s="11">
        <v>0</v>
      </c>
      <c r="AC626" s="10"/>
      <c r="AD626" s="7">
        <f>SUM(F626+H626+J626+L626+N626+P626+R626+T626+V626+X626+Z626+AB626)</f>
        <v>0</v>
      </c>
      <c r="AE626" s="7">
        <f>E626+AD626</f>
        <v>0</v>
      </c>
      <c r="AF626" s="8">
        <f>G626+I626+K626+M626+O626+Q626+S626+U626+W626+Y626+AA626+AC626</f>
        <v>0</v>
      </c>
      <c r="AG626" s="153">
        <f>SUM(AE626-AF626)</f>
        <v>0</v>
      </c>
      <c r="AH626" s="96" t="s">
        <v>1482</v>
      </c>
      <c r="AI626" s="96">
        <v>4</v>
      </c>
    </row>
    <row r="627" spans="1:42" customHeight="1" ht="11.5" s="96" customFormat="1">
      <c r="A627" s="5">
        <v>619</v>
      </c>
      <c r="B627" s="163" t="s">
        <v>1078</v>
      </c>
      <c r="C627" s="151" t="s">
        <v>36</v>
      </c>
      <c r="D627" s="85" t="s">
        <v>37</v>
      </c>
      <c r="E627" s="86">
        <v>0</v>
      </c>
      <c r="F627" s="9">
        <v>0</v>
      </c>
      <c r="G627" s="10"/>
      <c r="H627" s="9">
        <v>0</v>
      </c>
      <c r="I627" s="10"/>
      <c r="J627" s="152">
        <v>0</v>
      </c>
      <c r="K627" s="10"/>
      <c r="L627" s="152">
        <v>0</v>
      </c>
      <c r="M627" s="10"/>
      <c r="N627" s="152">
        <v>0</v>
      </c>
      <c r="O627" s="10"/>
      <c r="P627" s="152">
        <v>0</v>
      </c>
      <c r="Q627" s="10"/>
      <c r="R627" s="9">
        <v>0</v>
      </c>
      <c r="S627" s="10"/>
      <c r="T627" s="9">
        <v>0</v>
      </c>
      <c r="U627" s="10"/>
      <c r="V627" s="9">
        <v>0</v>
      </c>
      <c r="W627" s="10"/>
      <c r="X627" s="9">
        <v>0</v>
      </c>
      <c r="Y627" s="10"/>
      <c r="Z627" s="9">
        <v>0</v>
      </c>
      <c r="AA627" s="10"/>
      <c r="AB627" s="11">
        <v>0</v>
      </c>
      <c r="AC627" s="10"/>
      <c r="AD627" s="7">
        <f>SUM(F627+H627+J627+L627+N627+P627+R627+T627+V627+X627+Z627+AB627)</f>
        <v>0</v>
      </c>
      <c r="AE627" s="7">
        <f>E627+AD627</f>
        <v>0</v>
      </c>
      <c r="AF627" s="8">
        <f>G627+I627+K627+M627+O627+Q627+S627+U627+W627+Y627+AA627+AC627</f>
        <v>0</v>
      </c>
      <c r="AG627" s="153">
        <f>SUM(AE627-AF627)</f>
        <v>0</v>
      </c>
      <c r="AH627" s="96" t="s">
        <v>1482</v>
      </c>
      <c r="AI627" s="96">
        <v>4</v>
      </c>
    </row>
    <row r="628" spans="1:42" customHeight="1" ht="11.5" s="96" customFormat="1">
      <c r="A628" s="5">
        <v>620</v>
      </c>
      <c r="B628" s="163" t="s">
        <v>1079</v>
      </c>
      <c r="C628" s="151" t="s">
        <v>36</v>
      </c>
      <c r="D628" s="85" t="s">
        <v>37</v>
      </c>
      <c r="E628" s="86">
        <v>0</v>
      </c>
      <c r="F628" s="9">
        <v>0</v>
      </c>
      <c r="G628" s="10"/>
      <c r="H628" s="9">
        <v>0</v>
      </c>
      <c r="I628" s="10"/>
      <c r="J628" s="152">
        <v>0</v>
      </c>
      <c r="K628" s="10"/>
      <c r="L628" s="152">
        <v>0</v>
      </c>
      <c r="M628" s="10"/>
      <c r="N628" s="152">
        <v>0</v>
      </c>
      <c r="O628" s="10"/>
      <c r="P628" s="152">
        <v>0</v>
      </c>
      <c r="Q628" s="10"/>
      <c r="R628" s="9">
        <v>0</v>
      </c>
      <c r="S628" s="10"/>
      <c r="T628" s="9">
        <v>0</v>
      </c>
      <c r="U628" s="10"/>
      <c r="V628" s="9">
        <v>0</v>
      </c>
      <c r="W628" s="10"/>
      <c r="X628" s="9">
        <v>0</v>
      </c>
      <c r="Y628" s="10"/>
      <c r="Z628" s="9">
        <v>0</v>
      </c>
      <c r="AA628" s="10"/>
      <c r="AB628" s="11">
        <v>0</v>
      </c>
      <c r="AC628" s="10"/>
      <c r="AD628" s="7">
        <f>SUM(F628+H628+J628+L628+N628+P628+R628+T628+V628+X628+Z628+AB628)</f>
        <v>0</v>
      </c>
      <c r="AE628" s="7">
        <f>E628+AD628</f>
        <v>0</v>
      </c>
      <c r="AF628" s="8">
        <f>G628+I628+K628+M628+O628+Q628+S628+U628+W628+Y628+AA628+AC628</f>
        <v>0</v>
      </c>
      <c r="AG628" s="153">
        <f>SUM(AE628-AF628)</f>
        <v>0</v>
      </c>
      <c r="AH628" s="96" t="s">
        <v>1482</v>
      </c>
      <c r="AI628" s="96">
        <v>4</v>
      </c>
    </row>
    <row r="629" spans="1:42" customHeight="1" ht="11.5" s="96" customFormat="1">
      <c r="A629" s="5">
        <v>621</v>
      </c>
      <c r="B629" s="163" t="s">
        <v>1080</v>
      </c>
      <c r="C629" s="151" t="s">
        <v>36</v>
      </c>
      <c r="D629" s="85" t="s">
        <v>37</v>
      </c>
      <c r="E629" s="86">
        <v>0</v>
      </c>
      <c r="F629" s="9">
        <v>0</v>
      </c>
      <c r="G629" s="10"/>
      <c r="H629" s="9">
        <v>0</v>
      </c>
      <c r="I629" s="10"/>
      <c r="J629" s="152">
        <v>0</v>
      </c>
      <c r="K629" s="10"/>
      <c r="L629" s="152">
        <v>0</v>
      </c>
      <c r="M629" s="10"/>
      <c r="N629" s="152">
        <v>0</v>
      </c>
      <c r="O629" s="10"/>
      <c r="P629" s="152">
        <v>0</v>
      </c>
      <c r="Q629" s="10"/>
      <c r="R629" s="9">
        <v>0</v>
      </c>
      <c r="S629" s="10"/>
      <c r="T629" s="9">
        <v>0</v>
      </c>
      <c r="U629" s="10"/>
      <c r="V629" s="9">
        <v>0</v>
      </c>
      <c r="W629" s="10"/>
      <c r="X629" s="9">
        <v>0</v>
      </c>
      <c r="Y629" s="10"/>
      <c r="Z629" s="9">
        <v>0</v>
      </c>
      <c r="AA629" s="10"/>
      <c r="AB629" s="11">
        <v>0</v>
      </c>
      <c r="AC629" s="10"/>
      <c r="AD629" s="7">
        <f>SUM(F629+H629+J629+L629+N629+P629+R629+T629+V629+X629+Z629+AB629)</f>
        <v>0</v>
      </c>
      <c r="AE629" s="7">
        <f>E629+AD629</f>
        <v>0</v>
      </c>
      <c r="AF629" s="8">
        <f>G629+I629+K629+M629+O629+Q629+S629+U629+W629+Y629+AA629+AC629</f>
        <v>0</v>
      </c>
      <c r="AG629" s="153">
        <f>SUM(AE629-AF629)</f>
        <v>0</v>
      </c>
      <c r="AH629" s="96" t="s">
        <v>1483</v>
      </c>
      <c r="AI629" s="96">
        <v>4</v>
      </c>
    </row>
    <row r="630" spans="1:42" customHeight="1" ht="11.5" s="96" customFormat="1">
      <c r="A630" s="5">
        <v>622</v>
      </c>
      <c r="B630" s="163" t="s">
        <v>1081</v>
      </c>
      <c r="C630" s="151" t="s">
        <v>36</v>
      </c>
      <c r="D630" s="85" t="s">
        <v>37</v>
      </c>
      <c r="E630" s="86">
        <v>0</v>
      </c>
      <c r="F630" s="9">
        <v>0</v>
      </c>
      <c r="G630" s="10"/>
      <c r="H630" s="9">
        <v>0</v>
      </c>
      <c r="I630" s="10"/>
      <c r="J630" s="152">
        <v>0</v>
      </c>
      <c r="K630" s="10"/>
      <c r="L630" s="152">
        <v>0</v>
      </c>
      <c r="M630" s="10"/>
      <c r="N630" s="152">
        <v>0</v>
      </c>
      <c r="O630" s="10"/>
      <c r="P630" s="152">
        <v>0</v>
      </c>
      <c r="Q630" s="10"/>
      <c r="R630" s="9">
        <v>0</v>
      </c>
      <c r="S630" s="10"/>
      <c r="T630" s="9">
        <v>0</v>
      </c>
      <c r="U630" s="10"/>
      <c r="V630" s="9">
        <v>0</v>
      </c>
      <c r="W630" s="10"/>
      <c r="X630" s="9">
        <v>0</v>
      </c>
      <c r="Y630" s="10"/>
      <c r="Z630" s="9">
        <v>0</v>
      </c>
      <c r="AA630" s="10"/>
      <c r="AB630" s="11">
        <v>0</v>
      </c>
      <c r="AC630" s="10"/>
      <c r="AD630" s="7">
        <f>SUM(F630+H630+J630+L630+N630+P630+R630+T630+V630+X630+Z630+AB630)</f>
        <v>0</v>
      </c>
      <c r="AE630" s="7">
        <f>E630+AD630</f>
        <v>0</v>
      </c>
      <c r="AF630" s="8">
        <f>G630+I630+K630+M630+O630+Q630+S630+U630+W630+Y630+AA630+AC630</f>
        <v>0</v>
      </c>
      <c r="AG630" s="153">
        <f>SUM(AE630-AF630)</f>
        <v>0</v>
      </c>
      <c r="AH630" s="96" t="s">
        <v>1483</v>
      </c>
      <c r="AI630" s="96">
        <v>4</v>
      </c>
    </row>
    <row r="631" spans="1:42" customHeight="1" ht="11.5" s="96" customFormat="1">
      <c r="A631" s="5">
        <v>623</v>
      </c>
      <c r="B631" s="163" t="s">
        <v>1082</v>
      </c>
      <c r="C631" s="151" t="s">
        <v>36</v>
      </c>
      <c r="D631" s="85" t="s">
        <v>37</v>
      </c>
      <c r="E631" s="86">
        <v>0</v>
      </c>
      <c r="F631" s="9">
        <v>0</v>
      </c>
      <c r="G631" s="10"/>
      <c r="H631" s="9">
        <v>0</v>
      </c>
      <c r="I631" s="10"/>
      <c r="J631" s="152">
        <v>0</v>
      </c>
      <c r="K631" s="10"/>
      <c r="L631" s="152">
        <v>0</v>
      </c>
      <c r="M631" s="10"/>
      <c r="N631" s="152">
        <v>0</v>
      </c>
      <c r="O631" s="10"/>
      <c r="P631" s="152">
        <v>0</v>
      </c>
      <c r="Q631" s="10"/>
      <c r="R631" s="9">
        <v>0</v>
      </c>
      <c r="S631" s="10"/>
      <c r="T631" s="9">
        <v>0</v>
      </c>
      <c r="U631" s="10"/>
      <c r="V631" s="9">
        <v>0</v>
      </c>
      <c r="W631" s="10"/>
      <c r="X631" s="9">
        <v>0</v>
      </c>
      <c r="Y631" s="10"/>
      <c r="Z631" s="9">
        <v>0</v>
      </c>
      <c r="AA631" s="10"/>
      <c r="AB631" s="11">
        <v>0</v>
      </c>
      <c r="AC631" s="10"/>
      <c r="AD631" s="7">
        <f>SUM(F631+H631+J631+L631+N631+P631+R631+T631+V631+X631+Z631+AB631)</f>
        <v>0</v>
      </c>
      <c r="AE631" s="7">
        <f>E631+AD631</f>
        <v>0</v>
      </c>
      <c r="AF631" s="8">
        <f>G631+I631+K631+M631+O631+Q631+S631+U631+W631+Y631+AA631+AC631</f>
        <v>0</v>
      </c>
      <c r="AG631" s="153">
        <f>SUM(AE631-AF631)</f>
        <v>0</v>
      </c>
      <c r="AH631" s="96" t="s">
        <v>1483</v>
      </c>
      <c r="AI631" s="96">
        <v>4</v>
      </c>
    </row>
    <row r="632" spans="1:42" customHeight="1" ht="11.5" s="96" customFormat="1">
      <c r="A632" s="5">
        <v>624</v>
      </c>
      <c r="B632" s="163" t="s">
        <v>1083</v>
      </c>
      <c r="C632" s="151" t="s">
        <v>36</v>
      </c>
      <c r="D632" s="85" t="s">
        <v>37</v>
      </c>
      <c r="E632" s="86">
        <v>0</v>
      </c>
      <c r="F632" s="9">
        <v>0</v>
      </c>
      <c r="G632" s="10"/>
      <c r="H632" s="9">
        <v>0</v>
      </c>
      <c r="I632" s="10"/>
      <c r="J632" s="152">
        <v>0</v>
      </c>
      <c r="K632" s="10"/>
      <c r="L632" s="152">
        <v>0</v>
      </c>
      <c r="M632" s="10"/>
      <c r="N632" s="152">
        <v>0</v>
      </c>
      <c r="O632" s="10"/>
      <c r="P632" s="152">
        <v>0</v>
      </c>
      <c r="Q632" s="10"/>
      <c r="R632" s="9">
        <v>0</v>
      </c>
      <c r="S632" s="10"/>
      <c r="T632" s="9">
        <v>0</v>
      </c>
      <c r="U632" s="10"/>
      <c r="V632" s="9">
        <v>0</v>
      </c>
      <c r="W632" s="10"/>
      <c r="X632" s="9">
        <v>0</v>
      </c>
      <c r="Y632" s="10"/>
      <c r="Z632" s="9">
        <v>0</v>
      </c>
      <c r="AA632" s="10"/>
      <c r="AB632" s="11">
        <v>0</v>
      </c>
      <c r="AC632" s="10"/>
      <c r="AD632" s="7">
        <f>SUM(F632+H632+J632+L632+N632+P632+R632+T632+V632+X632+Z632+AB632)</f>
        <v>0</v>
      </c>
      <c r="AE632" s="7">
        <f>E632+AD632</f>
        <v>0</v>
      </c>
      <c r="AF632" s="8">
        <f>G632+I632+K632+M632+O632+Q632+S632+U632+W632+Y632+AA632+AC632</f>
        <v>0</v>
      </c>
      <c r="AG632" s="153">
        <f>SUM(AE632-AF632)</f>
        <v>0</v>
      </c>
      <c r="AH632" s="96" t="s">
        <v>1484</v>
      </c>
      <c r="AI632" s="96">
        <v>4</v>
      </c>
    </row>
    <row r="633" spans="1:42" customHeight="1" ht="11.5" s="96" customFormat="1">
      <c r="A633" s="5">
        <v>625</v>
      </c>
      <c r="B633" s="163" t="s">
        <v>1084</v>
      </c>
      <c r="C633" s="151" t="s">
        <v>36</v>
      </c>
      <c r="D633" s="85" t="s">
        <v>37</v>
      </c>
      <c r="E633" s="86">
        <v>0</v>
      </c>
      <c r="F633" s="9">
        <v>0</v>
      </c>
      <c r="G633" s="10"/>
      <c r="H633" s="9">
        <v>0</v>
      </c>
      <c r="I633" s="10"/>
      <c r="J633" s="152">
        <v>0</v>
      </c>
      <c r="K633" s="10"/>
      <c r="L633" s="152">
        <v>0</v>
      </c>
      <c r="M633" s="10"/>
      <c r="N633" s="152">
        <v>0</v>
      </c>
      <c r="O633" s="10"/>
      <c r="P633" s="152">
        <v>0</v>
      </c>
      <c r="Q633" s="10"/>
      <c r="R633" s="9">
        <v>0</v>
      </c>
      <c r="S633" s="10"/>
      <c r="T633" s="9">
        <v>0</v>
      </c>
      <c r="U633" s="10"/>
      <c r="V633" s="9">
        <v>0</v>
      </c>
      <c r="W633" s="10"/>
      <c r="X633" s="9">
        <v>0</v>
      </c>
      <c r="Y633" s="10"/>
      <c r="Z633" s="9">
        <v>0</v>
      </c>
      <c r="AA633" s="10"/>
      <c r="AB633" s="11">
        <v>0</v>
      </c>
      <c r="AC633" s="10"/>
      <c r="AD633" s="7">
        <f>SUM(F633+H633+J633+L633+N633+P633+R633+T633+V633+X633+Z633+AB633)</f>
        <v>0</v>
      </c>
      <c r="AE633" s="7">
        <f>E633+AD633</f>
        <v>0</v>
      </c>
      <c r="AF633" s="8">
        <f>G633+I633+K633+M633+O633+Q633+S633+U633+W633+Y633+AA633+AC633</f>
        <v>0</v>
      </c>
      <c r="AG633" s="153">
        <f>SUM(AE633-AF633)</f>
        <v>0</v>
      </c>
      <c r="AH633" s="96" t="s">
        <v>1484</v>
      </c>
      <c r="AI633" s="96">
        <v>4</v>
      </c>
    </row>
    <row r="634" spans="1:42" customHeight="1" ht="11.5" s="96" customFormat="1">
      <c r="A634" s="5">
        <v>626</v>
      </c>
      <c r="B634" s="163" t="s">
        <v>1085</v>
      </c>
      <c r="C634" s="151" t="s">
        <v>132</v>
      </c>
      <c r="D634" s="85" t="s">
        <v>133</v>
      </c>
      <c r="E634" s="86">
        <v>0</v>
      </c>
      <c r="F634" s="9">
        <v>0</v>
      </c>
      <c r="G634" s="10"/>
      <c r="H634" s="9">
        <v>0</v>
      </c>
      <c r="I634" s="10"/>
      <c r="J634" s="152">
        <v>0</v>
      </c>
      <c r="K634" s="10"/>
      <c r="L634" s="152">
        <v>0</v>
      </c>
      <c r="M634" s="10"/>
      <c r="N634" s="152">
        <v>0</v>
      </c>
      <c r="O634" s="10"/>
      <c r="P634" s="152">
        <v>0</v>
      </c>
      <c r="Q634" s="10"/>
      <c r="R634" s="9">
        <v>0</v>
      </c>
      <c r="S634" s="10"/>
      <c r="T634" s="9">
        <v>0</v>
      </c>
      <c r="U634" s="10"/>
      <c r="V634" s="9">
        <v>0</v>
      </c>
      <c r="W634" s="10"/>
      <c r="X634" s="9">
        <v>0</v>
      </c>
      <c r="Y634" s="10"/>
      <c r="Z634" s="9">
        <v>0</v>
      </c>
      <c r="AA634" s="10"/>
      <c r="AB634" s="11">
        <v>0</v>
      </c>
      <c r="AC634" s="10"/>
      <c r="AD634" s="7">
        <f>SUM(F634+H634+J634+L634+N634+P634+R634+T634+V634+X634+Z634+AB634)</f>
        <v>0</v>
      </c>
      <c r="AE634" s="7">
        <f>E634+AD634</f>
        <v>0</v>
      </c>
      <c r="AF634" s="8">
        <f>G634+I634+K634+M634+O634+Q634+S634+U634+W634+Y634+AA634+AC634</f>
        <v>0</v>
      </c>
      <c r="AG634" s="153">
        <f>SUM(AE634-AF634)</f>
        <v>0</v>
      </c>
      <c r="AH634" s="96" t="s">
        <v>1484</v>
      </c>
      <c r="AI634" s="96">
        <v>4</v>
      </c>
    </row>
    <row r="635" spans="1:42" customHeight="1" ht="11.5" s="96" customFormat="1">
      <c r="A635" s="5">
        <v>627</v>
      </c>
      <c r="B635" s="163" t="s">
        <v>1086</v>
      </c>
      <c r="C635" s="151" t="s">
        <v>112</v>
      </c>
      <c r="D635" s="85" t="s">
        <v>113</v>
      </c>
      <c r="E635" s="86">
        <v>0</v>
      </c>
      <c r="F635" s="9">
        <v>0</v>
      </c>
      <c r="G635" s="10"/>
      <c r="H635" s="9">
        <v>0</v>
      </c>
      <c r="I635" s="10"/>
      <c r="J635" s="152">
        <v>0</v>
      </c>
      <c r="K635" s="10"/>
      <c r="L635" s="152">
        <v>0</v>
      </c>
      <c r="M635" s="10"/>
      <c r="N635" s="152">
        <v>0</v>
      </c>
      <c r="O635" s="10"/>
      <c r="P635" s="152">
        <v>0</v>
      </c>
      <c r="Q635" s="10"/>
      <c r="R635" s="9">
        <v>0</v>
      </c>
      <c r="S635" s="10"/>
      <c r="T635" s="9">
        <v>0</v>
      </c>
      <c r="U635" s="10"/>
      <c r="V635" s="9">
        <v>0</v>
      </c>
      <c r="W635" s="10"/>
      <c r="X635" s="9">
        <v>0</v>
      </c>
      <c r="Y635" s="10"/>
      <c r="Z635" s="9">
        <v>0</v>
      </c>
      <c r="AA635" s="10"/>
      <c r="AB635" s="11">
        <v>0</v>
      </c>
      <c r="AC635" s="10"/>
      <c r="AD635" s="7">
        <f>SUM(F635+H635+J635+L635+N635+P635+R635+T635+V635+X635+Z635+AB635)</f>
        <v>0</v>
      </c>
      <c r="AE635" s="7">
        <f>E635+AD635</f>
        <v>0</v>
      </c>
      <c r="AF635" s="8">
        <f>G635+I635+K635+M635+O635+Q635+S635+U635+W635+Y635+AA635+AC635</f>
        <v>0</v>
      </c>
      <c r="AG635" s="153">
        <f>SUM(AE635-AF635)</f>
        <v>0</v>
      </c>
      <c r="AH635" s="96" t="s">
        <v>1484</v>
      </c>
      <c r="AI635" s="96">
        <v>4</v>
      </c>
    </row>
    <row r="636" spans="1:42" customHeight="1" ht="11.5" s="96" customFormat="1">
      <c r="A636" s="5">
        <v>628</v>
      </c>
      <c r="B636" s="163" t="s">
        <v>1087</v>
      </c>
      <c r="C636" s="151" t="s">
        <v>36</v>
      </c>
      <c r="D636" s="85" t="s">
        <v>37</v>
      </c>
      <c r="E636" s="86">
        <v>0</v>
      </c>
      <c r="F636" s="9">
        <v>0</v>
      </c>
      <c r="G636" s="10"/>
      <c r="H636" s="9">
        <v>0</v>
      </c>
      <c r="I636" s="10"/>
      <c r="J636" s="152">
        <v>0</v>
      </c>
      <c r="K636" s="10"/>
      <c r="L636" s="152">
        <v>0</v>
      </c>
      <c r="M636" s="10"/>
      <c r="N636" s="152">
        <v>0</v>
      </c>
      <c r="O636" s="10"/>
      <c r="P636" s="152">
        <v>0</v>
      </c>
      <c r="Q636" s="10"/>
      <c r="R636" s="9">
        <v>0</v>
      </c>
      <c r="S636" s="10"/>
      <c r="T636" s="9">
        <v>0</v>
      </c>
      <c r="U636" s="10"/>
      <c r="V636" s="9">
        <v>0</v>
      </c>
      <c r="W636" s="10"/>
      <c r="X636" s="9">
        <v>0</v>
      </c>
      <c r="Y636" s="10"/>
      <c r="Z636" s="9">
        <v>0</v>
      </c>
      <c r="AA636" s="10"/>
      <c r="AB636" s="11">
        <v>0</v>
      </c>
      <c r="AC636" s="10"/>
      <c r="AD636" s="7">
        <f>SUM(F636+H636+J636+L636+N636+P636+R636+T636+V636+X636+Z636+AB636)</f>
        <v>0</v>
      </c>
      <c r="AE636" s="7">
        <f>E636+AD636</f>
        <v>0</v>
      </c>
      <c r="AF636" s="8">
        <f>G636+I636+K636+M636+O636+Q636+S636+U636+W636+Y636+AA636+AC636</f>
        <v>0</v>
      </c>
      <c r="AG636" s="153">
        <f>SUM(AE636-AF636)</f>
        <v>0</v>
      </c>
      <c r="AH636" s="96" t="s">
        <v>1485</v>
      </c>
      <c r="AI636" s="96">
        <v>4</v>
      </c>
    </row>
    <row r="637" spans="1:42" customHeight="1" ht="11.5" s="96" customFormat="1">
      <c r="A637" s="5">
        <v>629</v>
      </c>
      <c r="B637" s="163" t="s">
        <v>1088</v>
      </c>
      <c r="C637" s="151" t="s">
        <v>36</v>
      </c>
      <c r="D637" s="85" t="s">
        <v>37</v>
      </c>
      <c r="E637" s="86">
        <v>0</v>
      </c>
      <c r="F637" s="9">
        <v>0</v>
      </c>
      <c r="G637" s="10"/>
      <c r="H637" s="9">
        <v>0</v>
      </c>
      <c r="I637" s="10"/>
      <c r="J637" s="152">
        <v>0</v>
      </c>
      <c r="K637" s="10"/>
      <c r="L637" s="152">
        <v>0</v>
      </c>
      <c r="M637" s="10"/>
      <c r="N637" s="152">
        <v>0</v>
      </c>
      <c r="O637" s="10"/>
      <c r="P637" s="152">
        <v>0</v>
      </c>
      <c r="Q637" s="10"/>
      <c r="R637" s="9">
        <v>0</v>
      </c>
      <c r="S637" s="10"/>
      <c r="T637" s="9">
        <v>0</v>
      </c>
      <c r="U637" s="10"/>
      <c r="V637" s="9">
        <v>0</v>
      </c>
      <c r="W637" s="10"/>
      <c r="X637" s="9">
        <v>0</v>
      </c>
      <c r="Y637" s="10"/>
      <c r="Z637" s="9">
        <v>0</v>
      </c>
      <c r="AA637" s="10"/>
      <c r="AB637" s="11">
        <v>0</v>
      </c>
      <c r="AC637" s="10"/>
      <c r="AD637" s="7">
        <f>SUM(F637+H637+J637+L637+N637+P637+R637+T637+V637+X637+Z637+AB637)</f>
        <v>0</v>
      </c>
      <c r="AE637" s="7">
        <f>E637+AD637</f>
        <v>0</v>
      </c>
      <c r="AF637" s="8">
        <f>G637+I637+K637+M637+O637+Q637+S637+U637+W637+Y637+AA637+AC637</f>
        <v>0</v>
      </c>
      <c r="AG637" s="153">
        <f>SUM(AE637-AF637)</f>
        <v>0</v>
      </c>
      <c r="AH637" s="96" t="s">
        <v>1485</v>
      </c>
      <c r="AI637" s="96">
        <v>4</v>
      </c>
    </row>
    <row r="638" spans="1:42" customHeight="1" ht="11.5" s="96" customFormat="1">
      <c r="A638" s="5">
        <v>630</v>
      </c>
      <c r="B638" s="163" t="s">
        <v>1089</v>
      </c>
      <c r="C638" s="151" t="s">
        <v>36</v>
      </c>
      <c r="D638" s="85" t="s">
        <v>37</v>
      </c>
      <c r="E638" s="86">
        <v>0</v>
      </c>
      <c r="F638" s="9">
        <v>0</v>
      </c>
      <c r="G638" s="10"/>
      <c r="H638" s="9">
        <v>0</v>
      </c>
      <c r="I638" s="10"/>
      <c r="J638" s="152">
        <v>0</v>
      </c>
      <c r="K638" s="10"/>
      <c r="L638" s="152">
        <v>0</v>
      </c>
      <c r="M638" s="10"/>
      <c r="N638" s="152">
        <v>0</v>
      </c>
      <c r="O638" s="10"/>
      <c r="P638" s="152">
        <v>0</v>
      </c>
      <c r="Q638" s="10"/>
      <c r="R638" s="9">
        <v>0</v>
      </c>
      <c r="S638" s="10"/>
      <c r="T638" s="9">
        <v>0</v>
      </c>
      <c r="U638" s="10"/>
      <c r="V638" s="9">
        <v>0</v>
      </c>
      <c r="W638" s="10"/>
      <c r="X638" s="9">
        <v>0</v>
      </c>
      <c r="Y638" s="10"/>
      <c r="Z638" s="9">
        <v>0</v>
      </c>
      <c r="AA638" s="10"/>
      <c r="AB638" s="11">
        <v>0</v>
      </c>
      <c r="AC638" s="10"/>
      <c r="AD638" s="7">
        <f>SUM(F638+H638+J638+L638+N638+P638+R638+T638+V638+X638+Z638+AB638)</f>
        <v>0</v>
      </c>
      <c r="AE638" s="7">
        <f>E638+AD638</f>
        <v>0</v>
      </c>
      <c r="AF638" s="8">
        <f>G638+I638+K638+M638+O638+Q638+S638+U638+W638+Y638+AA638+AC638</f>
        <v>0</v>
      </c>
      <c r="AG638" s="153">
        <f>SUM(AE638-AF638)</f>
        <v>0</v>
      </c>
      <c r="AH638" s="96" t="s">
        <v>1485</v>
      </c>
      <c r="AI638" s="96">
        <v>4</v>
      </c>
    </row>
    <row r="639" spans="1:42" customHeight="1" ht="11.5" s="96" customFormat="1">
      <c r="A639" s="5">
        <v>631</v>
      </c>
      <c r="B639" s="163" t="s">
        <v>1090</v>
      </c>
      <c r="C639" s="151" t="s">
        <v>36</v>
      </c>
      <c r="D639" s="85" t="s">
        <v>37</v>
      </c>
      <c r="E639" s="86">
        <v>0</v>
      </c>
      <c r="F639" s="9">
        <v>0</v>
      </c>
      <c r="G639" s="10"/>
      <c r="H639" s="9">
        <v>0</v>
      </c>
      <c r="I639" s="10"/>
      <c r="J639" s="152">
        <v>0</v>
      </c>
      <c r="K639" s="10"/>
      <c r="L639" s="152">
        <v>0</v>
      </c>
      <c r="M639" s="10"/>
      <c r="N639" s="152">
        <v>0</v>
      </c>
      <c r="O639" s="10"/>
      <c r="P639" s="152">
        <v>0</v>
      </c>
      <c r="Q639" s="10"/>
      <c r="R639" s="9">
        <v>0</v>
      </c>
      <c r="S639" s="10"/>
      <c r="T639" s="9">
        <v>0</v>
      </c>
      <c r="U639" s="10"/>
      <c r="V639" s="9">
        <v>0</v>
      </c>
      <c r="W639" s="10"/>
      <c r="X639" s="9">
        <v>0</v>
      </c>
      <c r="Y639" s="10"/>
      <c r="Z639" s="9">
        <v>0</v>
      </c>
      <c r="AA639" s="10"/>
      <c r="AB639" s="11">
        <v>0</v>
      </c>
      <c r="AC639" s="10"/>
      <c r="AD639" s="7">
        <f>SUM(F639+H639+J639+L639+N639+P639+R639+T639+V639+X639+Z639+AB639)</f>
        <v>0</v>
      </c>
      <c r="AE639" s="7">
        <f>E639+AD639</f>
        <v>0</v>
      </c>
      <c r="AF639" s="8">
        <f>G639+I639+K639+M639+O639+Q639+S639+U639+W639+Y639+AA639+AC639</f>
        <v>0</v>
      </c>
      <c r="AG639" s="153">
        <f>SUM(AE639-AF639)</f>
        <v>0</v>
      </c>
      <c r="AH639" s="96" t="s">
        <v>1485</v>
      </c>
      <c r="AI639" s="96">
        <v>4</v>
      </c>
    </row>
    <row r="640" spans="1:42" customHeight="1" ht="11.5" s="96" customFormat="1">
      <c r="A640" s="5">
        <v>632</v>
      </c>
      <c r="B640" s="163" t="s">
        <v>1091</v>
      </c>
      <c r="C640" s="151" t="s">
        <v>36</v>
      </c>
      <c r="D640" s="85" t="s">
        <v>37</v>
      </c>
      <c r="E640" s="86">
        <v>0</v>
      </c>
      <c r="F640" s="9">
        <v>0</v>
      </c>
      <c r="G640" s="10"/>
      <c r="H640" s="9">
        <v>0</v>
      </c>
      <c r="I640" s="10"/>
      <c r="J640" s="152">
        <v>0</v>
      </c>
      <c r="K640" s="10"/>
      <c r="L640" s="152">
        <v>0</v>
      </c>
      <c r="M640" s="10"/>
      <c r="N640" s="152">
        <v>0</v>
      </c>
      <c r="O640" s="10"/>
      <c r="P640" s="152">
        <v>0</v>
      </c>
      <c r="Q640" s="10"/>
      <c r="R640" s="9">
        <v>0</v>
      </c>
      <c r="S640" s="10"/>
      <c r="T640" s="9">
        <v>0</v>
      </c>
      <c r="U640" s="10"/>
      <c r="V640" s="9">
        <v>0</v>
      </c>
      <c r="W640" s="10"/>
      <c r="X640" s="9">
        <v>0</v>
      </c>
      <c r="Y640" s="10"/>
      <c r="Z640" s="9">
        <v>0</v>
      </c>
      <c r="AA640" s="10"/>
      <c r="AB640" s="11">
        <v>0</v>
      </c>
      <c r="AC640" s="10"/>
      <c r="AD640" s="7">
        <f>SUM(F640+H640+J640+L640+N640+P640+R640+T640+V640+X640+Z640+AB640)</f>
        <v>0</v>
      </c>
      <c r="AE640" s="7">
        <f>E640+AD640</f>
        <v>0</v>
      </c>
      <c r="AF640" s="8">
        <f>G640+I640+K640+M640+O640+Q640+S640+U640+W640+Y640+AA640+AC640</f>
        <v>0</v>
      </c>
      <c r="AG640" s="153">
        <f>SUM(AE640-AF640)</f>
        <v>0</v>
      </c>
      <c r="AH640" s="96" t="s">
        <v>1486</v>
      </c>
      <c r="AI640" s="96">
        <v>4</v>
      </c>
    </row>
    <row r="641" spans="1:42" customHeight="1" ht="11.5" s="96" customFormat="1">
      <c r="A641" s="5">
        <v>633</v>
      </c>
      <c r="B641" s="163" t="s">
        <v>1092</v>
      </c>
      <c r="C641" s="151" t="s">
        <v>36</v>
      </c>
      <c r="D641" s="85" t="s">
        <v>37</v>
      </c>
      <c r="E641" s="86">
        <v>0</v>
      </c>
      <c r="F641" s="9">
        <v>0</v>
      </c>
      <c r="G641" s="10"/>
      <c r="H641" s="9">
        <v>0</v>
      </c>
      <c r="I641" s="10"/>
      <c r="J641" s="152">
        <v>0</v>
      </c>
      <c r="K641" s="10"/>
      <c r="L641" s="152">
        <v>0</v>
      </c>
      <c r="M641" s="10"/>
      <c r="N641" s="152">
        <v>0</v>
      </c>
      <c r="O641" s="10"/>
      <c r="P641" s="152">
        <v>0</v>
      </c>
      <c r="Q641" s="10"/>
      <c r="R641" s="9">
        <v>0</v>
      </c>
      <c r="S641" s="10"/>
      <c r="T641" s="9">
        <v>0</v>
      </c>
      <c r="U641" s="10"/>
      <c r="V641" s="9">
        <v>0</v>
      </c>
      <c r="W641" s="10"/>
      <c r="X641" s="9">
        <v>0</v>
      </c>
      <c r="Y641" s="10"/>
      <c r="Z641" s="9">
        <v>0</v>
      </c>
      <c r="AA641" s="10"/>
      <c r="AB641" s="11">
        <v>0</v>
      </c>
      <c r="AC641" s="10"/>
      <c r="AD641" s="7">
        <f>SUM(F641+H641+J641+L641+N641+P641+R641+T641+V641+X641+Z641+AB641)</f>
        <v>0</v>
      </c>
      <c r="AE641" s="7">
        <f>E641+AD641</f>
        <v>0</v>
      </c>
      <c r="AF641" s="8">
        <f>G641+I641+K641+M641+O641+Q641+S641+U641+W641+Y641+AA641+AC641</f>
        <v>0</v>
      </c>
      <c r="AG641" s="153">
        <f>SUM(AE641-AF641)</f>
        <v>0</v>
      </c>
      <c r="AH641" s="96" t="s">
        <v>1486</v>
      </c>
      <c r="AI641" s="96">
        <v>4</v>
      </c>
    </row>
    <row r="642" spans="1:42" customHeight="1" ht="11.5" s="96" customFormat="1">
      <c r="A642" s="5">
        <v>634</v>
      </c>
      <c r="B642" s="163" t="s">
        <v>1093</v>
      </c>
      <c r="C642" s="151" t="s">
        <v>36</v>
      </c>
      <c r="D642" s="85" t="s">
        <v>37</v>
      </c>
      <c r="E642" s="86">
        <v>0</v>
      </c>
      <c r="F642" s="9">
        <v>0</v>
      </c>
      <c r="G642" s="10"/>
      <c r="H642" s="9">
        <v>0</v>
      </c>
      <c r="I642" s="10"/>
      <c r="J642" s="152">
        <v>0</v>
      </c>
      <c r="K642" s="10"/>
      <c r="L642" s="152">
        <v>0</v>
      </c>
      <c r="M642" s="10"/>
      <c r="N642" s="152">
        <v>0</v>
      </c>
      <c r="O642" s="10"/>
      <c r="P642" s="152">
        <v>0</v>
      </c>
      <c r="Q642" s="10"/>
      <c r="R642" s="9">
        <v>0</v>
      </c>
      <c r="S642" s="10"/>
      <c r="T642" s="9">
        <v>0</v>
      </c>
      <c r="U642" s="10"/>
      <c r="V642" s="9">
        <v>0</v>
      </c>
      <c r="W642" s="10"/>
      <c r="X642" s="9">
        <v>0</v>
      </c>
      <c r="Y642" s="10"/>
      <c r="Z642" s="9">
        <v>0</v>
      </c>
      <c r="AA642" s="10"/>
      <c r="AB642" s="11">
        <v>0</v>
      </c>
      <c r="AC642" s="10"/>
      <c r="AD642" s="7">
        <f>SUM(F642+H642+J642+L642+N642+P642+R642+T642+V642+X642+Z642+AB642)</f>
        <v>0</v>
      </c>
      <c r="AE642" s="7">
        <f>E642+AD642</f>
        <v>0</v>
      </c>
      <c r="AF642" s="8">
        <f>G642+I642+K642+M642+O642+Q642+S642+U642+W642+Y642+AA642+AC642</f>
        <v>0</v>
      </c>
      <c r="AG642" s="153">
        <f>SUM(AE642-AF642)</f>
        <v>0</v>
      </c>
      <c r="AH642" s="96" t="s">
        <v>1486</v>
      </c>
      <c r="AI642" s="96">
        <v>4</v>
      </c>
    </row>
    <row r="643" spans="1:42" customHeight="1" ht="11.5" s="96" customFormat="1">
      <c r="A643" s="5">
        <v>635</v>
      </c>
      <c r="B643" s="163" t="s">
        <v>1094</v>
      </c>
      <c r="C643" s="151" t="s">
        <v>36</v>
      </c>
      <c r="D643" s="85" t="s">
        <v>37</v>
      </c>
      <c r="E643" s="86">
        <v>0</v>
      </c>
      <c r="F643" s="9">
        <v>0</v>
      </c>
      <c r="G643" s="10"/>
      <c r="H643" s="9">
        <v>0</v>
      </c>
      <c r="I643" s="10"/>
      <c r="J643" s="152">
        <v>0</v>
      </c>
      <c r="K643" s="10"/>
      <c r="L643" s="152">
        <v>0</v>
      </c>
      <c r="M643" s="10"/>
      <c r="N643" s="152">
        <v>0</v>
      </c>
      <c r="O643" s="10"/>
      <c r="P643" s="152">
        <v>0</v>
      </c>
      <c r="Q643" s="10"/>
      <c r="R643" s="9">
        <v>0</v>
      </c>
      <c r="S643" s="10"/>
      <c r="T643" s="9">
        <v>0</v>
      </c>
      <c r="U643" s="10"/>
      <c r="V643" s="9">
        <v>0</v>
      </c>
      <c r="W643" s="10"/>
      <c r="X643" s="9">
        <v>0</v>
      </c>
      <c r="Y643" s="10"/>
      <c r="Z643" s="9">
        <v>0</v>
      </c>
      <c r="AA643" s="10"/>
      <c r="AB643" s="11">
        <v>0</v>
      </c>
      <c r="AC643" s="10"/>
      <c r="AD643" s="7">
        <f>SUM(F643+H643+J643+L643+N643+P643+R643+T643+V643+X643+Z643+AB643)</f>
        <v>0</v>
      </c>
      <c r="AE643" s="7">
        <f>E643+AD643</f>
        <v>0</v>
      </c>
      <c r="AF643" s="8">
        <f>G643+I643+K643+M643+O643+Q643+S643+U643+W643+Y643+AA643+AC643</f>
        <v>0</v>
      </c>
      <c r="AG643" s="153">
        <f>SUM(AE643-AF643)</f>
        <v>0</v>
      </c>
      <c r="AH643" s="96" t="s">
        <v>1486</v>
      </c>
      <c r="AI643" s="96">
        <v>4</v>
      </c>
    </row>
    <row r="644" spans="1:42" customHeight="1" ht="11.5" s="96" customFormat="1">
      <c r="A644" s="5">
        <v>636</v>
      </c>
      <c r="B644" s="163" t="s">
        <v>1095</v>
      </c>
      <c r="C644" s="151" t="s">
        <v>36</v>
      </c>
      <c r="D644" s="85" t="s">
        <v>37</v>
      </c>
      <c r="E644" s="86">
        <v>0</v>
      </c>
      <c r="F644" s="9">
        <v>0</v>
      </c>
      <c r="G644" s="10"/>
      <c r="H644" s="9">
        <v>0</v>
      </c>
      <c r="I644" s="10"/>
      <c r="J644" s="152">
        <v>0</v>
      </c>
      <c r="K644" s="10"/>
      <c r="L644" s="152">
        <v>0</v>
      </c>
      <c r="M644" s="10"/>
      <c r="N644" s="152">
        <v>0</v>
      </c>
      <c r="O644" s="10"/>
      <c r="P644" s="152">
        <v>0</v>
      </c>
      <c r="Q644" s="10"/>
      <c r="R644" s="9">
        <v>0</v>
      </c>
      <c r="S644" s="10"/>
      <c r="T644" s="9">
        <v>0</v>
      </c>
      <c r="U644" s="10"/>
      <c r="V644" s="9">
        <v>0</v>
      </c>
      <c r="W644" s="10"/>
      <c r="X644" s="9">
        <v>0</v>
      </c>
      <c r="Y644" s="10"/>
      <c r="Z644" s="9">
        <v>0</v>
      </c>
      <c r="AA644" s="10"/>
      <c r="AB644" s="11">
        <v>0</v>
      </c>
      <c r="AC644" s="10"/>
      <c r="AD644" s="7">
        <f>SUM(F644+H644+J644+L644+N644+P644+R644+T644+V644+X644+Z644+AB644)</f>
        <v>0</v>
      </c>
      <c r="AE644" s="7">
        <f>E644+AD644</f>
        <v>0</v>
      </c>
      <c r="AF644" s="8">
        <f>G644+I644+K644+M644+O644+Q644+S644+U644+W644+Y644+AA644+AC644</f>
        <v>0</v>
      </c>
      <c r="AG644" s="153">
        <f>SUM(AE644-AF644)</f>
        <v>0</v>
      </c>
      <c r="AH644" s="96" t="s">
        <v>1486</v>
      </c>
      <c r="AI644" s="96">
        <v>4</v>
      </c>
    </row>
    <row r="645" spans="1:42" customHeight="1" ht="11.5" s="96" customFormat="1">
      <c r="A645" s="5">
        <v>637</v>
      </c>
      <c r="B645" s="163" t="s">
        <v>1096</v>
      </c>
      <c r="C645" s="151" t="s">
        <v>36</v>
      </c>
      <c r="D645" s="85" t="s">
        <v>37</v>
      </c>
      <c r="E645" s="86">
        <v>0</v>
      </c>
      <c r="F645" s="9">
        <v>0</v>
      </c>
      <c r="G645" s="10"/>
      <c r="H645" s="9">
        <v>0</v>
      </c>
      <c r="I645" s="10"/>
      <c r="J645" s="152">
        <v>0</v>
      </c>
      <c r="K645" s="10"/>
      <c r="L645" s="152">
        <v>0</v>
      </c>
      <c r="M645" s="10"/>
      <c r="N645" s="152">
        <v>0</v>
      </c>
      <c r="O645" s="10"/>
      <c r="P645" s="152">
        <v>0</v>
      </c>
      <c r="Q645" s="10"/>
      <c r="R645" s="9">
        <v>0</v>
      </c>
      <c r="S645" s="10"/>
      <c r="T645" s="9">
        <v>0</v>
      </c>
      <c r="U645" s="10"/>
      <c r="V645" s="9">
        <v>0</v>
      </c>
      <c r="W645" s="10"/>
      <c r="X645" s="9">
        <v>0</v>
      </c>
      <c r="Y645" s="10"/>
      <c r="Z645" s="9">
        <v>0</v>
      </c>
      <c r="AA645" s="10"/>
      <c r="AB645" s="11">
        <v>0</v>
      </c>
      <c r="AC645" s="10"/>
      <c r="AD645" s="7">
        <f>SUM(F645+H645+J645+L645+N645+P645+R645+T645+V645+X645+Z645+AB645)</f>
        <v>0</v>
      </c>
      <c r="AE645" s="7">
        <f>E645+AD645</f>
        <v>0</v>
      </c>
      <c r="AF645" s="8">
        <f>G645+I645+K645+M645+O645+Q645+S645+U645+W645+Y645+AA645+AC645</f>
        <v>0</v>
      </c>
      <c r="AG645" s="153">
        <f>SUM(AE645-AF645)</f>
        <v>0</v>
      </c>
      <c r="AH645" s="96" t="s">
        <v>1487</v>
      </c>
      <c r="AI645" s="96">
        <v>4</v>
      </c>
    </row>
    <row r="646" spans="1:42" customHeight="1" ht="11.5" s="96" customFormat="1">
      <c r="A646" s="5">
        <v>638</v>
      </c>
      <c r="B646" s="163" t="s">
        <v>1097</v>
      </c>
      <c r="C646" s="151" t="s">
        <v>36</v>
      </c>
      <c r="D646" s="85" t="s">
        <v>37</v>
      </c>
      <c r="E646" s="86">
        <v>0</v>
      </c>
      <c r="F646" s="9">
        <v>0</v>
      </c>
      <c r="G646" s="10"/>
      <c r="H646" s="9">
        <v>0</v>
      </c>
      <c r="I646" s="10"/>
      <c r="J646" s="152">
        <v>0</v>
      </c>
      <c r="K646" s="10"/>
      <c r="L646" s="152">
        <v>0</v>
      </c>
      <c r="M646" s="10"/>
      <c r="N646" s="152">
        <v>0</v>
      </c>
      <c r="O646" s="10"/>
      <c r="P646" s="152">
        <v>0</v>
      </c>
      <c r="Q646" s="10"/>
      <c r="R646" s="9">
        <v>0</v>
      </c>
      <c r="S646" s="10"/>
      <c r="T646" s="9">
        <v>0</v>
      </c>
      <c r="U646" s="10"/>
      <c r="V646" s="9">
        <v>0</v>
      </c>
      <c r="W646" s="10"/>
      <c r="X646" s="9">
        <v>0</v>
      </c>
      <c r="Y646" s="10"/>
      <c r="Z646" s="9">
        <v>0</v>
      </c>
      <c r="AA646" s="10"/>
      <c r="AB646" s="11">
        <v>0</v>
      </c>
      <c r="AC646" s="10"/>
      <c r="AD646" s="7">
        <f>SUM(F646+H646+J646+L646+N646+P646+R646+T646+V646+X646+Z646+AB646)</f>
        <v>0</v>
      </c>
      <c r="AE646" s="7">
        <f>E646+AD646</f>
        <v>0</v>
      </c>
      <c r="AF646" s="8">
        <f>G646+I646+K646+M646+O646+Q646+S646+U646+W646+Y646+AA646+AC646</f>
        <v>0</v>
      </c>
      <c r="AG646" s="153">
        <f>SUM(AE646-AF646)</f>
        <v>0</v>
      </c>
      <c r="AH646" s="96" t="s">
        <v>1487</v>
      </c>
      <c r="AI646" s="96">
        <v>4</v>
      </c>
    </row>
    <row r="647" spans="1:42" customHeight="1" ht="11.5" s="96" customFormat="1">
      <c r="A647" s="5">
        <v>639</v>
      </c>
      <c r="B647" s="163" t="s">
        <v>1098</v>
      </c>
      <c r="C647" s="151" t="s">
        <v>36</v>
      </c>
      <c r="D647" s="85" t="s">
        <v>37</v>
      </c>
      <c r="E647" s="86">
        <v>0</v>
      </c>
      <c r="F647" s="9">
        <v>0</v>
      </c>
      <c r="G647" s="10"/>
      <c r="H647" s="9">
        <v>0</v>
      </c>
      <c r="I647" s="10"/>
      <c r="J647" s="152">
        <v>0</v>
      </c>
      <c r="K647" s="10"/>
      <c r="L647" s="152">
        <v>0</v>
      </c>
      <c r="M647" s="10"/>
      <c r="N647" s="152">
        <v>0</v>
      </c>
      <c r="O647" s="10"/>
      <c r="P647" s="152">
        <v>0</v>
      </c>
      <c r="Q647" s="10"/>
      <c r="R647" s="9">
        <v>0</v>
      </c>
      <c r="S647" s="10"/>
      <c r="T647" s="9">
        <v>0</v>
      </c>
      <c r="U647" s="10"/>
      <c r="V647" s="9">
        <v>0</v>
      </c>
      <c r="W647" s="10"/>
      <c r="X647" s="9">
        <v>0</v>
      </c>
      <c r="Y647" s="10"/>
      <c r="Z647" s="9">
        <v>0</v>
      </c>
      <c r="AA647" s="10"/>
      <c r="AB647" s="11">
        <v>0</v>
      </c>
      <c r="AC647" s="10"/>
      <c r="AD647" s="7">
        <f>SUM(F647+H647+J647+L647+N647+P647+R647+T647+V647+X647+Z647+AB647)</f>
        <v>0</v>
      </c>
      <c r="AE647" s="7">
        <f>E647+AD647</f>
        <v>0</v>
      </c>
      <c r="AF647" s="8">
        <f>G647+I647+K647+M647+O647+Q647+S647+U647+W647+Y647+AA647+AC647</f>
        <v>0</v>
      </c>
      <c r="AG647" s="153">
        <f>SUM(AE647-AF647)</f>
        <v>0</v>
      </c>
      <c r="AH647" s="96" t="s">
        <v>1487</v>
      </c>
      <c r="AI647" s="96">
        <v>4</v>
      </c>
    </row>
    <row r="648" spans="1:42" customHeight="1" ht="11.5" s="96" customFormat="1">
      <c r="A648" s="5">
        <v>640</v>
      </c>
      <c r="B648" s="163" t="s">
        <v>1099</v>
      </c>
      <c r="C648" s="151" t="s">
        <v>36</v>
      </c>
      <c r="D648" s="85" t="s">
        <v>37</v>
      </c>
      <c r="E648" s="86">
        <v>0</v>
      </c>
      <c r="F648" s="9">
        <v>0</v>
      </c>
      <c r="G648" s="10"/>
      <c r="H648" s="9">
        <v>0</v>
      </c>
      <c r="I648" s="10"/>
      <c r="J648" s="152">
        <v>0</v>
      </c>
      <c r="K648" s="10"/>
      <c r="L648" s="152">
        <v>0</v>
      </c>
      <c r="M648" s="10"/>
      <c r="N648" s="152">
        <v>0</v>
      </c>
      <c r="O648" s="10"/>
      <c r="P648" s="152">
        <v>0</v>
      </c>
      <c r="Q648" s="10"/>
      <c r="R648" s="9">
        <v>0</v>
      </c>
      <c r="S648" s="10"/>
      <c r="T648" s="9">
        <v>0</v>
      </c>
      <c r="U648" s="10"/>
      <c r="V648" s="9">
        <v>0</v>
      </c>
      <c r="W648" s="10"/>
      <c r="X648" s="9">
        <v>0</v>
      </c>
      <c r="Y648" s="10"/>
      <c r="Z648" s="9">
        <v>0</v>
      </c>
      <c r="AA648" s="10"/>
      <c r="AB648" s="11">
        <v>0</v>
      </c>
      <c r="AC648" s="10"/>
      <c r="AD648" s="7">
        <f>SUM(F648+H648+J648+L648+N648+P648+R648+T648+V648+X648+Z648+AB648)</f>
        <v>0</v>
      </c>
      <c r="AE648" s="7">
        <f>E648+AD648</f>
        <v>0</v>
      </c>
      <c r="AF648" s="8">
        <f>G648+I648+K648+M648+O648+Q648+S648+U648+W648+Y648+AA648+AC648</f>
        <v>0</v>
      </c>
      <c r="AG648" s="153">
        <f>SUM(AE648-AF648)</f>
        <v>0</v>
      </c>
      <c r="AH648" s="96" t="s">
        <v>1487</v>
      </c>
      <c r="AI648" s="96">
        <v>4</v>
      </c>
    </row>
    <row r="649" spans="1:42" customHeight="1" ht="11.5" s="96" customFormat="1">
      <c r="A649" s="5">
        <v>641</v>
      </c>
      <c r="B649" s="163" t="s">
        <v>1100</v>
      </c>
      <c r="C649" s="151" t="s">
        <v>36</v>
      </c>
      <c r="D649" s="85" t="s">
        <v>37</v>
      </c>
      <c r="E649" s="86">
        <v>0</v>
      </c>
      <c r="F649" s="9">
        <v>0</v>
      </c>
      <c r="G649" s="10"/>
      <c r="H649" s="9">
        <v>0</v>
      </c>
      <c r="I649" s="10"/>
      <c r="J649" s="152">
        <v>0</v>
      </c>
      <c r="K649" s="10"/>
      <c r="L649" s="152">
        <v>0</v>
      </c>
      <c r="M649" s="10"/>
      <c r="N649" s="152">
        <v>0</v>
      </c>
      <c r="O649" s="10"/>
      <c r="P649" s="152">
        <v>0</v>
      </c>
      <c r="Q649" s="10"/>
      <c r="R649" s="9">
        <v>0</v>
      </c>
      <c r="S649" s="10"/>
      <c r="T649" s="9">
        <v>0</v>
      </c>
      <c r="U649" s="10"/>
      <c r="V649" s="9">
        <v>0</v>
      </c>
      <c r="W649" s="10"/>
      <c r="X649" s="9">
        <v>0</v>
      </c>
      <c r="Y649" s="10"/>
      <c r="Z649" s="9">
        <v>0</v>
      </c>
      <c r="AA649" s="10"/>
      <c r="AB649" s="11">
        <v>0</v>
      </c>
      <c r="AC649" s="10"/>
      <c r="AD649" s="7">
        <f>SUM(F649+H649+J649+L649+N649+P649+R649+T649+V649+X649+Z649+AB649)</f>
        <v>0</v>
      </c>
      <c r="AE649" s="7">
        <f>E649+AD649</f>
        <v>0</v>
      </c>
      <c r="AF649" s="8">
        <f>G649+I649+K649+M649+O649+Q649+S649+U649+W649+Y649+AA649+AC649</f>
        <v>0</v>
      </c>
      <c r="AG649" s="153">
        <f>SUM(AE649-AF649)</f>
        <v>0</v>
      </c>
      <c r="AH649" s="96" t="s">
        <v>1487</v>
      </c>
      <c r="AI649" s="96">
        <v>4</v>
      </c>
    </row>
    <row r="650" spans="1:42" customHeight="1" ht="11.5" s="96" customFormat="1">
      <c r="A650" s="5">
        <v>642</v>
      </c>
      <c r="B650" s="163" t="s">
        <v>1101</v>
      </c>
      <c r="C650" s="151" t="s">
        <v>36</v>
      </c>
      <c r="D650" s="85" t="s">
        <v>37</v>
      </c>
      <c r="E650" s="86">
        <v>0</v>
      </c>
      <c r="F650" s="9">
        <v>0</v>
      </c>
      <c r="G650" s="10"/>
      <c r="H650" s="9">
        <v>30000</v>
      </c>
      <c r="I650" s="10"/>
      <c r="J650" s="152">
        <v>0</v>
      </c>
      <c r="K650" s="10">
        <v>30000</v>
      </c>
      <c r="L650" s="152">
        <v>0</v>
      </c>
      <c r="M650" s="10"/>
      <c r="N650" s="152">
        <v>0</v>
      </c>
      <c r="O650" s="10"/>
      <c r="P650" s="152">
        <v>0</v>
      </c>
      <c r="Q650" s="10"/>
      <c r="R650" s="9">
        <v>0</v>
      </c>
      <c r="S650" s="10"/>
      <c r="T650" s="9">
        <v>0</v>
      </c>
      <c r="U650" s="10"/>
      <c r="V650" s="9">
        <v>0</v>
      </c>
      <c r="W650" s="10"/>
      <c r="X650" s="9">
        <v>0</v>
      </c>
      <c r="Y650" s="10"/>
      <c r="Z650" s="9">
        <v>0</v>
      </c>
      <c r="AA650" s="10"/>
      <c r="AB650" s="11">
        <v>0</v>
      </c>
      <c r="AC650" s="10"/>
      <c r="AD650" s="7">
        <f>SUM(F650+H650+J650+L650+N650+P650+R650+T650+V650+X650+Z650+AB650)</f>
        <v>30000</v>
      </c>
      <c r="AE650" s="7">
        <f>E650+AD650</f>
        <v>30000</v>
      </c>
      <c r="AF650" s="8">
        <f>G650+I650+K650+M650+O650+Q650+S650+U650+W650+Y650+AA650+AC650</f>
        <v>30000</v>
      </c>
      <c r="AG650" s="153">
        <f>SUM(AE650-AF650)</f>
        <v>0</v>
      </c>
      <c r="AH650" s="96" t="s">
        <v>1488</v>
      </c>
      <c r="AI650" s="96">
        <v>4</v>
      </c>
    </row>
    <row r="651" spans="1:42" customHeight="1" ht="11.5" s="96" customFormat="1">
      <c r="A651" s="5">
        <v>643</v>
      </c>
      <c r="B651" s="163" t="s">
        <v>1102</v>
      </c>
      <c r="C651" s="151" t="s">
        <v>36</v>
      </c>
      <c r="D651" s="85" t="s">
        <v>37</v>
      </c>
      <c r="E651" s="86">
        <v>0</v>
      </c>
      <c r="F651" s="9">
        <v>0</v>
      </c>
      <c r="G651" s="10"/>
      <c r="H651" s="9">
        <v>0</v>
      </c>
      <c r="I651" s="10"/>
      <c r="J651" s="152">
        <v>0</v>
      </c>
      <c r="K651" s="10"/>
      <c r="L651" s="152">
        <v>0</v>
      </c>
      <c r="M651" s="10"/>
      <c r="N651" s="152">
        <v>0</v>
      </c>
      <c r="O651" s="10"/>
      <c r="P651" s="152">
        <v>0</v>
      </c>
      <c r="Q651" s="10"/>
      <c r="R651" s="9">
        <v>0</v>
      </c>
      <c r="S651" s="10"/>
      <c r="T651" s="9">
        <v>0</v>
      </c>
      <c r="U651" s="10"/>
      <c r="V651" s="9">
        <v>0</v>
      </c>
      <c r="W651" s="10"/>
      <c r="X651" s="9">
        <v>0</v>
      </c>
      <c r="Y651" s="10"/>
      <c r="Z651" s="9">
        <v>0</v>
      </c>
      <c r="AA651" s="10"/>
      <c r="AB651" s="11">
        <v>0</v>
      </c>
      <c r="AC651" s="10"/>
      <c r="AD651" s="7">
        <f>SUM(F651+H651+J651+L651+N651+P651+R651+T651+V651+X651+Z651+AB651)</f>
        <v>0</v>
      </c>
      <c r="AE651" s="7">
        <f>E651+AD651</f>
        <v>0</v>
      </c>
      <c r="AF651" s="8">
        <f>G651+I651+K651+M651+O651+Q651+S651+U651+W651+Y651+AA651+AC651</f>
        <v>0</v>
      </c>
      <c r="AG651" s="153">
        <f>SUM(AE651-AF651)</f>
        <v>0</v>
      </c>
      <c r="AH651" s="96" t="s">
        <v>1488</v>
      </c>
      <c r="AI651" s="96">
        <v>4</v>
      </c>
    </row>
    <row r="652" spans="1:42" customHeight="1" ht="11.5" s="96" customFormat="1">
      <c r="A652" s="5">
        <v>644</v>
      </c>
      <c r="B652" s="163" t="s">
        <v>1103</v>
      </c>
      <c r="C652" s="151" t="s">
        <v>36</v>
      </c>
      <c r="D652" s="85" t="s">
        <v>37</v>
      </c>
      <c r="E652" s="86">
        <v>0</v>
      </c>
      <c r="F652" s="9">
        <v>0</v>
      </c>
      <c r="G652" s="10"/>
      <c r="H652" s="9">
        <v>0</v>
      </c>
      <c r="I652" s="10"/>
      <c r="J652" s="152">
        <v>0</v>
      </c>
      <c r="K652" s="10"/>
      <c r="L652" s="152">
        <v>0</v>
      </c>
      <c r="M652" s="10"/>
      <c r="N652" s="152">
        <v>0</v>
      </c>
      <c r="O652" s="10"/>
      <c r="P652" s="152">
        <v>0</v>
      </c>
      <c r="Q652" s="10"/>
      <c r="R652" s="9">
        <v>0</v>
      </c>
      <c r="S652" s="10"/>
      <c r="T652" s="9">
        <v>0</v>
      </c>
      <c r="U652" s="10"/>
      <c r="V652" s="9">
        <v>0</v>
      </c>
      <c r="W652" s="10"/>
      <c r="X652" s="9">
        <v>0</v>
      </c>
      <c r="Y652" s="10"/>
      <c r="Z652" s="9">
        <v>0</v>
      </c>
      <c r="AA652" s="10"/>
      <c r="AB652" s="11">
        <v>0</v>
      </c>
      <c r="AC652" s="10"/>
      <c r="AD652" s="7">
        <f>SUM(F652+H652+J652+L652+N652+P652+R652+T652+V652+X652+Z652+AB652)</f>
        <v>0</v>
      </c>
      <c r="AE652" s="7">
        <f>E652+AD652</f>
        <v>0</v>
      </c>
      <c r="AF652" s="8">
        <f>G652+I652+K652+M652+O652+Q652+S652+U652+W652+Y652+AA652+AC652</f>
        <v>0</v>
      </c>
      <c r="AG652" s="153">
        <f>SUM(AE652-AF652)</f>
        <v>0</v>
      </c>
      <c r="AH652" s="96" t="s">
        <v>1488</v>
      </c>
      <c r="AI652" s="96">
        <v>4</v>
      </c>
    </row>
    <row r="653" spans="1:42" customHeight="1" ht="11.5" s="96" customFormat="1">
      <c r="A653" s="5">
        <v>645</v>
      </c>
      <c r="B653" s="163" t="s">
        <v>1104</v>
      </c>
      <c r="C653" s="151" t="s">
        <v>36</v>
      </c>
      <c r="D653" s="85" t="s">
        <v>37</v>
      </c>
      <c r="E653" s="86">
        <v>0</v>
      </c>
      <c r="F653" s="9">
        <v>0</v>
      </c>
      <c r="G653" s="10"/>
      <c r="H653" s="9">
        <v>0</v>
      </c>
      <c r="I653" s="10"/>
      <c r="J653" s="152">
        <v>0</v>
      </c>
      <c r="K653" s="10"/>
      <c r="L653" s="152">
        <v>0</v>
      </c>
      <c r="M653" s="10"/>
      <c r="N653" s="152">
        <v>0</v>
      </c>
      <c r="O653" s="10"/>
      <c r="P653" s="152">
        <v>0</v>
      </c>
      <c r="Q653" s="10"/>
      <c r="R653" s="9">
        <v>0</v>
      </c>
      <c r="S653" s="10"/>
      <c r="T653" s="9">
        <v>0</v>
      </c>
      <c r="U653" s="10"/>
      <c r="V653" s="9">
        <v>0</v>
      </c>
      <c r="W653" s="10"/>
      <c r="X653" s="9">
        <v>0</v>
      </c>
      <c r="Y653" s="10"/>
      <c r="Z653" s="9">
        <v>0</v>
      </c>
      <c r="AA653" s="10"/>
      <c r="AB653" s="11">
        <v>0</v>
      </c>
      <c r="AC653" s="10"/>
      <c r="AD653" s="7">
        <f>SUM(F653+H653+J653+L653+N653+P653+R653+T653+V653+X653+Z653+AB653)</f>
        <v>0</v>
      </c>
      <c r="AE653" s="7">
        <f>E653+AD653</f>
        <v>0</v>
      </c>
      <c r="AF653" s="8">
        <f>G653+I653+K653+M653+O653+Q653+S653+U653+W653+Y653+AA653+AC653</f>
        <v>0</v>
      </c>
      <c r="AG653" s="153">
        <f>SUM(AE653-AF653)</f>
        <v>0</v>
      </c>
      <c r="AH653" s="96" t="s">
        <v>1488</v>
      </c>
      <c r="AI653" s="96">
        <v>4</v>
      </c>
    </row>
    <row r="654" spans="1:42" customHeight="1" ht="11.5" s="96" customFormat="1">
      <c r="A654" s="5">
        <v>646</v>
      </c>
      <c r="B654" s="163" t="s">
        <v>1105</v>
      </c>
      <c r="C654" s="151" t="s">
        <v>36</v>
      </c>
      <c r="D654" s="85" t="s">
        <v>37</v>
      </c>
      <c r="E654" s="86">
        <v>0</v>
      </c>
      <c r="F654" s="9">
        <v>0</v>
      </c>
      <c r="G654" s="10"/>
      <c r="H654" s="9">
        <v>0</v>
      </c>
      <c r="I654" s="10"/>
      <c r="J654" s="152">
        <v>0</v>
      </c>
      <c r="K654" s="10"/>
      <c r="L654" s="152">
        <v>0</v>
      </c>
      <c r="M654" s="10"/>
      <c r="N654" s="152">
        <v>0</v>
      </c>
      <c r="O654" s="10"/>
      <c r="P654" s="152">
        <v>0</v>
      </c>
      <c r="Q654" s="10"/>
      <c r="R654" s="9">
        <v>0</v>
      </c>
      <c r="S654" s="10"/>
      <c r="T654" s="9">
        <v>0</v>
      </c>
      <c r="U654" s="10"/>
      <c r="V654" s="9">
        <v>0</v>
      </c>
      <c r="W654" s="10"/>
      <c r="X654" s="9">
        <v>0</v>
      </c>
      <c r="Y654" s="10"/>
      <c r="Z654" s="9">
        <v>0</v>
      </c>
      <c r="AA654" s="10"/>
      <c r="AB654" s="11">
        <v>0</v>
      </c>
      <c r="AC654" s="10"/>
      <c r="AD654" s="7">
        <f>SUM(F654+H654+J654+L654+N654+P654+R654+T654+V654+X654+Z654+AB654)</f>
        <v>0</v>
      </c>
      <c r="AE654" s="7">
        <f>E654+AD654</f>
        <v>0</v>
      </c>
      <c r="AF654" s="8">
        <f>G654+I654+K654+M654+O654+Q654+S654+U654+W654+Y654+AA654+AC654</f>
        <v>0</v>
      </c>
      <c r="AG654" s="153">
        <f>SUM(AE654-AF654)</f>
        <v>0</v>
      </c>
      <c r="AH654" s="96" t="s">
        <v>1488</v>
      </c>
      <c r="AI654" s="96">
        <v>4</v>
      </c>
    </row>
    <row r="655" spans="1:42" customHeight="1" ht="11.5" s="96" customFormat="1">
      <c r="A655" s="5">
        <v>647</v>
      </c>
      <c r="B655" s="163" t="s">
        <v>1106</v>
      </c>
      <c r="C655" s="151" t="s">
        <v>36</v>
      </c>
      <c r="D655" s="85" t="s">
        <v>37</v>
      </c>
      <c r="E655" s="86">
        <v>0</v>
      </c>
      <c r="F655" s="9">
        <v>0</v>
      </c>
      <c r="G655" s="10"/>
      <c r="H655" s="9">
        <v>0</v>
      </c>
      <c r="I655" s="10"/>
      <c r="J655" s="152">
        <v>0</v>
      </c>
      <c r="K655" s="10"/>
      <c r="L655" s="152">
        <v>0</v>
      </c>
      <c r="M655" s="10"/>
      <c r="N655" s="152">
        <v>0</v>
      </c>
      <c r="O655" s="10"/>
      <c r="P655" s="152">
        <v>0</v>
      </c>
      <c r="Q655" s="10"/>
      <c r="R655" s="9">
        <v>0</v>
      </c>
      <c r="S655" s="10"/>
      <c r="T655" s="9">
        <v>0</v>
      </c>
      <c r="U655" s="10"/>
      <c r="V655" s="9">
        <v>0</v>
      </c>
      <c r="W655" s="10"/>
      <c r="X655" s="9">
        <v>0</v>
      </c>
      <c r="Y655" s="10"/>
      <c r="Z655" s="9">
        <v>0</v>
      </c>
      <c r="AA655" s="10"/>
      <c r="AB655" s="11">
        <v>0</v>
      </c>
      <c r="AC655" s="10"/>
      <c r="AD655" s="7">
        <f>SUM(F655+H655+J655+L655+N655+P655+R655+T655+V655+X655+Z655+AB655)</f>
        <v>0</v>
      </c>
      <c r="AE655" s="7">
        <f>E655+AD655</f>
        <v>0</v>
      </c>
      <c r="AF655" s="8">
        <f>G655+I655+K655+M655+O655+Q655+S655+U655+W655+Y655+AA655+AC655</f>
        <v>0</v>
      </c>
      <c r="AG655" s="153">
        <f>SUM(AE655-AF655)</f>
        <v>0</v>
      </c>
      <c r="AH655" s="96" t="s">
        <v>1489</v>
      </c>
      <c r="AI655" s="96">
        <v>4</v>
      </c>
    </row>
    <row r="656" spans="1:42" customHeight="1" ht="11.5" s="96" customFormat="1">
      <c r="A656" s="5">
        <v>648</v>
      </c>
      <c r="B656" s="163" t="s">
        <v>1107</v>
      </c>
      <c r="C656" s="151" t="s">
        <v>36</v>
      </c>
      <c r="D656" s="85" t="s">
        <v>37</v>
      </c>
      <c r="E656" s="86">
        <v>0</v>
      </c>
      <c r="F656" s="9">
        <v>0</v>
      </c>
      <c r="G656" s="10"/>
      <c r="H656" s="9">
        <v>0</v>
      </c>
      <c r="I656" s="10"/>
      <c r="J656" s="152">
        <v>0</v>
      </c>
      <c r="K656" s="10"/>
      <c r="L656" s="152">
        <v>0</v>
      </c>
      <c r="M656" s="10"/>
      <c r="N656" s="152">
        <v>0</v>
      </c>
      <c r="O656" s="10"/>
      <c r="P656" s="152">
        <v>0</v>
      </c>
      <c r="Q656" s="10"/>
      <c r="R656" s="9">
        <v>0</v>
      </c>
      <c r="S656" s="10"/>
      <c r="T656" s="9">
        <v>0</v>
      </c>
      <c r="U656" s="10"/>
      <c r="V656" s="9">
        <v>0</v>
      </c>
      <c r="W656" s="10"/>
      <c r="X656" s="9">
        <v>0</v>
      </c>
      <c r="Y656" s="10"/>
      <c r="Z656" s="9">
        <v>0</v>
      </c>
      <c r="AA656" s="10"/>
      <c r="AB656" s="11">
        <v>0</v>
      </c>
      <c r="AC656" s="10"/>
      <c r="AD656" s="7">
        <f>SUM(F656+H656+J656+L656+N656+P656+R656+T656+V656+X656+Z656+AB656)</f>
        <v>0</v>
      </c>
      <c r="AE656" s="7">
        <f>E656+AD656</f>
        <v>0</v>
      </c>
      <c r="AF656" s="8">
        <f>G656+I656+K656+M656+O656+Q656+S656+U656+W656+Y656+AA656+AC656</f>
        <v>0</v>
      </c>
      <c r="AG656" s="153">
        <f>SUM(AE656-AF656)</f>
        <v>0</v>
      </c>
      <c r="AH656" s="96" t="s">
        <v>1489</v>
      </c>
      <c r="AI656" s="96">
        <v>4</v>
      </c>
    </row>
    <row r="657" spans="1:42" customHeight="1" ht="11.5" s="96" customFormat="1">
      <c r="A657" s="5">
        <v>649</v>
      </c>
      <c r="B657" s="163" t="s">
        <v>1108</v>
      </c>
      <c r="C657" s="151" t="s">
        <v>36</v>
      </c>
      <c r="D657" s="85" t="s">
        <v>37</v>
      </c>
      <c r="E657" s="86">
        <v>0</v>
      </c>
      <c r="F657" s="9">
        <v>0</v>
      </c>
      <c r="G657" s="10"/>
      <c r="H657" s="9">
        <v>0</v>
      </c>
      <c r="I657" s="10"/>
      <c r="J657" s="152">
        <v>0</v>
      </c>
      <c r="K657" s="10"/>
      <c r="L657" s="152">
        <v>0</v>
      </c>
      <c r="M657" s="10"/>
      <c r="N657" s="152">
        <v>0</v>
      </c>
      <c r="O657" s="10"/>
      <c r="P657" s="152">
        <v>0</v>
      </c>
      <c r="Q657" s="10"/>
      <c r="R657" s="9">
        <v>0</v>
      </c>
      <c r="S657" s="10"/>
      <c r="T657" s="9">
        <v>0</v>
      </c>
      <c r="U657" s="10"/>
      <c r="V657" s="9">
        <v>0</v>
      </c>
      <c r="W657" s="10"/>
      <c r="X657" s="9">
        <v>0</v>
      </c>
      <c r="Y657" s="10"/>
      <c r="Z657" s="9">
        <v>0</v>
      </c>
      <c r="AA657" s="10"/>
      <c r="AB657" s="11">
        <v>0</v>
      </c>
      <c r="AC657" s="10"/>
      <c r="AD657" s="7">
        <f>SUM(F657+H657+J657+L657+N657+P657+R657+T657+V657+X657+Z657+AB657)</f>
        <v>0</v>
      </c>
      <c r="AE657" s="7">
        <f>E657+AD657</f>
        <v>0</v>
      </c>
      <c r="AF657" s="8">
        <f>G657+I657+K657+M657+O657+Q657+S657+U657+W657+Y657+AA657+AC657</f>
        <v>0</v>
      </c>
      <c r="AG657" s="153">
        <f>SUM(AE657-AF657)</f>
        <v>0</v>
      </c>
      <c r="AH657" s="96" t="s">
        <v>1490</v>
      </c>
      <c r="AI657" s="96">
        <v>4</v>
      </c>
    </row>
    <row r="658" spans="1:42" customHeight="1" ht="11.5" s="96" customFormat="1">
      <c r="A658" s="5">
        <v>650</v>
      </c>
      <c r="B658" s="163" t="s">
        <v>1109</v>
      </c>
      <c r="C658" s="151" t="s">
        <v>36</v>
      </c>
      <c r="D658" s="85" t="s">
        <v>37</v>
      </c>
      <c r="E658" s="86">
        <v>0</v>
      </c>
      <c r="F658" s="9">
        <v>0</v>
      </c>
      <c r="G658" s="10"/>
      <c r="H658" s="9">
        <v>0</v>
      </c>
      <c r="I658" s="10"/>
      <c r="J658" s="152">
        <v>0</v>
      </c>
      <c r="K658" s="10"/>
      <c r="L658" s="152">
        <v>0</v>
      </c>
      <c r="M658" s="10"/>
      <c r="N658" s="152">
        <v>0</v>
      </c>
      <c r="O658" s="10"/>
      <c r="P658" s="152">
        <v>0</v>
      </c>
      <c r="Q658" s="10"/>
      <c r="R658" s="9">
        <v>0</v>
      </c>
      <c r="S658" s="10"/>
      <c r="T658" s="9">
        <v>0</v>
      </c>
      <c r="U658" s="10"/>
      <c r="V658" s="9">
        <v>0</v>
      </c>
      <c r="W658" s="10"/>
      <c r="X658" s="9">
        <v>0</v>
      </c>
      <c r="Y658" s="10"/>
      <c r="Z658" s="9">
        <v>0</v>
      </c>
      <c r="AA658" s="10"/>
      <c r="AB658" s="11">
        <v>0</v>
      </c>
      <c r="AC658" s="10"/>
      <c r="AD658" s="7">
        <f>SUM(F658+H658+J658+L658+N658+P658+R658+T658+V658+X658+Z658+AB658)</f>
        <v>0</v>
      </c>
      <c r="AE658" s="7">
        <f>E658+AD658</f>
        <v>0</v>
      </c>
      <c r="AF658" s="8">
        <f>G658+I658+K658+M658+O658+Q658+S658+U658+W658+Y658+AA658+AC658</f>
        <v>0</v>
      </c>
      <c r="AG658" s="153">
        <f>SUM(AE658-AF658)</f>
        <v>0</v>
      </c>
      <c r="AH658" s="96" t="s">
        <v>1491</v>
      </c>
      <c r="AI658" s="96">
        <v>4</v>
      </c>
    </row>
    <row r="659" spans="1:42" customHeight="1" ht="11.5" s="96" customFormat="1">
      <c r="A659" s="5">
        <v>651</v>
      </c>
      <c r="B659" s="163" t="s">
        <v>1110</v>
      </c>
      <c r="C659" s="151" t="s">
        <v>36</v>
      </c>
      <c r="D659" s="85" t="s">
        <v>37</v>
      </c>
      <c r="E659" s="86">
        <v>0</v>
      </c>
      <c r="F659" s="9">
        <v>0</v>
      </c>
      <c r="G659" s="10"/>
      <c r="H659" s="9">
        <v>0</v>
      </c>
      <c r="I659" s="10"/>
      <c r="J659" s="152">
        <v>0</v>
      </c>
      <c r="K659" s="10"/>
      <c r="L659" s="152">
        <v>0</v>
      </c>
      <c r="M659" s="10"/>
      <c r="N659" s="152">
        <v>0</v>
      </c>
      <c r="O659" s="10"/>
      <c r="P659" s="152">
        <v>0</v>
      </c>
      <c r="Q659" s="10"/>
      <c r="R659" s="9">
        <v>0</v>
      </c>
      <c r="S659" s="10"/>
      <c r="T659" s="9">
        <v>0</v>
      </c>
      <c r="U659" s="10"/>
      <c r="V659" s="9">
        <v>0</v>
      </c>
      <c r="W659" s="10"/>
      <c r="X659" s="9">
        <v>0</v>
      </c>
      <c r="Y659" s="10"/>
      <c r="Z659" s="9">
        <v>0</v>
      </c>
      <c r="AA659" s="10"/>
      <c r="AB659" s="11">
        <v>0</v>
      </c>
      <c r="AC659" s="10"/>
      <c r="AD659" s="7">
        <f>SUM(F659+H659+J659+L659+N659+P659+R659+T659+V659+X659+Z659+AB659)</f>
        <v>0</v>
      </c>
      <c r="AE659" s="7">
        <f>E659+AD659</f>
        <v>0</v>
      </c>
      <c r="AF659" s="8">
        <f>G659+I659+K659+M659+O659+Q659+S659+U659+W659+Y659+AA659+AC659</f>
        <v>0</v>
      </c>
      <c r="AG659" s="153">
        <f>SUM(AE659-AF659)</f>
        <v>0</v>
      </c>
      <c r="AH659" s="96" t="s">
        <v>1491</v>
      </c>
      <c r="AI659" s="96">
        <v>4</v>
      </c>
    </row>
    <row r="660" spans="1:42" customHeight="1" ht="11.5" s="96" customFormat="1">
      <c r="A660" s="5">
        <v>652</v>
      </c>
      <c r="B660" s="163" t="s">
        <v>1111</v>
      </c>
      <c r="C660" s="151" t="s">
        <v>36</v>
      </c>
      <c r="D660" s="85" t="s">
        <v>37</v>
      </c>
      <c r="E660" s="86">
        <v>0</v>
      </c>
      <c r="F660" s="9">
        <v>0</v>
      </c>
      <c r="G660" s="10"/>
      <c r="H660" s="9">
        <v>0</v>
      </c>
      <c r="I660" s="10"/>
      <c r="J660" s="152">
        <v>0</v>
      </c>
      <c r="K660" s="10"/>
      <c r="L660" s="152">
        <v>0</v>
      </c>
      <c r="M660" s="10"/>
      <c r="N660" s="152">
        <v>0</v>
      </c>
      <c r="O660" s="10"/>
      <c r="P660" s="152">
        <v>0</v>
      </c>
      <c r="Q660" s="10"/>
      <c r="R660" s="9">
        <v>0</v>
      </c>
      <c r="S660" s="10"/>
      <c r="T660" s="9">
        <v>0</v>
      </c>
      <c r="U660" s="10"/>
      <c r="V660" s="9">
        <v>0</v>
      </c>
      <c r="W660" s="10"/>
      <c r="X660" s="9">
        <v>0</v>
      </c>
      <c r="Y660" s="10"/>
      <c r="Z660" s="9">
        <v>0</v>
      </c>
      <c r="AA660" s="10"/>
      <c r="AB660" s="11">
        <v>0</v>
      </c>
      <c r="AC660" s="10"/>
      <c r="AD660" s="7">
        <f>SUM(F660+H660+J660+L660+N660+P660+R660+T660+V660+X660+Z660+AB660)</f>
        <v>0</v>
      </c>
      <c r="AE660" s="7">
        <f>E660+AD660</f>
        <v>0</v>
      </c>
      <c r="AF660" s="8">
        <f>G660+I660+K660+M660+O660+Q660+S660+U660+W660+Y660+AA660+AC660</f>
        <v>0</v>
      </c>
      <c r="AG660" s="153">
        <f>SUM(AE660-AF660)</f>
        <v>0</v>
      </c>
      <c r="AH660" s="96" t="s">
        <v>1492</v>
      </c>
      <c r="AI660" s="96">
        <v>4</v>
      </c>
    </row>
    <row r="661" spans="1:42" customHeight="1" ht="11.5" s="96" customFormat="1">
      <c r="A661" s="5">
        <v>653</v>
      </c>
      <c r="B661" s="163" t="s">
        <v>1112</v>
      </c>
      <c r="C661" s="151" t="s">
        <v>36</v>
      </c>
      <c r="D661" s="85" t="s">
        <v>37</v>
      </c>
      <c r="E661" s="86">
        <v>0</v>
      </c>
      <c r="F661" s="9">
        <v>0</v>
      </c>
      <c r="G661" s="10"/>
      <c r="H661" s="9">
        <v>0</v>
      </c>
      <c r="I661" s="10"/>
      <c r="J661" s="152">
        <v>0</v>
      </c>
      <c r="K661" s="10"/>
      <c r="L661" s="152">
        <v>0</v>
      </c>
      <c r="M661" s="10"/>
      <c r="N661" s="152">
        <v>0</v>
      </c>
      <c r="O661" s="10"/>
      <c r="P661" s="152">
        <v>0</v>
      </c>
      <c r="Q661" s="10"/>
      <c r="R661" s="9">
        <v>0</v>
      </c>
      <c r="S661" s="10"/>
      <c r="T661" s="9">
        <v>0</v>
      </c>
      <c r="U661" s="10"/>
      <c r="V661" s="9">
        <v>0</v>
      </c>
      <c r="W661" s="10"/>
      <c r="X661" s="9">
        <v>0</v>
      </c>
      <c r="Y661" s="10"/>
      <c r="Z661" s="9">
        <v>0</v>
      </c>
      <c r="AA661" s="10"/>
      <c r="AB661" s="11">
        <v>0</v>
      </c>
      <c r="AC661" s="10"/>
      <c r="AD661" s="7">
        <f>SUM(F661+H661+J661+L661+N661+P661+R661+T661+V661+X661+Z661+AB661)</f>
        <v>0</v>
      </c>
      <c r="AE661" s="7">
        <f>E661+AD661</f>
        <v>0</v>
      </c>
      <c r="AF661" s="8">
        <f>G661+I661+K661+M661+O661+Q661+S661+U661+W661+Y661+AA661+AC661</f>
        <v>0</v>
      </c>
      <c r="AG661" s="153">
        <f>SUM(AE661-AF661)</f>
        <v>0</v>
      </c>
      <c r="AH661" s="96" t="s">
        <v>1492</v>
      </c>
      <c r="AI661" s="96">
        <v>4</v>
      </c>
    </row>
    <row r="662" spans="1:42" customHeight="1" ht="11.5" s="96" customFormat="1">
      <c r="A662" s="5">
        <v>654</v>
      </c>
      <c r="B662" s="163" t="s">
        <v>1113</v>
      </c>
      <c r="C662" s="151" t="s">
        <v>36</v>
      </c>
      <c r="D662" s="85" t="s">
        <v>37</v>
      </c>
      <c r="E662" s="86">
        <v>0</v>
      </c>
      <c r="F662" s="9">
        <v>0</v>
      </c>
      <c r="G662" s="10"/>
      <c r="H662" s="9">
        <v>0</v>
      </c>
      <c r="I662" s="10"/>
      <c r="J662" s="152">
        <v>0</v>
      </c>
      <c r="K662" s="10"/>
      <c r="L662" s="152">
        <v>0</v>
      </c>
      <c r="M662" s="10"/>
      <c r="N662" s="152">
        <v>0</v>
      </c>
      <c r="O662" s="10"/>
      <c r="P662" s="152">
        <v>0</v>
      </c>
      <c r="Q662" s="10"/>
      <c r="R662" s="9">
        <v>0</v>
      </c>
      <c r="S662" s="10"/>
      <c r="T662" s="9">
        <v>0</v>
      </c>
      <c r="U662" s="10"/>
      <c r="V662" s="9">
        <v>0</v>
      </c>
      <c r="W662" s="10"/>
      <c r="X662" s="9">
        <v>0</v>
      </c>
      <c r="Y662" s="10"/>
      <c r="Z662" s="9">
        <v>0</v>
      </c>
      <c r="AA662" s="10"/>
      <c r="AB662" s="11">
        <v>0</v>
      </c>
      <c r="AC662" s="10"/>
      <c r="AD662" s="7">
        <f>SUM(F662+H662+J662+L662+N662+P662+R662+T662+V662+X662+Z662+AB662)</f>
        <v>0</v>
      </c>
      <c r="AE662" s="7">
        <f>E662+AD662</f>
        <v>0</v>
      </c>
      <c r="AF662" s="8">
        <f>G662+I662+K662+M662+O662+Q662+S662+U662+W662+Y662+AA662+AC662</f>
        <v>0</v>
      </c>
      <c r="AG662" s="153">
        <f>SUM(AE662-AF662)</f>
        <v>0</v>
      </c>
      <c r="AH662" s="96" t="s">
        <v>1493</v>
      </c>
      <c r="AI662" s="96">
        <v>4</v>
      </c>
    </row>
    <row r="663" spans="1:42" customHeight="1" ht="11.5" s="96" customFormat="1">
      <c r="A663" s="5">
        <v>655</v>
      </c>
      <c r="B663" s="163" t="s">
        <v>1114</v>
      </c>
      <c r="C663" s="151" t="s">
        <v>36</v>
      </c>
      <c r="D663" s="85" t="s">
        <v>37</v>
      </c>
      <c r="E663" s="86">
        <v>0</v>
      </c>
      <c r="F663" s="9">
        <v>0</v>
      </c>
      <c r="G663" s="10"/>
      <c r="H663" s="9">
        <v>0</v>
      </c>
      <c r="I663" s="10"/>
      <c r="J663" s="152">
        <v>0</v>
      </c>
      <c r="K663" s="10"/>
      <c r="L663" s="152">
        <v>0</v>
      </c>
      <c r="M663" s="10"/>
      <c r="N663" s="152">
        <v>0</v>
      </c>
      <c r="O663" s="10"/>
      <c r="P663" s="152">
        <v>0</v>
      </c>
      <c r="Q663" s="10"/>
      <c r="R663" s="9">
        <v>0</v>
      </c>
      <c r="S663" s="10"/>
      <c r="T663" s="9">
        <v>0</v>
      </c>
      <c r="U663" s="10"/>
      <c r="V663" s="9">
        <v>0</v>
      </c>
      <c r="W663" s="10"/>
      <c r="X663" s="9">
        <v>0</v>
      </c>
      <c r="Y663" s="10"/>
      <c r="Z663" s="9">
        <v>0</v>
      </c>
      <c r="AA663" s="10"/>
      <c r="AB663" s="11">
        <v>0</v>
      </c>
      <c r="AC663" s="10"/>
      <c r="AD663" s="7">
        <f>SUM(F663+H663+J663+L663+N663+P663+R663+T663+V663+X663+Z663+AB663)</f>
        <v>0</v>
      </c>
      <c r="AE663" s="7">
        <f>E663+AD663</f>
        <v>0</v>
      </c>
      <c r="AF663" s="8">
        <f>G663+I663+K663+M663+O663+Q663+S663+U663+W663+Y663+AA663+AC663</f>
        <v>0</v>
      </c>
      <c r="AG663" s="153">
        <f>SUM(AE663-AF663)</f>
        <v>0</v>
      </c>
      <c r="AH663" s="96" t="s">
        <v>1493</v>
      </c>
      <c r="AI663" s="96">
        <v>4</v>
      </c>
    </row>
    <row r="664" spans="1:42" customHeight="1" ht="11.5" s="96" customFormat="1">
      <c r="A664" s="5">
        <v>656</v>
      </c>
      <c r="B664" s="163" t="s">
        <v>1115</v>
      </c>
      <c r="C664" s="151" t="s">
        <v>36</v>
      </c>
      <c r="D664" s="85" t="s">
        <v>37</v>
      </c>
      <c r="E664" s="86">
        <v>0</v>
      </c>
      <c r="F664" s="9">
        <v>0</v>
      </c>
      <c r="G664" s="10"/>
      <c r="H664" s="9">
        <v>0</v>
      </c>
      <c r="I664" s="10"/>
      <c r="J664" s="152">
        <v>0</v>
      </c>
      <c r="K664" s="10"/>
      <c r="L664" s="152">
        <v>0</v>
      </c>
      <c r="M664" s="10"/>
      <c r="N664" s="152">
        <v>0</v>
      </c>
      <c r="O664" s="10"/>
      <c r="P664" s="152">
        <v>0</v>
      </c>
      <c r="Q664" s="10"/>
      <c r="R664" s="9">
        <v>0</v>
      </c>
      <c r="S664" s="10"/>
      <c r="T664" s="9">
        <v>0</v>
      </c>
      <c r="U664" s="10"/>
      <c r="V664" s="9">
        <v>0</v>
      </c>
      <c r="W664" s="10"/>
      <c r="X664" s="9">
        <v>0</v>
      </c>
      <c r="Y664" s="10"/>
      <c r="Z664" s="9">
        <v>0</v>
      </c>
      <c r="AA664" s="10"/>
      <c r="AB664" s="11">
        <v>0</v>
      </c>
      <c r="AC664" s="10"/>
      <c r="AD664" s="7">
        <f>SUM(F664+H664+J664+L664+N664+P664+R664+T664+V664+X664+Z664+AB664)</f>
        <v>0</v>
      </c>
      <c r="AE664" s="7">
        <f>E664+AD664</f>
        <v>0</v>
      </c>
      <c r="AF664" s="8">
        <f>G664+I664+K664+M664+O664+Q664+S664+U664+W664+Y664+AA664+AC664</f>
        <v>0</v>
      </c>
      <c r="AG664" s="153">
        <f>SUM(AE664-AF664)</f>
        <v>0</v>
      </c>
      <c r="AH664" s="96" t="s">
        <v>1494</v>
      </c>
      <c r="AI664" s="96">
        <v>4</v>
      </c>
    </row>
    <row r="665" spans="1:42" customHeight="1" ht="11.5" s="96" customFormat="1">
      <c r="A665" s="5">
        <v>657</v>
      </c>
      <c r="B665" s="163" t="s">
        <v>1116</v>
      </c>
      <c r="C665" s="151" t="s">
        <v>36</v>
      </c>
      <c r="D665" s="85" t="s">
        <v>37</v>
      </c>
      <c r="E665" s="86">
        <v>0</v>
      </c>
      <c r="F665" s="9">
        <v>0</v>
      </c>
      <c r="G665" s="10"/>
      <c r="H665" s="9">
        <v>0</v>
      </c>
      <c r="I665" s="10"/>
      <c r="J665" s="152">
        <v>0</v>
      </c>
      <c r="K665" s="10"/>
      <c r="L665" s="152">
        <v>0</v>
      </c>
      <c r="M665" s="10"/>
      <c r="N665" s="152">
        <v>0</v>
      </c>
      <c r="O665" s="10"/>
      <c r="P665" s="152">
        <v>0</v>
      </c>
      <c r="Q665" s="10"/>
      <c r="R665" s="9">
        <v>0</v>
      </c>
      <c r="S665" s="10"/>
      <c r="T665" s="9">
        <v>0</v>
      </c>
      <c r="U665" s="10"/>
      <c r="V665" s="9">
        <v>0</v>
      </c>
      <c r="W665" s="10"/>
      <c r="X665" s="9">
        <v>0</v>
      </c>
      <c r="Y665" s="10"/>
      <c r="Z665" s="9">
        <v>0</v>
      </c>
      <c r="AA665" s="10"/>
      <c r="AB665" s="11">
        <v>0</v>
      </c>
      <c r="AC665" s="10"/>
      <c r="AD665" s="7">
        <f>SUM(F665+H665+J665+L665+N665+P665+R665+T665+V665+X665+Z665+AB665)</f>
        <v>0</v>
      </c>
      <c r="AE665" s="7">
        <f>E665+AD665</f>
        <v>0</v>
      </c>
      <c r="AF665" s="8">
        <f>G665+I665+K665+M665+O665+Q665+S665+U665+W665+Y665+AA665+AC665</f>
        <v>0</v>
      </c>
      <c r="AG665" s="153">
        <f>SUM(AE665-AF665)</f>
        <v>0</v>
      </c>
      <c r="AH665" s="96" t="s">
        <v>1495</v>
      </c>
      <c r="AI665" s="96">
        <v>4</v>
      </c>
    </row>
    <row r="666" spans="1:42" customHeight="1" ht="11.5" s="96" customFormat="1">
      <c r="A666" s="5">
        <v>658</v>
      </c>
      <c r="B666" s="163" t="s">
        <v>1117</v>
      </c>
      <c r="C666" s="151" t="s">
        <v>36</v>
      </c>
      <c r="D666" s="85" t="s">
        <v>37</v>
      </c>
      <c r="E666" s="86">
        <v>0</v>
      </c>
      <c r="F666" s="9">
        <v>0</v>
      </c>
      <c r="G666" s="10"/>
      <c r="H666" s="9">
        <v>0</v>
      </c>
      <c r="I666" s="10"/>
      <c r="J666" s="152">
        <v>0</v>
      </c>
      <c r="K666" s="10"/>
      <c r="L666" s="152">
        <v>0</v>
      </c>
      <c r="M666" s="10"/>
      <c r="N666" s="152">
        <v>0</v>
      </c>
      <c r="O666" s="10"/>
      <c r="P666" s="152">
        <v>0</v>
      </c>
      <c r="Q666" s="10"/>
      <c r="R666" s="9">
        <v>0</v>
      </c>
      <c r="S666" s="10"/>
      <c r="T666" s="9">
        <v>0</v>
      </c>
      <c r="U666" s="10"/>
      <c r="V666" s="9">
        <v>0</v>
      </c>
      <c r="W666" s="10"/>
      <c r="X666" s="9">
        <v>0</v>
      </c>
      <c r="Y666" s="10"/>
      <c r="Z666" s="9">
        <v>0</v>
      </c>
      <c r="AA666" s="10"/>
      <c r="AB666" s="11">
        <v>0</v>
      </c>
      <c r="AC666" s="10"/>
      <c r="AD666" s="7">
        <f>SUM(F666+H666+J666+L666+N666+P666+R666+T666+V666+X666+Z666+AB666)</f>
        <v>0</v>
      </c>
      <c r="AE666" s="7">
        <f>E666+AD666</f>
        <v>0</v>
      </c>
      <c r="AF666" s="8">
        <f>G666+I666+K666+M666+O666+Q666+S666+U666+W666+Y666+AA666+AC666</f>
        <v>0</v>
      </c>
      <c r="AG666" s="153">
        <f>SUM(AE666-AF666)</f>
        <v>0</v>
      </c>
      <c r="AH666" s="96" t="s">
        <v>1495</v>
      </c>
      <c r="AI666" s="96">
        <v>4</v>
      </c>
    </row>
    <row r="667" spans="1:42" customHeight="1" ht="11.5" s="96" customFormat="1">
      <c r="A667" s="5">
        <v>659</v>
      </c>
      <c r="B667" s="163" t="s">
        <v>1118</v>
      </c>
      <c r="C667" s="151" t="s">
        <v>36</v>
      </c>
      <c r="D667" s="85" t="s">
        <v>37</v>
      </c>
      <c r="E667" s="86">
        <v>0</v>
      </c>
      <c r="F667" s="9">
        <v>0</v>
      </c>
      <c r="G667" s="10"/>
      <c r="H667" s="9">
        <v>0</v>
      </c>
      <c r="I667" s="10"/>
      <c r="J667" s="152">
        <v>0</v>
      </c>
      <c r="K667" s="10"/>
      <c r="L667" s="152">
        <v>0</v>
      </c>
      <c r="M667" s="10"/>
      <c r="N667" s="152">
        <v>0</v>
      </c>
      <c r="O667" s="10"/>
      <c r="P667" s="152">
        <v>0</v>
      </c>
      <c r="Q667" s="10"/>
      <c r="R667" s="9">
        <v>0</v>
      </c>
      <c r="S667" s="10"/>
      <c r="T667" s="9">
        <v>0</v>
      </c>
      <c r="U667" s="10"/>
      <c r="V667" s="9">
        <v>0</v>
      </c>
      <c r="W667" s="10"/>
      <c r="X667" s="9">
        <v>0</v>
      </c>
      <c r="Y667" s="10"/>
      <c r="Z667" s="9">
        <v>0</v>
      </c>
      <c r="AA667" s="10"/>
      <c r="AB667" s="11">
        <v>0</v>
      </c>
      <c r="AC667" s="10"/>
      <c r="AD667" s="7">
        <f>SUM(F667+H667+J667+L667+N667+P667+R667+T667+V667+X667+Z667+AB667)</f>
        <v>0</v>
      </c>
      <c r="AE667" s="7">
        <f>E667+AD667</f>
        <v>0</v>
      </c>
      <c r="AF667" s="8">
        <f>G667+I667+K667+M667+O667+Q667+S667+U667+W667+Y667+AA667+AC667</f>
        <v>0</v>
      </c>
      <c r="AG667" s="153">
        <f>SUM(AE667-AF667)</f>
        <v>0</v>
      </c>
      <c r="AH667" s="96" t="s">
        <v>1495</v>
      </c>
      <c r="AI667" s="96">
        <v>4</v>
      </c>
    </row>
    <row r="668" spans="1:42" customHeight="1" ht="11.5" s="96" customFormat="1">
      <c r="A668" s="5">
        <v>660</v>
      </c>
      <c r="B668" s="163" t="s">
        <v>1119</v>
      </c>
      <c r="C668" s="151" t="s">
        <v>36</v>
      </c>
      <c r="D668" s="85" t="s">
        <v>37</v>
      </c>
      <c r="E668" s="86">
        <v>0</v>
      </c>
      <c r="F668" s="9">
        <v>0</v>
      </c>
      <c r="G668" s="10"/>
      <c r="H668" s="9">
        <v>0</v>
      </c>
      <c r="I668" s="10"/>
      <c r="J668" s="152">
        <v>0</v>
      </c>
      <c r="K668" s="10"/>
      <c r="L668" s="152">
        <v>0</v>
      </c>
      <c r="M668" s="10"/>
      <c r="N668" s="152">
        <v>0</v>
      </c>
      <c r="O668" s="10"/>
      <c r="P668" s="152">
        <v>0</v>
      </c>
      <c r="Q668" s="10"/>
      <c r="R668" s="9">
        <v>0</v>
      </c>
      <c r="S668" s="10"/>
      <c r="T668" s="9">
        <v>0</v>
      </c>
      <c r="U668" s="10"/>
      <c r="V668" s="9">
        <v>0</v>
      </c>
      <c r="W668" s="10"/>
      <c r="X668" s="9">
        <v>0</v>
      </c>
      <c r="Y668" s="10"/>
      <c r="Z668" s="9">
        <v>0</v>
      </c>
      <c r="AA668" s="10"/>
      <c r="AB668" s="11">
        <v>0</v>
      </c>
      <c r="AC668" s="10"/>
      <c r="AD668" s="7">
        <f>SUM(F668+H668+J668+L668+N668+P668+R668+T668+V668+X668+Z668+AB668)</f>
        <v>0</v>
      </c>
      <c r="AE668" s="7">
        <f>E668+AD668</f>
        <v>0</v>
      </c>
      <c r="AF668" s="8">
        <f>G668+I668+K668+M668+O668+Q668+S668+U668+W668+Y668+AA668+AC668</f>
        <v>0</v>
      </c>
      <c r="AG668" s="153">
        <f>SUM(AE668-AF668)</f>
        <v>0</v>
      </c>
      <c r="AH668" s="96" t="s">
        <v>1496</v>
      </c>
      <c r="AI668" s="96">
        <v>4</v>
      </c>
    </row>
    <row r="669" spans="1:42" customHeight="1" ht="11.5" s="96" customFormat="1">
      <c r="A669" s="5">
        <v>661</v>
      </c>
      <c r="B669" s="163" t="s">
        <v>1120</v>
      </c>
      <c r="C669" s="151" t="s">
        <v>36</v>
      </c>
      <c r="D669" s="85" t="s">
        <v>37</v>
      </c>
      <c r="E669" s="86">
        <v>0</v>
      </c>
      <c r="F669" s="9">
        <v>0</v>
      </c>
      <c r="G669" s="10"/>
      <c r="H669" s="9">
        <v>0</v>
      </c>
      <c r="I669" s="10"/>
      <c r="J669" s="152">
        <v>0</v>
      </c>
      <c r="K669" s="10"/>
      <c r="L669" s="152">
        <v>0</v>
      </c>
      <c r="M669" s="10"/>
      <c r="N669" s="152">
        <v>0</v>
      </c>
      <c r="O669" s="10"/>
      <c r="P669" s="152">
        <v>0</v>
      </c>
      <c r="Q669" s="10"/>
      <c r="R669" s="9">
        <v>0</v>
      </c>
      <c r="S669" s="10"/>
      <c r="T669" s="9">
        <v>0</v>
      </c>
      <c r="U669" s="10"/>
      <c r="V669" s="9">
        <v>0</v>
      </c>
      <c r="W669" s="10"/>
      <c r="X669" s="9">
        <v>0</v>
      </c>
      <c r="Y669" s="10"/>
      <c r="Z669" s="9">
        <v>0</v>
      </c>
      <c r="AA669" s="10"/>
      <c r="AB669" s="11">
        <v>0</v>
      </c>
      <c r="AC669" s="10"/>
      <c r="AD669" s="7">
        <f>SUM(F669+H669+J669+L669+N669+P669+R669+T669+V669+X669+Z669+AB669)</f>
        <v>0</v>
      </c>
      <c r="AE669" s="7">
        <f>E669+AD669</f>
        <v>0</v>
      </c>
      <c r="AF669" s="8">
        <f>G669+I669+K669+M669+O669+Q669+S669+U669+W669+Y669+AA669+AC669</f>
        <v>0</v>
      </c>
      <c r="AG669" s="153">
        <f>SUM(AE669-AF669)</f>
        <v>0</v>
      </c>
      <c r="AH669" s="96" t="s">
        <v>1497</v>
      </c>
      <c r="AI669" s="96">
        <v>4</v>
      </c>
    </row>
    <row r="670" spans="1:42" customHeight="1" ht="11.5" s="96" customFormat="1">
      <c r="A670" s="5">
        <v>662</v>
      </c>
      <c r="B670" s="163" t="s">
        <v>1121</v>
      </c>
      <c r="C670" s="151" t="s">
        <v>36</v>
      </c>
      <c r="D670" s="85" t="s">
        <v>37</v>
      </c>
      <c r="E670" s="86">
        <v>65000</v>
      </c>
      <c r="F670" s="9">
        <v>20000</v>
      </c>
      <c r="G670" s="10">
        <v>65000</v>
      </c>
      <c r="H670" s="9">
        <v>15000</v>
      </c>
      <c r="I670" s="10">
        <v>20000</v>
      </c>
      <c r="J670" s="152">
        <v>25000</v>
      </c>
      <c r="K670" s="10">
        <v>15000</v>
      </c>
      <c r="L670" s="152">
        <v>15000</v>
      </c>
      <c r="M670" s="10">
        <v>25000</v>
      </c>
      <c r="N670" s="152">
        <v>20000</v>
      </c>
      <c r="O670" s="10">
        <v>15000</v>
      </c>
      <c r="P670" s="152">
        <v>20000</v>
      </c>
      <c r="Q670" s="10">
        <v>20000</v>
      </c>
      <c r="R670" s="9">
        <v>35000</v>
      </c>
      <c r="S670" s="10"/>
      <c r="T670" s="9">
        <v>0</v>
      </c>
      <c r="U670" s="10"/>
      <c r="V670" s="9">
        <v>0</v>
      </c>
      <c r="W670" s="10"/>
      <c r="X670" s="9">
        <v>0</v>
      </c>
      <c r="Y670" s="10"/>
      <c r="Z670" s="9">
        <v>0</v>
      </c>
      <c r="AA670" s="10"/>
      <c r="AB670" s="11">
        <v>0</v>
      </c>
      <c r="AC670" s="10"/>
      <c r="AD670" s="7">
        <f>SUM(F670+H670+J670+L670+N670+P670+R670+T670+V670+X670+Z670+AB670)</f>
        <v>150000</v>
      </c>
      <c r="AE670" s="7">
        <f>E670+AD670</f>
        <v>215000</v>
      </c>
      <c r="AF670" s="8">
        <f>G670+I670+K670+M670+O670+Q670+S670+U670+W670+Y670+AA670+AC670</f>
        <v>160000</v>
      </c>
      <c r="AG670" s="153">
        <f>SUM(AE670-AF670)</f>
        <v>55000</v>
      </c>
      <c r="AH670" s="96" t="s">
        <v>1498</v>
      </c>
      <c r="AI670" s="96">
        <v>3</v>
      </c>
    </row>
    <row r="671" spans="1:42" customHeight="1" ht="11.5" s="96" customFormat="1">
      <c r="A671" s="5">
        <v>663</v>
      </c>
      <c r="B671" s="162" t="s">
        <v>1122</v>
      </c>
      <c r="C671" s="4" t="s">
        <v>36</v>
      </c>
      <c r="D671" s="85" t="s">
        <v>37</v>
      </c>
      <c r="E671" s="86">
        <v>30000</v>
      </c>
      <c r="F671" s="9">
        <v>0</v>
      </c>
      <c r="G671" s="10">
        <v>30000</v>
      </c>
      <c r="H671" s="9">
        <v>0</v>
      </c>
      <c r="I671" s="10"/>
      <c r="J671" s="152">
        <v>0</v>
      </c>
      <c r="K671" s="10"/>
      <c r="L671" s="152">
        <v>0</v>
      </c>
      <c r="M671" s="10"/>
      <c r="N671" s="152">
        <v>0</v>
      </c>
      <c r="O671" s="10"/>
      <c r="P671" s="152">
        <v>0</v>
      </c>
      <c r="Q671" s="10"/>
      <c r="R671" s="9">
        <v>0</v>
      </c>
      <c r="S671" s="10"/>
      <c r="T671" s="9">
        <v>0</v>
      </c>
      <c r="U671" s="10"/>
      <c r="V671" s="9">
        <v>0</v>
      </c>
      <c r="W671" s="10"/>
      <c r="X671" s="9">
        <v>0</v>
      </c>
      <c r="Y671" s="10"/>
      <c r="Z671" s="9">
        <v>0</v>
      </c>
      <c r="AA671" s="10"/>
      <c r="AB671" s="11">
        <v>0</v>
      </c>
      <c r="AC671" s="10"/>
      <c r="AD671" s="7">
        <f>SUM(F671+H671+J671+L671+N671+P671+R671+T671+V671+X671+Z671+AB671)</f>
        <v>0</v>
      </c>
      <c r="AE671" s="7">
        <f>E671+AD671</f>
        <v>30000</v>
      </c>
      <c r="AF671" s="8">
        <f>G671+I671+K671+M671+O671+Q671+S671+U671+W671+Y671+AA671+AC671</f>
        <v>30000</v>
      </c>
      <c r="AG671" s="153">
        <f>SUM(AE671-AF671)</f>
        <v>0</v>
      </c>
      <c r="AH671" s="96" t="s">
        <v>1499</v>
      </c>
      <c r="AI671" s="96">
        <v>4</v>
      </c>
    </row>
    <row r="672" spans="1:42" customHeight="1" ht="11.5" s="96" customFormat="1">
      <c r="A672" s="5">
        <v>664</v>
      </c>
      <c r="B672" s="162" t="s">
        <v>1123</v>
      </c>
      <c r="C672" s="4" t="s">
        <v>112</v>
      </c>
      <c r="D672" s="85" t="s">
        <v>113</v>
      </c>
      <c r="E672" s="86">
        <v>37161</v>
      </c>
      <c r="F672" s="9">
        <v>20000</v>
      </c>
      <c r="G672" s="10">
        <v>37161</v>
      </c>
      <c r="H672" s="9">
        <v>26000</v>
      </c>
      <c r="I672" s="10">
        <v>20000</v>
      </c>
      <c r="J672" s="152">
        <v>30000</v>
      </c>
      <c r="K672" s="10">
        <v>18856</v>
      </c>
      <c r="L672" s="152">
        <v>26000</v>
      </c>
      <c r="M672" s="10">
        <v>37144</v>
      </c>
      <c r="N672" s="152">
        <v>22000</v>
      </c>
      <c r="O672" s="10">
        <v>26000</v>
      </c>
      <c r="P672" s="152">
        <v>12000</v>
      </c>
      <c r="Q672" s="10">
        <v>22000</v>
      </c>
      <c r="R672" s="9">
        <v>24000</v>
      </c>
      <c r="S672" s="10"/>
      <c r="T672" s="9">
        <v>0</v>
      </c>
      <c r="U672" s="10"/>
      <c r="V672" s="9">
        <v>0</v>
      </c>
      <c r="W672" s="10"/>
      <c r="X672" s="9">
        <v>0</v>
      </c>
      <c r="Y672" s="10"/>
      <c r="Z672" s="9">
        <v>0</v>
      </c>
      <c r="AA672" s="10"/>
      <c r="AB672" s="11">
        <v>0</v>
      </c>
      <c r="AC672" s="10"/>
      <c r="AD672" s="7">
        <f>SUM(F672+H672+J672+L672+N672+P672+R672+T672+V672+X672+Z672+AB672)</f>
        <v>160000</v>
      </c>
      <c r="AE672" s="7">
        <f>E672+AD672</f>
        <v>197161</v>
      </c>
      <c r="AF672" s="8">
        <f>G672+I672+K672+M672+O672+Q672+S672+U672+W672+Y672+AA672+AC672</f>
        <v>161161</v>
      </c>
      <c r="AG672" s="153">
        <f>SUM(AE672-AF672)</f>
        <v>36000</v>
      </c>
      <c r="AH672" s="96" t="s">
        <v>1500</v>
      </c>
      <c r="AI672" s="96">
        <v>4</v>
      </c>
    </row>
    <row r="673" spans="1:42" customHeight="1" ht="11.5" s="96" customFormat="1">
      <c r="A673" s="5">
        <v>665</v>
      </c>
      <c r="B673" s="162" t="s">
        <v>1124</v>
      </c>
      <c r="C673" s="4" t="s">
        <v>36</v>
      </c>
      <c r="D673" s="85" t="s">
        <v>37</v>
      </c>
      <c r="E673" s="86">
        <v>5000</v>
      </c>
      <c r="F673" s="9">
        <v>10000</v>
      </c>
      <c r="G673" s="10">
        <v>5000</v>
      </c>
      <c r="H673" s="9">
        <v>5000</v>
      </c>
      <c r="I673" s="10">
        <v>10000</v>
      </c>
      <c r="J673" s="152">
        <v>15000</v>
      </c>
      <c r="K673" s="10">
        <v>5000</v>
      </c>
      <c r="L673" s="152">
        <v>10000</v>
      </c>
      <c r="M673" s="10">
        <v>15000</v>
      </c>
      <c r="N673" s="152">
        <v>10000</v>
      </c>
      <c r="O673" s="10">
        <v>10000</v>
      </c>
      <c r="P673" s="152">
        <v>5000</v>
      </c>
      <c r="Q673" s="10">
        <v>10000</v>
      </c>
      <c r="R673" s="9">
        <v>10000</v>
      </c>
      <c r="S673" s="10"/>
      <c r="T673" s="9">
        <v>0</v>
      </c>
      <c r="U673" s="10"/>
      <c r="V673" s="9">
        <v>0</v>
      </c>
      <c r="W673" s="10"/>
      <c r="X673" s="9">
        <v>0</v>
      </c>
      <c r="Y673" s="10"/>
      <c r="Z673" s="9">
        <v>0</v>
      </c>
      <c r="AA673" s="10"/>
      <c r="AB673" s="11">
        <v>0</v>
      </c>
      <c r="AC673" s="10"/>
      <c r="AD673" s="7">
        <f>SUM(F673+H673+J673+L673+N673+P673+R673+T673+V673+X673+Z673+AB673)</f>
        <v>65000</v>
      </c>
      <c r="AE673" s="7">
        <f>E673+AD673</f>
        <v>70000</v>
      </c>
      <c r="AF673" s="8">
        <f>G673+I673+K673+M673+O673+Q673+S673+U673+W673+Y673+AA673+AC673</f>
        <v>55000</v>
      </c>
      <c r="AG673" s="153">
        <f>SUM(AE673-AF673)</f>
        <v>15000</v>
      </c>
      <c r="AH673" s="96" t="s">
        <v>1501</v>
      </c>
      <c r="AI673" s="96">
        <v>4</v>
      </c>
    </row>
    <row r="674" spans="1:42" customHeight="1" ht="11.5" s="96" customFormat="1">
      <c r="A674" s="5">
        <v>666</v>
      </c>
      <c r="B674" s="162" t="s">
        <v>1125</v>
      </c>
      <c r="C674" s="4" t="s">
        <v>36</v>
      </c>
      <c r="D674" s="85" t="s">
        <v>37</v>
      </c>
      <c r="E674" s="86">
        <v>11960</v>
      </c>
      <c r="F674" s="9">
        <v>0</v>
      </c>
      <c r="G674" s="10">
        <v>11960</v>
      </c>
      <c r="H674" s="9">
        <v>0</v>
      </c>
      <c r="I674" s="10"/>
      <c r="J674" s="152">
        <v>0</v>
      </c>
      <c r="K674" s="10"/>
      <c r="L674" s="152">
        <v>0</v>
      </c>
      <c r="M674" s="10"/>
      <c r="N674" s="152">
        <v>0</v>
      </c>
      <c r="O674" s="10"/>
      <c r="P674" s="152">
        <v>0</v>
      </c>
      <c r="Q674" s="10"/>
      <c r="R674" s="9">
        <v>0</v>
      </c>
      <c r="S674" s="10"/>
      <c r="T674" s="9">
        <v>0</v>
      </c>
      <c r="U674" s="10"/>
      <c r="V674" s="9">
        <v>0</v>
      </c>
      <c r="W674" s="10"/>
      <c r="X674" s="9">
        <v>0</v>
      </c>
      <c r="Y674" s="10"/>
      <c r="Z674" s="9">
        <v>0</v>
      </c>
      <c r="AA674" s="10"/>
      <c r="AB674" s="11">
        <v>0</v>
      </c>
      <c r="AC674" s="10"/>
      <c r="AD674" s="7">
        <f>SUM(F674+H674+J674+L674+N674+P674+R674+T674+V674+X674+Z674+AB674)</f>
        <v>0</v>
      </c>
      <c r="AE674" s="7">
        <f>E674+AD674</f>
        <v>11960</v>
      </c>
      <c r="AF674" s="8">
        <f>G674+I674+K674+M674+O674+Q674+S674+U674+W674+Y674+AA674+AC674</f>
        <v>11960</v>
      </c>
      <c r="AG674" s="153">
        <f>SUM(AE674-AF674)</f>
        <v>0</v>
      </c>
      <c r="AH674" s="96" t="s">
        <v>1502</v>
      </c>
      <c r="AI674" s="96">
        <v>3</v>
      </c>
    </row>
    <row r="675" spans="1:42" customHeight="1" ht="11.5" s="96" customFormat="1">
      <c r="A675" s="5">
        <v>667</v>
      </c>
      <c r="B675" s="163" t="s">
        <v>1126</v>
      </c>
      <c r="C675" s="151" t="s">
        <v>36</v>
      </c>
      <c r="D675" s="85" t="s">
        <v>37</v>
      </c>
      <c r="E675" s="86">
        <v>0</v>
      </c>
      <c r="F675" s="9">
        <v>0</v>
      </c>
      <c r="G675" s="10"/>
      <c r="H675" s="9">
        <v>0</v>
      </c>
      <c r="I675" s="10"/>
      <c r="J675" s="152">
        <v>0</v>
      </c>
      <c r="K675" s="10"/>
      <c r="L675" s="152">
        <v>0</v>
      </c>
      <c r="M675" s="10"/>
      <c r="N675" s="152">
        <v>0</v>
      </c>
      <c r="O675" s="10"/>
      <c r="P675" s="152">
        <v>0</v>
      </c>
      <c r="Q675" s="10"/>
      <c r="R675" s="9">
        <v>0</v>
      </c>
      <c r="S675" s="10"/>
      <c r="T675" s="9">
        <v>0</v>
      </c>
      <c r="U675" s="10"/>
      <c r="V675" s="9">
        <v>0</v>
      </c>
      <c r="W675" s="10"/>
      <c r="X675" s="9">
        <v>0</v>
      </c>
      <c r="Y675" s="10"/>
      <c r="Z675" s="9">
        <v>0</v>
      </c>
      <c r="AA675" s="10"/>
      <c r="AB675" s="11">
        <v>0</v>
      </c>
      <c r="AC675" s="10"/>
      <c r="AD675" s="7">
        <f>SUM(F675+H675+J675+L675+N675+P675+R675+T675+V675+X675+Z675+AB675)</f>
        <v>0</v>
      </c>
      <c r="AE675" s="7">
        <f>E675+AD675</f>
        <v>0</v>
      </c>
      <c r="AF675" s="8">
        <f>G675+I675+K675+M675+O675+Q675+S675+U675+W675+Y675+AA675+AC675</f>
        <v>0</v>
      </c>
      <c r="AG675" s="153">
        <f>SUM(AE675-AF675)</f>
        <v>0</v>
      </c>
      <c r="AH675" s="96" t="s">
        <v>1503</v>
      </c>
      <c r="AI675" s="96">
        <v>4</v>
      </c>
    </row>
    <row r="676" spans="1:42" customHeight="1" ht="11.5" s="96" customFormat="1">
      <c r="A676" s="5">
        <v>668</v>
      </c>
      <c r="B676" s="163" t="s">
        <v>1127</v>
      </c>
      <c r="C676" s="151" t="s">
        <v>91</v>
      </c>
      <c r="D676" s="85" t="s">
        <v>92</v>
      </c>
      <c r="E676" s="86">
        <v>0</v>
      </c>
      <c r="F676" s="9">
        <v>0</v>
      </c>
      <c r="G676" s="10"/>
      <c r="H676" s="9">
        <v>0</v>
      </c>
      <c r="I676" s="10"/>
      <c r="J676" s="152">
        <v>0</v>
      </c>
      <c r="K676" s="10"/>
      <c r="L676" s="152">
        <v>0</v>
      </c>
      <c r="M676" s="10"/>
      <c r="N676" s="152">
        <v>0</v>
      </c>
      <c r="O676" s="10"/>
      <c r="P676" s="152">
        <v>0</v>
      </c>
      <c r="Q676" s="10"/>
      <c r="R676" s="9">
        <v>0</v>
      </c>
      <c r="S676" s="10"/>
      <c r="T676" s="9">
        <v>0</v>
      </c>
      <c r="U676" s="10"/>
      <c r="V676" s="9">
        <v>0</v>
      </c>
      <c r="W676" s="10"/>
      <c r="X676" s="9">
        <v>0</v>
      </c>
      <c r="Y676" s="10"/>
      <c r="Z676" s="9">
        <v>0</v>
      </c>
      <c r="AA676" s="10"/>
      <c r="AB676" s="11">
        <v>0</v>
      </c>
      <c r="AC676" s="10"/>
      <c r="AD676" s="7">
        <f>SUM(F676+H676+J676+L676+N676+P676+R676+T676+V676+X676+Z676+AB676)</f>
        <v>0</v>
      </c>
      <c r="AE676" s="7">
        <f>E676+AD676</f>
        <v>0</v>
      </c>
      <c r="AF676" s="8">
        <f>G676+I676+K676+M676+O676+Q676+S676+U676+W676+Y676+AA676+AC676</f>
        <v>0</v>
      </c>
      <c r="AG676" s="153">
        <f>SUM(AE676-AF676)</f>
        <v>0</v>
      </c>
      <c r="AH676" s="96" t="s">
        <v>1504</v>
      </c>
      <c r="AI676" s="96">
        <v>4</v>
      </c>
    </row>
    <row r="677" spans="1:42" customHeight="1" ht="11.5" s="96" customFormat="1">
      <c r="A677" s="5">
        <v>669</v>
      </c>
      <c r="B677" s="163" t="s">
        <v>1128</v>
      </c>
      <c r="C677" s="151" t="s">
        <v>36</v>
      </c>
      <c r="D677" s="85" t="s">
        <v>37</v>
      </c>
      <c r="E677" s="86">
        <v>0</v>
      </c>
      <c r="F677" s="9">
        <v>0</v>
      </c>
      <c r="G677" s="10"/>
      <c r="H677" s="9">
        <v>0</v>
      </c>
      <c r="I677" s="10"/>
      <c r="J677" s="152">
        <v>0</v>
      </c>
      <c r="K677" s="10"/>
      <c r="L677" s="152">
        <v>0</v>
      </c>
      <c r="M677" s="10"/>
      <c r="N677" s="152">
        <v>0</v>
      </c>
      <c r="O677" s="10"/>
      <c r="P677" s="152">
        <v>0</v>
      </c>
      <c r="Q677" s="10"/>
      <c r="R677" s="9">
        <v>0</v>
      </c>
      <c r="S677" s="10"/>
      <c r="T677" s="9">
        <v>0</v>
      </c>
      <c r="U677" s="10"/>
      <c r="V677" s="9">
        <v>0</v>
      </c>
      <c r="W677" s="10"/>
      <c r="X677" s="9">
        <v>0</v>
      </c>
      <c r="Y677" s="10"/>
      <c r="Z677" s="9">
        <v>0</v>
      </c>
      <c r="AA677" s="10"/>
      <c r="AB677" s="11">
        <v>0</v>
      </c>
      <c r="AC677" s="10"/>
      <c r="AD677" s="7">
        <f>SUM(F677+H677+J677+L677+N677+P677+R677+T677+V677+X677+Z677+AB677)</f>
        <v>0</v>
      </c>
      <c r="AE677" s="7">
        <f>E677+AD677</f>
        <v>0</v>
      </c>
      <c r="AF677" s="8">
        <f>G677+I677+K677+M677+O677+Q677+S677+U677+W677+Y677+AA677+AC677</f>
        <v>0</v>
      </c>
      <c r="AG677" s="153">
        <f>SUM(AE677-AF677)</f>
        <v>0</v>
      </c>
      <c r="AH677" s="96" t="s">
        <v>1505</v>
      </c>
      <c r="AI677" s="96">
        <v>4</v>
      </c>
    </row>
    <row r="678" spans="1:42" customHeight="1" ht="11.5" s="96" customFormat="1">
      <c r="A678" s="5">
        <v>670</v>
      </c>
      <c r="B678" s="163" t="s">
        <v>1129</v>
      </c>
      <c r="C678" s="151" t="s">
        <v>36</v>
      </c>
      <c r="D678" s="85" t="s">
        <v>37</v>
      </c>
      <c r="E678" s="86">
        <v>0</v>
      </c>
      <c r="F678" s="9">
        <v>0</v>
      </c>
      <c r="G678" s="10"/>
      <c r="H678" s="9">
        <v>0</v>
      </c>
      <c r="I678" s="10"/>
      <c r="J678" s="152">
        <v>0</v>
      </c>
      <c r="K678" s="10"/>
      <c r="L678" s="152">
        <v>0</v>
      </c>
      <c r="M678" s="10"/>
      <c r="N678" s="152">
        <v>0</v>
      </c>
      <c r="O678" s="10"/>
      <c r="P678" s="152">
        <v>0</v>
      </c>
      <c r="Q678" s="10"/>
      <c r="R678" s="9">
        <v>10000</v>
      </c>
      <c r="S678" s="10"/>
      <c r="T678" s="9">
        <v>0</v>
      </c>
      <c r="U678" s="10"/>
      <c r="V678" s="9">
        <v>0</v>
      </c>
      <c r="W678" s="10"/>
      <c r="X678" s="9">
        <v>0</v>
      </c>
      <c r="Y678" s="10"/>
      <c r="Z678" s="9">
        <v>0</v>
      </c>
      <c r="AA678" s="10"/>
      <c r="AB678" s="11">
        <v>0</v>
      </c>
      <c r="AC678" s="10"/>
      <c r="AD678" s="7">
        <f>SUM(F678+H678+J678+L678+N678+P678+R678+T678+V678+X678+Z678+AB678)</f>
        <v>10000</v>
      </c>
      <c r="AE678" s="7">
        <f>E678+AD678</f>
        <v>10000</v>
      </c>
      <c r="AF678" s="8">
        <f>G678+I678+K678+M678+O678+Q678+S678+U678+W678+Y678+AA678+AC678</f>
        <v>0</v>
      </c>
      <c r="AG678" s="153">
        <f>SUM(AE678-AF678)</f>
        <v>10000</v>
      </c>
      <c r="AH678" s="96" t="s">
        <v>1506</v>
      </c>
      <c r="AI678" s="96">
        <v>4</v>
      </c>
    </row>
    <row r="679" spans="1:42" customHeight="1" ht="11.5" s="96" customFormat="1">
      <c r="A679" s="5">
        <v>671</v>
      </c>
      <c r="B679" s="163" t="s">
        <v>1130</v>
      </c>
      <c r="C679" s="151" t="s">
        <v>91</v>
      </c>
      <c r="D679" s="85" t="s">
        <v>92</v>
      </c>
      <c r="E679" s="86">
        <v>0</v>
      </c>
      <c r="F679" s="9">
        <v>0</v>
      </c>
      <c r="G679" s="10"/>
      <c r="H679" s="9">
        <v>0</v>
      </c>
      <c r="I679" s="10"/>
      <c r="J679" s="152">
        <v>0</v>
      </c>
      <c r="K679" s="10"/>
      <c r="L679" s="152">
        <v>0</v>
      </c>
      <c r="M679" s="10"/>
      <c r="N679" s="152">
        <v>0</v>
      </c>
      <c r="O679" s="10"/>
      <c r="P679" s="152">
        <v>0</v>
      </c>
      <c r="Q679" s="10"/>
      <c r="R679" s="9">
        <v>0</v>
      </c>
      <c r="S679" s="10"/>
      <c r="T679" s="9">
        <v>0</v>
      </c>
      <c r="U679" s="10"/>
      <c r="V679" s="9">
        <v>0</v>
      </c>
      <c r="W679" s="10"/>
      <c r="X679" s="9">
        <v>0</v>
      </c>
      <c r="Y679" s="10"/>
      <c r="Z679" s="9">
        <v>0</v>
      </c>
      <c r="AA679" s="10"/>
      <c r="AB679" s="11">
        <v>0</v>
      </c>
      <c r="AC679" s="10"/>
      <c r="AD679" s="7">
        <f>SUM(F679+H679+J679+L679+N679+P679+R679+T679+V679+X679+Z679+AB679)</f>
        <v>0</v>
      </c>
      <c r="AE679" s="7">
        <f>E679+AD679</f>
        <v>0</v>
      </c>
      <c r="AF679" s="8">
        <f>G679+I679+K679+M679+O679+Q679+S679+U679+W679+Y679+AA679+AC679</f>
        <v>0</v>
      </c>
      <c r="AG679" s="153">
        <f>SUM(AE679-AF679)</f>
        <v>0</v>
      </c>
      <c r="AH679" s="96" t="s">
        <v>1507</v>
      </c>
      <c r="AI679" s="96">
        <v>4</v>
      </c>
    </row>
    <row r="680" spans="1:42" customHeight="1" ht="11.5" s="96" customFormat="1">
      <c r="A680" s="5">
        <v>672</v>
      </c>
      <c r="B680" s="163" t="s">
        <v>1131</v>
      </c>
      <c r="C680" s="151" t="s">
        <v>36</v>
      </c>
      <c r="D680" s="85" t="s">
        <v>37</v>
      </c>
      <c r="E680" s="86">
        <v>0</v>
      </c>
      <c r="F680" s="9">
        <v>0</v>
      </c>
      <c r="G680" s="10"/>
      <c r="H680" s="9">
        <v>0</v>
      </c>
      <c r="I680" s="10"/>
      <c r="J680" s="152">
        <v>0</v>
      </c>
      <c r="K680" s="10"/>
      <c r="L680" s="152">
        <v>0</v>
      </c>
      <c r="M680" s="10"/>
      <c r="N680" s="152">
        <v>0</v>
      </c>
      <c r="O680" s="10"/>
      <c r="P680" s="152">
        <v>0</v>
      </c>
      <c r="Q680" s="10"/>
      <c r="R680" s="9">
        <v>0</v>
      </c>
      <c r="S680" s="10"/>
      <c r="T680" s="9">
        <v>0</v>
      </c>
      <c r="U680" s="10"/>
      <c r="V680" s="9">
        <v>0</v>
      </c>
      <c r="W680" s="10"/>
      <c r="X680" s="9">
        <v>0</v>
      </c>
      <c r="Y680" s="10"/>
      <c r="Z680" s="9">
        <v>0</v>
      </c>
      <c r="AA680" s="10"/>
      <c r="AB680" s="11">
        <v>0</v>
      </c>
      <c r="AC680" s="10"/>
      <c r="AD680" s="7">
        <f>SUM(F680+H680+J680+L680+N680+P680+R680+T680+V680+X680+Z680+AB680)</f>
        <v>0</v>
      </c>
      <c r="AE680" s="7">
        <f>E680+AD680</f>
        <v>0</v>
      </c>
      <c r="AF680" s="8">
        <f>G680+I680+K680+M680+O680+Q680+S680+U680+W680+Y680+AA680+AC680</f>
        <v>0</v>
      </c>
      <c r="AG680" s="153">
        <f>SUM(AE680-AF680)</f>
        <v>0</v>
      </c>
      <c r="AH680" s="96" t="s">
        <v>1508</v>
      </c>
      <c r="AI680" s="96">
        <v>4</v>
      </c>
    </row>
    <row r="681" spans="1:42" customHeight="1" ht="11.5" s="96" customFormat="1">
      <c r="A681" s="5">
        <v>673</v>
      </c>
      <c r="B681" s="163" t="s">
        <v>1132</v>
      </c>
      <c r="C681" s="151" t="s">
        <v>36</v>
      </c>
      <c r="D681" s="85" t="s">
        <v>37</v>
      </c>
      <c r="E681" s="86">
        <v>0</v>
      </c>
      <c r="F681" s="9">
        <v>0</v>
      </c>
      <c r="G681" s="10"/>
      <c r="H681" s="9">
        <v>0</v>
      </c>
      <c r="I681" s="10"/>
      <c r="J681" s="152">
        <v>0</v>
      </c>
      <c r="K681" s="10"/>
      <c r="L681" s="152">
        <v>0</v>
      </c>
      <c r="M681" s="10"/>
      <c r="N681" s="152">
        <v>0</v>
      </c>
      <c r="O681" s="10"/>
      <c r="P681" s="152">
        <v>0</v>
      </c>
      <c r="Q681" s="10"/>
      <c r="R681" s="9">
        <v>0</v>
      </c>
      <c r="S681" s="10"/>
      <c r="T681" s="9">
        <v>0</v>
      </c>
      <c r="U681" s="10"/>
      <c r="V681" s="9">
        <v>0</v>
      </c>
      <c r="W681" s="10"/>
      <c r="X681" s="9">
        <v>0</v>
      </c>
      <c r="Y681" s="10"/>
      <c r="Z681" s="9">
        <v>0</v>
      </c>
      <c r="AA681" s="10"/>
      <c r="AB681" s="11">
        <v>0</v>
      </c>
      <c r="AC681" s="10"/>
      <c r="AD681" s="7">
        <f>SUM(F681+H681+J681+L681+N681+P681+R681+T681+V681+X681+Z681+AB681)</f>
        <v>0</v>
      </c>
      <c r="AE681" s="7">
        <f>E681+AD681</f>
        <v>0</v>
      </c>
      <c r="AF681" s="8">
        <f>G681+I681+K681+M681+O681+Q681+S681+U681+W681+Y681+AA681+AC681</f>
        <v>0</v>
      </c>
      <c r="AG681" s="153">
        <f>SUM(AE681-AF681)</f>
        <v>0</v>
      </c>
      <c r="AH681" s="96" t="s">
        <v>1509</v>
      </c>
      <c r="AI681" s="96">
        <v>4</v>
      </c>
    </row>
    <row r="682" spans="1:42" customHeight="1" ht="11.5" s="96" customFormat="1">
      <c r="A682" s="5">
        <v>674</v>
      </c>
      <c r="B682" s="163" t="s">
        <v>1133</v>
      </c>
      <c r="C682" s="151" t="s">
        <v>36</v>
      </c>
      <c r="D682" s="85" t="s">
        <v>37</v>
      </c>
      <c r="E682" s="86">
        <v>0</v>
      </c>
      <c r="F682" s="9">
        <v>0</v>
      </c>
      <c r="G682" s="10"/>
      <c r="H682" s="9">
        <v>0</v>
      </c>
      <c r="I682" s="10"/>
      <c r="J682" s="152">
        <v>0</v>
      </c>
      <c r="K682" s="10"/>
      <c r="L682" s="152">
        <v>0</v>
      </c>
      <c r="M682" s="10"/>
      <c r="N682" s="152">
        <v>0</v>
      </c>
      <c r="O682" s="10"/>
      <c r="P682" s="152">
        <v>0</v>
      </c>
      <c r="Q682" s="10"/>
      <c r="R682" s="9">
        <v>0</v>
      </c>
      <c r="S682" s="10"/>
      <c r="T682" s="9">
        <v>0</v>
      </c>
      <c r="U682" s="10"/>
      <c r="V682" s="9">
        <v>0</v>
      </c>
      <c r="W682" s="10"/>
      <c r="X682" s="9">
        <v>0</v>
      </c>
      <c r="Y682" s="10"/>
      <c r="Z682" s="9">
        <v>0</v>
      </c>
      <c r="AA682" s="10"/>
      <c r="AB682" s="11">
        <v>0</v>
      </c>
      <c r="AC682" s="10"/>
      <c r="AD682" s="7">
        <f>SUM(F682+H682+J682+L682+N682+P682+R682+T682+V682+X682+Z682+AB682)</f>
        <v>0</v>
      </c>
      <c r="AE682" s="7">
        <f>E682+AD682</f>
        <v>0</v>
      </c>
      <c r="AF682" s="8">
        <f>G682+I682+K682+M682+O682+Q682+S682+U682+W682+Y682+AA682+AC682</f>
        <v>0</v>
      </c>
      <c r="AG682" s="153">
        <f>SUM(AE682-AF682)</f>
        <v>0</v>
      </c>
      <c r="AH682" s="96" t="s">
        <v>1510</v>
      </c>
      <c r="AI682" s="96">
        <v>4</v>
      </c>
    </row>
    <row r="683" spans="1:42" customHeight="1" ht="11.5" s="96" customFormat="1">
      <c r="A683" s="5">
        <v>675</v>
      </c>
      <c r="B683" s="163" t="s">
        <v>1134</v>
      </c>
      <c r="C683" s="151" t="s">
        <v>36</v>
      </c>
      <c r="D683" s="85" t="s">
        <v>37</v>
      </c>
      <c r="E683" s="86">
        <v>0</v>
      </c>
      <c r="F683" s="9">
        <v>0</v>
      </c>
      <c r="G683" s="10"/>
      <c r="H683" s="9">
        <v>0</v>
      </c>
      <c r="I683" s="10"/>
      <c r="J683" s="152">
        <v>0</v>
      </c>
      <c r="K683" s="10"/>
      <c r="L683" s="152">
        <v>0</v>
      </c>
      <c r="M683" s="10"/>
      <c r="N683" s="152">
        <v>0</v>
      </c>
      <c r="O683" s="10"/>
      <c r="P683" s="152">
        <v>0</v>
      </c>
      <c r="Q683" s="10"/>
      <c r="R683" s="9">
        <v>0</v>
      </c>
      <c r="S683" s="10"/>
      <c r="T683" s="9">
        <v>0</v>
      </c>
      <c r="U683" s="10"/>
      <c r="V683" s="9">
        <v>0</v>
      </c>
      <c r="W683" s="10"/>
      <c r="X683" s="9">
        <v>0</v>
      </c>
      <c r="Y683" s="10"/>
      <c r="Z683" s="9">
        <v>0</v>
      </c>
      <c r="AA683" s="10"/>
      <c r="AB683" s="11">
        <v>0</v>
      </c>
      <c r="AC683" s="10"/>
      <c r="AD683" s="7">
        <f>SUM(F683+H683+J683+L683+N683+P683+R683+T683+V683+X683+Z683+AB683)</f>
        <v>0</v>
      </c>
      <c r="AE683" s="7">
        <f>E683+AD683</f>
        <v>0</v>
      </c>
      <c r="AF683" s="8">
        <f>G683+I683+K683+M683+O683+Q683+S683+U683+W683+Y683+AA683+AC683</f>
        <v>0</v>
      </c>
      <c r="AG683" s="153">
        <f>SUM(AE683-AF683)</f>
        <v>0</v>
      </c>
      <c r="AH683" s="96" t="s">
        <v>1511</v>
      </c>
      <c r="AI683" s="96">
        <v>4</v>
      </c>
    </row>
    <row r="684" spans="1:42" customHeight="1" ht="11.5" s="96" customFormat="1">
      <c r="A684" s="5">
        <v>676</v>
      </c>
      <c r="B684" s="163" t="s">
        <v>1135</v>
      </c>
      <c r="C684" s="151" t="s">
        <v>36</v>
      </c>
      <c r="D684" s="85" t="s">
        <v>37</v>
      </c>
      <c r="E684" s="86">
        <v>0</v>
      </c>
      <c r="F684" s="9">
        <v>0</v>
      </c>
      <c r="G684" s="10"/>
      <c r="H684" s="9">
        <v>0</v>
      </c>
      <c r="I684" s="10"/>
      <c r="J684" s="152">
        <v>0</v>
      </c>
      <c r="K684" s="10"/>
      <c r="L684" s="152">
        <v>0</v>
      </c>
      <c r="M684" s="10"/>
      <c r="N684" s="152">
        <v>0</v>
      </c>
      <c r="O684" s="10"/>
      <c r="P684" s="152">
        <v>0</v>
      </c>
      <c r="Q684" s="10"/>
      <c r="R684" s="9">
        <v>0</v>
      </c>
      <c r="S684" s="10"/>
      <c r="T684" s="9">
        <v>0</v>
      </c>
      <c r="U684" s="10"/>
      <c r="V684" s="9">
        <v>0</v>
      </c>
      <c r="W684" s="10"/>
      <c r="X684" s="9">
        <v>0</v>
      </c>
      <c r="Y684" s="10"/>
      <c r="Z684" s="9">
        <v>0</v>
      </c>
      <c r="AA684" s="10"/>
      <c r="AB684" s="11">
        <v>0</v>
      </c>
      <c r="AC684" s="10"/>
      <c r="AD684" s="7">
        <f>SUM(F684+H684+J684+L684+N684+P684+R684+T684+V684+X684+Z684+AB684)</f>
        <v>0</v>
      </c>
      <c r="AE684" s="7">
        <f>E684+AD684</f>
        <v>0</v>
      </c>
      <c r="AF684" s="8">
        <f>G684+I684+K684+M684+O684+Q684+S684+U684+W684+Y684+AA684+AC684</f>
        <v>0</v>
      </c>
      <c r="AG684" s="153">
        <f>SUM(AE684-AF684)</f>
        <v>0</v>
      </c>
      <c r="AH684" s="96" t="s">
        <v>1512</v>
      </c>
      <c r="AI684" s="96">
        <v>4</v>
      </c>
    </row>
    <row r="685" spans="1:42" customHeight="1" ht="11.5" s="96" customFormat="1">
      <c r="A685" s="5">
        <v>677</v>
      </c>
      <c r="B685" s="163" t="s">
        <v>1136</v>
      </c>
      <c r="C685" s="151" t="s">
        <v>36</v>
      </c>
      <c r="D685" s="85" t="s">
        <v>37</v>
      </c>
      <c r="E685" s="86">
        <v>0</v>
      </c>
      <c r="F685" s="9">
        <v>0</v>
      </c>
      <c r="G685" s="10"/>
      <c r="H685" s="9">
        <v>0</v>
      </c>
      <c r="I685" s="10"/>
      <c r="J685" s="152">
        <v>0</v>
      </c>
      <c r="K685" s="10"/>
      <c r="L685" s="152">
        <v>0</v>
      </c>
      <c r="M685" s="10"/>
      <c r="N685" s="152">
        <v>0</v>
      </c>
      <c r="O685" s="10"/>
      <c r="P685" s="152">
        <v>0</v>
      </c>
      <c r="Q685" s="10"/>
      <c r="R685" s="9">
        <v>0</v>
      </c>
      <c r="S685" s="10"/>
      <c r="T685" s="9">
        <v>0</v>
      </c>
      <c r="U685" s="10"/>
      <c r="V685" s="9">
        <v>0</v>
      </c>
      <c r="W685" s="10"/>
      <c r="X685" s="9">
        <v>0</v>
      </c>
      <c r="Y685" s="10"/>
      <c r="Z685" s="9">
        <v>0</v>
      </c>
      <c r="AA685" s="10"/>
      <c r="AB685" s="11">
        <v>0</v>
      </c>
      <c r="AC685" s="10"/>
      <c r="AD685" s="7">
        <f>SUM(F685+H685+J685+L685+N685+P685+R685+T685+V685+X685+Z685+AB685)</f>
        <v>0</v>
      </c>
      <c r="AE685" s="7">
        <f>E685+AD685</f>
        <v>0</v>
      </c>
      <c r="AF685" s="8">
        <f>G685+I685+K685+M685+O685+Q685+S685+U685+W685+Y685+AA685+AC685</f>
        <v>0</v>
      </c>
      <c r="AG685" s="153">
        <f>SUM(AE685-AF685)</f>
        <v>0</v>
      </c>
      <c r="AH685" s="96" t="s">
        <v>1513</v>
      </c>
      <c r="AI685" s="96">
        <v>4</v>
      </c>
    </row>
    <row r="686" spans="1:42" customHeight="1" ht="11.5" s="96" customFormat="1">
      <c r="A686" s="5">
        <v>678</v>
      </c>
      <c r="B686" s="163" t="s">
        <v>1137</v>
      </c>
      <c r="C686" s="151" t="s">
        <v>36</v>
      </c>
      <c r="D686" s="85" t="s">
        <v>37</v>
      </c>
      <c r="E686" s="86">
        <v>0</v>
      </c>
      <c r="F686" s="9">
        <v>0</v>
      </c>
      <c r="G686" s="10"/>
      <c r="H686" s="9">
        <v>0</v>
      </c>
      <c r="I686" s="10"/>
      <c r="J686" s="152">
        <v>0</v>
      </c>
      <c r="K686" s="10"/>
      <c r="L686" s="152">
        <v>0</v>
      </c>
      <c r="M686" s="10"/>
      <c r="N686" s="152">
        <v>0</v>
      </c>
      <c r="O686" s="10"/>
      <c r="P686" s="152">
        <v>0</v>
      </c>
      <c r="Q686" s="10"/>
      <c r="R686" s="9">
        <v>0</v>
      </c>
      <c r="S686" s="10"/>
      <c r="T686" s="9">
        <v>0</v>
      </c>
      <c r="U686" s="10"/>
      <c r="V686" s="9">
        <v>0</v>
      </c>
      <c r="W686" s="10"/>
      <c r="X686" s="9">
        <v>0</v>
      </c>
      <c r="Y686" s="10"/>
      <c r="Z686" s="9">
        <v>0</v>
      </c>
      <c r="AA686" s="10"/>
      <c r="AB686" s="11">
        <v>0</v>
      </c>
      <c r="AC686" s="10"/>
      <c r="AD686" s="7">
        <f>SUM(F686+H686+J686+L686+N686+P686+R686+T686+V686+X686+Z686+AB686)</f>
        <v>0</v>
      </c>
      <c r="AE686" s="7">
        <f>E686+AD686</f>
        <v>0</v>
      </c>
      <c r="AF686" s="8">
        <f>G686+I686+K686+M686+O686+Q686+S686+U686+W686+Y686+AA686+AC686</f>
        <v>0</v>
      </c>
      <c r="AG686" s="153">
        <f>SUM(AE686-AF686)</f>
        <v>0</v>
      </c>
      <c r="AH686" s="96" t="s">
        <v>1514</v>
      </c>
      <c r="AI686" s="96">
        <v>4</v>
      </c>
    </row>
    <row r="687" spans="1:42" customHeight="1" ht="11.5" s="96" customFormat="1">
      <c r="A687" s="5">
        <v>679</v>
      </c>
      <c r="B687" s="163" t="s">
        <v>1138</v>
      </c>
      <c r="C687" s="151" t="s">
        <v>36</v>
      </c>
      <c r="D687" s="85" t="s">
        <v>37</v>
      </c>
      <c r="E687" s="86">
        <v>0</v>
      </c>
      <c r="F687" s="9">
        <v>0</v>
      </c>
      <c r="G687" s="10"/>
      <c r="H687" s="9">
        <v>0</v>
      </c>
      <c r="I687" s="10"/>
      <c r="J687" s="152">
        <v>0</v>
      </c>
      <c r="K687" s="10"/>
      <c r="L687" s="152">
        <v>0</v>
      </c>
      <c r="M687" s="10"/>
      <c r="N687" s="152">
        <v>0</v>
      </c>
      <c r="O687" s="10"/>
      <c r="P687" s="152">
        <v>0</v>
      </c>
      <c r="Q687" s="10"/>
      <c r="R687" s="9">
        <v>0</v>
      </c>
      <c r="S687" s="10"/>
      <c r="T687" s="9">
        <v>0</v>
      </c>
      <c r="U687" s="10"/>
      <c r="V687" s="9">
        <v>0</v>
      </c>
      <c r="W687" s="10"/>
      <c r="X687" s="9">
        <v>0</v>
      </c>
      <c r="Y687" s="10"/>
      <c r="Z687" s="9">
        <v>0</v>
      </c>
      <c r="AA687" s="10"/>
      <c r="AB687" s="11">
        <v>0</v>
      </c>
      <c r="AC687" s="10"/>
      <c r="AD687" s="7">
        <f>SUM(F687+H687+J687+L687+N687+P687+R687+T687+V687+X687+Z687+AB687)</f>
        <v>0</v>
      </c>
      <c r="AE687" s="7">
        <f>E687+AD687</f>
        <v>0</v>
      </c>
      <c r="AF687" s="8">
        <f>G687+I687+K687+M687+O687+Q687+S687+U687+W687+Y687+AA687+AC687</f>
        <v>0</v>
      </c>
      <c r="AG687" s="153">
        <f>SUM(AE687-AF687)</f>
        <v>0</v>
      </c>
      <c r="AH687" s="96" t="s">
        <v>1515</v>
      </c>
      <c r="AI687" s="96">
        <v>4</v>
      </c>
    </row>
    <row r="688" spans="1:42" customHeight="1" ht="11.5" s="96" customFormat="1">
      <c r="A688" s="5">
        <v>680</v>
      </c>
      <c r="B688" s="173" t="s">
        <v>1139</v>
      </c>
      <c r="C688" s="167" t="s">
        <v>36</v>
      </c>
      <c r="D688" s="88" t="s">
        <v>37</v>
      </c>
      <c r="E688" s="86">
        <v>0</v>
      </c>
      <c r="F688" s="9">
        <v>0</v>
      </c>
      <c r="G688" s="10"/>
      <c r="H688" s="9">
        <v>0</v>
      </c>
      <c r="I688" s="10"/>
      <c r="J688" s="152">
        <v>0</v>
      </c>
      <c r="K688" s="10"/>
      <c r="L688" s="152">
        <v>0</v>
      </c>
      <c r="M688" s="10"/>
      <c r="N688" s="152">
        <v>0</v>
      </c>
      <c r="O688" s="10"/>
      <c r="P688" s="152">
        <v>0</v>
      </c>
      <c r="Q688" s="10"/>
      <c r="R688" s="9">
        <v>0</v>
      </c>
      <c r="S688" s="10"/>
      <c r="T688" s="9">
        <v>0</v>
      </c>
      <c r="U688" s="10"/>
      <c r="V688" s="9">
        <v>0</v>
      </c>
      <c r="W688" s="10"/>
      <c r="X688" s="9">
        <v>0</v>
      </c>
      <c r="Y688" s="10"/>
      <c r="Z688" s="9">
        <v>0</v>
      </c>
      <c r="AA688" s="10"/>
      <c r="AB688" s="11">
        <v>0</v>
      </c>
      <c r="AC688" s="10"/>
      <c r="AD688" s="7">
        <f>SUM(F688+H688+J688+L688+N688+P688+R688+T688+V688+X688+Z688+AB688)</f>
        <v>0</v>
      </c>
      <c r="AE688" s="7">
        <f>E688+AD688</f>
        <v>0</v>
      </c>
      <c r="AF688" s="8">
        <f>G688+I688+K688+M688+O688+Q688+S688+U688+W688+Y688+AA688+AC688</f>
        <v>0</v>
      </c>
      <c r="AG688" s="153">
        <f>SUM(AE688-AF688)</f>
        <v>0</v>
      </c>
      <c r="AH688" s="96" t="s">
        <v>1515</v>
      </c>
      <c r="AI688" s="96">
        <v>4</v>
      </c>
    </row>
    <row r="689" spans="1:42" customHeight="1" ht="11.5" s="96" customFormat="1">
      <c r="A689" s="5">
        <v>681</v>
      </c>
      <c r="B689" s="173" t="s">
        <v>1140</v>
      </c>
      <c r="C689" s="167" t="s">
        <v>36</v>
      </c>
      <c r="D689" s="88" t="s">
        <v>37</v>
      </c>
      <c r="E689" s="86">
        <v>0</v>
      </c>
      <c r="F689" s="9">
        <v>0</v>
      </c>
      <c r="G689" s="10"/>
      <c r="H689" s="9">
        <v>0</v>
      </c>
      <c r="I689" s="10"/>
      <c r="J689" s="152">
        <v>0</v>
      </c>
      <c r="K689" s="10"/>
      <c r="L689" s="152">
        <v>0</v>
      </c>
      <c r="M689" s="10"/>
      <c r="N689" s="152">
        <v>0</v>
      </c>
      <c r="O689" s="10"/>
      <c r="P689" s="152">
        <v>0</v>
      </c>
      <c r="Q689" s="10"/>
      <c r="R689" s="9">
        <v>0</v>
      </c>
      <c r="S689" s="10"/>
      <c r="T689" s="9">
        <v>0</v>
      </c>
      <c r="U689" s="10"/>
      <c r="V689" s="9">
        <v>0</v>
      </c>
      <c r="W689" s="10"/>
      <c r="X689" s="9">
        <v>0</v>
      </c>
      <c r="Y689" s="10"/>
      <c r="Z689" s="9">
        <v>0</v>
      </c>
      <c r="AA689" s="10"/>
      <c r="AB689" s="11">
        <v>0</v>
      </c>
      <c r="AC689" s="10"/>
      <c r="AD689" s="7">
        <f>SUM(F689+H689+J689+L689+N689+P689+R689+T689+V689+X689+Z689+AB689)</f>
        <v>0</v>
      </c>
      <c r="AE689" s="7">
        <f>E689+AD689</f>
        <v>0</v>
      </c>
      <c r="AF689" s="8">
        <f>G689+I689+K689+M689+O689+Q689+S689+U689+W689+Y689+AA689+AC689</f>
        <v>0</v>
      </c>
      <c r="AG689" s="153">
        <f>SUM(AE689-AF689)</f>
        <v>0</v>
      </c>
      <c r="AH689" s="96" t="s">
        <v>1515</v>
      </c>
      <c r="AI689" s="96">
        <v>4</v>
      </c>
    </row>
    <row r="690" spans="1:42" customHeight="1" ht="11.5" s="96" customFormat="1">
      <c r="A690" s="5">
        <v>682</v>
      </c>
      <c r="B690" s="173" t="s">
        <v>1141</v>
      </c>
      <c r="C690" s="167" t="s">
        <v>36</v>
      </c>
      <c r="D690" s="88" t="s">
        <v>37</v>
      </c>
      <c r="E690" s="86">
        <v>0</v>
      </c>
      <c r="F690" s="9">
        <v>0</v>
      </c>
      <c r="G690" s="10"/>
      <c r="H690" s="9">
        <v>0</v>
      </c>
      <c r="I690" s="10"/>
      <c r="J690" s="152">
        <v>0</v>
      </c>
      <c r="K690" s="10"/>
      <c r="L690" s="152">
        <v>0</v>
      </c>
      <c r="M690" s="10"/>
      <c r="N690" s="152">
        <v>0</v>
      </c>
      <c r="O690" s="10"/>
      <c r="P690" s="152">
        <v>0</v>
      </c>
      <c r="Q690" s="10"/>
      <c r="R690" s="9">
        <v>0</v>
      </c>
      <c r="S690" s="10"/>
      <c r="T690" s="9">
        <v>0</v>
      </c>
      <c r="U690" s="10"/>
      <c r="V690" s="9">
        <v>0</v>
      </c>
      <c r="W690" s="10"/>
      <c r="X690" s="9">
        <v>0</v>
      </c>
      <c r="Y690" s="10"/>
      <c r="Z690" s="9">
        <v>0</v>
      </c>
      <c r="AA690" s="10"/>
      <c r="AB690" s="11">
        <v>0</v>
      </c>
      <c r="AC690" s="10"/>
      <c r="AD690" s="7">
        <f>SUM(F690+H690+J690+L690+N690+P690+R690+T690+V690+X690+Z690+AB690)</f>
        <v>0</v>
      </c>
      <c r="AE690" s="7">
        <f>E690+AD690</f>
        <v>0</v>
      </c>
      <c r="AF690" s="8">
        <f>G690+I690+K690+M690+O690+Q690+S690+U690+W690+Y690+AA690+AC690</f>
        <v>0</v>
      </c>
      <c r="AG690" s="153">
        <f>SUM(AE690-AF690)</f>
        <v>0</v>
      </c>
      <c r="AH690" s="96" t="s">
        <v>1515</v>
      </c>
      <c r="AI690" s="96">
        <v>4</v>
      </c>
    </row>
    <row r="691" spans="1:42" customHeight="1" ht="11.5" s="96" customFormat="1">
      <c r="A691" s="5">
        <v>683</v>
      </c>
      <c r="B691" s="173" t="s">
        <v>1142</v>
      </c>
      <c r="C691" s="167" t="s">
        <v>36</v>
      </c>
      <c r="D691" s="88" t="s">
        <v>37</v>
      </c>
      <c r="E691" s="86">
        <v>0</v>
      </c>
      <c r="F691" s="9">
        <v>0</v>
      </c>
      <c r="G691" s="10"/>
      <c r="H691" s="9">
        <v>0</v>
      </c>
      <c r="I691" s="10"/>
      <c r="J691" s="152">
        <v>0</v>
      </c>
      <c r="K691" s="10"/>
      <c r="L691" s="152">
        <v>0</v>
      </c>
      <c r="M691" s="10"/>
      <c r="N691" s="152">
        <v>0</v>
      </c>
      <c r="O691" s="10"/>
      <c r="P691" s="152">
        <v>0</v>
      </c>
      <c r="Q691" s="10"/>
      <c r="R691" s="9">
        <v>0</v>
      </c>
      <c r="S691" s="10"/>
      <c r="T691" s="9">
        <v>0</v>
      </c>
      <c r="U691" s="10"/>
      <c r="V691" s="9">
        <v>0</v>
      </c>
      <c r="W691" s="10"/>
      <c r="X691" s="9">
        <v>0</v>
      </c>
      <c r="Y691" s="10"/>
      <c r="Z691" s="9">
        <v>0</v>
      </c>
      <c r="AA691" s="10"/>
      <c r="AB691" s="11">
        <v>0</v>
      </c>
      <c r="AC691" s="10"/>
      <c r="AD691" s="7">
        <f>SUM(F691+H691+J691+L691+N691+P691+R691+T691+V691+X691+Z691+AB691)</f>
        <v>0</v>
      </c>
      <c r="AE691" s="7">
        <f>E691+AD691</f>
        <v>0</v>
      </c>
      <c r="AF691" s="8">
        <f>G691+I691+K691+M691+O691+Q691+S691+U691+W691+Y691+AA691+AC691</f>
        <v>0</v>
      </c>
      <c r="AG691" s="153">
        <f>SUM(AE691-AF691)</f>
        <v>0</v>
      </c>
      <c r="AH691" s="96" t="s">
        <v>1516</v>
      </c>
      <c r="AI691" s="96">
        <v>4</v>
      </c>
    </row>
    <row r="692" spans="1:42" customHeight="1" ht="11.5" s="96" customFormat="1">
      <c r="A692" s="5">
        <v>684</v>
      </c>
      <c r="B692" s="173" t="s">
        <v>1143</v>
      </c>
      <c r="C692" s="167" t="s">
        <v>36</v>
      </c>
      <c r="D692" s="88" t="s">
        <v>37</v>
      </c>
      <c r="E692" s="86">
        <v>0</v>
      </c>
      <c r="F692" s="9">
        <v>0</v>
      </c>
      <c r="G692" s="10"/>
      <c r="H692" s="9">
        <v>0</v>
      </c>
      <c r="I692" s="10"/>
      <c r="J692" s="152">
        <v>0</v>
      </c>
      <c r="K692" s="10"/>
      <c r="L692" s="152">
        <v>0</v>
      </c>
      <c r="M692" s="10"/>
      <c r="N692" s="152">
        <v>0</v>
      </c>
      <c r="O692" s="10"/>
      <c r="P692" s="152">
        <v>0</v>
      </c>
      <c r="Q692" s="10"/>
      <c r="R692" s="9">
        <v>0</v>
      </c>
      <c r="S692" s="10"/>
      <c r="T692" s="9">
        <v>0</v>
      </c>
      <c r="U692" s="10"/>
      <c r="V692" s="9">
        <v>0</v>
      </c>
      <c r="W692" s="10"/>
      <c r="X692" s="9">
        <v>0</v>
      </c>
      <c r="Y692" s="10"/>
      <c r="Z692" s="9">
        <v>0</v>
      </c>
      <c r="AA692" s="10"/>
      <c r="AB692" s="11">
        <v>0</v>
      </c>
      <c r="AC692" s="10"/>
      <c r="AD692" s="7">
        <f>SUM(F692+H692+J692+L692+N692+P692+R692+T692+V692+X692+Z692+AB692)</f>
        <v>0</v>
      </c>
      <c r="AE692" s="7">
        <f>E692+AD692</f>
        <v>0</v>
      </c>
      <c r="AF692" s="8">
        <f>G692+I692+K692+M692+O692+Q692+S692+U692+W692+Y692+AA692+AC692</f>
        <v>0</v>
      </c>
      <c r="AG692" s="153">
        <f>SUM(AE692-AF692)</f>
        <v>0</v>
      </c>
      <c r="AH692" s="96" t="s">
        <v>1516</v>
      </c>
      <c r="AI692" s="96">
        <v>4</v>
      </c>
    </row>
    <row r="693" spans="1:42" customHeight="1" ht="11.5" s="96" customFormat="1">
      <c r="A693" s="5">
        <v>685</v>
      </c>
      <c r="B693" s="173" t="s">
        <v>1144</v>
      </c>
      <c r="C693" s="167" t="s">
        <v>36</v>
      </c>
      <c r="D693" s="88" t="s">
        <v>37</v>
      </c>
      <c r="E693" s="86">
        <v>0</v>
      </c>
      <c r="F693" s="9">
        <v>0</v>
      </c>
      <c r="G693" s="10"/>
      <c r="H693" s="9">
        <v>0</v>
      </c>
      <c r="I693" s="10"/>
      <c r="J693" s="152">
        <v>0</v>
      </c>
      <c r="K693" s="10"/>
      <c r="L693" s="152">
        <v>0</v>
      </c>
      <c r="M693" s="10"/>
      <c r="N693" s="152">
        <v>0</v>
      </c>
      <c r="O693" s="10"/>
      <c r="P693" s="152">
        <v>0</v>
      </c>
      <c r="Q693" s="10"/>
      <c r="R693" s="9">
        <v>0</v>
      </c>
      <c r="S693" s="10"/>
      <c r="T693" s="9">
        <v>0</v>
      </c>
      <c r="U693" s="10"/>
      <c r="V693" s="9">
        <v>0</v>
      </c>
      <c r="W693" s="10"/>
      <c r="X693" s="9">
        <v>0</v>
      </c>
      <c r="Y693" s="10"/>
      <c r="Z693" s="9">
        <v>0</v>
      </c>
      <c r="AA693" s="10"/>
      <c r="AB693" s="11">
        <v>0</v>
      </c>
      <c r="AC693" s="10"/>
      <c r="AD693" s="7">
        <f>SUM(F693+H693+J693+L693+N693+P693+R693+T693+V693+X693+Z693+AB693)</f>
        <v>0</v>
      </c>
      <c r="AE693" s="7">
        <f>E693+AD693</f>
        <v>0</v>
      </c>
      <c r="AF693" s="8">
        <f>G693+I693+K693+M693+O693+Q693+S693+U693+W693+Y693+AA693+AC693</f>
        <v>0</v>
      </c>
      <c r="AG693" s="153">
        <f>SUM(AE693-AF693)</f>
        <v>0</v>
      </c>
      <c r="AH693" s="96" t="s">
        <v>1516</v>
      </c>
      <c r="AI693" s="96">
        <v>4</v>
      </c>
    </row>
    <row r="694" spans="1:42" customHeight="1" ht="11.5" s="96" customFormat="1">
      <c r="A694" s="5">
        <v>686</v>
      </c>
      <c r="B694" s="163" t="s">
        <v>1145</v>
      </c>
      <c r="C694" s="151" t="s">
        <v>36</v>
      </c>
      <c r="D694" s="85" t="s">
        <v>37</v>
      </c>
      <c r="E694" s="86">
        <v>0</v>
      </c>
      <c r="F694" s="9">
        <v>0</v>
      </c>
      <c r="G694" s="10"/>
      <c r="H694" s="9">
        <v>0</v>
      </c>
      <c r="I694" s="10"/>
      <c r="J694" s="152">
        <v>0</v>
      </c>
      <c r="K694" s="10"/>
      <c r="L694" s="152">
        <v>0</v>
      </c>
      <c r="M694" s="10"/>
      <c r="N694" s="152">
        <v>0</v>
      </c>
      <c r="O694" s="10"/>
      <c r="P694" s="152">
        <v>0</v>
      </c>
      <c r="Q694" s="10"/>
      <c r="R694" s="9">
        <v>0</v>
      </c>
      <c r="S694" s="10"/>
      <c r="T694" s="9">
        <v>0</v>
      </c>
      <c r="U694" s="10"/>
      <c r="V694" s="9">
        <v>0</v>
      </c>
      <c r="W694" s="10"/>
      <c r="X694" s="9">
        <v>0</v>
      </c>
      <c r="Y694" s="10"/>
      <c r="Z694" s="9">
        <v>0</v>
      </c>
      <c r="AA694" s="10"/>
      <c r="AB694" s="11">
        <v>0</v>
      </c>
      <c r="AC694" s="10"/>
      <c r="AD694" s="7">
        <f>SUM(F694+H694+J694+L694+N694+P694+R694+T694+V694+X694+Z694+AB694)</f>
        <v>0</v>
      </c>
      <c r="AE694" s="7">
        <f>E694+AD694</f>
        <v>0</v>
      </c>
      <c r="AF694" s="8">
        <f>G694+I694+K694+M694+O694+Q694+S694+U694+W694+Y694+AA694+AC694</f>
        <v>0</v>
      </c>
      <c r="AG694" s="153">
        <f>SUM(AE694-AF694)</f>
        <v>0</v>
      </c>
      <c r="AH694" s="96" t="s">
        <v>1517</v>
      </c>
      <c r="AI694" s="96">
        <v>4</v>
      </c>
    </row>
    <row r="695" spans="1:42" customHeight="1" ht="11.5" s="96" customFormat="1">
      <c r="A695" s="5">
        <v>687</v>
      </c>
      <c r="B695" s="162" t="s">
        <v>1146</v>
      </c>
      <c r="C695" s="4" t="s">
        <v>36</v>
      </c>
      <c r="D695" s="85" t="s">
        <v>37</v>
      </c>
      <c r="E695" s="86">
        <v>0</v>
      </c>
      <c r="F695" s="9">
        <v>0</v>
      </c>
      <c r="G695" s="10"/>
      <c r="H695" s="9">
        <v>0</v>
      </c>
      <c r="I695" s="10"/>
      <c r="J695" s="152">
        <v>0</v>
      </c>
      <c r="K695" s="10"/>
      <c r="L695" s="152">
        <v>0</v>
      </c>
      <c r="M695" s="10"/>
      <c r="N695" s="152">
        <v>0</v>
      </c>
      <c r="O695" s="10"/>
      <c r="P695" s="152">
        <v>0</v>
      </c>
      <c r="Q695" s="10"/>
      <c r="R695" s="9">
        <v>0</v>
      </c>
      <c r="S695" s="10"/>
      <c r="T695" s="9">
        <v>0</v>
      </c>
      <c r="U695" s="10"/>
      <c r="V695" s="9">
        <v>0</v>
      </c>
      <c r="W695" s="10"/>
      <c r="X695" s="9">
        <v>0</v>
      </c>
      <c r="Y695" s="10"/>
      <c r="Z695" s="9">
        <v>0</v>
      </c>
      <c r="AA695" s="10"/>
      <c r="AB695" s="11">
        <v>0</v>
      </c>
      <c r="AC695" s="10"/>
      <c r="AD695" s="7">
        <f>SUM(F695+H695+J695+L695+N695+P695+R695+T695+V695+X695+Z695+AB695)</f>
        <v>0</v>
      </c>
      <c r="AE695" s="7">
        <f>E695+AD695</f>
        <v>0</v>
      </c>
      <c r="AF695" s="8">
        <f>G695+I695+K695+M695+O695+Q695+S695+U695+W695+Y695+AA695+AC695</f>
        <v>0</v>
      </c>
      <c r="AG695" s="153">
        <f>SUM(AE695-AF695)</f>
        <v>0</v>
      </c>
      <c r="AH695" s="96" t="s">
        <v>1517</v>
      </c>
      <c r="AI695" s="96">
        <v>4</v>
      </c>
    </row>
    <row r="696" spans="1:42" customHeight="1" ht="11.5" s="96" customFormat="1">
      <c r="A696" s="5">
        <v>688</v>
      </c>
      <c r="B696" s="163" t="s">
        <v>1147</v>
      </c>
      <c r="C696" s="151" t="s">
        <v>101</v>
      </c>
      <c r="D696" s="85" t="s">
        <v>102</v>
      </c>
      <c r="E696" s="86">
        <v>0</v>
      </c>
      <c r="F696" s="9">
        <v>0</v>
      </c>
      <c r="G696" s="10"/>
      <c r="H696" s="9">
        <v>0</v>
      </c>
      <c r="I696" s="10"/>
      <c r="J696" s="152">
        <v>0</v>
      </c>
      <c r="K696" s="10"/>
      <c r="L696" s="152">
        <v>0</v>
      </c>
      <c r="M696" s="10"/>
      <c r="N696" s="152">
        <v>0</v>
      </c>
      <c r="O696" s="10"/>
      <c r="P696" s="152">
        <v>0</v>
      </c>
      <c r="Q696" s="10"/>
      <c r="R696" s="9">
        <v>0</v>
      </c>
      <c r="S696" s="10"/>
      <c r="T696" s="9">
        <v>0</v>
      </c>
      <c r="U696" s="10"/>
      <c r="V696" s="9">
        <v>0</v>
      </c>
      <c r="W696" s="10"/>
      <c r="X696" s="9">
        <v>0</v>
      </c>
      <c r="Y696" s="10"/>
      <c r="Z696" s="9">
        <v>0</v>
      </c>
      <c r="AA696" s="10"/>
      <c r="AB696" s="11">
        <v>0</v>
      </c>
      <c r="AC696" s="10"/>
      <c r="AD696" s="7">
        <f>SUM(F696+H696+J696+L696+N696+P696+R696+T696+V696+X696+Z696+AB696)</f>
        <v>0</v>
      </c>
      <c r="AE696" s="7">
        <f>E696+AD696</f>
        <v>0</v>
      </c>
      <c r="AF696" s="8">
        <f>G696+I696+K696+M696+O696+Q696+S696+U696+W696+Y696+AA696+AC696</f>
        <v>0</v>
      </c>
      <c r="AG696" s="153">
        <f>SUM(AE696-AF696)</f>
        <v>0</v>
      </c>
      <c r="AH696" s="96" t="s">
        <v>1517</v>
      </c>
      <c r="AI696" s="96">
        <v>4</v>
      </c>
    </row>
    <row r="697" spans="1:42" customHeight="1" ht="11.5" s="96" customFormat="1">
      <c r="A697" s="5">
        <v>689</v>
      </c>
      <c r="B697" s="163" t="s">
        <v>1148</v>
      </c>
      <c r="C697" s="151" t="s">
        <v>36</v>
      </c>
      <c r="D697" s="85" t="s">
        <v>37</v>
      </c>
      <c r="E697" s="86">
        <v>0</v>
      </c>
      <c r="F697" s="9">
        <v>0</v>
      </c>
      <c r="G697" s="10"/>
      <c r="H697" s="9">
        <v>0</v>
      </c>
      <c r="I697" s="10"/>
      <c r="J697" s="152">
        <v>0</v>
      </c>
      <c r="K697" s="10"/>
      <c r="L697" s="152">
        <v>0</v>
      </c>
      <c r="M697" s="10"/>
      <c r="N697" s="152">
        <v>0</v>
      </c>
      <c r="O697" s="10"/>
      <c r="P697" s="152">
        <v>0</v>
      </c>
      <c r="Q697" s="10"/>
      <c r="R697" s="9">
        <v>0</v>
      </c>
      <c r="S697" s="10"/>
      <c r="T697" s="9">
        <v>0</v>
      </c>
      <c r="U697" s="10"/>
      <c r="V697" s="9">
        <v>0</v>
      </c>
      <c r="W697" s="10"/>
      <c r="X697" s="9">
        <v>0</v>
      </c>
      <c r="Y697" s="10"/>
      <c r="Z697" s="9">
        <v>0</v>
      </c>
      <c r="AA697" s="10"/>
      <c r="AB697" s="11">
        <v>0</v>
      </c>
      <c r="AC697" s="10"/>
      <c r="AD697" s="7">
        <f>SUM(F697+H697+J697+L697+N697+P697+R697+T697+V697+X697+Z697+AB697)</f>
        <v>0</v>
      </c>
      <c r="AE697" s="7">
        <f>E697+AD697</f>
        <v>0</v>
      </c>
      <c r="AF697" s="8">
        <f>G697+I697+K697+M697+O697+Q697+S697+U697+W697+Y697+AA697+AC697</f>
        <v>0</v>
      </c>
      <c r="AG697" s="153">
        <f>SUM(AE697-AF697)</f>
        <v>0</v>
      </c>
      <c r="AH697" s="96" t="s">
        <v>1518</v>
      </c>
      <c r="AI697" s="96">
        <v>4</v>
      </c>
    </row>
    <row r="698" spans="1:42" customHeight="1" ht="11.5" s="96" customFormat="1">
      <c r="A698" s="5">
        <v>690</v>
      </c>
      <c r="B698" s="163" t="s">
        <v>1149</v>
      </c>
      <c r="C698" s="151" t="s">
        <v>36</v>
      </c>
      <c r="D698" s="85" t="s">
        <v>37</v>
      </c>
      <c r="E698" s="86">
        <v>0</v>
      </c>
      <c r="F698" s="9">
        <v>0</v>
      </c>
      <c r="G698" s="10"/>
      <c r="H698" s="9">
        <v>0</v>
      </c>
      <c r="I698" s="10"/>
      <c r="J698" s="152">
        <v>0</v>
      </c>
      <c r="K698" s="10"/>
      <c r="L698" s="152">
        <v>0</v>
      </c>
      <c r="M698" s="10"/>
      <c r="N698" s="152">
        <v>0</v>
      </c>
      <c r="O698" s="10"/>
      <c r="P698" s="152">
        <v>0</v>
      </c>
      <c r="Q698" s="10"/>
      <c r="R698" s="9">
        <v>0</v>
      </c>
      <c r="S698" s="10"/>
      <c r="T698" s="9">
        <v>0</v>
      </c>
      <c r="U698" s="10"/>
      <c r="V698" s="9">
        <v>0</v>
      </c>
      <c r="W698" s="10"/>
      <c r="X698" s="9">
        <v>0</v>
      </c>
      <c r="Y698" s="10"/>
      <c r="Z698" s="9">
        <v>0</v>
      </c>
      <c r="AA698" s="10"/>
      <c r="AB698" s="11">
        <v>0</v>
      </c>
      <c r="AC698" s="10"/>
      <c r="AD698" s="7">
        <f>SUM(F698+H698+J698+L698+N698+P698+R698+T698+V698+X698+Z698+AB698)</f>
        <v>0</v>
      </c>
      <c r="AE698" s="7">
        <f>E698+AD698</f>
        <v>0</v>
      </c>
      <c r="AF698" s="8">
        <f>G698+I698+K698+M698+O698+Q698+S698+U698+W698+Y698+AA698+AC698</f>
        <v>0</v>
      </c>
      <c r="AG698" s="153">
        <f>SUM(AE698-AF698)</f>
        <v>0</v>
      </c>
      <c r="AH698" s="96" t="s">
        <v>1518</v>
      </c>
      <c r="AI698" s="96">
        <v>4</v>
      </c>
    </row>
    <row r="699" spans="1:42" customHeight="1" ht="11.5" s="96" customFormat="1">
      <c r="A699" s="5">
        <v>691</v>
      </c>
      <c r="B699" s="163" t="s">
        <v>1150</v>
      </c>
      <c r="C699" s="151" t="s">
        <v>91</v>
      </c>
      <c r="D699" s="85" t="s">
        <v>92</v>
      </c>
      <c r="E699" s="86">
        <v>0</v>
      </c>
      <c r="F699" s="9">
        <v>0</v>
      </c>
      <c r="G699" s="10"/>
      <c r="H699" s="9">
        <v>0</v>
      </c>
      <c r="I699" s="10"/>
      <c r="J699" s="152">
        <v>0</v>
      </c>
      <c r="K699" s="10"/>
      <c r="L699" s="152">
        <v>0</v>
      </c>
      <c r="M699" s="10"/>
      <c r="N699" s="152">
        <v>0</v>
      </c>
      <c r="O699" s="10"/>
      <c r="P699" s="152">
        <v>0</v>
      </c>
      <c r="Q699" s="10"/>
      <c r="R699" s="9">
        <v>0</v>
      </c>
      <c r="S699" s="10"/>
      <c r="T699" s="9">
        <v>0</v>
      </c>
      <c r="U699" s="10"/>
      <c r="V699" s="9">
        <v>0</v>
      </c>
      <c r="W699" s="10"/>
      <c r="X699" s="9">
        <v>0</v>
      </c>
      <c r="Y699" s="10"/>
      <c r="Z699" s="9">
        <v>0</v>
      </c>
      <c r="AA699" s="10"/>
      <c r="AB699" s="11">
        <v>0</v>
      </c>
      <c r="AC699" s="10"/>
      <c r="AD699" s="7">
        <f>SUM(F699+H699+J699+L699+N699+P699+R699+T699+V699+X699+Z699+AB699)</f>
        <v>0</v>
      </c>
      <c r="AE699" s="7">
        <f>E699+AD699</f>
        <v>0</v>
      </c>
      <c r="AF699" s="8">
        <f>G699+I699+K699+M699+O699+Q699+S699+U699+W699+Y699+AA699+AC699</f>
        <v>0</v>
      </c>
      <c r="AG699" s="153">
        <f>SUM(AE699-AF699)</f>
        <v>0</v>
      </c>
      <c r="AH699" s="96" t="s">
        <v>1518</v>
      </c>
      <c r="AI699" s="96">
        <v>4</v>
      </c>
    </row>
    <row r="700" spans="1:42" customHeight="1" ht="11.5" s="96" customFormat="1">
      <c r="A700" s="5">
        <v>692</v>
      </c>
      <c r="B700" s="163" t="s">
        <v>1151</v>
      </c>
      <c r="C700" s="151" t="s">
        <v>36</v>
      </c>
      <c r="D700" s="85" t="s">
        <v>37</v>
      </c>
      <c r="E700" s="86">
        <v>-30000</v>
      </c>
      <c r="F700" s="9">
        <v>0</v>
      </c>
      <c r="G700" s="10"/>
      <c r="H700" s="9">
        <v>0</v>
      </c>
      <c r="I700" s="10"/>
      <c r="J700" s="152">
        <v>0</v>
      </c>
      <c r="K700" s="10"/>
      <c r="L700" s="152">
        <v>0</v>
      </c>
      <c r="M700" s="10"/>
      <c r="N700" s="152">
        <v>0</v>
      </c>
      <c r="O700" s="10"/>
      <c r="P700" s="152">
        <v>0</v>
      </c>
      <c r="Q700" s="10"/>
      <c r="R700" s="9">
        <v>0</v>
      </c>
      <c r="S700" s="10"/>
      <c r="T700" s="9">
        <v>0</v>
      </c>
      <c r="U700" s="10"/>
      <c r="V700" s="9">
        <v>0</v>
      </c>
      <c r="W700" s="10"/>
      <c r="X700" s="9">
        <v>0</v>
      </c>
      <c r="Y700" s="10"/>
      <c r="Z700" s="9">
        <v>0</v>
      </c>
      <c r="AA700" s="10"/>
      <c r="AB700" s="11">
        <v>0</v>
      </c>
      <c r="AC700" s="10"/>
      <c r="AD700" s="7">
        <f>SUM(F700+H700+J700+L700+N700+P700+R700+T700+V700+X700+Z700+AB700)</f>
        <v>0</v>
      </c>
      <c r="AE700" s="7">
        <f>E700+AD700</f>
        <v>-30000</v>
      </c>
      <c r="AF700" s="8">
        <f>G700+I700+K700+M700+O700+Q700+S700+U700+W700+Y700+AA700+AC700</f>
        <v>0</v>
      </c>
      <c r="AG700" s="153">
        <f>SUM(AE700-AF700)</f>
        <v>-30000</v>
      </c>
      <c r="AH700" s="96" t="s">
        <v>1518</v>
      </c>
      <c r="AI700" s="96">
        <v>4</v>
      </c>
    </row>
    <row r="701" spans="1:42" customHeight="1" ht="11.5" s="96" customFormat="1">
      <c r="A701" s="5">
        <v>693</v>
      </c>
      <c r="B701" s="163" t="s">
        <v>1152</v>
      </c>
      <c r="C701" s="151" t="s">
        <v>91</v>
      </c>
      <c r="D701" s="85" t="s">
        <v>92</v>
      </c>
      <c r="E701" s="86">
        <v>0</v>
      </c>
      <c r="F701" s="9">
        <v>0</v>
      </c>
      <c r="G701" s="10"/>
      <c r="H701" s="9">
        <v>0</v>
      </c>
      <c r="I701" s="10"/>
      <c r="J701" s="152">
        <v>0</v>
      </c>
      <c r="K701" s="10"/>
      <c r="L701" s="152">
        <v>0</v>
      </c>
      <c r="M701" s="10"/>
      <c r="N701" s="152">
        <v>0</v>
      </c>
      <c r="O701" s="10"/>
      <c r="P701" s="152">
        <v>0</v>
      </c>
      <c r="Q701" s="10"/>
      <c r="R701" s="9">
        <v>0</v>
      </c>
      <c r="S701" s="10"/>
      <c r="T701" s="9">
        <v>0</v>
      </c>
      <c r="U701" s="10"/>
      <c r="V701" s="9">
        <v>0</v>
      </c>
      <c r="W701" s="10"/>
      <c r="X701" s="9">
        <v>0</v>
      </c>
      <c r="Y701" s="10"/>
      <c r="Z701" s="9">
        <v>0</v>
      </c>
      <c r="AA701" s="10"/>
      <c r="AB701" s="11">
        <v>0</v>
      </c>
      <c r="AC701" s="10"/>
      <c r="AD701" s="7">
        <f>SUM(F701+H701+J701+L701+N701+P701+R701+T701+V701+X701+Z701+AB701)</f>
        <v>0</v>
      </c>
      <c r="AE701" s="7">
        <f>E701+AD701</f>
        <v>0</v>
      </c>
      <c r="AF701" s="8">
        <f>G701+I701+K701+M701+O701+Q701+S701+U701+W701+Y701+AA701+AC701</f>
        <v>0</v>
      </c>
      <c r="AG701" s="153">
        <f>SUM(AE701-AF701)</f>
        <v>0</v>
      </c>
      <c r="AH701" s="96" t="s">
        <v>1518</v>
      </c>
      <c r="AI701" s="96">
        <v>4</v>
      </c>
    </row>
    <row r="702" spans="1:42" customHeight="1" ht="11.5" s="96" customFormat="1">
      <c r="A702" s="5">
        <v>694</v>
      </c>
      <c r="B702" s="163" t="s">
        <v>1153</v>
      </c>
      <c r="C702" s="151" t="s">
        <v>91</v>
      </c>
      <c r="D702" s="85" t="s">
        <v>92</v>
      </c>
      <c r="E702" s="86">
        <v>0</v>
      </c>
      <c r="F702" s="9">
        <v>0</v>
      </c>
      <c r="G702" s="10"/>
      <c r="H702" s="9">
        <v>0</v>
      </c>
      <c r="I702" s="10"/>
      <c r="J702" s="152">
        <v>0</v>
      </c>
      <c r="K702" s="10"/>
      <c r="L702" s="152">
        <v>0</v>
      </c>
      <c r="M702" s="10"/>
      <c r="N702" s="152">
        <v>0</v>
      </c>
      <c r="O702" s="10"/>
      <c r="P702" s="152">
        <v>0</v>
      </c>
      <c r="Q702" s="10"/>
      <c r="R702" s="9">
        <v>0</v>
      </c>
      <c r="S702" s="10"/>
      <c r="T702" s="9">
        <v>0</v>
      </c>
      <c r="U702" s="10"/>
      <c r="V702" s="9">
        <v>0</v>
      </c>
      <c r="W702" s="10"/>
      <c r="X702" s="9">
        <v>0</v>
      </c>
      <c r="Y702" s="10"/>
      <c r="Z702" s="9">
        <v>0</v>
      </c>
      <c r="AA702" s="10"/>
      <c r="AB702" s="11">
        <v>0</v>
      </c>
      <c r="AC702" s="10"/>
      <c r="AD702" s="7">
        <f>SUM(F702+H702+J702+L702+N702+P702+R702+T702+V702+X702+Z702+AB702)</f>
        <v>0</v>
      </c>
      <c r="AE702" s="7">
        <f>E702+AD702</f>
        <v>0</v>
      </c>
      <c r="AF702" s="8">
        <f>G702+I702+K702+M702+O702+Q702+S702+U702+W702+Y702+AA702+AC702</f>
        <v>0</v>
      </c>
      <c r="AG702" s="153">
        <f>SUM(AE702-AF702)</f>
        <v>0</v>
      </c>
      <c r="AH702" s="96" t="s">
        <v>1519</v>
      </c>
      <c r="AI702" s="96">
        <v>4</v>
      </c>
    </row>
    <row r="703" spans="1:42" customHeight="1" ht="11.5" s="96" customFormat="1">
      <c r="A703" s="5">
        <v>695</v>
      </c>
      <c r="B703" s="163" t="s">
        <v>1154</v>
      </c>
      <c r="C703" s="151" t="s">
        <v>91</v>
      </c>
      <c r="D703" s="85" t="s">
        <v>92</v>
      </c>
      <c r="E703" s="86">
        <v>0</v>
      </c>
      <c r="F703" s="9">
        <v>0</v>
      </c>
      <c r="G703" s="10"/>
      <c r="H703" s="9">
        <v>0</v>
      </c>
      <c r="I703" s="10"/>
      <c r="J703" s="152">
        <v>0</v>
      </c>
      <c r="K703" s="10"/>
      <c r="L703" s="152">
        <v>0</v>
      </c>
      <c r="M703" s="10"/>
      <c r="N703" s="152">
        <v>0</v>
      </c>
      <c r="O703" s="10"/>
      <c r="P703" s="152">
        <v>0</v>
      </c>
      <c r="Q703" s="10"/>
      <c r="R703" s="9">
        <v>0</v>
      </c>
      <c r="S703" s="10"/>
      <c r="T703" s="9">
        <v>0</v>
      </c>
      <c r="U703" s="10"/>
      <c r="V703" s="9">
        <v>0</v>
      </c>
      <c r="W703" s="10"/>
      <c r="X703" s="9">
        <v>0</v>
      </c>
      <c r="Y703" s="10"/>
      <c r="Z703" s="9">
        <v>0</v>
      </c>
      <c r="AA703" s="10"/>
      <c r="AB703" s="11">
        <v>0</v>
      </c>
      <c r="AC703" s="10"/>
      <c r="AD703" s="7">
        <f>SUM(F703+H703+J703+L703+N703+P703+R703+T703+V703+X703+Z703+AB703)</f>
        <v>0</v>
      </c>
      <c r="AE703" s="7">
        <f>E703+AD703</f>
        <v>0</v>
      </c>
      <c r="AF703" s="8">
        <f>G703+I703+K703+M703+O703+Q703+S703+U703+W703+Y703+AA703+AC703</f>
        <v>0</v>
      </c>
      <c r="AG703" s="153">
        <f>SUM(AE703-AF703)</f>
        <v>0</v>
      </c>
      <c r="AH703" s="96" t="s">
        <v>1519</v>
      </c>
      <c r="AI703" s="96">
        <v>4</v>
      </c>
    </row>
    <row r="704" spans="1:42" customHeight="1" ht="11.5" s="96" customFormat="1">
      <c r="A704" s="5">
        <v>696</v>
      </c>
      <c r="B704" s="163" t="s">
        <v>1155</v>
      </c>
      <c r="C704" s="151" t="s">
        <v>36</v>
      </c>
      <c r="D704" s="85" t="s">
        <v>37</v>
      </c>
      <c r="E704" s="86">
        <v>0</v>
      </c>
      <c r="F704" s="9">
        <v>0</v>
      </c>
      <c r="G704" s="10"/>
      <c r="H704" s="9">
        <v>0</v>
      </c>
      <c r="I704" s="10"/>
      <c r="J704" s="152">
        <v>0</v>
      </c>
      <c r="K704" s="10"/>
      <c r="L704" s="152">
        <v>0</v>
      </c>
      <c r="M704" s="10"/>
      <c r="N704" s="152">
        <v>0</v>
      </c>
      <c r="O704" s="10"/>
      <c r="P704" s="152">
        <v>0</v>
      </c>
      <c r="Q704" s="10"/>
      <c r="R704" s="9">
        <v>0</v>
      </c>
      <c r="S704" s="10"/>
      <c r="T704" s="9">
        <v>0</v>
      </c>
      <c r="U704" s="10"/>
      <c r="V704" s="9">
        <v>0</v>
      </c>
      <c r="W704" s="10"/>
      <c r="X704" s="9">
        <v>0</v>
      </c>
      <c r="Y704" s="10"/>
      <c r="Z704" s="9">
        <v>0</v>
      </c>
      <c r="AA704" s="10"/>
      <c r="AB704" s="11">
        <v>0</v>
      </c>
      <c r="AC704" s="10"/>
      <c r="AD704" s="7">
        <f>SUM(F704+H704+J704+L704+N704+P704+R704+T704+V704+X704+Z704+AB704)</f>
        <v>0</v>
      </c>
      <c r="AE704" s="7">
        <f>E704+AD704</f>
        <v>0</v>
      </c>
      <c r="AF704" s="8">
        <f>G704+I704+K704+M704+O704+Q704+S704+U704+W704+Y704+AA704+AC704</f>
        <v>0</v>
      </c>
      <c r="AG704" s="153">
        <f>SUM(AE704-AF704)</f>
        <v>0</v>
      </c>
      <c r="AH704" s="96" t="s">
        <v>1519</v>
      </c>
      <c r="AI704" s="96">
        <v>4</v>
      </c>
    </row>
    <row r="705" spans="1:42" customHeight="1" ht="11.5" s="96" customFormat="1">
      <c r="A705" s="5">
        <v>697</v>
      </c>
      <c r="B705" s="163" t="s">
        <v>1156</v>
      </c>
      <c r="C705" s="151" t="s">
        <v>36</v>
      </c>
      <c r="D705" s="85" t="s">
        <v>37</v>
      </c>
      <c r="E705" s="86">
        <v>0</v>
      </c>
      <c r="F705" s="9">
        <v>0</v>
      </c>
      <c r="G705" s="10"/>
      <c r="H705" s="9">
        <v>0</v>
      </c>
      <c r="I705" s="10"/>
      <c r="J705" s="152">
        <v>0</v>
      </c>
      <c r="K705" s="10"/>
      <c r="L705" s="152">
        <v>0</v>
      </c>
      <c r="M705" s="10"/>
      <c r="N705" s="152">
        <v>0</v>
      </c>
      <c r="O705" s="10"/>
      <c r="P705" s="152">
        <v>0</v>
      </c>
      <c r="Q705" s="10"/>
      <c r="R705" s="9">
        <v>0</v>
      </c>
      <c r="S705" s="10"/>
      <c r="T705" s="9">
        <v>0</v>
      </c>
      <c r="U705" s="10"/>
      <c r="V705" s="9">
        <v>0</v>
      </c>
      <c r="W705" s="10"/>
      <c r="X705" s="9">
        <v>0</v>
      </c>
      <c r="Y705" s="10"/>
      <c r="Z705" s="9">
        <v>0</v>
      </c>
      <c r="AA705" s="10"/>
      <c r="AB705" s="11">
        <v>0</v>
      </c>
      <c r="AC705" s="10"/>
      <c r="AD705" s="7">
        <f>SUM(F705+H705+J705+L705+N705+P705+R705+T705+V705+X705+Z705+AB705)</f>
        <v>0</v>
      </c>
      <c r="AE705" s="7">
        <f>E705+AD705</f>
        <v>0</v>
      </c>
      <c r="AF705" s="8">
        <f>G705+I705+K705+M705+O705+Q705+S705+U705+W705+Y705+AA705+AC705</f>
        <v>0</v>
      </c>
      <c r="AG705" s="153">
        <f>SUM(AE705-AF705)</f>
        <v>0</v>
      </c>
      <c r="AH705" s="96" t="s">
        <v>1519</v>
      </c>
      <c r="AI705" s="96">
        <v>4</v>
      </c>
    </row>
    <row r="706" spans="1:42" customHeight="1" ht="11.5" s="96" customFormat="1">
      <c r="A706" s="5">
        <v>698</v>
      </c>
      <c r="B706" s="163" t="s">
        <v>1157</v>
      </c>
      <c r="C706" s="151" t="s">
        <v>36</v>
      </c>
      <c r="D706" s="85" t="s">
        <v>37</v>
      </c>
      <c r="E706" s="86">
        <v>2000</v>
      </c>
      <c r="F706" s="9">
        <v>0</v>
      </c>
      <c r="G706" s="10">
        <v>2000</v>
      </c>
      <c r="H706" s="9">
        <v>0</v>
      </c>
      <c r="I706" s="10"/>
      <c r="J706" s="152">
        <v>0</v>
      </c>
      <c r="K706" s="10"/>
      <c r="L706" s="152">
        <v>0</v>
      </c>
      <c r="M706" s="10"/>
      <c r="N706" s="152">
        <v>0</v>
      </c>
      <c r="O706" s="10"/>
      <c r="P706" s="152">
        <v>0</v>
      </c>
      <c r="Q706" s="10"/>
      <c r="R706" s="9">
        <v>0</v>
      </c>
      <c r="S706" s="10"/>
      <c r="T706" s="9">
        <v>0</v>
      </c>
      <c r="U706" s="10"/>
      <c r="V706" s="9">
        <v>0</v>
      </c>
      <c r="W706" s="10"/>
      <c r="X706" s="9">
        <v>0</v>
      </c>
      <c r="Y706" s="10"/>
      <c r="Z706" s="9">
        <v>0</v>
      </c>
      <c r="AA706" s="10"/>
      <c r="AB706" s="11">
        <v>0</v>
      </c>
      <c r="AC706" s="10"/>
      <c r="AD706" s="7">
        <f>SUM(F706+H706+J706+L706+N706+P706+R706+T706+V706+X706+Z706+AB706)</f>
        <v>0</v>
      </c>
      <c r="AE706" s="7">
        <f>E706+AD706</f>
        <v>2000</v>
      </c>
      <c r="AF706" s="8">
        <f>G706+I706+K706+M706+O706+Q706+S706+U706+W706+Y706+AA706+AC706</f>
        <v>2000</v>
      </c>
      <c r="AG706" s="153">
        <f>SUM(AE706-AF706)</f>
        <v>0</v>
      </c>
      <c r="AH706" s="96" t="s">
        <v>1520</v>
      </c>
      <c r="AI706" s="96">
        <v>4</v>
      </c>
    </row>
    <row r="707" spans="1:42" customHeight="1" ht="11.5" s="96" customFormat="1">
      <c r="A707" s="5">
        <v>699</v>
      </c>
      <c r="B707" s="163" t="s">
        <v>1158</v>
      </c>
      <c r="C707" s="151" t="s">
        <v>36</v>
      </c>
      <c r="D707" s="85" t="s">
        <v>37</v>
      </c>
      <c r="E707" s="86">
        <v>1000</v>
      </c>
      <c r="F707" s="9">
        <v>0</v>
      </c>
      <c r="G707" s="10">
        <v>1000</v>
      </c>
      <c r="H707" s="9">
        <v>0</v>
      </c>
      <c r="I707" s="10"/>
      <c r="J707" s="152">
        <v>0</v>
      </c>
      <c r="K707" s="10"/>
      <c r="L707" s="152">
        <v>0</v>
      </c>
      <c r="M707" s="10"/>
      <c r="N707" s="152">
        <v>0</v>
      </c>
      <c r="O707" s="10"/>
      <c r="P707" s="152">
        <v>0</v>
      </c>
      <c r="Q707" s="10"/>
      <c r="R707" s="9">
        <v>0</v>
      </c>
      <c r="S707" s="10"/>
      <c r="T707" s="9">
        <v>0</v>
      </c>
      <c r="U707" s="10"/>
      <c r="V707" s="9">
        <v>0</v>
      </c>
      <c r="W707" s="10"/>
      <c r="X707" s="9">
        <v>0</v>
      </c>
      <c r="Y707" s="10"/>
      <c r="Z707" s="9">
        <v>0</v>
      </c>
      <c r="AA707" s="10"/>
      <c r="AB707" s="11">
        <v>0</v>
      </c>
      <c r="AC707" s="10"/>
      <c r="AD707" s="7">
        <f>SUM(F707+H707+J707+L707+N707+P707+R707+T707+V707+X707+Z707+AB707)</f>
        <v>0</v>
      </c>
      <c r="AE707" s="7">
        <f>E707+AD707</f>
        <v>1000</v>
      </c>
      <c r="AF707" s="8">
        <f>G707+I707+K707+M707+O707+Q707+S707+U707+W707+Y707+AA707+AC707</f>
        <v>1000</v>
      </c>
      <c r="AG707" s="153">
        <f>SUM(AE707-AF707)</f>
        <v>0</v>
      </c>
      <c r="AH707" s="96" t="s">
        <v>1521</v>
      </c>
      <c r="AI707" s="96">
        <v>4</v>
      </c>
    </row>
    <row r="708" spans="1:42" customHeight="1" ht="11.5" s="96" customFormat="1">
      <c r="A708" s="5">
        <v>700</v>
      </c>
      <c r="B708" s="163" t="s">
        <v>1159</v>
      </c>
      <c r="C708" s="151" t="s">
        <v>36</v>
      </c>
      <c r="D708" s="85" t="s">
        <v>37</v>
      </c>
      <c r="E708" s="86">
        <v>0</v>
      </c>
      <c r="F708" s="9">
        <v>0</v>
      </c>
      <c r="G708" s="10"/>
      <c r="H708" s="9">
        <v>2700</v>
      </c>
      <c r="I708" s="10"/>
      <c r="J708" s="152">
        <v>0</v>
      </c>
      <c r="K708" s="10">
        <v>2700</v>
      </c>
      <c r="L708" s="152">
        <v>0</v>
      </c>
      <c r="M708" s="10"/>
      <c r="N708" s="152">
        <v>0</v>
      </c>
      <c r="O708" s="10"/>
      <c r="P708" s="152">
        <v>0</v>
      </c>
      <c r="Q708" s="10"/>
      <c r="R708" s="9">
        <v>0</v>
      </c>
      <c r="S708" s="10"/>
      <c r="T708" s="9">
        <v>0</v>
      </c>
      <c r="U708" s="10"/>
      <c r="V708" s="9">
        <v>0</v>
      </c>
      <c r="W708" s="10"/>
      <c r="X708" s="9">
        <v>0</v>
      </c>
      <c r="Y708" s="10"/>
      <c r="Z708" s="9">
        <v>0</v>
      </c>
      <c r="AA708" s="10"/>
      <c r="AB708" s="11">
        <v>0</v>
      </c>
      <c r="AC708" s="10"/>
      <c r="AD708" s="7">
        <f>SUM(F708+H708+J708+L708+N708+P708+R708+T708+V708+X708+Z708+AB708)</f>
        <v>2700</v>
      </c>
      <c r="AE708" s="7">
        <f>E708+AD708</f>
        <v>2700</v>
      </c>
      <c r="AF708" s="8">
        <f>G708+I708+K708+M708+O708+Q708+S708+U708+W708+Y708+AA708+AC708</f>
        <v>2700</v>
      </c>
      <c r="AG708" s="153">
        <f>SUM(AE708-AF708)</f>
        <v>0</v>
      </c>
      <c r="AH708" s="96" t="s">
        <v>1522</v>
      </c>
      <c r="AI708" s="96">
        <v>4</v>
      </c>
    </row>
    <row r="709" spans="1:42" customHeight="1" ht="11.5" s="96" customFormat="1">
      <c r="A709" s="5">
        <v>701</v>
      </c>
      <c r="B709" s="163" t="s">
        <v>1160</v>
      </c>
      <c r="C709" s="151" t="s">
        <v>36</v>
      </c>
      <c r="D709" s="85" t="s">
        <v>37</v>
      </c>
      <c r="E709" s="86">
        <v>0</v>
      </c>
      <c r="F709" s="9">
        <v>0</v>
      </c>
      <c r="G709" s="10"/>
      <c r="H709" s="9">
        <v>0</v>
      </c>
      <c r="I709" s="10"/>
      <c r="J709" s="152">
        <v>0</v>
      </c>
      <c r="K709" s="10"/>
      <c r="L709" s="152">
        <v>0</v>
      </c>
      <c r="M709" s="10"/>
      <c r="N709" s="152">
        <v>0</v>
      </c>
      <c r="O709" s="10"/>
      <c r="P709" s="152">
        <v>0</v>
      </c>
      <c r="Q709" s="10"/>
      <c r="R709" s="9">
        <v>0</v>
      </c>
      <c r="S709" s="10"/>
      <c r="T709" s="9">
        <v>0</v>
      </c>
      <c r="U709" s="10"/>
      <c r="V709" s="9">
        <v>0</v>
      </c>
      <c r="W709" s="10"/>
      <c r="X709" s="9">
        <v>0</v>
      </c>
      <c r="Y709" s="10"/>
      <c r="Z709" s="9">
        <v>0</v>
      </c>
      <c r="AA709" s="10"/>
      <c r="AB709" s="11">
        <v>0</v>
      </c>
      <c r="AC709" s="10"/>
      <c r="AD709" s="7">
        <f>SUM(F709+H709+J709+L709+N709+P709+R709+T709+V709+X709+Z709+AB709)</f>
        <v>0</v>
      </c>
      <c r="AE709" s="7">
        <f>E709+AD709</f>
        <v>0</v>
      </c>
      <c r="AF709" s="8">
        <f>G709+I709+K709+M709+O709+Q709+S709+U709+W709+Y709+AA709+AC709</f>
        <v>0</v>
      </c>
      <c r="AG709" s="153">
        <f>SUM(AE709-AF709)</f>
        <v>0</v>
      </c>
      <c r="AH709" s="96" t="s">
        <v>1523</v>
      </c>
      <c r="AI709" s="96">
        <v>4</v>
      </c>
    </row>
    <row r="710" spans="1:42" customHeight="1" ht="11.5" s="96" customFormat="1">
      <c r="A710" s="5">
        <v>702</v>
      </c>
      <c r="B710" s="163" t="s">
        <v>1161</v>
      </c>
      <c r="C710" s="151" t="s">
        <v>91</v>
      </c>
      <c r="D710" s="85" t="s">
        <v>92</v>
      </c>
      <c r="E710" s="86">
        <v>0</v>
      </c>
      <c r="F710" s="9">
        <v>0</v>
      </c>
      <c r="G710" s="10"/>
      <c r="H710" s="9">
        <v>0</v>
      </c>
      <c r="I710" s="10"/>
      <c r="J710" s="152">
        <v>0</v>
      </c>
      <c r="K710" s="10"/>
      <c r="L710" s="152">
        <v>0</v>
      </c>
      <c r="M710" s="10"/>
      <c r="N710" s="152">
        <v>0</v>
      </c>
      <c r="O710" s="10"/>
      <c r="P710" s="152">
        <v>0</v>
      </c>
      <c r="Q710" s="10"/>
      <c r="R710" s="9">
        <v>0</v>
      </c>
      <c r="S710" s="10"/>
      <c r="T710" s="9">
        <v>0</v>
      </c>
      <c r="U710" s="10"/>
      <c r="V710" s="9">
        <v>0</v>
      </c>
      <c r="W710" s="10"/>
      <c r="X710" s="9">
        <v>0</v>
      </c>
      <c r="Y710" s="10"/>
      <c r="Z710" s="9">
        <v>0</v>
      </c>
      <c r="AA710" s="10"/>
      <c r="AB710" s="11">
        <v>0</v>
      </c>
      <c r="AC710" s="10"/>
      <c r="AD710" s="7">
        <f>SUM(F710+H710+J710+L710+N710+P710+R710+T710+V710+X710+Z710+AB710)</f>
        <v>0</v>
      </c>
      <c r="AE710" s="7">
        <f>E710+AD710</f>
        <v>0</v>
      </c>
      <c r="AF710" s="8">
        <f>G710+I710+K710+M710+O710+Q710+S710+U710+W710+Y710+AA710+AC710</f>
        <v>0</v>
      </c>
      <c r="AG710" s="153">
        <f>SUM(AE710-AF710)</f>
        <v>0</v>
      </c>
      <c r="AH710" s="96" t="s">
        <v>1524</v>
      </c>
      <c r="AI710" s="96">
        <v>4</v>
      </c>
    </row>
    <row r="711" spans="1:42" customHeight="1" ht="11.5" s="96" customFormat="1">
      <c r="A711" s="5">
        <v>703</v>
      </c>
      <c r="B711" s="172" t="s">
        <v>1162</v>
      </c>
      <c r="C711" s="151" t="s">
        <v>91</v>
      </c>
      <c r="D711" s="85" t="s">
        <v>92</v>
      </c>
      <c r="E711" s="86">
        <v>0</v>
      </c>
      <c r="F711" s="9">
        <v>0</v>
      </c>
      <c r="G711" s="10"/>
      <c r="H711" s="9">
        <v>0</v>
      </c>
      <c r="I711" s="10"/>
      <c r="J711" s="152">
        <v>0</v>
      </c>
      <c r="K711" s="10"/>
      <c r="L711" s="152">
        <v>0</v>
      </c>
      <c r="M711" s="10"/>
      <c r="N711" s="152">
        <v>0</v>
      </c>
      <c r="O711" s="10"/>
      <c r="P711" s="152">
        <v>0</v>
      </c>
      <c r="Q711" s="10"/>
      <c r="R711" s="9">
        <v>0</v>
      </c>
      <c r="S711" s="10"/>
      <c r="T711" s="9">
        <v>0</v>
      </c>
      <c r="U711" s="10"/>
      <c r="V711" s="9">
        <v>0</v>
      </c>
      <c r="W711" s="10"/>
      <c r="X711" s="9">
        <v>0</v>
      </c>
      <c r="Y711" s="10"/>
      <c r="Z711" s="9">
        <v>0</v>
      </c>
      <c r="AA711" s="10"/>
      <c r="AB711" s="11">
        <v>0</v>
      </c>
      <c r="AC711" s="10"/>
      <c r="AD711" s="7">
        <f>SUM(F711+H711+J711+L711+N711+P711+R711+T711+V711+X711+Z711+AB711)</f>
        <v>0</v>
      </c>
      <c r="AE711" s="7">
        <f>E711+AD711</f>
        <v>0</v>
      </c>
      <c r="AF711" s="8">
        <f>G711+I711+K711+M711+O711+Q711+S711+U711+W711+Y711+AA711+AC711</f>
        <v>0</v>
      </c>
      <c r="AG711" s="153">
        <f>SUM(AE711-AF711)</f>
        <v>0</v>
      </c>
      <c r="AH711" s="96" t="s">
        <v>1525</v>
      </c>
      <c r="AI711" s="96">
        <v>4</v>
      </c>
    </row>
    <row r="712" spans="1:42" customHeight="1" ht="11.5" s="96" customFormat="1">
      <c r="A712" s="5">
        <v>704</v>
      </c>
      <c r="B712" s="163" t="s">
        <v>1163</v>
      </c>
      <c r="C712" s="151" t="s">
        <v>36</v>
      </c>
      <c r="D712" s="85" t="s">
        <v>37</v>
      </c>
      <c r="E712" s="86">
        <v>4000</v>
      </c>
      <c r="F712" s="9">
        <v>0</v>
      </c>
      <c r="G712" s="10">
        <v>4000</v>
      </c>
      <c r="H712" s="9">
        <v>3000</v>
      </c>
      <c r="I712" s="10"/>
      <c r="J712" s="152">
        <v>0</v>
      </c>
      <c r="K712" s="10">
        <v>3000</v>
      </c>
      <c r="L712" s="152">
        <v>0</v>
      </c>
      <c r="M712" s="10"/>
      <c r="N712" s="152">
        <v>1000</v>
      </c>
      <c r="O712" s="10"/>
      <c r="P712" s="152">
        <v>2000</v>
      </c>
      <c r="Q712" s="10">
        <v>1000</v>
      </c>
      <c r="R712" s="9">
        <v>1000</v>
      </c>
      <c r="S712" s="10"/>
      <c r="T712" s="9">
        <v>0</v>
      </c>
      <c r="U712" s="10"/>
      <c r="V712" s="9">
        <v>0</v>
      </c>
      <c r="W712" s="10"/>
      <c r="X712" s="9">
        <v>0</v>
      </c>
      <c r="Y712" s="10"/>
      <c r="Z712" s="9">
        <v>0</v>
      </c>
      <c r="AA712" s="10"/>
      <c r="AB712" s="11">
        <v>0</v>
      </c>
      <c r="AC712" s="10"/>
      <c r="AD712" s="7">
        <f>SUM(F712+H712+J712+L712+N712+P712+R712+T712+V712+X712+Z712+AB712)</f>
        <v>7000</v>
      </c>
      <c r="AE712" s="7">
        <f>E712+AD712</f>
        <v>11000</v>
      </c>
      <c r="AF712" s="8">
        <f>G712+I712+K712+M712+O712+Q712+S712+U712+W712+Y712+AA712+AC712</f>
        <v>8000</v>
      </c>
      <c r="AG712" s="153">
        <f>SUM(AE712-AF712)</f>
        <v>3000</v>
      </c>
      <c r="AH712" s="96" t="s">
        <v>1526</v>
      </c>
      <c r="AI712" s="96">
        <v>4</v>
      </c>
    </row>
    <row r="713" spans="1:42" customHeight="1" ht="11.5" s="96" customFormat="1">
      <c r="A713" s="5">
        <v>705</v>
      </c>
      <c r="B713" s="163" t="s">
        <v>1164</v>
      </c>
      <c r="C713" s="151" t="s">
        <v>36</v>
      </c>
      <c r="D713" s="85" t="s">
        <v>37</v>
      </c>
      <c r="E713" s="86">
        <v>1000</v>
      </c>
      <c r="F713" s="9">
        <v>0</v>
      </c>
      <c r="G713" s="10">
        <v>1000</v>
      </c>
      <c r="H713" s="9">
        <v>1000</v>
      </c>
      <c r="I713" s="10"/>
      <c r="J713" s="152">
        <v>0</v>
      </c>
      <c r="K713" s="10">
        <v>1000</v>
      </c>
      <c r="L713" s="152">
        <v>0</v>
      </c>
      <c r="M713" s="10"/>
      <c r="N713" s="152">
        <v>0</v>
      </c>
      <c r="O713" s="10"/>
      <c r="P713" s="152">
        <v>0</v>
      </c>
      <c r="Q713" s="10"/>
      <c r="R713" s="9">
        <v>1000</v>
      </c>
      <c r="S713" s="10"/>
      <c r="T713" s="9">
        <v>0</v>
      </c>
      <c r="U713" s="10"/>
      <c r="V713" s="9">
        <v>0</v>
      </c>
      <c r="W713" s="10"/>
      <c r="X713" s="9">
        <v>0</v>
      </c>
      <c r="Y713" s="10"/>
      <c r="Z713" s="9">
        <v>0</v>
      </c>
      <c r="AA713" s="10"/>
      <c r="AB713" s="11">
        <v>0</v>
      </c>
      <c r="AC713" s="10"/>
      <c r="AD713" s="7">
        <f>SUM(F713+H713+J713+L713+N713+P713+R713+T713+V713+X713+Z713+AB713)</f>
        <v>2000</v>
      </c>
      <c r="AE713" s="7">
        <f>E713+AD713</f>
        <v>3000</v>
      </c>
      <c r="AF713" s="8">
        <f>G713+I713+K713+M713+O713+Q713+S713+U713+W713+Y713+AA713+AC713</f>
        <v>2000</v>
      </c>
      <c r="AG713" s="153">
        <f>SUM(AE713-AF713)</f>
        <v>1000</v>
      </c>
      <c r="AH713" s="96" t="s">
        <v>1527</v>
      </c>
      <c r="AI713" s="96">
        <v>4</v>
      </c>
    </row>
    <row r="714" spans="1:42" customHeight="1" ht="11.5" s="96" customFormat="1">
      <c r="A714" s="5">
        <v>706</v>
      </c>
      <c r="B714" s="163" t="s">
        <v>1165</v>
      </c>
      <c r="C714" s="151" t="s">
        <v>36</v>
      </c>
      <c r="D714" s="85" t="s">
        <v>37</v>
      </c>
      <c r="E714" s="86">
        <v>500</v>
      </c>
      <c r="F714" s="9">
        <v>0</v>
      </c>
      <c r="G714" s="10">
        <v>500</v>
      </c>
      <c r="H714" s="9">
        <v>0</v>
      </c>
      <c r="I714" s="10"/>
      <c r="J714" s="152">
        <v>0</v>
      </c>
      <c r="K714" s="10"/>
      <c r="L714" s="152">
        <v>0</v>
      </c>
      <c r="M714" s="10"/>
      <c r="N714" s="152">
        <v>0</v>
      </c>
      <c r="O714" s="10"/>
      <c r="P714" s="152">
        <v>500</v>
      </c>
      <c r="Q714" s="10"/>
      <c r="R714" s="9">
        <v>0</v>
      </c>
      <c r="S714" s="10"/>
      <c r="T714" s="9">
        <v>0</v>
      </c>
      <c r="U714" s="10"/>
      <c r="V714" s="9">
        <v>0</v>
      </c>
      <c r="W714" s="10"/>
      <c r="X714" s="9">
        <v>0</v>
      </c>
      <c r="Y714" s="10"/>
      <c r="Z714" s="9">
        <v>0</v>
      </c>
      <c r="AA714" s="10"/>
      <c r="AB714" s="11">
        <v>0</v>
      </c>
      <c r="AC714" s="10"/>
      <c r="AD714" s="7">
        <f>SUM(F714+H714+J714+L714+N714+P714+R714+T714+V714+X714+Z714+AB714)</f>
        <v>500</v>
      </c>
      <c r="AE714" s="7">
        <f>E714+AD714</f>
        <v>1000</v>
      </c>
      <c r="AF714" s="8">
        <f>G714+I714+K714+M714+O714+Q714+S714+U714+W714+Y714+AA714+AC714</f>
        <v>500</v>
      </c>
      <c r="AG714" s="153">
        <f>SUM(AE714-AF714)</f>
        <v>500</v>
      </c>
      <c r="AH714" s="96" t="s">
        <v>1528</v>
      </c>
      <c r="AI714" s="96">
        <v>4</v>
      </c>
    </row>
    <row r="715" spans="1:42" customHeight="1" ht="11.5" s="96" customFormat="1">
      <c r="A715" s="5">
        <v>707</v>
      </c>
      <c r="B715" s="163" t="s">
        <v>1166</v>
      </c>
      <c r="C715" s="151" t="s">
        <v>1167</v>
      </c>
      <c r="D715" s="85" t="s">
        <v>1168</v>
      </c>
      <c r="E715" s="86">
        <v>0</v>
      </c>
      <c r="F715" s="9">
        <v>0</v>
      </c>
      <c r="G715" s="10"/>
      <c r="H715" s="9">
        <v>0</v>
      </c>
      <c r="I715" s="10"/>
      <c r="J715" s="152">
        <v>0</v>
      </c>
      <c r="K715" s="10"/>
      <c r="L715" s="152">
        <v>0</v>
      </c>
      <c r="M715" s="10"/>
      <c r="N715" s="152">
        <v>0</v>
      </c>
      <c r="O715" s="10"/>
      <c r="P715" s="152">
        <v>295</v>
      </c>
      <c r="Q715" s="10"/>
      <c r="R715" s="9">
        <v>0</v>
      </c>
      <c r="S715" s="10"/>
      <c r="T715" s="9">
        <v>0</v>
      </c>
      <c r="U715" s="10"/>
      <c r="V715" s="9">
        <v>0</v>
      </c>
      <c r="W715" s="10"/>
      <c r="X715" s="9">
        <v>0</v>
      </c>
      <c r="Y715" s="10"/>
      <c r="Z715" s="9">
        <v>0</v>
      </c>
      <c r="AA715" s="10"/>
      <c r="AB715" s="11">
        <v>0</v>
      </c>
      <c r="AC715" s="10"/>
      <c r="AD715" s="7">
        <f>SUM(F715+H715+J715+L715+N715+P715+R715+T715+V715+X715+Z715+AB715)</f>
        <v>295</v>
      </c>
      <c r="AE715" s="7">
        <f>E715+AD715</f>
        <v>295</v>
      </c>
      <c r="AF715" s="8">
        <f>G715+I715+K715+M715+O715+Q715+S715+U715+W715+Y715+AA715+AC715</f>
        <v>0</v>
      </c>
      <c r="AG715" s="153">
        <f>SUM(AE715-AF715)</f>
        <v>295</v>
      </c>
      <c r="AH715" s="96" t="s">
        <v>1529</v>
      </c>
      <c r="AI715" s="96">
        <v>4</v>
      </c>
    </row>
    <row r="716" spans="1:42" customHeight="1" ht="11.5" s="96" customFormat="1">
      <c r="A716" s="5">
        <v>708</v>
      </c>
      <c r="B716" s="163" t="s">
        <v>1169</v>
      </c>
      <c r="C716" s="151" t="s">
        <v>1167</v>
      </c>
      <c r="D716" s="85" t="s">
        <v>1168</v>
      </c>
      <c r="E716" s="86">
        <v>0</v>
      </c>
      <c r="F716" s="9">
        <v>0</v>
      </c>
      <c r="G716" s="10"/>
      <c r="H716" s="9">
        <v>0</v>
      </c>
      <c r="I716" s="10"/>
      <c r="J716" s="152">
        <v>0</v>
      </c>
      <c r="K716" s="10"/>
      <c r="L716" s="152">
        <v>0</v>
      </c>
      <c r="M716" s="10"/>
      <c r="N716" s="152">
        <v>0</v>
      </c>
      <c r="O716" s="10"/>
      <c r="P716" s="152">
        <v>0</v>
      </c>
      <c r="Q716" s="10"/>
      <c r="R716" s="9">
        <v>0</v>
      </c>
      <c r="S716" s="10"/>
      <c r="T716" s="9">
        <v>0</v>
      </c>
      <c r="U716" s="10"/>
      <c r="V716" s="9">
        <v>0</v>
      </c>
      <c r="W716" s="10"/>
      <c r="X716" s="9">
        <v>0</v>
      </c>
      <c r="Y716" s="10"/>
      <c r="Z716" s="9">
        <v>0</v>
      </c>
      <c r="AA716" s="10"/>
      <c r="AB716" s="11">
        <v>0</v>
      </c>
      <c r="AC716" s="10"/>
      <c r="AD716" s="7">
        <f>SUM(F716+H716+J716+L716+N716+P716+R716+T716+V716+X716+Z716+AB716)</f>
        <v>0</v>
      </c>
      <c r="AE716" s="7">
        <f>E716+AD716</f>
        <v>0</v>
      </c>
      <c r="AF716" s="8">
        <f>G716+I716+K716+M716+O716+Q716+S716+U716+W716+Y716+AA716+AC716</f>
        <v>0</v>
      </c>
      <c r="AG716" s="153">
        <f>SUM(AE716-AF716)</f>
        <v>0</v>
      </c>
      <c r="AH716" s="96" t="s">
        <v>1529</v>
      </c>
      <c r="AI716" s="96">
        <v>4</v>
      </c>
    </row>
    <row r="717" spans="1:42" customHeight="1" ht="11.5" s="96" customFormat="1">
      <c r="A717" s="5">
        <v>709</v>
      </c>
      <c r="B717" s="163" t="s">
        <v>1170</v>
      </c>
      <c r="C717" s="151" t="s">
        <v>36</v>
      </c>
      <c r="D717" s="85" t="s">
        <v>37</v>
      </c>
      <c r="E717" s="86">
        <v>200</v>
      </c>
      <c r="F717" s="9">
        <v>200</v>
      </c>
      <c r="G717" s="10">
        <v>200</v>
      </c>
      <c r="H717" s="9">
        <v>200</v>
      </c>
      <c r="I717" s="10">
        <v>200</v>
      </c>
      <c r="J717" s="152">
        <v>0</v>
      </c>
      <c r="K717" s="10">
        <v>200</v>
      </c>
      <c r="L717" s="152">
        <v>0</v>
      </c>
      <c r="M717" s="10"/>
      <c r="N717" s="152">
        <v>0</v>
      </c>
      <c r="O717" s="10"/>
      <c r="P717" s="152">
        <v>0</v>
      </c>
      <c r="Q717" s="10"/>
      <c r="R717" s="9">
        <v>200</v>
      </c>
      <c r="S717" s="10"/>
      <c r="T717" s="9">
        <v>0</v>
      </c>
      <c r="U717" s="10"/>
      <c r="V717" s="9">
        <v>0</v>
      </c>
      <c r="W717" s="10"/>
      <c r="X717" s="9">
        <v>0</v>
      </c>
      <c r="Y717" s="10"/>
      <c r="Z717" s="9">
        <v>0</v>
      </c>
      <c r="AA717" s="10"/>
      <c r="AB717" s="11">
        <v>0</v>
      </c>
      <c r="AC717" s="10"/>
      <c r="AD717" s="7">
        <f>SUM(F717+H717+J717+L717+N717+P717+R717+T717+V717+X717+Z717+AB717)</f>
        <v>600</v>
      </c>
      <c r="AE717" s="7">
        <f>E717+AD717</f>
        <v>800</v>
      </c>
      <c r="AF717" s="8">
        <f>G717+I717+K717+M717+O717+Q717+S717+U717+W717+Y717+AA717+AC717</f>
        <v>600</v>
      </c>
      <c r="AG717" s="153">
        <f>SUM(AE717-AF717)</f>
        <v>200</v>
      </c>
      <c r="AH717" s="96" t="s">
        <v>1529</v>
      </c>
      <c r="AI717" s="96">
        <v>4</v>
      </c>
    </row>
    <row r="718" spans="1:42" customHeight="1" ht="11.5" s="96" customFormat="1">
      <c r="A718" s="5">
        <v>710</v>
      </c>
      <c r="B718" s="163" t="s">
        <v>1171</v>
      </c>
      <c r="C718" s="151" t="s">
        <v>1167</v>
      </c>
      <c r="D718" s="85" t="s">
        <v>1168</v>
      </c>
      <c r="E718" s="86">
        <v>0</v>
      </c>
      <c r="F718" s="9">
        <v>163</v>
      </c>
      <c r="G718" s="10"/>
      <c r="H718" s="9">
        <v>0</v>
      </c>
      <c r="I718" s="10"/>
      <c r="J718" s="152">
        <v>0</v>
      </c>
      <c r="K718" s="10"/>
      <c r="L718" s="152">
        <v>0</v>
      </c>
      <c r="M718" s="10"/>
      <c r="N718" s="152">
        <v>0</v>
      </c>
      <c r="O718" s="10"/>
      <c r="P718" s="152">
        <v>0</v>
      </c>
      <c r="Q718" s="10"/>
      <c r="R718" s="9">
        <v>100</v>
      </c>
      <c r="S718" s="10"/>
      <c r="T718" s="9">
        <v>0</v>
      </c>
      <c r="U718" s="10"/>
      <c r="V718" s="9">
        <v>0</v>
      </c>
      <c r="W718" s="10"/>
      <c r="X718" s="9">
        <v>0</v>
      </c>
      <c r="Y718" s="10"/>
      <c r="Z718" s="9">
        <v>0</v>
      </c>
      <c r="AA718" s="10"/>
      <c r="AB718" s="11">
        <v>0</v>
      </c>
      <c r="AC718" s="10"/>
      <c r="AD718" s="7">
        <f>SUM(F718+H718+J718+L718+N718+P718+R718+T718+V718+X718+Z718+AB718)</f>
        <v>263</v>
      </c>
      <c r="AE718" s="7">
        <f>E718+AD718</f>
        <v>263</v>
      </c>
      <c r="AF718" s="8">
        <f>G718+I718+K718+M718+O718+Q718+S718+U718+W718+Y718+AA718+AC718</f>
        <v>0</v>
      </c>
      <c r="AG718" s="153">
        <f>SUM(AE718-AF718)</f>
        <v>263</v>
      </c>
      <c r="AH718" s="96" t="s">
        <v>1530</v>
      </c>
      <c r="AI718" s="96">
        <v>4</v>
      </c>
    </row>
    <row r="719" spans="1:42" customHeight="1" ht="11.5" s="96" customFormat="1">
      <c r="A719" s="5">
        <v>711</v>
      </c>
      <c r="B719" s="163" t="s">
        <v>1172</v>
      </c>
      <c r="C719" s="151" t="s">
        <v>36</v>
      </c>
      <c r="D719" s="85" t="s">
        <v>37</v>
      </c>
      <c r="E719" s="86">
        <v>0</v>
      </c>
      <c r="F719" s="9">
        <v>0</v>
      </c>
      <c r="G719" s="10"/>
      <c r="H719" s="9">
        <v>200</v>
      </c>
      <c r="I719" s="10"/>
      <c r="J719" s="152">
        <v>0</v>
      </c>
      <c r="K719" s="10"/>
      <c r="L719" s="152">
        <v>0</v>
      </c>
      <c r="M719" s="10"/>
      <c r="N719" s="152">
        <v>0</v>
      </c>
      <c r="O719" s="10"/>
      <c r="P719" s="152">
        <v>0</v>
      </c>
      <c r="Q719" s="10"/>
      <c r="R719" s="9">
        <v>200</v>
      </c>
      <c r="S719" s="10"/>
      <c r="T719" s="9">
        <v>0</v>
      </c>
      <c r="U719" s="10"/>
      <c r="V719" s="9">
        <v>0</v>
      </c>
      <c r="W719" s="10"/>
      <c r="X719" s="9">
        <v>0</v>
      </c>
      <c r="Y719" s="10"/>
      <c r="Z719" s="9">
        <v>0</v>
      </c>
      <c r="AA719" s="10"/>
      <c r="AB719" s="11">
        <v>0</v>
      </c>
      <c r="AC719" s="10"/>
      <c r="AD719" s="7">
        <f>SUM(F719+H719+J719+L719+N719+P719+R719+T719+V719+X719+Z719+AB719)</f>
        <v>400</v>
      </c>
      <c r="AE719" s="7">
        <f>E719+AD719</f>
        <v>400</v>
      </c>
      <c r="AF719" s="8">
        <f>G719+I719+K719+M719+O719+Q719+S719+U719+W719+Y719+AA719+AC719</f>
        <v>0</v>
      </c>
      <c r="AG719" s="153">
        <f>SUM(AE719-AF719)</f>
        <v>400</v>
      </c>
      <c r="AH719" s="96" t="s">
        <v>1530</v>
      </c>
      <c r="AI719" s="96">
        <v>4</v>
      </c>
    </row>
    <row r="720" spans="1:42" customHeight="1" ht="11.5" s="96" customFormat="1">
      <c r="A720" s="5">
        <v>712</v>
      </c>
      <c r="B720" s="163" t="s">
        <v>1173</v>
      </c>
      <c r="C720" s="151" t="s">
        <v>1174</v>
      </c>
      <c r="D720" s="85" t="s">
        <v>1175</v>
      </c>
      <c r="E720" s="86">
        <v>100</v>
      </c>
      <c r="F720" s="9">
        <v>0</v>
      </c>
      <c r="G720" s="10"/>
      <c r="H720" s="9">
        <v>0</v>
      </c>
      <c r="I720" s="10"/>
      <c r="J720" s="152">
        <v>0</v>
      </c>
      <c r="K720" s="10">
        <v>100</v>
      </c>
      <c r="L720" s="152">
        <v>0</v>
      </c>
      <c r="M720" s="10"/>
      <c r="N720" s="152">
        <v>0</v>
      </c>
      <c r="O720" s="10"/>
      <c r="P720" s="152">
        <v>0</v>
      </c>
      <c r="Q720" s="10"/>
      <c r="R720" s="9">
        <v>0</v>
      </c>
      <c r="S720" s="10"/>
      <c r="T720" s="9">
        <v>0</v>
      </c>
      <c r="U720" s="10"/>
      <c r="V720" s="9">
        <v>0</v>
      </c>
      <c r="W720" s="10"/>
      <c r="X720" s="9">
        <v>0</v>
      </c>
      <c r="Y720" s="10"/>
      <c r="Z720" s="9">
        <v>0</v>
      </c>
      <c r="AA720" s="10"/>
      <c r="AB720" s="11">
        <v>0</v>
      </c>
      <c r="AC720" s="10"/>
      <c r="AD720" s="7">
        <f>SUM(F720+H720+J720+L720+N720+P720+R720+T720+V720+X720+Z720+AB720)</f>
        <v>0</v>
      </c>
      <c r="AE720" s="7">
        <f>E720+AD720</f>
        <v>100</v>
      </c>
      <c r="AF720" s="8">
        <f>G720+I720+K720+M720+O720+Q720+S720+U720+W720+Y720+AA720+AC720</f>
        <v>100</v>
      </c>
      <c r="AG720" s="153">
        <f>SUM(AE720-AF720)</f>
        <v>0</v>
      </c>
      <c r="AH720" s="96" t="s">
        <v>1530</v>
      </c>
      <c r="AI720" s="96">
        <v>4</v>
      </c>
    </row>
    <row r="721" spans="1:42" customHeight="1" ht="11.5" s="96" customFormat="1">
      <c r="A721" s="5">
        <v>713</v>
      </c>
      <c r="B721" s="163" t="s">
        <v>1176</v>
      </c>
      <c r="C721" s="151" t="s">
        <v>36</v>
      </c>
      <c r="D721" s="85" t="s">
        <v>37</v>
      </c>
      <c r="E721" s="86">
        <v>320</v>
      </c>
      <c r="F721" s="9">
        <v>0</v>
      </c>
      <c r="G721" s="10">
        <v>320</v>
      </c>
      <c r="H721" s="9">
        <v>0</v>
      </c>
      <c r="I721" s="10"/>
      <c r="J721" s="152">
        <v>0</v>
      </c>
      <c r="K721" s="10"/>
      <c r="L721" s="152">
        <v>0</v>
      </c>
      <c r="M721" s="10"/>
      <c r="N721" s="152">
        <v>0</v>
      </c>
      <c r="O721" s="10"/>
      <c r="P721" s="152">
        <v>0</v>
      </c>
      <c r="Q721" s="10"/>
      <c r="R721" s="9">
        <v>0</v>
      </c>
      <c r="S721" s="10"/>
      <c r="T721" s="9">
        <v>0</v>
      </c>
      <c r="U721" s="10"/>
      <c r="V721" s="9">
        <v>0</v>
      </c>
      <c r="W721" s="10"/>
      <c r="X721" s="9">
        <v>0</v>
      </c>
      <c r="Y721" s="10"/>
      <c r="Z721" s="9">
        <v>0</v>
      </c>
      <c r="AA721" s="10"/>
      <c r="AB721" s="11">
        <v>0</v>
      </c>
      <c r="AC721" s="10"/>
      <c r="AD721" s="7">
        <f>SUM(F721+H721+J721+L721+N721+P721+R721+T721+V721+X721+Z721+AB721)</f>
        <v>0</v>
      </c>
      <c r="AE721" s="7">
        <f>E721+AD721</f>
        <v>320</v>
      </c>
      <c r="AF721" s="8">
        <f>G721+I721+K721+M721+O721+Q721+S721+U721+W721+Y721+AA721+AC721</f>
        <v>320</v>
      </c>
      <c r="AG721" s="153">
        <f>SUM(AE721-AF721)</f>
        <v>0</v>
      </c>
      <c r="AH721" s="96" t="s">
        <v>1530</v>
      </c>
      <c r="AI721" s="96">
        <v>4</v>
      </c>
    </row>
    <row r="722" spans="1:42" customHeight="1" ht="11.5" s="96" customFormat="1">
      <c r="A722" s="5">
        <v>714</v>
      </c>
      <c r="B722" s="163" t="s">
        <v>1177</v>
      </c>
      <c r="C722" s="151" t="s">
        <v>36</v>
      </c>
      <c r="D722" s="85" t="s">
        <v>37</v>
      </c>
      <c r="E722" s="86">
        <v>2000</v>
      </c>
      <c r="F722" s="9">
        <v>0</v>
      </c>
      <c r="G722" s="10">
        <v>2000</v>
      </c>
      <c r="H722" s="9">
        <v>0</v>
      </c>
      <c r="I722" s="10"/>
      <c r="J722" s="152">
        <v>0</v>
      </c>
      <c r="K722" s="10"/>
      <c r="L722" s="152">
        <v>0</v>
      </c>
      <c r="M722" s="10"/>
      <c r="N722" s="152">
        <v>0</v>
      </c>
      <c r="O722" s="10"/>
      <c r="P722" s="152">
        <v>0</v>
      </c>
      <c r="Q722" s="10"/>
      <c r="R722" s="9">
        <v>0</v>
      </c>
      <c r="S722" s="10"/>
      <c r="T722" s="9">
        <v>0</v>
      </c>
      <c r="U722" s="10"/>
      <c r="V722" s="9">
        <v>0</v>
      </c>
      <c r="W722" s="10"/>
      <c r="X722" s="9">
        <v>0</v>
      </c>
      <c r="Y722" s="10"/>
      <c r="Z722" s="9">
        <v>0</v>
      </c>
      <c r="AA722" s="10"/>
      <c r="AB722" s="11">
        <v>0</v>
      </c>
      <c r="AC722" s="10"/>
      <c r="AD722" s="7">
        <f>SUM(F722+H722+J722+L722+N722+P722+R722+T722+V722+X722+Z722+AB722)</f>
        <v>0</v>
      </c>
      <c r="AE722" s="7">
        <f>E722+AD722</f>
        <v>2000</v>
      </c>
      <c r="AF722" s="8">
        <f>G722+I722+K722+M722+O722+Q722+S722+U722+W722+Y722+AA722+AC722</f>
        <v>2000</v>
      </c>
      <c r="AG722" s="153">
        <f>SUM(AE722-AF722)</f>
        <v>0</v>
      </c>
      <c r="AH722" s="96" t="s">
        <v>1530</v>
      </c>
      <c r="AI722" s="96">
        <v>4</v>
      </c>
    </row>
    <row r="723" spans="1:42" customHeight="1" ht="11.5" s="96" customFormat="1">
      <c r="A723" s="5">
        <v>715</v>
      </c>
      <c r="B723" s="163" t="s">
        <v>1178</v>
      </c>
      <c r="C723" s="151" t="s">
        <v>36</v>
      </c>
      <c r="D723" s="85" t="s">
        <v>37</v>
      </c>
      <c r="E723" s="86">
        <v>0</v>
      </c>
      <c r="F723" s="9">
        <v>0</v>
      </c>
      <c r="G723" s="10"/>
      <c r="H723" s="9">
        <v>0</v>
      </c>
      <c r="I723" s="10"/>
      <c r="J723" s="152">
        <v>0</v>
      </c>
      <c r="K723" s="10"/>
      <c r="L723" s="152">
        <v>0</v>
      </c>
      <c r="M723" s="10"/>
      <c r="N723" s="152">
        <v>0</v>
      </c>
      <c r="O723" s="10"/>
      <c r="P723" s="152">
        <v>0</v>
      </c>
      <c r="Q723" s="10"/>
      <c r="R723" s="9">
        <v>0</v>
      </c>
      <c r="S723" s="10"/>
      <c r="T723" s="9">
        <v>0</v>
      </c>
      <c r="U723" s="10"/>
      <c r="V723" s="9">
        <v>0</v>
      </c>
      <c r="W723" s="10"/>
      <c r="X723" s="9">
        <v>0</v>
      </c>
      <c r="Y723" s="10"/>
      <c r="Z723" s="9">
        <v>0</v>
      </c>
      <c r="AA723" s="10"/>
      <c r="AB723" s="11">
        <v>0</v>
      </c>
      <c r="AC723" s="10"/>
      <c r="AD723" s="7">
        <f>SUM(F723+H723+J723+L723+N723+P723+R723+T723+V723+X723+Z723+AB723)</f>
        <v>0</v>
      </c>
      <c r="AE723" s="7">
        <f>E723+AD723</f>
        <v>0</v>
      </c>
      <c r="AF723" s="8">
        <f>G723+I723+K723+M723+O723+Q723+S723+U723+W723+Y723+AA723+AC723</f>
        <v>0</v>
      </c>
      <c r="AG723" s="153">
        <f>SUM(AE723-AF723)</f>
        <v>0</v>
      </c>
      <c r="AH723" s="96" t="s">
        <v>1531</v>
      </c>
      <c r="AI723" s="96">
        <v>4</v>
      </c>
    </row>
    <row r="724" spans="1:42" customHeight="1" ht="11.5" s="96" customFormat="1">
      <c r="A724" s="5">
        <v>716</v>
      </c>
      <c r="B724" s="163" t="s">
        <v>1179</v>
      </c>
      <c r="C724" s="151" t="s">
        <v>36</v>
      </c>
      <c r="D724" s="85" t="s">
        <v>37</v>
      </c>
      <c r="E724" s="86">
        <v>0</v>
      </c>
      <c r="F724" s="9">
        <v>0</v>
      </c>
      <c r="G724" s="10"/>
      <c r="H724" s="9">
        <v>0</v>
      </c>
      <c r="I724" s="10"/>
      <c r="J724" s="152">
        <v>0</v>
      </c>
      <c r="K724" s="10"/>
      <c r="L724" s="152">
        <v>0</v>
      </c>
      <c r="M724" s="10"/>
      <c r="N724" s="152">
        <v>0</v>
      </c>
      <c r="O724" s="10"/>
      <c r="P724" s="152">
        <v>0</v>
      </c>
      <c r="Q724" s="10"/>
      <c r="R724" s="9">
        <v>1000</v>
      </c>
      <c r="S724" s="10"/>
      <c r="T724" s="9">
        <v>0</v>
      </c>
      <c r="U724" s="10"/>
      <c r="V724" s="9">
        <v>0</v>
      </c>
      <c r="W724" s="10"/>
      <c r="X724" s="9">
        <v>0</v>
      </c>
      <c r="Y724" s="10"/>
      <c r="Z724" s="9">
        <v>0</v>
      </c>
      <c r="AA724" s="10"/>
      <c r="AB724" s="11">
        <v>0</v>
      </c>
      <c r="AC724" s="10"/>
      <c r="AD724" s="7">
        <f>SUM(F724+H724+J724+L724+N724+P724+R724+T724+V724+X724+Z724+AB724)</f>
        <v>1000</v>
      </c>
      <c r="AE724" s="7">
        <f>E724+AD724</f>
        <v>1000</v>
      </c>
      <c r="AF724" s="8">
        <f>G724+I724+K724+M724+O724+Q724+S724+U724+W724+Y724+AA724+AC724</f>
        <v>0</v>
      </c>
      <c r="AG724" s="153">
        <f>SUM(AE724-AF724)</f>
        <v>1000</v>
      </c>
      <c r="AH724" s="96" t="s">
        <v>1531</v>
      </c>
      <c r="AI724" s="96">
        <v>4</v>
      </c>
    </row>
    <row r="725" spans="1:42" customHeight="1" ht="11.5" s="96" customFormat="1">
      <c r="A725" s="5">
        <v>717</v>
      </c>
      <c r="B725" s="163" t="s">
        <v>1180</v>
      </c>
      <c r="C725" s="151" t="s">
        <v>36</v>
      </c>
      <c r="D725" s="85" t="s">
        <v>37</v>
      </c>
      <c r="E725" s="86">
        <v>0</v>
      </c>
      <c r="F725" s="9">
        <v>0</v>
      </c>
      <c r="G725" s="10"/>
      <c r="H725" s="9">
        <v>0</v>
      </c>
      <c r="I725" s="10"/>
      <c r="J725" s="152">
        <v>0</v>
      </c>
      <c r="K725" s="10"/>
      <c r="L725" s="152">
        <v>0</v>
      </c>
      <c r="M725" s="10"/>
      <c r="N725" s="152">
        <v>0</v>
      </c>
      <c r="O725" s="10"/>
      <c r="P725" s="152">
        <v>0</v>
      </c>
      <c r="Q725" s="10"/>
      <c r="R725" s="9">
        <v>2000</v>
      </c>
      <c r="S725" s="10"/>
      <c r="T725" s="9">
        <v>0</v>
      </c>
      <c r="U725" s="10"/>
      <c r="V725" s="9">
        <v>0</v>
      </c>
      <c r="W725" s="10"/>
      <c r="X725" s="9">
        <v>0</v>
      </c>
      <c r="Y725" s="10"/>
      <c r="Z725" s="9">
        <v>0</v>
      </c>
      <c r="AA725" s="10"/>
      <c r="AB725" s="11">
        <v>0</v>
      </c>
      <c r="AC725" s="10"/>
      <c r="AD725" s="7">
        <f>SUM(F725+H725+J725+L725+N725+P725+R725+T725+V725+X725+Z725+AB725)</f>
        <v>2000</v>
      </c>
      <c r="AE725" s="7">
        <f>E725+AD725</f>
        <v>2000</v>
      </c>
      <c r="AF725" s="8">
        <f>G725+I725+K725+M725+O725+Q725+S725+U725+W725+Y725+AA725+AC725</f>
        <v>0</v>
      </c>
      <c r="AG725" s="153">
        <f>SUM(AE725-AF725)</f>
        <v>2000</v>
      </c>
      <c r="AH725" s="96" t="s">
        <v>1531</v>
      </c>
      <c r="AI725" s="96">
        <v>4</v>
      </c>
    </row>
    <row r="726" spans="1:42" customHeight="1" ht="11.5" s="96" customFormat="1">
      <c r="A726" s="5">
        <v>718</v>
      </c>
      <c r="B726" s="163" t="s">
        <v>1181</v>
      </c>
      <c r="C726" s="151" t="s">
        <v>36</v>
      </c>
      <c r="D726" s="85" t="s">
        <v>37</v>
      </c>
      <c r="E726" s="86">
        <v>3200</v>
      </c>
      <c r="F726" s="9">
        <v>0</v>
      </c>
      <c r="G726" s="10">
        <v>3200</v>
      </c>
      <c r="H726" s="9">
        <v>0</v>
      </c>
      <c r="I726" s="10"/>
      <c r="J726" s="152">
        <v>0</v>
      </c>
      <c r="K726" s="10"/>
      <c r="L726" s="152">
        <v>0</v>
      </c>
      <c r="M726" s="10"/>
      <c r="N726" s="152">
        <v>0</v>
      </c>
      <c r="O726" s="10"/>
      <c r="P726" s="152">
        <v>0</v>
      </c>
      <c r="Q726" s="10"/>
      <c r="R726" s="9">
        <v>0</v>
      </c>
      <c r="S726" s="10"/>
      <c r="T726" s="9">
        <v>0</v>
      </c>
      <c r="U726" s="10"/>
      <c r="V726" s="9">
        <v>0</v>
      </c>
      <c r="W726" s="10"/>
      <c r="X726" s="9">
        <v>0</v>
      </c>
      <c r="Y726" s="10"/>
      <c r="Z726" s="9">
        <v>0</v>
      </c>
      <c r="AA726" s="10"/>
      <c r="AB726" s="11">
        <v>0</v>
      </c>
      <c r="AC726" s="10"/>
      <c r="AD726" s="7">
        <f>SUM(F726+H726+J726+L726+N726+P726+R726+T726+V726+X726+Z726+AB726)</f>
        <v>0</v>
      </c>
      <c r="AE726" s="7">
        <f>E726+AD726</f>
        <v>3200</v>
      </c>
      <c r="AF726" s="8">
        <f>G726+I726+K726+M726+O726+Q726+S726+U726+W726+Y726+AA726+AC726</f>
        <v>3200</v>
      </c>
      <c r="AG726" s="153">
        <f>SUM(AE726-AF726)</f>
        <v>0</v>
      </c>
      <c r="AH726" s="96" t="s">
        <v>1531</v>
      </c>
      <c r="AI726" s="96">
        <v>4</v>
      </c>
    </row>
    <row r="727" spans="1:42" customHeight="1" ht="11.5" s="96" customFormat="1">
      <c r="A727" s="5">
        <v>719</v>
      </c>
      <c r="B727" s="163" t="s">
        <v>1182</v>
      </c>
      <c r="C727" s="151" t="s">
        <v>36</v>
      </c>
      <c r="D727" s="85" t="s">
        <v>37</v>
      </c>
      <c r="E727" s="86">
        <v>0</v>
      </c>
      <c r="F727" s="9">
        <v>0</v>
      </c>
      <c r="G727" s="10"/>
      <c r="H727" s="9">
        <v>0</v>
      </c>
      <c r="I727" s="10"/>
      <c r="J727" s="152">
        <v>0</v>
      </c>
      <c r="K727" s="10"/>
      <c r="L727" s="152">
        <v>0</v>
      </c>
      <c r="M727" s="10"/>
      <c r="N727" s="152">
        <v>0</v>
      </c>
      <c r="O727" s="10"/>
      <c r="P727" s="152">
        <v>1000</v>
      </c>
      <c r="Q727" s="10"/>
      <c r="R727" s="9">
        <v>0</v>
      </c>
      <c r="S727" s="10"/>
      <c r="T727" s="9">
        <v>0</v>
      </c>
      <c r="U727" s="10"/>
      <c r="V727" s="9">
        <v>0</v>
      </c>
      <c r="W727" s="10"/>
      <c r="X727" s="9">
        <v>0</v>
      </c>
      <c r="Y727" s="10"/>
      <c r="Z727" s="9">
        <v>0</v>
      </c>
      <c r="AA727" s="10"/>
      <c r="AB727" s="11">
        <v>0</v>
      </c>
      <c r="AC727" s="10"/>
      <c r="AD727" s="7">
        <f>SUM(F727+H727+J727+L727+N727+P727+R727+T727+V727+X727+Z727+AB727)</f>
        <v>1000</v>
      </c>
      <c r="AE727" s="7">
        <f>E727+AD727</f>
        <v>1000</v>
      </c>
      <c r="AF727" s="8">
        <f>G727+I727+K727+M727+O727+Q727+S727+U727+W727+Y727+AA727+AC727</f>
        <v>0</v>
      </c>
      <c r="AG727" s="153">
        <f>SUM(AE727-AF727)</f>
        <v>1000</v>
      </c>
      <c r="AH727" s="96" t="s">
        <v>1531</v>
      </c>
      <c r="AI727" s="96">
        <v>4</v>
      </c>
    </row>
    <row r="728" spans="1:42" customHeight="1" ht="11.5" s="96" customFormat="1">
      <c r="A728" s="5">
        <v>720</v>
      </c>
      <c r="B728" s="163" t="s">
        <v>1183</v>
      </c>
      <c r="C728" s="151" t="s">
        <v>36</v>
      </c>
      <c r="D728" s="85" t="s">
        <v>37</v>
      </c>
      <c r="E728" s="86">
        <v>0</v>
      </c>
      <c r="F728" s="9">
        <v>0</v>
      </c>
      <c r="G728" s="10"/>
      <c r="H728" s="9">
        <v>0</v>
      </c>
      <c r="I728" s="10"/>
      <c r="J728" s="152">
        <v>0</v>
      </c>
      <c r="K728" s="10"/>
      <c r="L728" s="152">
        <v>0</v>
      </c>
      <c r="M728" s="10"/>
      <c r="N728" s="152">
        <v>0</v>
      </c>
      <c r="O728" s="10"/>
      <c r="P728" s="152">
        <v>0</v>
      </c>
      <c r="Q728" s="10"/>
      <c r="R728" s="9">
        <v>1000</v>
      </c>
      <c r="S728" s="10"/>
      <c r="T728" s="9">
        <v>0</v>
      </c>
      <c r="U728" s="10"/>
      <c r="V728" s="9">
        <v>0</v>
      </c>
      <c r="W728" s="10"/>
      <c r="X728" s="9">
        <v>0</v>
      </c>
      <c r="Y728" s="10"/>
      <c r="Z728" s="9">
        <v>0</v>
      </c>
      <c r="AA728" s="10"/>
      <c r="AB728" s="11">
        <v>0</v>
      </c>
      <c r="AC728" s="10"/>
      <c r="AD728" s="7">
        <f>SUM(F728+H728+J728+L728+N728+P728+R728+T728+V728+X728+Z728+AB728)</f>
        <v>1000</v>
      </c>
      <c r="AE728" s="7">
        <f>E728+AD728</f>
        <v>1000</v>
      </c>
      <c r="AF728" s="8">
        <f>G728+I728+K728+M728+O728+Q728+S728+U728+W728+Y728+AA728+AC728</f>
        <v>0</v>
      </c>
      <c r="AG728" s="153">
        <f>SUM(AE728-AF728)</f>
        <v>1000</v>
      </c>
      <c r="AH728" s="96" t="s">
        <v>1531</v>
      </c>
      <c r="AI728" s="96">
        <v>4</v>
      </c>
    </row>
    <row r="729" spans="1:42" customHeight="1" ht="11.5" s="96" customFormat="1">
      <c r="A729" s="5">
        <v>721</v>
      </c>
      <c r="B729" s="163" t="s">
        <v>1184</v>
      </c>
      <c r="C729" s="151" t="s">
        <v>36</v>
      </c>
      <c r="D729" s="85" t="s">
        <v>37</v>
      </c>
      <c r="E729" s="86">
        <v>400</v>
      </c>
      <c r="F729" s="9">
        <v>0</v>
      </c>
      <c r="G729" s="10">
        <v>400</v>
      </c>
      <c r="H729" s="9">
        <v>0</v>
      </c>
      <c r="I729" s="10"/>
      <c r="J729" s="152">
        <v>0</v>
      </c>
      <c r="K729" s="10"/>
      <c r="L729" s="152">
        <v>0</v>
      </c>
      <c r="M729" s="10"/>
      <c r="N729" s="152">
        <v>0</v>
      </c>
      <c r="O729" s="10"/>
      <c r="P729" s="152">
        <v>400</v>
      </c>
      <c r="Q729" s="10"/>
      <c r="R729" s="9">
        <v>0</v>
      </c>
      <c r="S729" s="10"/>
      <c r="T729" s="9">
        <v>0</v>
      </c>
      <c r="U729" s="10"/>
      <c r="V729" s="9">
        <v>0</v>
      </c>
      <c r="W729" s="10"/>
      <c r="X729" s="9">
        <v>0</v>
      </c>
      <c r="Y729" s="10"/>
      <c r="Z729" s="9">
        <v>0</v>
      </c>
      <c r="AA729" s="10"/>
      <c r="AB729" s="11">
        <v>0</v>
      </c>
      <c r="AC729" s="10"/>
      <c r="AD729" s="7">
        <f>SUM(F729+H729+J729+L729+N729+P729+R729+T729+V729+X729+Z729+AB729)</f>
        <v>400</v>
      </c>
      <c r="AE729" s="7">
        <f>E729+AD729</f>
        <v>800</v>
      </c>
      <c r="AF729" s="8">
        <f>G729+I729+K729+M729+O729+Q729+S729+U729+W729+Y729+AA729+AC729</f>
        <v>400</v>
      </c>
      <c r="AG729" s="153">
        <f>SUM(AE729-AF729)</f>
        <v>400</v>
      </c>
      <c r="AH729" s="96" t="s">
        <v>1532</v>
      </c>
      <c r="AI729" s="96">
        <v>4</v>
      </c>
    </row>
    <row r="730" spans="1:42" customHeight="1" ht="11.5" s="96" customFormat="1">
      <c r="A730" s="5">
        <v>722</v>
      </c>
      <c r="B730" s="163" t="s">
        <v>1185</v>
      </c>
      <c r="C730" s="151" t="s">
        <v>36</v>
      </c>
      <c r="D730" s="85" t="s">
        <v>37</v>
      </c>
      <c r="E730" s="86">
        <v>2000</v>
      </c>
      <c r="F730" s="9">
        <v>0</v>
      </c>
      <c r="G730" s="10">
        <v>2000</v>
      </c>
      <c r="H730" s="9">
        <v>2000</v>
      </c>
      <c r="I730" s="10"/>
      <c r="J730" s="152">
        <v>0</v>
      </c>
      <c r="K730" s="10">
        <v>2000</v>
      </c>
      <c r="L730" s="152">
        <v>0</v>
      </c>
      <c r="M730" s="10"/>
      <c r="N730" s="152">
        <v>0</v>
      </c>
      <c r="O730" s="10"/>
      <c r="P730" s="152">
        <v>1000</v>
      </c>
      <c r="Q730" s="10"/>
      <c r="R730" s="9">
        <v>1000</v>
      </c>
      <c r="S730" s="10"/>
      <c r="T730" s="9">
        <v>0</v>
      </c>
      <c r="U730" s="10"/>
      <c r="V730" s="9">
        <v>0</v>
      </c>
      <c r="W730" s="10"/>
      <c r="X730" s="9">
        <v>0</v>
      </c>
      <c r="Y730" s="10"/>
      <c r="Z730" s="9">
        <v>0</v>
      </c>
      <c r="AA730" s="10"/>
      <c r="AB730" s="11">
        <v>0</v>
      </c>
      <c r="AC730" s="10"/>
      <c r="AD730" s="7">
        <f>SUM(F730+H730+J730+L730+N730+P730+R730+T730+V730+X730+Z730+AB730)</f>
        <v>4000</v>
      </c>
      <c r="AE730" s="7">
        <f>E730+AD730</f>
        <v>6000</v>
      </c>
      <c r="AF730" s="8">
        <f>G730+I730+K730+M730+O730+Q730+S730+U730+W730+Y730+AA730+AC730</f>
        <v>4000</v>
      </c>
      <c r="AG730" s="153">
        <f>SUM(AE730-AF730)</f>
        <v>2000</v>
      </c>
      <c r="AH730" s="96" t="s">
        <v>1532</v>
      </c>
      <c r="AI730" s="96">
        <v>4</v>
      </c>
    </row>
    <row r="731" spans="1:42" customHeight="1" ht="11.5" s="96" customFormat="1">
      <c r="A731" s="5">
        <v>723</v>
      </c>
      <c r="B731" s="163" t="s">
        <v>1186</v>
      </c>
      <c r="C731" s="151" t="s">
        <v>36</v>
      </c>
      <c r="D731" s="85" t="s">
        <v>37</v>
      </c>
      <c r="E731" s="86">
        <v>3000</v>
      </c>
      <c r="F731" s="9">
        <v>0</v>
      </c>
      <c r="G731" s="10">
        <v>3000</v>
      </c>
      <c r="H731" s="9">
        <v>2000</v>
      </c>
      <c r="I731" s="10"/>
      <c r="J731" s="152">
        <v>0</v>
      </c>
      <c r="K731" s="10">
        <v>2000</v>
      </c>
      <c r="L731" s="152">
        <v>0</v>
      </c>
      <c r="M731" s="10"/>
      <c r="N731" s="152">
        <v>0</v>
      </c>
      <c r="O731" s="10"/>
      <c r="P731" s="152">
        <v>1000</v>
      </c>
      <c r="Q731" s="10"/>
      <c r="R731" s="9">
        <v>1000</v>
      </c>
      <c r="S731" s="10"/>
      <c r="T731" s="9">
        <v>0</v>
      </c>
      <c r="U731" s="10"/>
      <c r="V731" s="9">
        <v>0</v>
      </c>
      <c r="W731" s="10"/>
      <c r="X731" s="9">
        <v>0</v>
      </c>
      <c r="Y731" s="10"/>
      <c r="Z731" s="9">
        <v>0</v>
      </c>
      <c r="AA731" s="10"/>
      <c r="AB731" s="11">
        <v>0</v>
      </c>
      <c r="AC731" s="10"/>
      <c r="AD731" s="7">
        <f>SUM(F731+H731+J731+L731+N731+P731+R731+T731+V731+X731+Z731+AB731)</f>
        <v>4000</v>
      </c>
      <c r="AE731" s="7">
        <f>E731+AD731</f>
        <v>7000</v>
      </c>
      <c r="AF731" s="8">
        <f>G731+I731+K731+M731+O731+Q731+S731+U731+W731+Y731+AA731+AC731</f>
        <v>5000</v>
      </c>
      <c r="AG731" s="153">
        <f>SUM(AE731-AF731)</f>
        <v>2000</v>
      </c>
      <c r="AH731" s="96" t="s">
        <v>1532</v>
      </c>
      <c r="AI731" s="96">
        <v>4</v>
      </c>
    </row>
    <row r="732" spans="1:42" customHeight="1" ht="11.5" s="96" customFormat="1">
      <c r="A732" s="5">
        <v>724</v>
      </c>
      <c r="B732" s="163" t="s">
        <v>1187</v>
      </c>
      <c r="C732" s="151" t="s">
        <v>36</v>
      </c>
      <c r="D732" s="85" t="s">
        <v>37</v>
      </c>
      <c r="E732" s="86">
        <v>1000</v>
      </c>
      <c r="F732" s="9">
        <v>0</v>
      </c>
      <c r="G732" s="10">
        <v>1000</v>
      </c>
      <c r="H732" s="9">
        <v>0</v>
      </c>
      <c r="I732" s="10"/>
      <c r="J732" s="152">
        <v>0</v>
      </c>
      <c r="K732" s="10"/>
      <c r="L732" s="152">
        <v>0</v>
      </c>
      <c r="M732" s="10"/>
      <c r="N732" s="152">
        <v>0</v>
      </c>
      <c r="O732" s="10"/>
      <c r="P732" s="152">
        <v>1000</v>
      </c>
      <c r="Q732" s="10"/>
      <c r="R732" s="9">
        <v>0</v>
      </c>
      <c r="S732" s="10"/>
      <c r="T732" s="9">
        <v>0</v>
      </c>
      <c r="U732" s="10"/>
      <c r="V732" s="9">
        <v>0</v>
      </c>
      <c r="W732" s="10"/>
      <c r="X732" s="9">
        <v>0</v>
      </c>
      <c r="Y732" s="10"/>
      <c r="Z732" s="9">
        <v>0</v>
      </c>
      <c r="AA732" s="10"/>
      <c r="AB732" s="11">
        <v>0</v>
      </c>
      <c r="AC732" s="10"/>
      <c r="AD732" s="7">
        <f>SUM(F732+H732+J732+L732+N732+P732+R732+T732+V732+X732+Z732+AB732)</f>
        <v>1000</v>
      </c>
      <c r="AE732" s="7">
        <f>E732+AD732</f>
        <v>2000</v>
      </c>
      <c r="AF732" s="8">
        <f>G732+I732+K732+M732+O732+Q732+S732+U732+W732+Y732+AA732+AC732</f>
        <v>1000</v>
      </c>
      <c r="AG732" s="153">
        <f>SUM(AE732-AF732)</f>
        <v>1000</v>
      </c>
      <c r="AH732" s="96" t="s">
        <v>1532</v>
      </c>
      <c r="AI732" s="96">
        <v>4</v>
      </c>
    </row>
    <row r="733" spans="1:42" customHeight="1" ht="11.5" s="96" customFormat="1">
      <c r="A733" s="5">
        <v>725</v>
      </c>
      <c r="B733" s="163" t="s">
        <v>1188</v>
      </c>
      <c r="C733" s="151" t="s">
        <v>36</v>
      </c>
      <c r="D733" s="85" t="s">
        <v>37</v>
      </c>
      <c r="E733" s="86">
        <v>0</v>
      </c>
      <c r="F733" s="9">
        <v>0</v>
      </c>
      <c r="G733" s="10"/>
      <c r="H733" s="9">
        <v>0</v>
      </c>
      <c r="I733" s="10"/>
      <c r="J733" s="152">
        <v>0</v>
      </c>
      <c r="K733" s="10"/>
      <c r="L733" s="152">
        <v>0</v>
      </c>
      <c r="M733" s="10"/>
      <c r="N733" s="152">
        <v>0</v>
      </c>
      <c r="O733" s="10"/>
      <c r="P733" s="152">
        <v>0</v>
      </c>
      <c r="Q733" s="10"/>
      <c r="R733" s="9">
        <v>0</v>
      </c>
      <c r="S733" s="10"/>
      <c r="T733" s="9">
        <v>0</v>
      </c>
      <c r="U733" s="10"/>
      <c r="V733" s="9">
        <v>0</v>
      </c>
      <c r="W733" s="10"/>
      <c r="X733" s="9">
        <v>0</v>
      </c>
      <c r="Y733" s="10"/>
      <c r="Z733" s="9">
        <v>0</v>
      </c>
      <c r="AA733" s="10"/>
      <c r="AB733" s="11">
        <v>0</v>
      </c>
      <c r="AC733" s="10"/>
      <c r="AD733" s="7">
        <f>SUM(F733+H733+J733+L733+N733+P733+R733+T733+V733+X733+Z733+AB733)</f>
        <v>0</v>
      </c>
      <c r="AE733" s="7">
        <f>E733+AD733</f>
        <v>0</v>
      </c>
      <c r="AF733" s="8">
        <f>G733+I733+K733+M733+O733+Q733+S733+U733+W733+Y733+AA733+AC733</f>
        <v>0</v>
      </c>
      <c r="AG733" s="153">
        <f>SUM(AE733-AF733)</f>
        <v>0</v>
      </c>
      <c r="AH733" s="96" t="s">
        <v>1532</v>
      </c>
      <c r="AI733" s="96">
        <v>4</v>
      </c>
    </row>
    <row r="734" spans="1:42" customHeight="1" ht="11.5" s="96" customFormat="1">
      <c r="A734" s="5">
        <v>726</v>
      </c>
      <c r="B734" s="172" t="s">
        <v>1189</v>
      </c>
      <c r="C734" s="151" t="s">
        <v>36</v>
      </c>
      <c r="D734" s="85" t="s">
        <v>37</v>
      </c>
      <c r="E734" s="86">
        <v>1000</v>
      </c>
      <c r="F734" s="9">
        <v>0</v>
      </c>
      <c r="G734" s="10">
        <v>1000</v>
      </c>
      <c r="H734" s="9">
        <v>0</v>
      </c>
      <c r="I734" s="10"/>
      <c r="J734" s="152">
        <v>0</v>
      </c>
      <c r="K734" s="10"/>
      <c r="L734" s="152">
        <v>0</v>
      </c>
      <c r="M734" s="10"/>
      <c r="N734" s="152">
        <v>0</v>
      </c>
      <c r="O734" s="10"/>
      <c r="P734" s="152">
        <v>1000</v>
      </c>
      <c r="Q734" s="10"/>
      <c r="R734" s="9">
        <v>0</v>
      </c>
      <c r="S734" s="10"/>
      <c r="T734" s="9">
        <v>0</v>
      </c>
      <c r="U734" s="10"/>
      <c r="V734" s="9">
        <v>0</v>
      </c>
      <c r="W734" s="10"/>
      <c r="X734" s="9">
        <v>0</v>
      </c>
      <c r="Y734" s="10"/>
      <c r="Z734" s="9">
        <v>0</v>
      </c>
      <c r="AA734" s="10"/>
      <c r="AB734" s="11">
        <v>0</v>
      </c>
      <c r="AC734" s="10"/>
      <c r="AD734" s="7">
        <f>SUM(F734+H734+J734+L734+N734+P734+R734+T734+V734+X734+Z734+AB734)</f>
        <v>1000</v>
      </c>
      <c r="AE734" s="7">
        <f>E734+AD734</f>
        <v>2000</v>
      </c>
      <c r="AF734" s="8">
        <f>G734+I734+K734+M734+O734+Q734+S734+U734+W734+Y734+AA734+AC734</f>
        <v>1000</v>
      </c>
      <c r="AG734" s="153">
        <f>SUM(AE734-AF734)</f>
        <v>1000</v>
      </c>
      <c r="AH734" s="96" t="s">
        <v>1532</v>
      </c>
      <c r="AI734" s="96">
        <v>4</v>
      </c>
    </row>
    <row r="735" spans="1:42" customHeight="1" ht="11.5" s="96" customFormat="1">
      <c r="A735" s="5">
        <v>727</v>
      </c>
      <c r="B735" s="163" t="s">
        <v>1190</v>
      </c>
      <c r="C735" s="151" t="s">
        <v>36</v>
      </c>
      <c r="D735" s="85" t="s">
        <v>37</v>
      </c>
      <c r="E735" s="86">
        <v>0</v>
      </c>
      <c r="F735" s="9">
        <v>0</v>
      </c>
      <c r="G735" s="10"/>
      <c r="H735" s="9">
        <v>0</v>
      </c>
      <c r="I735" s="10"/>
      <c r="J735" s="152">
        <v>0</v>
      </c>
      <c r="K735" s="10"/>
      <c r="L735" s="152">
        <v>0</v>
      </c>
      <c r="M735" s="10"/>
      <c r="N735" s="152">
        <v>500</v>
      </c>
      <c r="O735" s="10"/>
      <c r="P735" s="152">
        <v>0</v>
      </c>
      <c r="Q735" s="10">
        <v>500</v>
      </c>
      <c r="R735" s="9">
        <v>0</v>
      </c>
      <c r="S735" s="10"/>
      <c r="T735" s="9">
        <v>0</v>
      </c>
      <c r="U735" s="10"/>
      <c r="V735" s="9">
        <v>0</v>
      </c>
      <c r="W735" s="10"/>
      <c r="X735" s="9">
        <v>0</v>
      </c>
      <c r="Y735" s="10"/>
      <c r="Z735" s="9">
        <v>0</v>
      </c>
      <c r="AA735" s="10"/>
      <c r="AB735" s="11">
        <v>0</v>
      </c>
      <c r="AC735" s="10"/>
      <c r="AD735" s="7">
        <f>SUM(F735+H735+J735+L735+N735+P735+R735+T735+V735+X735+Z735+AB735)</f>
        <v>500</v>
      </c>
      <c r="AE735" s="7">
        <f>E735+AD735</f>
        <v>500</v>
      </c>
      <c r="AF735" s="8">
        <f>G735+I735+K735+M735+O735+Q735+S735+U735+W735+Y735+AA735+AC735</f>
        <v>500</v>
      </c>
      <c r="AG735" s="153">
        <f>SUM(AE735-AF735)</f>
        <v>0</v>
      </c>
      <c r="AH735" s="96" t="s">
        <v>1533</v>
      </c>
      <c r="AI735" s="96">
        <v>4</v>
      </c>
    </row>
    <row r="736" spans="1:42" customHeight="1" ht="11.5" s="96" customFormat="1">
      <c r="A736" s="5">
        <v>728</v>
      </c>
      <c r="B736" s="163" t="s">
        <v>1191</v>
      </c>
      <c r="C736" s="151" t="s">
        <v>36</v>
      </c>
      <c r="D736" s="85" t="s">
        <v>37</v>
      </c>
      <c r="E736" s="86">
        <v>200</v>
      </c>
      <c r="F736" s="9">
        <v>100</v>
      </c>
      <c r="G736" s="10">
        <v>200</v>
      </c>
      <c r="H736" s="9">
        <v>193</v>
      </c>
      <c r="I736" s="10">
        <v>100</v>
      </c>
      <c r="J736" s="152">
        <v>0</v>
      </c>
      <c r="K736" s="10">
        <v>193</v>
      </c>
      <c r="L736" s="152">
        <v>0</v>
      </c>
      <c r="M736" s="10"/>
      <c r="N736" s="152">
        <v>0</v>
      </c>
      <c r="O736" s="10"/>
      <c r="P736" s="152">
        <v>100</v>
      </c>
      <c r="Q736" s="10"/>
      <c r="R736" s="9">
        <v>198</v>
      </c>
      <c r="S736" s="10"/>
      <c r="T736" s="9">
        <v>0</v>
      </c>
      <c r="U736" s="10"/>
      <c r="V736" s="9">
        <v>0</v>
      </c>
      <c r="W736" s="10"/>
      <c r="X736" s="9">
        <v>0</v>
      </c>
      <c r="Y736" s="10"/>
      <c r="Z736" s="9">
        <v>0</v>
      </c>
      <c r="AA736" s="10"/>
      <c r="AB736" s="11">
        <v>0</v>
      </c>
      <c r="AC736" s="10"/>
      <c r="AD736" s="7">
        <f>SUM(F736+H736+J736+L736+N736+P736+R736+T736+V736+X736+Z736+AB736)</f>
        <v>591</v>
      </c>
      <c r="AE736" s="7">
        <f>E736+AD736</f>
        <v>791</v>
      </c>
      <c r="AF736" s="8">
        <f>G736+I736+K736+M736+O736+Q736+S736+U736+W736+Y736+AA736+AC736</f>
        <v>493</v>
      </c>
      <c r="AG736" s="153">
        <f>SUM(AE736-AF736)</f>
        <v>298</v>
      </c>
      <c r="AH736" s="96" t="s">
        <v>1533</v>
      </c>
      <c r="AI736" s="96">
        <v>4</v>
      </c>
    </row>
    <row r="737" spans="1:42" customHeight="1" ht="11.5" s="96" customFormat="1">
      <c r="A737" s="5">
        <v>729</v>
      </c>
      <c r="B737" s="163" t="s">
        <v>1192</v>
      </c>
      <c r="C737" s="151" t="s">
        <v>36</v>
      </c>
      <c r="D737" s="85" t="s">
        <v>37</v>
      </c>
      <c r="E737" s="86">
        <v>100</v>
      </c>
      <c r="F737" s="9">
        <v>0</v>
      </c>
      <c r="G737" s="10">
        <v>100</v>
      </c>
      <c r="H737" s="9">
        <v>400</v>
      </c>
      <c r="I737" s="10"/>
      <c r="J737" s="152">
        <v>0</v>
      </c>
      <c r="K737" s="10">
        <v>400</v>
      </c>
      <c r="L737" s="152">
        <v>0</v>
      </c>
      <c r="M737" s="10"/>
      <c r="N737" s="152">
        <v>100</v>
      </c>
      <c r="O737" s="10"/>
      <c r="P737" s="152">
        <v>300</v>
      </c>
      <c r="Q737" s="10">
        <v>100</v>
      </c>
      <c r="R737" s="9">
        <v>200</v>
      </c>
      <c r="S737" s="10"/>
      <c r="T737" s="9">
        <v>0</v>
      </c>
      <c r="U737" s="10"/>
      <c r="V737" s="9">
        <v>0</v>
      </c>
      <c r="W737" s="10"/>
      <c r="X737" s="9">
        <v>0</v>
      </c>
      <c r="Y737" s="10"/>
      <c r="Z737" s="9">
        <v>0</v>
      </c>
      <c r="AA737" s="10"/>
      <c r="AB737" s="11">
        <v>0</v>
      </c>
      <c r="AC737" s="10"/>
      <c r="AD737" s="7">
        <f>SUM(F737+H737+J737+L737+N737+P737+R737+T737+V737+X737+Z737+AB737)</f>
        <v>1000</v>
      </c>
      <c r="AE737" s="7">
        <f>E737+AD737</f>
        <v>1100</v>
      </c>
      <c r="AF737" s="8">
        <f>G737+I737+K737+M737+O737+Q737+S737+U737+W737+Y737+AA737+AC737</f>
        <v>600</v>
      </c>
      <c r="AG737" s="153">
        <f>SUM(AE737-AF737)</f>
        <v>500</v>
      </c>
      <c r="AH737" s="96" t="s">
        <v>1533</v>
      </c>
      <c r="AI737" s="96">
        <v>4</v>
      </c>
    </row>
    <row r="738" spans="1:42" customHeight="1" ht="11.5" s="96" customFormat="1">
      <c r="A738" s="5">
        <v>730</v>
      </c>
      <c r="B738" s="163" t="s">
        <v>1193</v>
      </c>
      <c r="C738" s="151" t="s">
        <v>36</v>
      </c>
      <c r="D738" s="85" t="s">
        <v>37</v>
      </c>
      <c r="E738" s="86">
        <v>0</v>
      </c>
      <c r="F738" s="9">
        <v>0</v>
      </c>
      <c r="G738" s="10"/>
      <c r="H738" s="9">
        <v>1000</v>
      </c>
      <c r="I738" s="10"/>
      <c r="J738" s="152">
        <v>0</v>
      </c>
      <c r="K738" s="10">
        <v>1000</v>
      </c>
      <c r="L738" s="152">
        <v>0</v>
      </c>
      <c r="M738" s="10"/>
      <c r="N738" s="152">
        <v>0</v>
      </c>
      <c r="O738" s="10"/>
      <c r="P738" s="152">
        <v>1000</v>
      </c>
      <c r="Q738" s="10"/>
      <c r="R738" s="9">
        <v>1000</v>
      </c>
      <c r="S738" s="10"/>
      <c r="T738" s="9">
        <v>0</v>
      </c>
      <c r="U738" s="10"/>
      <c r="V738" s="9">
        <v>0</v>
      </c>
      <c r="W738" s="10"/>
      <c r="X738" s="9">
        <v>0</v>
      </c>
      <c r="Y738" s="10"/>
      <c r="Z738" s="9">
        <v>0</v>
      </c>
      <c r="AA738" s="10"/>
      <c r="AB738" s="11">
        <v>0</v>
      </c>
      <c r="AC738" s="10"/>
      <c r="AD738" s="7">
        <f>SUM(F738+H738+J738+L738+N738+P738+R738+T738+V738+X738+Z738+AB738)</f>
        <v>3000</v>
      </c>
      <c r="AE738" s="7">
        <f>E738+AD738</f>
        <v>3000</v>
      </c>
      <c r="AF738" s="8">
        <f>G738+I738+K738+M738+O738+Q738+S738+U738+W738+Y738+AA738+AC738</f>
        <v>1000</v>
      </c>
      <c r="AG738" s="153">
        <f>SUM(AE738-AF738)</f>
        <v>2000</v>
      </c>
      <c r="AH738" s="96" t="s">
        <v>1533</v>
      </c>
      <c r="AI738" s="96">
        <v>4</v>
      </c>
    </row>
    <row r="739" spans="1:42" customHeight="1" ht="11.5" s="96" customFormat="1">
      <c r="A739" s="5">
        <v>731</v>
      </c>
      <c r="B739" s="163" t="s">
        <v>1194</v>
      </c>
      <c r="C739" s="151" t="s">
        <v>36</v>
      </c>
      <c r="D739" s="85" t="s">
        <v>37</v>
      </c>
      <c r="E739" s="86">
        <v>0</v>
      </c>
      <c r="F739" s="9">
        <v>0</v>
      </c>
      <c r="G739" s="10"/>
      <c r="H739" s="9">
        <v>0</v>
      </c>
      <c r="I739" s="10"/>
      <c r="J739" s="152">
        <v>0</v>
      </c>
      <c r="K739" s="10"/>
      <c r="L739" s="152">
        <v>0</v>
      </c>
      <c r="M739" s="10"/>
      <c r="N739" s="152">
        <v>0</v>
      </c>
      <c r="O739" s="10"/>
      <c r="P739" s="152">
        <v>0</v>
      </c>
      <c r="Q739" s="10"/>
      <c r="R739" s="9">
        <v>0</v>
      </c>
      <c r="S739" s="10"/>
      <c r="T739" s="9">
        <v>0</v>
      </c>
      <c r="U739" s="10"/>
      <c r="V739" s="9">
        <v>0</v>
      </c>
      <c r="W739" s="10"/>
      <c r="X739" s="9">
        <v>0</v>
      </c>
      <c r="Y739" s="10"/>
      <c r="Z739" s="9">
        <v>0</v>
      </c>
      <c r="AA739" s="10"/>
      <c r="AB739" s="11">
        <v>0</v>
      </c>
      <c r="AC739" s="10"/>
      <c r="AD739" s="7">
        <f>SUM(F739+H739+J739+L739+N739+P739+R739+T739+V739+X739+Z739+AB739)</f>
        <v>0</v>
      </c>
      <c r="AE739" s="7">
        <f>E739+AD739</f>
        <v>0</v>
      </c>
      <c r="AF739" s="8">
        <f>G739+I739+K739+M739+O739+Q739+S739+U739+W739+Y739+AA739+AC739</f>
        <v>0</v>
      </c>
      <c r="AG739" s="153">
        <f>SUM(AE739-AF739)</f>
        <v>0</v>
      </c>
      <c r="AH739" s="96" t="s">
        <v>1533</v>
      </c>
      <c r="AI739" s="96">
        <v>4</v>
      </c>
    </row>
    <row r="740" spans="1:42" customHeight="1" ht="11.5" s="96" customFormat="1">
      <c r="A740" s="5">
        <v>732</v>
      </c>
      <c r="B740" s="163" t="s">
        <v>1195</v>
      </c>
      <c r="C740" s="151" t="s">
        <v>36</v>
      </c>
      <c r="D740" s="85" t="s">
        <v>37</v>
      </c>
      <c r="E740" s="86">
        <v>0</v>
      </c>
      <c r="F740" s="9">
        <v>0</v>
      </c>
      <c r="G740" s="10"/>
      <c r="H740" s="9">
        <v>0</v>
      </c>
      <c r="I740" s="10"/>
      <c r="J740" s="152">
        <v>0</v>
      </c>
      <c r="K740" s="10"/>
      <c r="L740" s="152">
        <v>0</v>
      </c>
      <c r="M740" s="10"/>
      <c r="N740" s="152">
        <v>0</v>
      </c>
      <c r="O740" s="10"/>
      <c r="P740" s="152">
        <v>1000</v>
      </c>
      <c r="Q740" s="10"/>
      <c r="R740" s="9">
        <v>0</v>
      </c>
      <c r="S740" s="10"/>
      <c r="T740" s="9">
        <v>0</v>
      </c>
      <c r="U740" s="10"/>
      <c r="V740" s="9">
        <v>0</v>
      </c>
      <c r="W740" s="10"/>
      <c r="X740" s="9">
        <v>0</v>
      </c>
      <c r="Y740" s="10"/>
      <c r="Z740" s="9">
        <v>0</v>
      </c>
      <c r="AA740" s="10"/>
      <c r="AB740" s="11">
        <v>0</v>
      </c>
      <c r="AC740" s="10"/>
      <c r="AD740" s="7">
        <f>SUM(F740+H740+J740+L740+N740+P740+R740+T740+V740+X740+Z740+AB740)</f>
        <v>1000</v>
      </c>
      <c r="AE740" s="7">
        <f>E740+AD740</f>
        <v>1000</v>
      </c>
      <c r="AF740" s="8">
        <f>G740+I740+K740+M740+O740+Q740+S740+U740+W740+Y740+AA740+AC740</f>
        <v>0</v>
      </c>
      <c r="AG740" s="153">
        <f>SUM(AE740-AF740)</f>
        <v>1000</v>
      </c>
      <c r="AH740" s="96" t="s">
        <v>1533</v>
      </c>
      <c r="AI740" s="96">
        <v>4</v>
      </c>
    </row>
    <row r="741" spans="1:42" customHeight="1" ht="11.5" s="96" customFormat="1">
      <c r="A741" s="5">
        <v>733</v>
      </c>
      <c r="B741" s="163" t="s">
        <v>1196</v>
      </c>
      <c r="C741" s="151" t="s">
        <v>157</v>
      </c>
      <c r="D741" s="85" t="s">
        <v>158</v>
      </c>
      <c r="E741" s="86">
        <v>0</v>
      </c>
      <c r="F741" s="9">
        <v>0</v>
      </c>
      <c r="G741" s="10"/>
      <c r="H741" s="9">
        <v>0</v>
      </c>
      <c r="I741" s="10"/>
      <c r="J741" s="152">
        <v>0</v>
      </c>
      <c r="K741" s="10"/>
      <c r="L741" s="152">
        <v>0</v>
      </c>
      <c r="M741" s="10"/>
      <c r="N741" s="152">
        <v>0</v>
      </c>
      <c r="O741" s="10"/>
      <c r="P741" s="152">
        <v>0</v>
      </c>
      <c r="Q741" s="10"/>
      <c r="R741" s="9">
        <v>0</v>
      </c>
      <c r="S741" s="10"/>
      <c r="T741" s="9">
        <v>0</v>
      </c>
      <c r="U741" s="10"/>
      <c r="V741" s="9">
        <v>0</v>
      </c>
      <c r="W741" s="10"/>
      <c r="X741" s="9">
        <v>0</v>
      </c>
      <c r="Y741" s="10"/>
      <c r="Z741" s="9">
        <v>0</v>
      </c>
      <c r="AA741" s="10"/>
      <c r="AB741" s="11">
        <v>0</v>
      </c>
      <c r="AC741" s="10"/>
      <c r="AD741" s="7">
        <f>SUM(F741+H741+J741+L741+N741+P741+R741+T741+V741+X741+Z741+AB741)</f>
        <v>0</v>
      </c>
      <c r="AE741" s="7">
        <f>E741+AD741</f>
        <v>0</v>
      </c>
      <c r="AF741" s="8">
        <f>G741+I741+K741+M741+O741+Q741+S741+U741+W741+Y741+AA741+AC741</f>
        <v>0</v>
      </c>
      <c r="AG741" s="153">
        <f>SUM(AE741-AF741)</f>
        <v>0</v>
      </c>
      <c r="AH741" s="96" t="s">
        <v>1534</v>
      </c>
      <c r="AI741" s="96">
        <v>4</v>
      </c>
    </row>
    <row r="742" spans="1:42" customHeight="1" ht="11.5" s="96" customFormat="1">
      <c r="A742" s="5">
        <v>734</v>
      </c>
      <c r="B742" s="163" t="s">
        <v>1197</v>
      </c>
      <c r="C742" s="151" t="s">
        <v>157</v>
      </c>
      <c r="D742" s="85" t="s">
        <v>158</v>
      </c>
      <c r="E742" s="86">
        <v>1000</v>
      </c>
      <c r="F742" s="9">
        <v>0</v>
      </c>
      <c r="G742" s="10"/>
      <c r="H742" s="9">
        <v>0</v>
      </c>
      <c r="I742" s="10"/>
      <c r="J742" s="152">
        <v>0</v>
      </c>
      <c r="K742" s="10">
        <v>1000</v>
      </c>
      <c r="L742" s="152">
        <v>0</v>
      </c>
      <c r="M742" s="10"/>
      <c r="N742" s="152">
        <v>0</v>
      </c>
      <c r="O742" s="10"/>
      <c r="P742" s="152">
        <v>0</v>
      </c>
      <c r="Q742" s="10"/>
      <c r="R742" s="9">
        <v>0</v>
      </c>
      <c r="S742" s="10"/>
      <c r="T742" s="9">
        <v>0</v>
      </c>
      <c r="U742" s="10"/>
      <c r="V742" s="9">
        <v>0</v>
      </c>
      <c r="W742" s="10"/>
      <c r="X742" s="9">
        <v>0</v>
      </c>
      <c r="Y742" s="10"/>
      <c r="Z742" s="9">
        <v>0</v>
      </c>
      <c r="AA742" s="10"/>
      <c r="AB742" s="11">
        <v>0</v>
      </c>
      <c r="AC742" s="10"/>
      <c r="AD742" s="7">
        <f>SUM(F742+H742+J742+L742+N742+P742+R742+T742+V742+X742+Z742+AB742)</f>
        <v>0</v>
      </c>
      <c r="AE742" s="7">
        <f>E742+AD742</f>
        <v>1000</v>
      </c>
      <c r="AF742" s="8">
        <f>G742+I742+K742+M742+O742+Q742+S742+U742+W742+Y742+AA742+AC742</f>
        <v>1000</v>
      </c>
      <c r="AG742" s="153">
        <f>SUM(AE742-AF742)</f>
        <v>0</v>
      </c>
      <c r="AH742" s="96" t="s">
        <v>1534</v>
      </c>
      <c r="AI742" s="96">
        <v>4</v>
      </c>
    </row>
    <row r="743" spans="1:42" customHeight="1" ht="11.5" s="96" customFormat="1">
      <c r="A743" s="5">
        <v>735</v>
      </c>
      <c r="B743" s="163" t="s">
        <v>1198</v>
      </c>
      <c r="C743" s="151" t="s">
        <v>91</v>
      </c>
      <c r="D743" s="85" t="s">
        <v>92</v>
      </c>
      <c r="E743" s="86">
        <v>-1000</v>
      </c>
      <c r="F743" s="9">
        <v>0</v>
      </c>
      <c r="G743" s="10"/>
      <c r="H743" s="9">
        <v>0</v>
      </c>
      <c r="I743" s="10"/>
      <c r="J743" s="152">
        <v>0</v>
      </c>
      <c r="K743" s="10"/>
      <c r="L743" s="152">
        <v>0</v>
      </c>
      <c r="M743" s="10"/>
      <c r="N743" s="152">
        <v>0</v>
      </c>
      <c r="O743" s="10"/>
      <c r="P743" s="152">
        <v>970</v>
      </c>
      <c r="Q743" s="10"/>
      <c r="R743" s="9">
        <v>0</v>
      </c>
      <c r="S743" s="10"/>
      <c r="T743" s="9">
        <v>0</v>
      </c>
      <c r="U743" s="10"/>
      <c r="V743" s="9">
        <v>0</v>
      </c>
      <c r="W743" s="10"/>
      <c r="X743" s="9">
        <v>0</v>
      </c>
      <c r="Y743" s="10"/>
      <c r="Z743" s="9">
        <v>0</v>
      </c>
      <c r="AA743" s="10"/>
      <c r="AB743" s="11">
        <v>0</v>
      </c>
      <c r="AC743" s="10"/>
      <c r="AD743" s="7">
        <f>SUM(F743+H743+J743+L743+N743+P743+R743+T743+V743+X743+Z743+AB743)</f>
        <v>970</v>
      </c>
      <c r="AE743" s="7">
        <f>E743+AD743</f>
        <v>-30</v>
      </c>
      <c r="AF743" s="8">
        <f>G743+I743+K743+M743+O743+Q743+S743+U743+W743+Y743+AA743+AC743</f>
        <v>0</v>
      </c>
      <c r="AG743" s="153">
        <f>SUM(AE743-AF743)</f>
        <v>-30</v>
      </c>
      <c r="AH743" s="96" t="s">
        <v>1534</v>
      </c>
      <c r="AI743" s="96">
        <v>4</v>
      </c>
    </row>
    <row r="744" spans="1:42" customHeight="1" ht="11.5" s="96" customFormat="1">
      <c r="A744" s="5">
        <v>736</v>
      </c>
      <c r="B744" s="163" t="s">
        <v>1199</v>
      </c>
      <c r="C744" s="151" t="s">
        <v>36</v>
      </c>
      <c r="D744" s="85" t="s">
        <v>37</v>
      </c>
      <c r="E744" s="86">
        <v>5000</v>
      </c>
      <c r="F744" s="9">
        <v>0</v>
      </c>
      <c r="G744" s="10">
        <v>5000</v>
      </c>
      <c r="H744" s="9">
        <v>0</v>
      </c>
      <c r="I744" s="10"/>
      <c r="J744" s="152">
        <v>0</v>
      </c>
      <c r="K744" s="10"/>
      <c r="L744" s="152">
        <v>0</v>
      </c>
      <c r="M744" s="10"/>
      <c r="N744" s="152">
        <v>0</v>
      </c>
      <c r="O744" s="10"/>
      <c r="P744" s="152">
        <v>0</v>
      </c>
      <c r="Q744" s="10"/>
      <c r="R744" s="9">
        <v>0</v>
      </c>
      <c r="S744" s="10"/>
      <c r="T744" s="9">
        <v>0</v>
      </c>
      <c r="U744" s="10"/>
      <c r="V744" s="9">
        <v>0</v>
      </c>
      <c r="W744" s="10"/>
      <c r="X744" s="9">
        <v>0</v>
      </c>
      <c r="Y744" s="10"/>
      <c r="Z744" s="9">
        <v>0</v>
      </c>
      <c r="AA744" s="10"/>
      <c r="AB744" s="11">
        <v>0</v>
      </c>
      <c r="AC744" s="10"/>
      <c r="AD744" s="7">
        <f>SUM(F744+H744+J744+L744+N744+P744+R744+T744+V744+X744+Z744+AB744)</f>
        <v>0</v>
      </c>
      <c r="AE744" s="7">
        <f>E744+AD744</f>
        <v>5000</v>
      </c>
      <c r="AF744" s="8">
        <f>G744+I744+K744+M744+O744+Q744+S744+U744+W744+Y744+AA744+AC744</f>
        <v>5000</v>
      </c>
      <c r="AG744" s="153">
        <f>SUM(AE744-AF744)</f>
        <v>0</v>
      </c>
      <c r="AH744" s="96" t="s">
        <v>1535</v>
      </c>
      <c r="AI744" s="96">
        <v>3</v>
      </c>
    </row>
    <row r="745" spans="1:42" customHeight="1" ht="11.5" s="96" customFormat="1">
      <c r="A745" s="5">
        <v>737</v>
      </c>
      <c r="B745" s="163" t="s">
        <v>1200</v>
      </c>
      <c r="C745" s="151" t="s">
        <v>1201</v>
      </c>
      <c r="D745" s="85" t="s">
        <v>1202</v>
      </c>
      <c r="E745" s="86">
        <v>0</v>
      </c>
      <c r="F745" s="9">
        <v>0</v>
      </c>
      <c r="G745" s="10"/>
      <c r="H745" s="9">
        <v>400</v>
      </c>
      <c r="I745" s="10"/>
      <c r="J745" s="152">
        <v>0</v>
      </c>
      <c r="K745" s="10">
        <v>400</v>
      </c>
      <c r="L745" s="152">
        <v>0</v>
      </c>
      <c r="M745" s="10"/>
      <c r="N745" s="152">
        <v>0</v>
      </c>
      <c r="O745" s="10"/>
      <c r="P745" s="152">
        <v>0</v>
      </c>
      <c r="Q745" s="10"/>
      <c r="R745" s="9">
        <v>0</v>
      </c>
      <c r="S745" s="10"/>
      <c r="T745" s="9">
        <v>0</v>
      </c>
      <c r="U745" s="10"/>
      <c r="V745" s="9">
        <v>0</v>
      </c>
      <c r="W745" s="10"/>
      <c r="X745" s="9">
        <v>0</v>
      </c>
      <c r="Y745" s="10"/>
      <c r="Z745" s="9">
        <v>0</v>
      </c>
      <c r="AA745" s="10"/>
      <c r="AB745" s="11">
        <v>0</v>
      </c>
      <c r="AC745" s="10"/>
      <c r="AD745" s="7">
        <f>SUM(F745+H745+J745+L745+N745+P745+R745+T745+V745+X745+Z745+AB745)</f>
        <v>400</v>
      </c>
      <c r="AE745" s="7">
        <f>E745+AD745</f>
        <v>400</v>
      </c>
      <c r="AF745" s="8">
        <f>G745+I745+K745+M745+O745+Q745+S745+U745+W745+Y745+AA745+AC745</f>
        <v>400</v>
      </c>
      <c r="AG745" s="153">
        <f>SUM(AE745-AF745)</f>
        <v>0</v>
      </c>
      <c r="AH745" s="96" t="s">
        <v>1536</v>
      </c>
      <c r="AI745" s="96">
        <v>4</v>
      </c>
    </row>
    <row r="746" spans="1:42" customHeight="1" ht="11.5" s="96" customFormat="1">
      <c r="A746" s="5">
        <v>738</v>
      </c>
      <c r="B746" s="163" t="s">
        <v>1203</v>
      </c>
      <c r="C746" s="151" t="s">
        <v>1201</v>
      </c>
      <c r="D746" s="85" t="s">
        <v>1202</v>
      </c>
      <c r="E746" s="86">
        <v>0</v>
      </c>
      <c r="F746" s="9">
        <v>0</v>
      </c>
      <c r="G746" s="10"/>
      <c r="H746" s="9">
        <v>0</v>
      </c>
      <c r="I746" s="10"/>
      <c r="J746" s="152">
        <v>0</v>
      </c>
      <c r="K746" s="10"/>
      <c r="L746" s="152">
        <v>0</v>
      </c>
      <c r="M746" s="10"/>
      <c r="N746" s="152">
        <v>0</v>
      </c>
      <c r="O746" s="10"/>
      <c r="P746" s="152">
        <v>0</v>
      </c>
      <c r="Q746" s="10"/>
      <c r="R746" s="9">
        <v>0</v>
      </c>
      <c r="S746" s="10"/>
      <c r="T746" s="9">
        <v>0</v>
      </c>
      <c r="U746" s="10"/>
      <c r="V746" s="9">
        <v>0</v>
      </c>
      <c r="W746" s="10"/>
      <c r="X746" s="9">
        <v>0</v>
      </c>
      <c r="Y746" s="10"/>
      <c r="Z746" s="9">
        <v>0</v>
      </c>
      <c r="AA746" s="10"/>
      <c r="AB746" s="11">
        <v>0</v>
      </c>
      <c r="AC746" s="10"/>
      <c r="AD746" s="7">
        <f>SUM(F746+H746+J746+L746+N746+P746+R746+T746+V746+X746+Z746+AB746)</f>
        <v>0</v>
      </c>
      <c r="AE746" s="7">
        <f>E746+AD746</f>
        <v>0</v>
      </c>
      <c r="AF746" s="8">
        <f>G746+I746+K746+M746+O746+Q746+S746+U746+W746+Y746+AA746+AC746</f>
        <v>0</v>
      </c>
      <c r="AG746" s="153">
        <f>SUM(AE746-AF746)</f>
        <v>0</v>
      </c>
      <c r="AH746" s="96" t="s">
        <v>1537</v>
      </c>
      <c r="AI746" s="96">
        <v>4</v>
      </c>
    </row>
    <row r="747" spans="1:42" customHeight="1" ht="11.5" s="96" customFormat="1">
      <c r="A747" s="5">
        <v>739</v>
      </c>
      <c r="B747" s="163" t="s">
        <v>1204</v>
      </c>
      <c r="C747" s="151" t="s">
        <v>101</v>
      </c>
      <c r="D747" s="85" t="s">
        <v>102</v>
      </c>
      <c r="E747" s="86">
        <v>0</v>
      </c>
      <c r="F747" s="9">
        <v>0</v>
      </c>
      <c r="G747" s="10"/>
      <c r="H747" s="9">
        <v>0</v>
      </c>
      <c r="I747" s="10"/>
      <c r="J747" s="152">
        <v>0</v>
      </c>
      <c r="K747" s="10"/>
      <c r="L747" s="152">
        <v>0</v>
      </c>
      <c r="M747" s="10"/>
      <c r="N747" s="152">
        <v>0</v>
      </c>
      <c r="O747" s="10"/>
      <c r="P747" s="152">
        <v>1000</v>
      </c>
      <c r="Q747" s="10"/>
      <c r="R747" s="9">
        <v>0</v>
      </c>
      <c r="S747" s="10"/>
      <c r="T747" s="9">
        <v>0</v>
      </c>
      <c r="U747" s="10"/>
      <c r="V747" s="9">
        <v>0</v>
      </c>
      <c r="W747" s="10"/>
      <c r="X747" s="9">
        <v>0</v>
      </c>
      <c r="Y747" s="10"/>
      <c r="Z747" s="9">
        <v>0</v>
      </c>
      <c r="AA747" s="10"/>
      <c r="AB747" s="11">
        <v>0</v>
      </c>
      <c r="AC747" s="10"/>
      <c r="AD747" s="7">
        <f>SUM(F747+H747+J747+L747+N747+P747+R747+T747+V747+X747+Z747+AB747)</f>
        <v>1000</v>
      </c>
      <c r="AE747" s="7">
        <f>E747+AD747</f>
        <v>1000</v>
      </c>
      <c r="AF747" s="8">
        <f>G747+I747+K747+M747+O747+Q747+S747+U747+W747+Y747+AA747+AC747</f>
        <v>0</v>
      </c>
      <c r="AG747" s="153">
        <f>SUM(AE747-AF747)</f>
        <v>1000</v>
      </c>
      <c r="AH747" s="96" t="s">
        <v>1538</v>
      </c>
      <c r="AI747" s="96">
        <v>4</v>
      </c>
    </row>
    <row r="748" spans="1:42" customHeight="1" ht="11.5" s="96" customFormat="1">
      <c r="A748" s="5">
        <v>740</v>
      </c>
      <c r="B748" s="163" t="s">
        <v>1205</v>
      </c>
      <c r="C748" s="151" t="s">
        <v>36</v>
      </c>
      <c r="D748" s="85" t="s">
        <v>37</v>
      </c>
      <c r="E748" s="86">
        <v>0</v>
      </c>
      <c r="F748" s="9">
        <v>0</v>
      </c>
      <c r="G748" s="10"/>
      <c r="H748" s="9">
        <v>0</v>
      </c>
      <c r="I748" s="10"/>
      <c r="J748" s="152">
        <v>0</v>
      </c>
      <c r="K748" s="10"/>
      <c r="L748" s="152">
        <v>0</v>
      </c>
      <c r="M748" s="10"/>
      <c r="N748" s="152">
        <v>0</v>
      </c>
      <c r="O748" s="10"/>
      <c r="P748" s="152">
        <v>0</v>
      </c>
      <c r="Q748" s="10"/>
      <c r="R748" s="9">
        <v>0</v>
      </c>
      <c r="S748" s="10"/>
      <c r="T748" s="9">
        <v>0</v>
      </c>
      <c r="U748" s="10"/>
      <c r="V748" s="9">
        <v>0</v>
      </c>
      <c r="W748" s="10"/>
      <c r="X748" s="9">
        <v>0</v>
      </c>
      <c r="Y748" s="10"/>
      <c r="Z748" s="9">
        <v>0</v>
      </c>
      <c r="AA748" s="10"/>
      <c r="AB748" s="11">
        <v>0</v>
      </c>
      <c r="AC748" s="10"/>
      <c r="AD748" s="7">
        <f>SUM(F748+H748+J748+L748+N748+P748+R748+T748+V748+X748+Z748+AB748)</f>
        <v>0</v>
      </c>
      <c r="AE748" s="7">
        <f>E748+AD748</f>
        <v>0</v>
      </c>
      <c r="AF748" s="8">
        <f>G748+I748+K748+M748+O748+Q748+S748+U748+W748+Y748+AA748+AC748</f>
        <v>0</v>
      </c>
      <c r="AG748" s="153">
        <f>SUM(AE748-AF748)</f>
        <v>0</v>
      </c>
      <c r="AH748" s="96" t="s">
        <v>1539</v>
      </c>
      <c r="AI748" s="96">
        <v>4</v>
      </c>
    </row>
    <row r="749" spans="1:42" customHeight="1" ht="11.5" s="96" customFormat="1">
      <c r="A749" s="5">
        <v>741</v>
      </c>
      <c r="B749" s="163" t="s">
        <v>1206</v>
      </c>
      <c r="C749" s="151" t="s">
        <v>36</v>
      </c>
      <c r="D749" s="85" t="s">
        <v>37</v>
      </c>
      <c r="E749" s="86">
        <v>1000</v>
      </c>
      <c r="F749" s="9">
        <v>0</v>
      </c>
      <c r="G749" s="10">
        <v>1000</v>
      </c>
      <c r="H749" s="9">
        <v>0</v>
      </c>
      <c r="I749" s="10"/>
      <c r="J749" s="152">
        <v>0</v>
      </c>
      <c r="K749" s="10"/>
      <c r="L749" s="152">
        <v>0</v>
      </c>
      <c r="M749" s="10"/>
      <c r="N749" s="152">
        <v>0</v>
      </c>
      <c r="O749" s="10"/>
      <c r="P749" s="152">
        <v>0</v>
      </c>
      <c r="Q749" s="10"/>
      <c r="R749" s="9">
        <v>0</v>
      </c>
      <c r="S749" s="10"/>
      <c r="T749" s="9">
        <v>0</v>
      </c>
      <c r="U749" s="10"/>
      <c r="V749" s="9">
        <v>0</v>
      </c>
      <c r="W749" s="10"/>
      <c r="X749" s="9">
        <v>0</v>
      </c>
      <c r="Y749" s="10"/>
      <c r="Z749" s="9">
        <v>0</v>
      </c>
      <c r="AA749" s="10"/>
      <c r="AB749" s="11">
        <v>0</v>
      </c>
      <c r="AC749" s="10"/>
      <c r="AD749" s="7">
        <f>SUM(F749+H749+J749+L749+N749+P749+R749+T749+V749+X749+Z749+AB749)</f>
        <v>0</v>
      </c>
      <c r="AE749" s="7">
        <f>E749+AD749</f>
        <v>1000</v>
      </c>
      <c r="AF749" s="8">
        <f>G749+I749+K749+M749+O749+Q749+S749+U749+W749+Y749+AA749+AC749</f>
        <v>1000</v>
      </c>
      <c r="AG749" s="153">
        <f>SUM(AE749-AF749)</f>
        <v>0</v>
      </c>
      <c r="AH749" s="96" t="s">
        <v>1540</v>
      </c>
      <c r="AI749" s="96">
        <v>4</v>
      </c>
    </row>
    <row r="750" spans="1:42" customHeight="1" ht="11.5" s="96" customFormat="1">
      <c r="A750" s="5">
        <v>742</v>
      </c>
      <c r="B750" s="163" t="s">
        <v>1207</v>
      </c>
      <c r="C750" s="151" t="s">
        <v>1201</v>
      </c>
      <c r="D750" s="85" t="s">
        <v>1202</v>
      </c>
      <c r="E750" s="86">
        <v>0</v>
      </c>
      <c r="F750" s="9">
        <v>0</v>
      </c>
      <c r="G750" s="10"/>
      <c r="H750" s="9">
        <v>0</v>
      </c>
      <c r="I750" s="10"/>
      <c r="J750" s="152">
        <v>0</v>
      </c>
      <c r="K750" s="10"/>
      <c r="L750" s="152">
        <v>0</v>
      </c>
      <c r="M750" s="10"/>
      <c r="N750" s="152">
        <v>0</v>
      </c>
      <c r="O750" s="10"/>
      <c r="P750" s="152">
        <v>0</v>
      </c>
      <c r="Q750" s="10"/>
      <c r="R750" s="9">
        <v>0</v>
      </c>
      <c r="S750" s="10"/>
      <c r="T750" s="9">
        <v>0</v>
      </c>
      <c r="U750" s="10"/>
      <c r="V750" s="9">
        <v>0</v>
      </c>
      <c r="W750" s="10"/>
      <c r="X750" s="9">
        <v>0</v>
      </c>
      <c r="Y750" s="10"/>
      <c r="Z750" s="9">
        <v>0</v>
      </c>
      <c r="AA750" s="10"/>
      <c r="AB750" s="11">
        <v>0</v>
      </c>
      <c r="AC750" s="10"/>
      <c r="AD750" s="7">
        <f>SUM(F750+H750+J750+L750+N750+P750+R750+T750+V750+X750+Z750+AB750)</f>
        <v>0</v>
      </c>
      <c r="AE750" s="7">
        <f>E750+AD750</f>
        <v>0</v>
      </c>
      <c r="AF750" s="8">
        <f>G750+I750+K750+M750+O750+Q750+S750+U750+W750+Y750+AA750+AC750</f>
        <v>0</v>
      </c>
      <c r="AG750" s="153">
        <f>SUM(AE750-AF750)</f>
        <v>0</v>
      </c>
      <c r="AH750" s="96" t="s">
        <v>1541</v>
      </c>
      <c r="AI750" s="96">
        <v>4</v>
      </c>
    </row>
    <row r="751" spans="1:42" customHeight="1" ht="11.5" s="96" customFormat="1">
      <c r="A751" s="5">
        <v>743</v>
      </c>
      <c r="B751" s="163" t="s">
        <v>1208</v>
      </c>
      <c r="C751" s="151" t="s">
        <v>1167</v>
      </c>
      <c r="D751" s="85" t="s">
        <v>1168</v>
      </c>
      <c r="E751" s="86">
        <v>20</v>
      </c>
      <c r="F751" s="9">
        <v>10</v>
      </c>
      <c r="G751" s="10"/>
      <c r="H751" s="9">
        <v>10</v>
      </c>
      <c r="I751" s="10"/>
      <c r="J751" s="152">
        <v>0</v>
      </c>
      <c r="K751" s="10"/>
      <c r="L751" s="152">
        <v>0</v>
      </c>
      <c r="M751" s="10"/>
      <c r="N751" s="152">
        <v>120</v>
      </c>
      <c r="O751" s="10"/>
      <c r="P751" s="152">
        <v>0</v>
      </c>
      <c r="Q751" s="10"/>
      <c r="R751" s="9">
        <v>0</v>
      </c>
      <c r="S751" s="10"/>
      <c r="T751" s="9">
        <v>0</v>
      </c>
      <c r="U751" s="10"/>
      <c r="V751" s="9">
        <v>0</v>
      </c>
      <c r="W751" s="10"/>
      <c r="X751" s="9">
        <v>0</v>
      </c>
      <c r="Y751" s="10"/>
      <c r="Z751" s="9">
        <v>0</v>
      </c>
      <c r="AA751" s="10"/>
      <c r="AB751" s="11">
        <v>0</v>
      </c>
      <c r="AC751" s="10"/>
      <c r="AD751" s="7">
        <f>SUM(F751+H751+J751+L751+N751+P751+R751+T751+V751+X751+Z751+AB751)</f>
        <v>140</v>
      </c>
      <c r="AE751" s="7">
        <f>E751+AD751</f>
        <v>160</v>
      </c>
      <c r="AF751" s="8">
        <f>G751+I751+K751+M751+O751+Q751+S751+U751+W751+Y751+AA751+AC751</f>
        <v>0</v>
      </c>
      <c r="AG751" s="153">
        <f>SUM(AE751-AF751)</f>
        <v>160</v>
      </c>
      <c r="AH751" s="96" t="s">
        <v>1542</v>
      </c>
      <c r="AI751" s="96">
        <v>4</v>
      </c>
    </row>
    <row r="752" spans="1:42" customHeight="1" ht="11.5" s="96" customFormat="1">
      <c r="A752" s="5">
        <v>744</v>
      </c>
      <c r="B752" s="163" t="s">
        <v>1209</v>
      </c>
      <c r="C752" s="151" t="s">
        <v>36</v>
      </c>
      <c r="D752" s="85" t="s">
        <v>37</v>
      </c>
      <c r="E752" s="86">
        <v>4000</v>
      </c>
      <c r="F752" s="9">
        <v>0</v>
      </c>
      <c r="G752" s="10">
        <v>4000</v>
      </c>
      <c r="H752" s="9">
        <v>1000</v>
      </c>
      <c r="I752" s="10"/>
      <c r="J752" s="152">
        <v>0</v>
      </c>
      <c r="K752" s="10">
        <v>1000</v>
      </c>
      <c r="L752" s="152">
        <v>0</v>
      </c>
      <c r="M752" s="10"/>
      <c r="N752" s="152">
        <v>0</v>
      </c>
      <c r="O752" s="10"/>
      <c r="P752" s="152">
        <v>0</v>
      </c>
      <c r="Q752" s="10"/>
      <c r="R752" s="9">
        <v>1000</v>
      </c>
      <c r="S752" s="10"/>
      <c r="T752" s="9">
        <v>0</v>
      </c>
      <c r="U752" s="10"/>
      <c r="V752" s="9">
        <v>0</v>
      </c>
      <c r="W752" s="10"/>
      <c r="X752" s="9">
        <v>0</v>
      </c>
      <c r="Y752" s="10"/>
      <c r="Z752" s="9">
        <v>0</v>
      </c>
      <c r="AA752" s="10"/>
      <c r="AB752" s="11">
        <v>0</v>
      </c>
      <c r="AC752" s="10"/>
      <c r="AD752" s="7">
        <f>SUM(F752+H752+J752+L752+N752+P752+R752+T752+V752+X752+Z752+AB752)</f>
        <v>2000</v>
      </c>
      <c r="AE752" s="7">
        <f>E752+AD752</f>
        <v>6000</v>
      </c>
      <c r="AF752" s="8">
        <f>G752+I752+K752+M752+O752+Q752+S752+U752+W752+Y752+AA752+AC752</f>
        <v>5000</v>
      </c>
      <c r="AG752" s="153">
        <f>SUM(AE752-AF752)</f>
        <v>1000</v>
      </c>
      <c r="AH752" s="96" t="s">
        <v>1543</v>
      </c>
      <c r="AI752" s="96">
        <v>4</v>
      </c>
    </row>
    <row r="753" spans="1:42" customHeight="1" ht="11.5" s="96" customFormat="1">
      <c r="A753" s="5">
        <v>745</v>
      </c>
      <c r="B753" s="163" t="s">
        <v>1210</v>
      </c>
      <c r="C753" s="151" t="s">
        <v>132</v>
      </c>
      <c r="D753" s="85" t="s">
        <v>133</v>
      </c>
      <c r="E753" s="86">
        <v>0</v>
      </c>
      <c r="F753" s="9">
        <v>0</v>
      </c>
      <c r="G753" s="10"/>
      <c r="H753" s="9">
        <v>0</v>
      </c>
      <c r="I753" s="10"/>
      <c r="J753" s="152">
        <v>0</v>
      </c>
      <c r="K753" s="10"/>
      <c r="L753" s="152">
        <v>0</v>
      </c>
      <c r="M753" s="10"/>
      <c r="N753" s="152">
        <v>0</v>
      </c>
      <c r="O753" s="10"/>
      <c r="P753" s="152">
        <v>0</v>
      </c>
      <c r="Q753" s="10"/>
      <c r="R753" s="9">
        <v>0</v>
      </c>
      <c r="S753" s="10"/>
      <c r="T753" s="9">
        <v>0</v>
      </c>
      <c r="U753" s="10"/>
      <c r="V753" s="9">
        <v>0</v>
      </c>
      <c r="W753" s="10"/>
      <c r="X753" s="9">
        <v>0</v>
      </c>
      <c r="Y753" s="10"/>
      <c r="Z753" s="9">
        <v>0</v>
      </c>
      <c r="AA753" s="10"/>
      <c r="AB753" s="11">
        <v>0</v>
      </c>
      <c r="AC753" s="10"/>
      <c r="AD753" s="7">
        <f>SUM(F753+H753+J753+L753+N753+P753+R753+T753+V753+X753+Z753+AB753)</f>
        <v>0</v>
      </c>
      <c r="AE753" s="7">
        <f>E753+AD753</f>
        <v>0</v>
      </c>
      <c r="AF753" s="8">
        <f>G753+I753+K753+M753+O753+Q753+S753+U753+W753+Y753+AA753+AC753</f>
        <v>0</v>
      </c>
      <c r="AG753" s="153">
        <f>SUM(AE753-AF753)</f>
        <v>0</v>
      </c>
      <c r="AH753" s="96" t="s">
        <v>1544</v>
      </c>
      <c r="AI753" s="96">
        <v>4</v>
      </c>
    </row>
    <row r="754" spans="1:42" customHeight="1" ht="11.5" s="96" customFormat="1">
      <c r="A754" s="5">
        <v>746</v>
      </c>
      <c r="B754" s="163" t="s">
        <v>1211</v>
      </c>
      <c r="C754" s="151" t="s">
        <v>91</v>
      </c>
      <c r="D754" s="85" t="s">
        <v>92</v>
      </c>
      <c r="E754" s="86">
        <v>0</v>
      </c>
      <c r="F754" s="9">
        <v>0</v>
      </c>
      <c r="G754" s="10"/>
      <c r="H754" s="9">
        <v>0</v>
      </c>
      <c r="I754" s="10"/>
      <c r="J754" s="152">
        <v>0</v>
      </c>
      <c r="K754" s="10"/>
      <c r="L754" s="152">
        <v>0</v>
      </c>
      <c r="M754" s="10"/>
      <c r="N754" s="152">
        <v>300</v>
      </c>
      <c r="O754" s="10"/>
      <c r="P754" s="152">
        <v>0</v>
      </c>
      <c r="Q754" s="10">
        <v>300</v>
      </c>
      <c r="R754" s="9">
        <v>0</v>
      </c>
      <c r="S754" s="10"/>
      <c r="T754" s="9">
        <v>0</v>
      </c>
      <c r="U754" s="10"/>
      <c r="V754" s="9">
        <v>0</v>
      </c>
      <c r="W754" s="10"/>
      <c r="X754" s="9">
        <v>0</v>
      </c>
      <c r="Y754" s="10"/>
      <c r="Z754" s="9">
        <v>0</v>
      </c>
      <c r="AA754" s="10"/>
      <c r="AB754" s="11">
        <v>0</v>
      </c>
      <c r="AC754" s="10"/>
      <c r="AD754" s="7">
        <f>SUM(F754+H754+J754+L754+N754+P754+R754+T754+V754+X754+Z754+AB754)</f>
        <v>300</v>
      </c>
      <c r="AE754" s="7">
        <f>E754+AD754</f>
        <v>300</v>
      </c>
      <c r="AF754" s="8">
        <f>G754+I754+K754+M754+O754+Q754+S754+U754+W754+Y754+AA754+AC754</f>
        <v>300</v>
      </c>
      <c r="AG754" s="153">
        <f>SUM(AE754-AF754)</f>
        <v>0</v>
      </c>
      <c r="AH754" s="96" t="s">
        <v>1545</v>
      </c>
      <c r="AI754" s="96">
        <v>4</v>
      </c>
    </row>
    <row r="755" spans="1:42" customHeight="1" ht="11.5" s="96" customFormat="1">
      <c r="A755" s="5">
        <v>747</v>
      </c>
      <c r="B755" s="163" t="s">
        <v>1212</v>
      </c>
      <c r="C755" s="151" t="s">
        <v>36</v>
      </c>
      <c r="D755" s="85" t="s">
        <v>37</v>
      </c>
      <c r="E755" s="86">
        <v>0</v>
      </c>
      <c r="F755" s="9">
        <v>0</v>
      </c>
      <c r="G755" s="10"/>
      <c r="H755" s="9">
        <v>0</v>
      </c>
      <c r="I755" s="10"/>
      <c r="J755" s="152">
        <v>0</v>
      </c>
      <c r="K755" s="10"/>
      <c r="L755" s="152">
        <v>0</v>
      </c>
      <c r="M755" s="10"/>
      <c r="N755" s="152">
        <v>0</v>
      </c>
      <c r="O755" s="10"/>
      <c r="P755" s="152">
        <v>0</v>
      </c>
      <c r="Q755" s="10"/>
      <c r="R755" s="9">
        <v>0</v>
      </c>
      <c r="S755" s="10"/>
      <c r="T755" s="9">
        <v>0</v>
      </c>
      <c r="U755" s="10"/>
      <c r="V755" s="9">
        <v>0</v>
      </c>
      <c r="W755" s="10"/>
      <c r="X755" s="9">
        <v>0</v>
      </c>
      <c r="Y755" s="10"/>
      <c r="Z755" s="9">
        <v>0</v>
      </c>
      <c r="AA755" s="10"/>
      <c r="AB755" s="11">
        <v>0</v>
      </c>
      <c r="AC755" s="10"/>
      <c r="AD755" s="7">
        <f>SUM(F755+H755+J755+L755+N755+P755+R755+T755+V755+X755+Z755+AB755)</f>
        <v>0</v>
      </c>
      <c r="AE755" s="7">
        <f>E755+AD755</f>
        <v>0</v>
      </c>
      <c r="AF755" s="8">
        <f>G755+I755+K755+M755+O755+Q755+S755+U755+W755+Y755+AA755+AC755</f>
        <v>0</v>
      </c>
      <c r="AG755" s="153">
        <f>SUM(AE755-AF755)</f>
        <v>0</v>
      </c>
      <c r="AH755" s="96" t="s">
        <v>1546</v>
      </c>
      <c r="AI755" s="96">
        <v>4</v>
      </c>
    </row>
    <row r="756" spans="1:42" customHeight="1" ht="11.5" s="96" customFormat="1">
      <c r="A756" s="5">
        <v>748</v>
      </c>
      <c r="B756" s="163" t="s">
        <v>1213</v>
      </c>
      <c r="C756" s="151" t="s">
        <v>36</v>
      </c>
      <c r="D756" s="85" t="s">
        <v>37</v>
      </c>
      <c r="E756" s="86">
        <v>0</v>
      </c>
      <c r="F756" s="9">
        <v>0</v>
      </c>
      <c r="G756" s="10"/>
      <c r="H756" s="9">
        <v>0</v>
      </c>
      <c r="I756" s="10"/>
      <c r="J756" s="152">
        <v>0</v>
      </c>
      <c r="K756" s="10"/>
      <c r="L756" s="152">
        <v>0</v>
      </c>
      <c r="M756" s="10"/>
      <c r="N756" s="152">
        <v>0</v>
      </c>
      <c r="O756" s="10"/>
      <c r="P756" s="152">
        <v>0</v>
      </c>
      <c r="Q756" s="10"/>
      <c r="R756" s="9">
        <v>0</v>
      </c>
      <c r="S756" s="10"/>
      <c r="T756" s="9">
        <v>0</v>
      </c>
      <c r="U756" s="10"/>
      <c r="V756" s="9">
        <v>0</v>
      </c>
      <c r="W756" s="10"/>
      <c r="X756" s="9">
        <v>0</v>
      </c>
      <c r="Y756" s="10"/>
      <c r="Z756" s="9">
        <v>0</v>
      </c>
      <c r="AA756" s="10"/>
      <c r="AB756" s="87">
        <v>0</v>
      </c>
      <c r="AC756" s="10"/>
      <c r="AD756" s="7">
        <f>SUM(F756+H756+J756+L756+N756+P756+R756+T756+V756+X756+Z756+AB756)</f>
        <v>0</v>
      </c>
      <c r="AE756" s="7">
        <f>E756+AD756</f>
        <v>0</v>
      </c>
      <c r="AF756" s="8">
        <f>G756+I756+K756+M756+O756+Q756+S756+U756+W756+Y756+AA756+AC756</f>
        <v>0</v>
      </c>
      <c r="AG756" s="153">
        <f>SUM(AE756-AF756)</f>
        <v>0</v>
      </c>
      <c r="AH756" s="96" t="s">
        <v>1547</v>
      </c>
      <c r="AI756" s="96">
        <v>4</v>
      </c>
    </row>
    <row r="757" spans="1:42" customHeight="1" ht="11.5" s="96" customFormat="1">
      <c r="A757" s="5">
        <v>749</v>
      </c>
      <c r="B757" s="163" t="s">
        <v>1214</v>
      </c>
      <c r="C757" s="151" t="s">
        <v>132</v>
      </c>
      <c r="D757" s="85" t="s">
        <v>133</v>
      </c>
      <c r="E757" s="86">
        <v>10000</v>
      </c>
      <c r="F757" s="9">
        <v>10000</v>
      </c>
      <c r="G757" s="10"/>
      <c r="H757" s="9">
        <v>0</v>
      </c>
      <c r="I757" s="10"/>
      <c r="J757" s="152">
        <v>10000</v>
      </c>
      <c r="K757" s="10">
        <v>20000</v>
      </c>
      <c r="L757" s="152">
        <v>10000</v>
      </c>
      <c r="M757" s="10">
        <v>10000</v>
      </c>
      <c r="N757" s="152">
        <v>0</v>
      </c>
      <c r="O757" s="10"/>
      <c r="P757" s="152">
        <v>0</v>
      </c>
      <c r="Q757" s="10"/>
      <c r="R757" s="9">
        <v>0</v>
      </c>
      <c r="S757" s="10"/>
      <c r="T757" s="9">
        <v>0</v>
      </c>
      <c r="U757" s="10"/>
      <c r="V757" s="9">
        <v>0</v>
      </c>
      <c r="W757" s="10"/>
      <c r="X757" s="9">
        <v>0</v>
      </c>
      <c r="Y757" s="10"/>
      <c r="Z757" s="9">
        <v>0</v>
      </c>
      <c r="AA757" s="10"/>
      <c r="AB757" s="11">
        <v>0</v>
      </c>
      <c r="AC757" s="10"/>
      <c r="AD757" s="7">
        <f>SUM(F757+H757+J757+L757+N757+P757+R757+T757+V757+X757+Z757+AB757)</f>
        <v>30000</v>
      </c>
      <c r="AE757" s="7">
        <f>E757+AD757</f>
        <v>40000</v>
      </c>
      <c r="AF757" s="8">
        <f>G757+I757+K757+M757+O757+Q757+S757+U757+W757+Y757+AA757+AC757</f>
        <v>30000</v>
      </c>
      <c r="AG757" s="153">
        <f>SUM(AE757-AF757)</f>
        <v>10000</v>
      </c>
      <c r="AH757" s="96" t="s">
        <v>1548</v>
      </c>
      <c r="AI757" s="96">
        <v>3</v>
      </c>
    </row>
    <row r="758" spans="1:42" customHeight="1" ht="11.5" s="96" customFormat="1">
      <c r="A758" s="5">
        <v>750</v>
      </c>
      <c r="B758" s="163" t="s">
        <v>1215</v>
      </c>
      <c r="C758" s="151" t="s">
        <v>132</v>
      </c>
      <c r="D758" s="85" t="s">
        <v>133</v>
      </c>
      <c r="E758" s="86">
        <v>10000</v>
      </c>
      <c r="F758" s="9">
        <v>10000</v>
      </c>
      <c r="G758" s="10"/>
      <c r="H758" s="9">
        <v>0</v>
      </c>
      <c r="I758" s="10"/>
      <c r="J758" s="152">
        <v>10000</v>
      </c>
      <c r="K758" s="10">
        <v>20000</v>
      </c>
      <c r="L758" s="152">
        <v>0</v>
      </c>
      <c r="M758" s="10">
        <v>10000</v>
      </c>
      <c r="N758" s="152">
        <v>10000</v>
      </c>
      <c r="O758" s="10"/>
      <c r="P758" s="152">
        <v>0</v>
      </c>
      <c r="Q758" s="10"/>
      <c r="R758" s="9">
        <v>0</v>
      </c>
      <c r="S758" s="10"/>
      <c r="T758" s="9">
        <v>0</v>
      </c>
      <c r="U758" s="10"/>
      <c r="V758" s="9">
        <v>0</v>
      </c>
      <c r="W758" s="10"/>
      <c r="X758" s="9">
        <v>0</v>
      </c>
      <c r="Y758" s="10"/>
      <c r="Z758" s="9">
        <v>0</v>
      </c>
      <c r="AA758" s="10"/>
      <c r="AB758" s="11">
        <v>0</v>
      </c>
      <c r="AC758" s="10"/>
      <c r="AD758" s="7">
        <f>SUM(F758+H758+J758+L758+N758+P758+R758+T758+V758+X758+Z758+AB758)</f>
        <v>30000</v>
      </c>
      <c r="AE758" s="7">
        <f>E758+AD758</f>
        <v>40000</v>
      </c>
      <c r="AF758" s="8">
        <f>G758+I758+K758+M758+O758+Q758+S758+U758+W758+Y758+AA758+AC758</f>
        <v>30000</v>
      </c>
      <c r="AG758" s="153">
        <f>SUM(AE758-AF758)</f>
        <v>10000</v>
      </c>
      <c r="AH758" s="96" t="s">
        <v>1549</v>
      </c>
      <c r="AI758" s="96">
        <v>4</v>
      </c>
    </row>
    <row r="759" spans="1:42" customHeight="1" ht="11.5" s="96" customFormat="1">
      <c r="A759" s="5">
        <v>751</v>
      </c>
      <c r="B759" s="163" t="s">
        <v>1216</v>
      </c>
      <c r="C759" s="151" t="s">
        <v>36</v>
      </c>
      <c r="D759" s="85" t="s">
        <v>37</v>
      </c>
      <c r="E759" s="86">
        <v>0</v>
      </c>
      <c r="F759" s="9">
        <v>0</v>
      </c>
      <c r="G759" s="10"/>
      <c r="H759" s="9">
        <v>0</v>
      </c>
      <c r="I759" s="10"/>
      <c r="J759" s="152">
        <v>0</v>
      </c>
      <c r="K759" s="10"/>
      <c r="L759" s="152">
        <v>0</v>
      </c>
      <c r="M759" s="10"/>
      <c r="N759" s="152">
        <v>0</v>
      </c>
      <c r="O759" s="10"/>
      <c r="P759" s="152">
        <v>0</v>
      </c>
      <c r="Q759" s="10"/>
      <c r="R759" s="9">
        <v>0</v>
      </c>
      <c r="S759" s="10"/>
      <c r="T759" s="9">
        <v>0</v>
      </c>
      <c r="U759" s="10"/>
      <c r="V759" s="9">
        <v>0</v>
      </c>
      <c r="W759" s="10"/>
      <c r="X759" s="9">
        <v>0</v>
      </c>
      <c r="Y759" s="10"/>
      <c r="Z759" s="9">
        <v>0</v>
      </c>
      <c r="AA759" s="10"/>
      <c r="AB759" s="11">
        <v>0</v>
      </c>
      <c r="AC759" s="10"/>
      <c r="AD759" s="7">
        <f>SUM(F759+H759+J759+L759+N759+P759+R759+T759+V759+X759+Z759+AB759)</f>
        <v>0</v>
      </c>
      <c r="AE759" s="7">
        <f>E759+AD759</f>
        <v>0</v>
      </c>
      <c r="AF759" s="8">
        <f>G759+I759+K759+M759+O759+Q759+S759+U759+W759+Y759+AA759+AC759</f>
        <v>0</v>
      </c>
      <c r="AG759" s="153">
        <f>SUM(AE759-AF759)</f>
        <v>0</v>
      </c>
      <c r="AH759" s="96" t="s">
        <v>1550</v>
      </c>
      <c r="AI759" s="96">
        <v>4</v>
      </c>
    </row>
    <row r="760" spans="1:42" customHeight="1" ht="11.5" s="96" customFormat="1">
      <c r="A760" s="5">
        <v>752</v>
      </c>
      <c r="B760" s="163" t="s">
        <v>1217</v>
      </c>
      <c r="C760" s="151" t="s">
        <v>36</v>
      </c>
      <c r="D760" s="85" t="s">
        <v>37</v>
      </c>
      <c r="E760" s="86">
        <v>0</v>
      </c>
      <c r="F760" s="9">
        <v>0</v>
      </c>
      <c r="G760" s="10"/>
      <c r="H760" s="9">
        <v>0</v>
      </c>
      <c r="I760" s="10"/>
      <c r="J760" s="152">
        <v>0</v>
      </c>
      <c r="K760" s="10"/>
      <c r="L760" s="152">
        <v>0</v>
      </c>
      <c r="M760" s="10"/>
      <c r="N760" s="152">
        <v>0</v>
      </c>
      <c r="O760" s="10"/>
      <c r="P760" s="152">
        <v>0</v>
      </c>
      <c r="Q760" s="10"/>
      <c r="R760" s="9">
        <v>0</v>
      </c>
      <c r="S760" s="10"/>
      <c r="T760" s="9">
        <v>0</v>
      </c>
      <c r="U760" s="10"/>
      <c r="V760" s="9">
        <v>0</v>
      </c>
      <c r="W760" s="10"/>
      <c r="X760" s="9">
        <v>0</v>
      </c>
      <c r="Y760" s="10"/>
      <c r="Z760" s="9">
        <v>0</v>
      </c>
      <c r="AA760" s="10"/>
      <c r="AB760" s="11">
        <v>0</v>
      </c>
      <c r="AC760" s="10"/>
      <c r="AD760" s="7">
        <f>SUM(F760+H760+J760+L760+N760+P760+R760+T760+V760+X760+Z760+AB760)</f>
        <v>0</v>
      </c>
      <c r="AE760" s="7">
        <f>E760+AD760</f>
        <v>0</v>
      </c>
      <c r="AF760" s="8">
        <f>G760+I760+K760+M760+O760+Q760+S760+U760+W760+Y760+AA760+AC760</f>
        <v>0</v>
      </c>
      <c r="AG760" s="153">
        <f>SUM(AE760-AF760)</f>
        <v>0</v>
      </c>
      <c r="AH760" s="96" t="s">
        <v>1550</v>
      </c>
      <c r="AI760" s="96">
        <v>4</v>
      </c>
    </row>
    <row r="761" spans="1:42" customHeight="1" ht="11.5" s="96" customFormat="1">
      <c r="A761" s="5">
        <v>753</v>
      </c>
      <c r="B761" s="163" t="s">
        <v>1218</v>
      </c>
      <c r="C761" s="151" t="s">
        <v>36</v>
      </c>
      <c r="D761" s="85" t="s">
        <v>37</v>
      </c>
      <c r="E761" s="86">
        <v>0</v>
      </c>
      <c r="F761" s="9">
        <v>0</v>
      </c>
      <c r="G761" s="10"/>
      <c r="H761" s="9">
        <v>0</v>
      </c>
      <c r="I761" s="10"/>
      <c r="J761" s="152">
        <v>0</v>
      </c>
      <c r="K761" s="10"/>
      <c r="L761" s="152">
        <v>0</v>
      </c>
      <c r="M761" s="10"/>
      <c r="N761" s="152">
        <v>0</v>
      </c>
      <c r="O761" s="10"/>
      <c r="P761" s="152">
        <v>0</v>
      </c>
      <c r="Q761" s="10"/>
      <c r="R761" s="9">
        <v>0</v>
      </c>
      <c r="S761" s="10"/>
      <c r="T761" s="9">
        <v>0</v>
      </c>
      <c r="U761" s="10"/>
      <c r="V761" s="9">
        <v>0</v>
      </c>
      <c r="W761" s="10"/>
      <c r="X761" s="9">
        <v>0</v>
      </c>
      <c r="Y761" s="10"/>
      <c r="Z761" s="9">
        <v>0</v>
      </c>
      <c r="AA761" s="10"/>
      <c r="AB761" s="11">
        <v>0</v>
      </c>
      <c r="AC761" s="10"/>
      <c r="AD761" s="7">
        <f>SUM(F761+H761+J761+L761+N761+P761+R761+T761+V761+X761+Z761+AB761)</f>
        <v>0</v>
      </c>
      <c r="AE761" s="7">
        <f>E761+AD761</f>
        <v>0</v>
      </c>
      <c r="AF761" s="8">
        <f>G761+I761+K761+M761+O761+Q761+S761+U761+W761+Y761+AA761+AC761</f>
        <v>0</v>
      </c>
      <c r="AG761" s="153">
        <f>SUM(AE761-AF761)</f>
        <v>0</v>
      </c>
      <c r="AH761" s="96" t="s">
        <v>1550</v>
      </c>
      <c r="AI761" s="96">
        <v>4</v>
      </c>
    </row>
    <row r="762" spans="1:42" customHeight="1" ht="11.5" s="96" customFormat="1">
      <c r="A762" s="5">
        <v>754</v>
      </c>
      <c r="B762" s="173" t="s">
        <v>1219</v>
      </c>
      <c r="C762" s="167" t="s">
        <v>36</v>
      </c>
      <c r="D762" s="88" t="s">
        <v>37</v>
      </c>
      <c r="E762" s="174">
        <v>0</v>
      </c>
      <c r="F762" s="9">
        <v>0</v>
      </c>
      <c r="G762" s="10"/>
      <c r="H762" s="9">
        <v>0</v>
      </c>
      <c r="I762" s="10"/>
      <c r="J762" s="152">
        <v>0</v>
      </c>
      <c r="K762" s="10"/>
      <c r="L762" s="152">
        <v>0</v>
      </c>
      <c r="M762" s="10"/>
      <c r="N762" s="152">
        <v>0</v>
      </c>
      <c r="O762" s="10"/>
      <c r="P762" s="152">
        <v>0</v>
      </c>
      <c r="Q762" s="10"/>
      <c r="R762" s="9">
        <v>0</v>
      </c>
      <c r="S762" s="10"/>
      <c r="T762" s="9">
        <v>0</v>
      </c>
      <c r="U762" s="10"/>
      <c r="V762" s="9">
        <v>0</v>
      </c>
      <c r="W762" s="10"/>
      <c r="X762" s="9">
        <v>0</v>
      </c>
      <c r="Y762" s="10"/>
      <c r="Z762" s="9">
        <v>0</v>
      </c>
      <c r="AA762" s="10"/>
      <c r="AB762" s="11">
        <v>0</v>
      </c>
      <c r="AC762" s="10"/>
      <c r="AD762" s="7">
        <f>SUM(F762+H762+J762+L762+N762+P762+R762+T762+V762+X762+Z762+AB762)</f>
        <v>0</v>
      </c>
      <c r="AE762" s="7">
        <f>E762+AD762</f>
        <v>0</v>
      </c>
      <c r="AF762" s="8">
        <f>G762+I762+K762+M762+O762+Q762+S762+U762+W762+Y762+AA762+AC762</f>
        <v>0</v>
      </c>
      <c r="AG762" s="153">
        <f>SUM(AE762-AF762)</f>
        <v>0</v>
      </c>
      <c r="AH762" s="96" t="s">
        <v>1550</v>
      </c>
      <c r="AI762" s="96">
        <v>4</v>
      </c>
    </row>
    <row r="763" spans="1:42" customHeight="1" ht="11.5" s="96" customFormat="1">
      <c r="A763" s="5">
        <v>755</v>
      </c>
      <c r="B763" s="173" t="s">
        <v>1220</v>
      </c>
      <c r="C763" s="167" t="s">
        <v>36</v>
      </c>
      <c r="D763" s="88" t="s">
        <v>37</v>
      </c>
      <c r="E763" s="174">
        <v>0</v>
      </c>
      <c r="F763" s="9">
        <v>0</v>
      </c>
      <c r="G763" s="10"/>
      <c r="H763" s="9">
        <v>0</v>
      </c>
      <c r="I763" s="10"/>
      <c r="J763" s="152">
        <v>0</v>
      </c>
      <c r="K763" s="10"/>
      <c r="L763" s="152">
        <v>0</v>
      </c>
      <c r="M763" s="10"/>
      <c r="N763" s="152">
        <v>0</v>
      </c>
      <c r="O763" s="10"/>
      <c r="P763" s="152">
        <v>0</v>
      </c>
      <c r="Q763" s="10"/>
      <c r="R763" s="9">
        <v>0</v>
      </c>
      <c r="S763" s="10"/>
      <c r="T763" s="9">
        <v>0</v>
      </c>
      <c r="U763" s="10"/>
      <c r="V763" s="9">
        <v>0</v>
      </c>
      <c r="W763" s="10"/>
      <c r="X763" s="9">
        <v>0</v>
      </c>
      <c r="Y763" s="10"/>
      <c r="Z763" s="9">
        <v>0</v>
      </c>
      <c r="AA763" s="10"/>
      <c r="AB763" s="11">
        <v>0</v>
      </c>
      <c r="AC763" s="10"/>
      <c r="AD763" s="7">
        <f>SUM(F763+H763+J763+L763+N763+P763+R763+T763+V763+X763+Z763+AB763)</f>
        <v>0</v>
      </c>
      <c r="AE763" s="7">
        <f>E763+AD763</f>
        <v>0</v>
      </c>
      <c r="AF763" s="8">
        <f>G763+I763+K763+M763+O763+Q763+S763+U763+W763+Y763+AA763+AC763</f>
        <v>0</v>
      </c>
      <c r="AG763" s="153">
        <f>SUM(AE763-AF763)</f>
        <v>0</v>
      </c>
      <c r="AH763" s="96" t="s">
        <v>1550</v>
      </c>
      <c r="AI763" s="96">
        <v>4</v>
      </c>
    </row>
    <row r="764" spans="1:42" customHeight="1" ht="11.5" s="96" customFormat="1">
      <c r="A764" s="5">
        <v>756</v>
      </c>
      <c r="B764" s="173" t="s">
        <v>1221</v>
      </c>
      <c r="C764" s="167" t="s">
        <v>105</v>
      </c>
      <c r="D764" s="88" t="s">
        <v>106</v>
      </c>
      <c r="E764" s="174">
        <v>0</v>
      </c>
      <c r="F764" s="9">
        <v>0</v>
      </c>
      <c r="G764" s="10"/>
      <c r="H764" s="9">
        <v>0</v>
      </c>
      <c r="I764" s="10"/>
      <c r="J764" s="152">
        <v>0</v>
      </c>
      <c r="K764" s="10"/>
      <c r="L764" s="152">
        <v>0</v>
      </c>
      <c r="M764" s="10"/>
      <c r="N764" s="152">
        <v>0</v>
      </c>
      <c r="O764" s="10"/>
      <c r="P764" s="152">
        <v>0</v>
      </c>
      <c r="Q764" s="10"/>
      <c r="R764" s="9">
        <v>0</v>
      </c>
      <c r="S764" s="10"/>
      <c r="T764" s="9">
        <v>0</v>
      </c>
      <c r="U764" s="10"/>
      <c r="V764" s="9">
        <v>0</v>
      </c>
      <c r="W764" s="10"/>
      <c r="X764" s="9">
        <v>0</v>
      </c>
      <c r="Y764" s="10"/>
      <c r="Z764" s="9">
        <v>0</v>
      </c>
      <c r="AA764" s="10"/>
      <c r="AB764" s="11">
        <v>0</v>
      </c>
      <c r="AC764" s="10"/>
      <c r="AD764" s="7">
        <f>SUM(F764+H764+J764+L764+N764+P764+R764+T764+V764+X764+Z764+AB764)</f>
        <v>0</v>
      </c>
      <c r="AE764" s="7">
        <f>E764+AD764</f>
        <v>0</v>
      </c>
      <c r="AF764" s="8">
        <f>G764+I764+K764+M764+O764+Q764+S764+U764+W764+Y764+AA764+AC764</f>
        <v>0</v>
      </c>
      <c r="AG764" s="153">
        <f>SUM(AE764-AF764)</f>
        <v>0</v>
      </c>
      <c r="AH764" s="96" t="s">
        <v>1551</v>
      </c>
      <c r="AI764" s="96">
        <v>4</v>
      </c>
    </row>
    <row r="765" spans="1:42" customHeight="1" ht="11.5" s="96" customFormat="1">
      <c r="A765" s="5">
        <v>757</v>
      </c>
      <c r="B765" s="173" t="s">
        <v>1222</v>
      </c>
      <c r="C765" s="167" t="s">
        <v>36</v>
      </c>
      <c r="D765" s="88" t="s">
        <v>37</v>
      </c>
      <c r="E765" s="174">
        <v>0</v>
      </c>
      <c r="F765" s="9">
        <v>0</v>
      </c>
      <c r="G765" s="10"/>
      <c r="H765" s="9">
        <v>0</v>
      </c>
      <c r="I765" s="10"/>
      <c r="J765" s="152">
        <v>0</v>
      </c>
      <c r="K765" s="10"/>
      <c r="L765" s="152">
        <v>0</v>
      </c>
      <c r="M765" s="10"/>
      <c r="N765" s="152">
        <v>0</v>
      </c>
      <c r="O765" s="10"/>
      <c r="P765" s="152">
        <v>0</v>
      </c>
      <c r="Q765" s="10"/>
      <c r="R765" s="9">
        <v>0</v>
      </c>
      <c r="S765" s="10"/>
      <c r="T765" s="9">
        <v>0</v>
      </c>
      <c r="U765" s="10"/>
      <c r="V765" s="9">
        <v>0</v>
      </c>
      <c r="W765" s="10"/>
      <c r="X765" s="9">
        <v>0</v>
      </c>
      <c r="Y765" s="10"/>
      <c r="Z765" s="9">
        <v>0</v>
      </c>
      <c r="AA765" s="10"/>
      <c r="AB765" s="11">
        <v>0</v>
      </c>
      <c r="AC765" s="10"/>
      <c r="AD765" s="7">
        <f>SUM(F765+H765+J765+L765+N765+P765+R765+T765+V765+X765+Z765+AB765)</f>
        <v>0</v>
      </c>
      <c r="AE765" s="7">
        <f>E765+AD765</f>
        <v>0</v>
      </c>
      <c r="AF765" s="8">
        <f>G765+I765+K765+M765+O765+Q765+S765+U765+W765+Y765+AA765+AC765</f>
        <v>0</v>
      </c>
      <c r="AG765" s="153">
        <f>SUM(AE765-AF765)</f>
        <v>0</v>
      </c>
      <c r="AH765" s="96" t="s">
        <v>1551</v>
      </c>
      <c r="AI765" s="96">
        <v>4</v>
      </c>
    </row>
    <row r="766" spans="1:42" customHeight="1" ht="11.5" s="96" customFormat="1">
      <c r="A766" s="5">
        <v>758</v>
      </c>
      <c r="B766" s="173" t="s">
        <v>1223</v>
      </c>
      <c r="C766" s="167" t="s">
        <v>36</v>
      </c>
      <c r="D766" s="88" t="s">
        <v>37</v>
      </c>
      <c r="E766" s="174">
        <v>0</v>
      </c>
      <c r="F766" s="9">
        <v>0</v>
      </c>
      <c r="G766" s="10"/>
      <c r="H766" s="9">
        <v>0</v>
      </c>
      <c r="I766" s="10"/>
      <c r="J766" s="152">
        <v>0</v>
      </c>
      <c r="K766" s="10"/>
      <c r="L766" s="152">
        <v>0</v>
      </c>
      <c r="M766" s="10"/>
      <c r="N766" s="152">
        <v>0</v>
      </c>
      <c r="O766" s="10"/>
      <c r="P766" s="152">
        <v>0</v>
      </c>
      <c r="Q766" s="10"/>
      <c r="R766" s="9">
        <v>0</v>
      </c>
      <c r="S766" s="10"/>
      <c r="T766" s="9">
        <v>0</v>
      </c>
      <c r="U766" s="10"/>
      <c r="V766" s="9">
        <v>0</v>
      </c>
      <c r="W766" s="10"/>
      <c r="X766" s="9">
        <v>0</v>
      </c>
      <c r="Y766" s="10"/>
      <c r="Z766" s="9">
        <v>0</v>
      </c>
      <c r="AA766" s="10"/>
      <c r="AB766" s="11">
        <v>0</v>
      </c>
      <c r="AC766" s="10"/>
      <c r="AD766" s="7">
        <f>SUM(F766+H766+J766+L766+N766+P766+R766+T766+V766+X766+Z766+AB766)</f>
        <v>0</v>
      </c>
      <c r="AE766" s="7">
        <f>E766+AD766</f>
        <v>0</v>
      </c>
      <c r="AF766" s="8">
        <f>G766+I766+K766+M766+O766+Q766+S766+U766+W766+Y766+AA766+AC766</f>
        <v>0</v>
      </c>
      <c r="AG766" s="153">
        <f>SUM(AE766-AF766)</f>
        <v>0</v>
      </c>
      <c r="AH766" s="96" t="s">
        <v>1551</v>
      </c>
      <c r="AI766" s="96">
        <v>4</v>
      </c>
    </row>
    <row r="767" spans="1:42" customHeight="1" ht="11.5" s="96" customFormat="1">
      <c r="A767" s="5">
        <v>759</v>
      </c>
      <c r="B767" s="173" t="s">
        <v>1224</v>
      </c>
      <c r="C767" s="167" t="s">
        <v>36</v>
      </c>
      <c r="D767" s="88" t="s">
        <v>37</v>
      </c>
      <c r="E767" s="174">
        <v>0</v>
      </c>
      <c r="F767" s="9">
        <v>0</v>
      </c>
      <c r="G767" s="10"/>
      <c r="H767" s="9">
        <v>0</v>
      </c>
      <c r="I767" s="10"/>
      <c r="J767" s="152">
        <v>0</v>
      </c>
      <c r="K767" s="10"/>
      <c r="L767" s="152">
        <v>0</v>
      </c>
      <c r="M767" s="10"/>
      <c r="N767" s="152">
        <v>0</v>
      </c>
      <c r="O767" s="10"/>
      <c r="P767" s="152">
        <v>0</v>
      </c>
      <c r="Q767" s="10"/>
      <c r="R767" s="9">
        <v>0</v>
      </c>
      <c r="S767" s="10"/>
      <c r="T767" s="9">
        <v>0</v>
      </c>
      <c r="U767" s="10"/>
      <c r="V767" s="9">
        <v>0</v>
      </c>
      <c r="W767" s="10"/>
      <c r="X767" s="9">
        <v>0</v>
      </c>
      <c r="Y767" s="10"/>
      <c r="Z767" s="9">
        <v>0</v>
      </c>
      <c r="AA767" s="10"/>
      <c r="AB767" s="11">
        <v>0</v>
      </c>
      <c r="AC767" s="10"/>
      <c r="AD767" s="7">
        <f>SUM(F767+H767+J767+L767+N767+P767+R767+T767+V767+X767+Z767+AB767)</f>
        <v>0</v>
      </c>
      <c r="AE767" s="7">
        <f>E767+AD767</f>
        <v>0</v>
      </c>
      <c r="AF767" s="8">
        <f>G767+I767+K767+M767+O767+Q767+S767+U767+W767+Y767+AA767+AC767</f>
        <v>0</v>
      </c>
      <c r="AG767" s="153">
        <f>SUM(AE767-AF767)</f>
        <v>0</v>
      </c>
      <c r="AH767" s="96" t="s">
        <v>1551</v>
      </c>
      <c r="AI767" s="96">
        <v>4</v>
      </c>
    </row>
    <row r="768" spans="1:42" customHeight="1" ht="11.5" s="96" customFormat="1">
      <c r="A768" s="5">
        <v>760</v>
      </c>
      <c r="B768" s="173" t="s">
        <v>1225</v>
      </c>
      <c r="C768" s="167" t="s">
        <v>36</v>
      </c>
      <c r="D768" s="88" t="s">
        <v>37</v>
      </c>
      <c r="E768" s="174">
        <v>0</v>
      </c>
      <c r="F768" s="9">
        <v>0</v>
      </c>
      <c r="G768" s="10"/>
      <c r="H768" s="9">
        <v>0</v>
      </c>
      <c r="I768" s="10"/>
      <c r="J768" s="152">
        <v>0</v>
      </c>
      <c r="K768" s="10"/>
      <c r="L768" s="152">
        <v>0</v>
      </c>
      <c r="M768" s="10"/>
      <c r="N768" s="152">
        <v>0</v>
      </c>
      <c r="O768" s="10"/>
      <c r="P768" s="152">
        <v>0</v>
      </c>
      <c r="Q768" s="10"/>
      <c r="R768" s="9">
        <v>0</v>
      </c>
      <c r="S768" s="10"/>
      <c r="T768" s="9">
        <v>0</v>
      </c>
      <c r="U768" s="10"/>
      <c r="V768" s="9">
        <v>0</v>
      </c>
      <c r="W768" s="10"/>
      <c r="X768" s="9">
        <v>0</v>
      </c>
      <c r="Y768" s="10"/>
      <c r="Z768" s="9">
        <v>0</v>
      </c>
      <c r="AA768" s="10"/>
      <c r="AB768" s="11">
        <v>0</v>
      </c>
      <c r="AC768" s="10"/>
      <c r="AD768" s="7">
        <f>SUM(F768+H768+J768+L768+N768+P768+R768+T768+V768+X768+Z768+AB768)</f>
        <v>0</v>
      </c>
      <c r="AE768" s="7">
        <f>E768+AD768</f>
        <v>0</v>
      </c>
      <c r="AF768" s="8">
        <f>G768+I768+K768+M768+O768+Q768+S768+U768+W768+Y768+AA768+AC768</f>
        <v>0</v>
      </c>
      <c r="AG768" s="153">
        <f>SUM(AE768-AF768)</f>
        <v>0</v>
      </c>
      <c r="AH768" s="96" t="s">
        <v>1551</v>
      </c>
      <c r="AI768" s="96">
        <v>4</v>
      </c>
    </row>
    <row r="769" spans="1:42" customHeight="1" ht="11.5" s="96" customFormat="1">
      <c r="A769" s="5">
        <v>761</v>
      </c>
      <c r="B769" s="173" t="s">
        <v>1226</v>
      </c>
      <c r="C769" s="167" t="s">
        <v>36</v>
      </c>
      <c r="D769" s="88" t="s">
        <v>37</v>
      </c>
      <c r="E769" s="174">
        <v>0</v>
      </c>
      <c r="F769" s="9">
        <v>0</v>
      </c>
      <c r="G769" s="10"/>
      <c r="H769" s="9">
        <v>0</v>
      </c>
      <c r="I769" s="10"/>
      <c r="J769" s="152">
        <v>0</v>
      </c>
      <c r="K769" s="10"/>
      <c r="L769" s="152">
        <v>0</v>
      </c>
      <c r="M769" s="10"/>
      <c r="N769" s="152">
        <v>0</v>
      </c>
      <c r="O769" s="10"/>
      <c r="P769" s="152">
        <v>0</v>
      </c>
      <c r="Q769" s="10"/>
      <c r="R769" s="9">
        <v>0</v>
      </c>
      <c r="S769" s="10"/>
      <c r="T769" s="9">
        <v>0</v>
      </c>
      <c r="U769" s="10"/>
      <c r="V769" s="9">
        <v>0</v>
      </c>
      <c r="W769" s="10"/>
      <c r="X769" s="9">
        <v>0</v>
      </c>
      <c r="Y769" s="10"/>
      <c r="Z769" s="9">
        <v>0</v>
      </c>
      <c r="AA769" s="10"/>
      <c r="AB769" s="11">
        <v>0</v>
      </c>
      <c r="AC769" s="10"/>
      <c r="AD769" s="7">
        <f>SUM(F769+H769+J769+L769+N769+P769+R769+T769+V769+X769+Z769+AB769)</f>
        <v>0</v>
      </c>
      <c r="AE769" s="7">
        <f>E769+AD769</f>
        <v>0</v>
      </c>
      <c r="AF769" s="8">
        <f>G769+I769+K769+M769+O769+Q769+S769+U769+W769+Y769+AA769+AC769</f>
        <v>0</v>
      </c>
      <c r="AG769" s="153">
        <f>SUM(AE769-AF769)</f>
        <v>0</v>
      </c>
      <c r="AH769" s="96" t="s">
        <v>1552</v>
      </c>
      <c r="AI769" s="96">
        <v>4</v>
      </c>
    </row>
    <row r="770" spans="1:42" customHeight="1" ht="11.5" s="96" customFormat="1">
      <c r="A770" s="5">
        <v>762</v>
      </c>
      <c r="B770" s="173" t="s">
        <v>1227</v>
      </c>
      <c r="C770" s="167" t="s">
        <v>36</v>
      </c>
      <c r="D770" s="88" t="s">
        <v>37</v>
      </c>
      <c r="E770" s="174">
        <v>0</v>
      </c>
      <c r="F770" s="9">
        <v>0</v>
      </c>
      <c r="G770" s="10"/>
      <c r="H770" s="9">
        <v>0</v>
      </c>
      <c r="I770" s="10"/>
      <c r="J770" s="152">
        <v>0</v>
      </c>
      <c r="K770" s="10"/>
      <c r="L770" s="152">
        <v>0</v>
      </c>
      <c r="M770" s="10"/>
      <c r="N770" s="152">
        <v>0</v>
      </c>
      <c r="O770" s="10"/>
      <c r="P770" s="152">
        <v>0</v>
      </c>
      <c r="Q770" s="10"/>
      <c r="R770" s="9">
        <v>0</v>
      </c>
      <c r="S770" s="10"/>
      <c r="T770" s="9">
        <v>0</v>
      </c>
      <c r="U770" s="10"/>
      <c r="V770" s="9">
        <v>0</v>
      </c>
      <c r="W770" s="10"/>
      <c r="X770" s="9">
        <v>0</v>
      </c>
      <c r="Y770" s="10"/>
      <c r="Z770" s="9">
        <v>0</v>
      </c>
      <c r="AA770" s="10"/>
      <c r="AB770" s="11">
        <v>0</v>
      </c>
      <c r="AC770" s="10"/>
      <c r="AD770" s="7">
        <f>SUM(F770+H770+J770+L770+N770+P770+R770+T770+V770+X770+Z770+AB770)</f>
        <v>0</v>
      </c>
      <c r="AE770" s="7">
        <f>E770+AD770</f>
        <v>0</v>
      </c>
      <c r="AF770" s="8">
        <f>G770+I770+K770+M770+O770+Q770+S770+U770+W770+Y770+AA770+AC770</f>
        <v>0</v>
      </c>
      <c r="AG770" s="153">
        <f>SUM(AE770-AF770)</f>
        <v>0</v>
      </c>
      <c r="AH770" s="96" t="s">
        <v>1552</v>
      </c>
      <c r="AI770" s="96">
        <v>4</v>
      </c>
    </row>
    <row r="771" spans="1:42" customHeight="1" ht="11.5" s="96" customFormat="1">
      <c r="A771" s="5">
        <v>763</v>
      </c>
      <c r="B771" s="173" t="s">
        <v>1228</v>
      </c>
      <c r="C771" s="167" t="s">
        <v>36</v>
      </c>
      <c r="D771" s="88" t="s">
        <v>37</v>
      </c>
      <c r="E771" s="174">
        <v>0</v>
      </c>
      <c r="F771" s="9">
        <v>0</v>
      </c>
      <c r="G771" s="10"/>
      <c r="H771" s="9">
        <v>0</v>
      </c>
      <c r="I771" s="10"/>
      <c r="J771" s="152">
        <v>0</v>
      </c>
      <c r="K771" s="10"/>
      <c r="L771" s="152">
        <v>0</v>
      </c>
      <c r="M771" s="10"/>
      <c r="N771" s="152">
        <v>0</v>
      </c>
      <c r="O771" s="10"/>
      <c r="P771" s="152">
        <v>0</v>
      </c>
      <c r="Q771" s="10"/>
      <c r="R771" s="9">
        <v>0</v>
      </c>
      <c r="S771" s="10"/>
      <c r="T771" s="9">
        <v>0</v>
      </c>
      <c r="U771" s="10"/>
      <c r="V771" s="9">
        <v>0</v>
      </c>
      <c r="W771" s="10"/>
      <c r="X771" s="9">
        <v>0</v>
      </c>
      <c r="Y771" s="10"/>
      <c r="Z771" s="9">
        <v>0</v>
      </c>
      <c r="AA771" s="10"/>
      <c r="AB771" s="11">
        <v>0</v>
      </c>
      <c r="AC771" s="10"/>
      <c r="AD771" s="7">
        <f>SUM(F771+H771+J771+L771+N771+P771+R771+T771+V771+X771+Z771+AB771)</f>
        <v>0</v>
      </c>
      <c r="AE771" s="7">
        <f>E771+AD771</f>
        <v>0</v>
      </c>
      <c r="AF771" s="8">
        <f>G771+I771+K771+M771+O771+Q771+S771+U771+W771+Y771+AA771+AC771</f>
        <v>0</v>
      </c>
      <c r="AG771" s="153">
        <f>SUM(AE771-AF771)</f>
        <v>0</v>
      </c>
      <c r="AH771" s="96" t="s">
        <v>1552</v>
      </c>
      <c r="AI771" s="96">
        <v>4</v>
      </c>
    </row>
    <row r="772" spans="1:42" customHeight="1" ht="11.5" s="96" customFormat="1">
      <c r="A772" s="5">
        <v>764</v>
      </c>
      <c r="B772" s="173" t="s">
        <v>1229</v>
      </c>
      <c r="C772" s="167" t="s">
        <v>36</v>
      </c>
      <c r="D772" s="88" t="s">
        <v>37</v>
      </c>
      <c r="E772" s="174">
        <v>0</v>
      </c>
      <c r="F772" s="9">
        <v>0</v>
      </c>
      <c r="G772" s="10"/>
      <c r="H772" s="9">
        <v>0</v>
      </c>
      <c r="I772" s="10"/>
      <c r="J772" s="152">
        <v>0</v>
      </c>
      <c r="K772" s="10"/>
      <c r="L772" s="152">
        <v>0</v>
      </c>
      <c r="M772" s="10"/>
      <c r="N772" s="152">
        <v>0</v>
      </c>
      <c r="O772" s="10"/>
      <c r="P772" s="152">
        <v>0</v>
      </c>
      <c r="Q772" s="10"/>
      <c r="R772" s="9">
        <v>0</v>
      </c>
      <c r="S772" s="10"/>
      <c r="T772" s="9">
        <v>0</v>
      </c>
      <c r="U772" s="10"/>
      <c r="V772" s="9">
        <v>0</v>
      </c>
      <c r="W772" s="10"/>
      <c r="X772" s="9">
        <v>0</v>
      </c>
      <c r="Y772" s="10"/>
      <c r="Z772" s="9">
        <v>0</v>
      </c>
      <c r="AA772" s="10"/>
      <c r="AB772" s="11">
        <v>0</v>
      </c>
      <c r="AC772" s="10"/>
      <c r="AD772" s="7">
        <f>SUM(F772+H772+J772+L772+N772+P772+R772+T772+V772+X772+Z772+AB772)</f>
        <v>0</v>
      </c>
      <c r="AE772" s="7">
        <f>E772+AD772</f>
        <v>0</v>
      </c>
      <c r="AF772" s="8">
        <f>G772+I772+K772+M772+O772+Q772+S772+U772+W772+Y772+AA772+AC772</f>
        <v>0</v>
      </c>
      <c r="AG772" s="153">
        <f>SUM(AE772-AF772)</f>
        <v>0</v>
      </c>
      <c r="AH772" s="96" t="s">
        <v>1552</v>
      </c>
      <c r="AI772" s="96">
        <v>4</v>
      </c>
    </row>
    <row r="773" spans="1:42" customHeight="1" ht="11.5" s="96" customFormat="1">
      <c r="A773" s="5">
        <v>765</v>
      </c>
      <c r="B773" s="173" t="s">
        <v>1230</v>
      </c>
      <c r="C773" s="167" t="s">
        <v>36</v>
      </c>
      <c r="D773" s="88" t="s">
        <v>37</v>
      </c>
      <c r="E773" s="174">
        <v>0</v>
      </c>
      <c r="F773" s="9">
        <v>0</v>
      </c>
      <c r="G773" s="10"/>
      <c r="H773" s="9">
        <v>0</v>
      </c>
      <c r="I773" s="10"/>
      <c r="J773" s="152">
        <v>0</v>
      </c>
      <c r="K773" s="10"/>
      <c r="L773" s="152">
        <v>0</v>
      </c>
      <c r="M773" s="10"/>
      <c r="N773" s="152">
        <v>0</v>
      </c>
      <c r="O773" s="10"/>
      <c r="P773" s="152">
        <v>0</v>
      </c>
      <c r="Q773" s="10"/>
      <c r="R773" s="9">
        <v>0</v>
      </c>
      <c r="S773" s="10"/>
      <c r="T773" s="9">
        <v>0</v>
      </c>
      <c r="U773" s="10"/>
      <c r="V773" s="9">
        <v>0</v>
      </c>
      <c r="W773" s="10"/>
      <c r="X773" s="9">
        <v>0</v>
      </c>
      <c r="Y773" s="10"/>
      <c r="Z773" s="9">
        <v>0</v>
      </c>
      <c r="AA773" s="10"/>
      <c r="AB773" s="11">
        <v>0</v>
      </c>
      <c r="AC773" s="10"/>
      <c r="AD773" s="7">
        <f>SUM(F773+H773+J773+L773+N773+P773+R773+T773+V773+X773+Z773+AB773)</f>
        <v>0</v>
      </c>
      <c r="AE773" s="7">
        <f>E773+AD773</f>
        <v>0</v>
      </c>
      <c r="AF773" s="8">
        <f>G773+I773+K773+M773+O773+Q773+S773+U773+W773+Y773+AA773+AC773</f>
        <v>0</v>
      </c>
      <c r="AG773" s="153">
        <f>SUM(AE773-AF773)</f>
        <v>0</v>
      </c>
      <c r="AH773" s="96" t="s">
        <v>1552</v>
      </c>
      <c r="AI773" s="96">
        <v>4</v>
      </c>
    </row>
    <row r="774" spans="1:42" customHeight="1" ht="11.5" s="96" customFormat="1">
      <c r="A774" s="5">
        <v>766</v>
      </c>
      <c r="B774" s="173" t="s">
        <v>1231</v>
      </c>
      <c r="C774" s="167" t="s">
        <v>36</v>
      </c>
      <c r="D774" s="88" t="s">
        <v>37</v>
      </c>
      <c r="E774" s="174">
        <v>0</v>
      </c>
      <c r="F774" s="9">
        <v>0</v>
      </c>
      <c r="G774" s="10"/>
      <c r="H774" s="9">
        <v>0</v>
      </c>
      <c r="I774" s="10"/>
      <c r="J774" s="152">
        <v>0</v>
      </c>
      <c r="K774" s="10"/>
      <c r="L774" s="152">
        <v>0</v>
      </c>
      <c r="M774" s="10"/>
      <c r="N774" s="152">
        <v>0</v>
      </c>
      <c r="O774" s="10"/>
      <c r="P774" s="152">
        <v>0</v>
      </c>
      <c r="Q774" s="10"/>
      <c r="R774" s="9">
        <v>0</v>
      </c>
      <c r="S774" s="10"/>
      <c r="T774" s="9">
        <v>0</v>
      </c>
      <c r="U774" s="10"/>
      <c r="V774" s="9">
        <v>0</v>
      </c>
      <c r="W774" s="10"/>
      <c r="X774" s="9">
        <v>0</v>
      </c>
      <c r="Y774" s="10"/>
      <c r="Z774" s="9">
        <v>0</v>
      </c>
      <c r="AA774" s="10"/>
      <c r="AB774" s="11">
        <v>0</v>
      </c>
      <c r="AC774" s="10"/>
      <c r="AD774" s="7">
        <f>SUM(F774+H774+J774+L774+N774+P774+R774+T774+V774+X774+Z774+AB774)</f>
        <v>0</v>
      </c>
      <c r="AE774" s="7">
        <f>E774+AD774</f>
        <v>0</v>
      </c>
      <c r="AF774" s="8">
        <f>G774+I774+K774+M774+O774+Q774+S774+U774+W774+Y774+AA774+AC774</f>
        <v>0</v>
      </c>
      <c r="AG774" s="153">
        <f>SUM(AE774-AF774)</f>
        <v>0</v>
      </c>
      <c r="AH774" s="96" t="s">
        <v>1552</v>
      </c>
      <c r="AI774" s="96">
        <v>4</v>
      </c>
    </row>
    <row r="775" spans="1:42" customHeight="1" ht="11.5" s="96" customFormat="1">
      <c r="A775" s="5">
        <v>767</v>
      </c>
      <c r="B775" s="173" t="s">
        <v>1232</v>
      </c>
      <c r="C775" s="167" t="s">
        <v>36</v>
      </c>
      <c r="D775" s="88" t="s">
        <v>37</v>
      </c>
      <c r="E775" s="174">
        <v>0</v>
      </c>
      <c r="F775" s="9">
        <v>0</v>
      </c>
      <c r="G775" s="10"/>
      <c r="H775" s="9">
        <v>0</v>
      </c>
      <c r="I775" s="10"/>
      <c r="J775" s="152">
        <v>0</v>
      </c>
      <c r="K775" s="10"/>
      <c r="L775" s="152">
        <v>0</v>
      </c>
      <c r="M775" s="10"/>
      <c r="N775" s="152">
        <v>0</v>
      </c>
      <c r="O775" s="10"/>
      <c r="P775" s="152">
        <v>0</v>
      </c>
      <c r="Q775" s="10"/>
      <c r="R775" s="9">
        <v>0</v>
      </c>
      <c r="S775" s="10"/>
      <c r="T775" s="9">
        <v>0</v>
      </c>
      <c r="U775" s="10"/>
      <c r="V775" s="9">
        <v>0</v>
      </c>
      <c r="W775" s="10"/>
      <c r="X775" s="9">
        <v>0</v>
      </c>
      <c r="Y775" s="10"/>
      <c r="Z775" s="9">
        <v>0</v>
      </c>
      <c r="AA775" s="10"/>
      <c r="AB775" s="11">
        <v>0</v>
      </c>
      <c r="AC775" s="10"/>
      <c r="AD775" s="7">
        <f>SUM(F775+H775+J775+L775+N775+P775+R775+T775+V775+X775+Z775+AB775)</f>
        <v>0</v>
      </c>
      <c r="AE775" s="7">
        <f>E775+AD775</f>
        <v>0</v>
      </c>
      <c r="AF775" s="8">
        <f>G775+I775+K775+M775+O775+Q775+S775+U775+W775+Y775+AA775+AC775</f>
        <v>0</v>
      </c>
      <c r="AG775" s="153">
        <f>SUM(AE775-AF775)</f>
        <v>0</v>
      </c>
      <c r="AH775" s="96" t="s">
        <v>1553</v>
      </c>
      <c r="AI775" s="96">
        <v>4</v>
      </c>
    </row>
    <row r="776" spans="1:42" customHeight="1" ht="11.5" s="96" customFormat="1">
      <c r="A776" s="5">
        <v>768</v>
      </c>
      <c r="B776" s="173" t="s">
        <v>1233</v>
      </c>
      <c r="C776" s="167" t="s">
        <v>36</v>
      </c>
      <c r="D776" s="88" t="s">
        <v>37</v>
      </c>
      <c r="E776" s="174">
        <v>0</v>
      </c>
      <c r="F776" s="9">
        <v>0</v>
      </c>
      <c r="G776" s="10"/>
      <c r="H776" s="9">
        <v>0</v>
      </c>
      <c r="I776" s="10"/>
      <c r="J776" s="152">
        <v>0</v>
      </c>
      <c r="K776" s="10"/>
      <c r="L776" s="152">
        <v>0</v>
      </c>
      <c r="M776" s="10"/>
      <c r="N776" s="152">
        <v>0</v>
      </c>
      <c r="O776" s="10"/>
      <c r="P776" s="152">
        <v>0</v>
      </c>
      <c r="Q776" s="10"/>
      <c r="R776" s="9">
        <v>0</v>
      </c>
      <c r="S776" s="10"/>
      <c r="T776" s="9">
        <v>0</v>
      </c>
      <c r="U776" s="10"/>
      <c r="V776" s="9">
        <v>0</v>
      </c>
      <c r="W776" s="10"/>
      <c r="X776" s="9">
        <v>0</v>
      </c>
      <c r="Y776" s="10"/>
      <c r="Z776" s="9">
        <v>0</v>
      </c>
      <c r="AA776" s="10"/>
      <c r="AB776" s="11">
        <v>0</v>
      </c>
      <c r="AC776" s="10"/>
      <c r="AD776" s="7">
        <f>SUM(F776+H776+J776+L776+N776+P776+R776+T776+V776+X776+Z776+AB776)</f>
        <v>0</v>
      </c>
      <c r="AE776" s="7">
        <f>E776+AD776</f>
        <v>0</v>
      </c>
      <c r="AF776" s="8">
        <f>G776+I776+K776+M776+O776+Q776+S776+U776+W776+Y776+AA776+AC776</f>
        <v>0</v>
      </c>
      <c r="AG776" s="153">
        <f>SUM(AE776-AF776)</f>
        <v>0</v>
      </c>
      <c r="AH776" s="96" t="s">
        <v>1553</v>
      </c>
      <c r="AI776" s="96">
        <v>4</v>
      </c>
    </row>
    <row r="777" spans="1:42" customHeight="1" ht="11.5" s="96" customFormat="1">
      <c r="A777" s="5">
        <v>769</v>
      </c>
      <c r="B777" s="173" t="s">
        <v>1234</v>
      </c>
      <c r="C777" s="167" t="s">
        <v>36</v>
      </c>
      <c r="D777" s="88" t="s">
        <v>37</v>
      </c>
      <c r="E777" s="174">
        <v>0</v>
      </c>
      <c r="F777" s="9">
        <v>0</v>
      </c>
      <c r="G777" s="10"/>
      <c r="H777" s="9">
        <v>0</v>
      </c>
      <c r="I777" s="10"/>
      <c r="J777" s="152">
        <v>0</v>
      </c>
      <c r="K777" s="10"/>
      <c r="L777" s="152">
        <v>0</v>
      </c>
      <c r="M777" s="10"/>
      <c r="N777" s="152">
        <v>0</v>
      </c>
      <c r="O777" s="10"/>
      <c r="P777" s="152">
        <v>0</v>
      </c>
      <c r="Q777" s="10"/>
      <c r="R777" s="9">
        <v>0</v>
      </c>
      <c r="S777" s="10"/>
      <c r="T777" s="9">
        <v>0</v>
      </c>
      <c r="U777" s="10"/>
      <c r="V777" s="9">
        <v>0</v>
      </c>
      <c r="W777" s="10"/>
      <c r="X777" s="9">
        <v>0</v>
      </c>
      <c r="Y777" s="10"/>
      <c r="Z777" s="9">
        <v>0</v>
      </c>
      <c r="AA777" s="10"/>
      <c r="AB777" s="11">
        <v>0</v>
      </c>
      <c r="AC777" s="10"/>
      <c r="AD777" s="7">
        <f>SUM(F777+H777+J777+L777+N777+P777+R777+T777+V777+X777+Z777+AB777)</f>
        <v>0</v>
      </c>
      <c r="AE777" s="7">
        <f>E777+AD777</f>
        <v>0</v>
      </c>
      <c r="AF777" s="8">
        <f>G777+I777+K777+M777+O777+Q777+S777+U777+W777+Y777+AA777+AC777</f>
        <v>0</v>
      </c>
      <c r="AG777" s="153">
        <f>SUM(AE777-AF777)</f>
        <v>0</v>
      </c>
      <c r="AH777" s="96" t="s">
        <v>1553</v>
      </c>
      <c r="AI777" s="96">
        <v>4</v>
      </c>
    </row>
    <row r="778" spans="1:42" customHeight="1" ht="11.5" s="96" customFormat="1">
      <c r="A778" s="5">
        <v>770</v>
      </c>
      <c r="B778" s="173" t="s">
        <v>1235</v>
      </c>
      <c r="C778" s="167" t="s">
        <v>36</v>
      </c>
      <c r="D778" s="88" t="s">
        <v>37</v>
      </c>
      <c r="E778" s="174">
        <v>0</v>
      </c>
      <c r="F778" s="9">
        <v>0</v>
      </c>
      <c r="G778" s="10"/>
      <c r="H778" s="9">
        <v>0</v>
      </c>
      <c r="I778" s="10"/>
      <c r="J778" s="152">
        <v>0</v>
      </c>
      <c r="K778" s="10"/>
      <c r="L778" s="152">
        <v>0</v>
      </c>
      <c r="M778" s="10"/>
      <c r="N778" s="152">
        <v>0</v>
      </c>
      <c r="O778" s="10"/>
      <c r="P778" s="152">
        <v>0</v>
      </c>
      <c r="Q778" s="10"/>
      <c r="R778" s="9">
        <v>0</v>
      </c>
      <c r="S778" s="10"/>
      <c r="T778" s="9">
        <v>0</v>
      </c>
      <c r="U778" s="10"/>
      <c r="V778" s="9">
        <v>0</v>
      </c>
      <c r="W778" s="10"/>
      <c r="X778" s="9">
        <v>0</v>
      </c>
      <c r="Y778" s="10"/>
      <c r="Z778" s="9">
        <v>0</v>
      </c>
      <c r="AA778" s="10"/>
      <c r="AB778" s="11">
        <v>0</v>
      </c>
      <c r="AC778" s="10"/>
      <c r="AD778" s="7">
        <f>SUM(F778+H778+J778+L778+N778+P778+R778+T778+V778+X778+Z778+AB778)</f>
        <v>0</v>
      </c>
      <c r="AE778" s="7">
        <f>E778+AD778</f>
        <v>0</v>
      </c>
      <c r="AF778" s="8">
        <f>G778+I778+K778+M778+O778+Q778+S778+U778+W778+Y778+AA778+AC778</f>
        <v>0</v>
      </c>
      <c r="AG778" s="153">
        <f>SUM(AE778-AF778)</f>
        <v>0</v>
      </c>
      <c r="AH778" s="96" t="s">
        <v>1553</v>
      </c>
      <c r="AI778" s="96">
        <v>4</v>
      </c>
    </row>
    <row r="779" spans="1:42" customHeight="1" ht="11.5" s="96" customFormat="1">
      <c r="A779" s="5">
        <v>771</v>
      </c>
      <c r="B779" s="173" t="s">
        <v>1236</v>
      </c>
      <c r="C779" s="167" t="s">
        <v>36</v>
      </c>
      <c r="D779" s="88" t="s">
        <v>37</v>
      </c>
      <c r="E779" s="174">
        <v>0</v>
      </c>
      <c r="F779" s="9">
        <v>0</v>
      </c>
      <c r="G779" s="10"/>
      <c r="H779" s="9">
        <v>0</v>
      </c>
      <c r="I779" s="10"/>
      <c r="J779" s="152">
        <v>0</v>
      </c>
      <c r="K779" s="10"/>
      <c r="L779" s="152">
        <v>0</v>
      </c>
      <c r="M779" s="10"/>
      <c r="N779" s="152">
        <v>0</v>
      </c>
      <c r="O779" s="10"/>
      <c r="P779" s="152">
        <v>0</v>
      </c>
      <c r="Q779" s="10"/>
      <c r="R779" s="9">
        <v>0</v>
      </c>
      <c r="S779" s="10"/>
      <c r="T779" s="9">
        <v>0</v>
      </c>
      <c r="U779" s="10"/>
      <c r="V779" s="9">
        <v>0</v>
      </c>
      <c r="W779" s="10"/>
      <c r="X779" s="9">
        <v>0</v>
      </c>
      <c r="Y779" s="10"/>
      <c r="Z779" s="9">
        <v>0</v>
      </c>
      <c r="AA779" s="10"/>
      <c r="AB779" s="11">
        <v>0</v>
      </c>
      <c r="AC779" s="10"/>
      <c r="AD779" s="7">
        <f>SUM(F779+H779+J779+L779+N779+P779+R779+T779+V779+X779+Z779+AB779)</f>
        <v>0</v>
      </c>
      <c r="AE779" s="7">
        <f>E779+AD779</f>
        <v>0</v>
      </c>
      <c r="AF779" s="8">
        <f>G779+I779+K779+M779+O779+Q779+S779+U779+W779+Y779+AA779+AC779</f>
        <v>0</v>
      </c>
      <c r="AG779" s="153">
        <f>SUM(AE779-AF779)</f>
        <v>0</v>
      </c>
      <c r="AH779" s="96" t="s">
        <v>1553</v>
      </c>
      <c r="AI779" s="96">
        <v>4</v>
      </c>
    </row>
    <row r="780" spans="1:42" customHeight="1" ht="11.5" s="96" customFormat="1">
      <c r="A780" s="5">
        <v>772</v>
      </c>
      <c r="B780" s="173" t="s">
        <v>1237</v>
      </c>
      <c r="C780" s="167" t="s">
        <v>36</v>
      </c>
      <c r="D780" s="88" t="s">
        <v>37</v>
      </c>
      <c r="E780" s="174">
        <v>0</v>
      </c>
      <c r="F780" s="9">
        <v>0</v>
      </c>
      <c r="G780" s="10"/>
      <c r="H780" s="9">
        <v>0</v>
      </c>
      <c r="I780" s="10"/>
      <c r="J780" s="152">
        <v>0</v>
      </c>
      <c r="K780" s="10"/>
      <c r="L780" s="152">
        <v>0</v>
      </c>
      <c r="M780" s="10"/>
      <c r="N780" s="152">
        <v>0</v>
      </c>
      <c r="O780" s="10"/>
      <c r="P780" s="152">
        <v>0</v>
      </c>
      <c r="Q780" s="10"/>
      <c r="R780" s="9">
        <v>0</v>
      </c>
      <c r="S780" s="10"/>
      <c r="T780" s="9">
        <v>0</v>
      </c>
      <c r="U780" s="10"/>
      <c r="V780" s="9">
        <v>0</v>
      </c>
      <c r="W780" s="10"/>
      <c r="X780" s="9">
        <v>0</v>
      </c>
      <c r="Y780" s="10"/>
      <c r="Z780" s="9">
        <v>0</v>
      </c>
      <c r="AA780" s="10"/>
      <c r="AB780" s="11">
        <v>0</v>
      </c>
      <c r="AC780" s="10"/>
      <c r="AD780" s="7">
        <f>SUM(F780+H780+J780+L780+N780+P780+R780+T780+V780+X780+Z780+AB780)</f>
        <v>0</v>
      </c>
      <c r="AE780" s="7">
        <f>E780+AD780</f>
        <v>0</v>
      </c>
      <c r="AF780" s="8">
        <f>G780+I780+K780+M780+O780+Q780+S780+U780+W780+Y780+AA780+AC780</f>
        <v>0</v>
      </c>
      <c r="AG780" s="153">
        <f>SUM(AE780-AF780)</f>
        <v>0</v>
      </c>
      <c r="AH780" s="96" t="s">
        <v>1554</v>
      </c>
      <c r="AI780" s="96">
        <v>4</v>
      </c>
    </row>
    <row r="781" spans="1:42" customHeight="1" ht="11.5" s="96" customFormat="1">
      <c r="A781" s="5">
        <v>773</v>
      </c>
      <c r="B781" s="173" t="s">
        <v>1238</v>
      </c>
      <c r="C781" s="167" t="s">
        <v>36</v>
      </c>
      <c r="D781" s="88" t="s">
        <v>37</v>
      </c>
      <c r="E781" s="174">
        <v>0</v>
      </c>
      <c r="F781" s="9">
        <v>0</v>
      </c>
      <c r="G781" s="10"/>
      <c r="H781" s="9">
        <v>0</v>
      </c>
      <c r="I781" s="10"/>
      <c r="J781" s="152">
        <v>0</v>
      </c>
      <c r="K781" s="10"/>
      <c r="L781" s="152">
        <v>0</v>
      </c>
      <c r="M781" s="10"/>
      <c r="N781" s="152">
        <v>0</v>
      </c>
      <c r="O781" s="10"/>
      <c r="P781" s="152">
        <v>0</v>
      </c>
      <c r="Q781" s="10"/>
      <c r="R781" s="9">
        <v>0</v>
      </c>
      <c r="S781" s="10"/>
      <c r="T781" s="9">
        <v>0</v>
      </c>
      <c r="U781" s="10"/>
      <c r="V781" s="9">
        <v>0</v>
      </c>
      <c r="W781" s="10"/>
      <c r="X781" s="9">
        <v>0</v>
      </c>
      <c r="Y781" s="10"/>
      <c r="Z781" s="9">
        <v>0</v>
      </c>
      <c r="AA781" s="10"/>
      <c r="AB781" s="11">
        <v>0</v>
      </c>
      <c r="AC781" s="10"/>
      <c r="AD781" s="7">
        <f>SUM(F781+H781+J781+L781+N781+P781+R781+T781+V781+X781+Z781+AB781)</f>
        <v>0</v>
      </c>
      <c r="AE781" s="7">
        <f>E781+AD781</f>
        <v>0</v>
      </c>
      <c r="AF781" s="8">
        <f>G781+I781+K781+M781+O781+Q781+S781+U781+W781+Y781+AA781+AC781</f>
        <v>0</v>
      </c>
      <c r="AG781" s="153">
        <f>SUM(AE781-AF781)</f>
        <v>0</v>
      </c>
      <c r="AH781" s="96" t="s">
        <v>1554</v>
      </c>
      <c r="AI781" s="96">
        <v>4</v>
      </c>
    </row>
    <row r="782" spans="1:42" customHeight="1" ht="11.5" s="96" customFormat="1">
      <c r="A782" s="5">
        <v>774</v>
      </c>
      <c r="B782" s="173" t="s">
        <v>1239</v>
      </c>
      <c r="C782" s="167" t="s">
        <v>36</v>
      </c>
      <c r="D782" s="88" t="s">
        <v>37</v>
      </c>
      <c r="E782" s="174">
        <v>0</v>
      </c>
      <c r="F782" s="9">
        <v>0</v>
      </c>
      <c r="G782" s="10"/>
      <c r="H782" s="9">
        <v>0</v>
      </c>
      <c r="I782" s="10"/>
      <c r="J782" s="152">
        <v>0</v>
      </c>
      <c r="K782" s="10"/>
      <c r="L782" s="152">
        <v>0</v>
      </c>
      <c r="M782" s="10"/>
      <c r="N782" s="152">
        <v>0</v>
      </c>
      <c r="O782" s="10"/>
      <c r="P782" s="152">
        <v>0</v>
      </c>
      <c r="Q782" s="10"/>
      <c r="R782" s="9">
        <v>0</v>
      </c>
      <c r="S782" s="10"/>
      <c r="T782" s="9">
        <v>0</v>
      </c>
      <c r="U782" s="10"/>
      <c r="V782" s="9">
        <v>0</v>
      </c>
      <c r="W782" s="10"/>
      <c r="X782" s="9">
        <v>0</v>
      </c>
      <c r="Y782" s="10"/>
      <c r="Z782" s="9">
        <v>0</v>
      </c>
      <c r="AA782" s="10"/>
      <c r="AB782" s="11">
        <v>0</v>
      </c>
      <c r="AC782" s="10"/>
      <c r="AD782" s="7">
        <f>SUM(F782+H782+J782+L782+N782+P782+R782+T782+V782+X782+Z782+AB782)</f>
        <v>0</v>
      </c>
      <c r="AE782" s="7">
        <f>E782+AD782</f>
        <v>0</v>
      </c>
      <c r="AF782" s="8">
        <f>G782+I782+K782+M782+O782+Q782+S782+U782+W782+Y782+AA782+AC782</f>
        <v>0</v>
      </c>
      <c r="AG782" s="153">
        <f>SUM(AE782-AF782)</f>
        <v>0</v>
      </c>
      <c r="AH782" s="96" t="s">
        <v>1555</v>
      </c>
      <c r="AI782" s="96">
        <v>4</v>
      </c>
    </row>
    <row r="783" spans="1:42" customHeight="1" ht="11.5" s="96" customFormat="1">
      <c r="A783" s="5">
        <v>775</v>
      </c>
      <c r="B783" s="173" t="s">
        <v>1240</v>
      </c>
      <c r="C783" s="167" t="s">
        <v>36</v>
      </c>
      <c r="D783" s="88" t="s">
        <v>37</v>
      </c>
      <c r="E783" s="174">
        <v>0</v>
      </c>
      <c r="F783" s="9">
        <v>0</v>
      </c>
      <c r="G783" s="10"/>
      <c r="H783" s="9">
        <v>0</v>
      </c>
      <c r="I783" s="10"/>
      <c r="J783" s="152">
        <v>0</v>
      </c>
      <c r="K783" s="10"/>
      <c r="L783" s="152">
        <v>0</v>
      </c>
      <c r="M783" s="10"/>
      <c r="N783" s="152">
        <v>0</v>
      </c>
      <c r="O783" s="10"/>
      <c r="P783" s="152">
        <v>0</v>
      </c>
      <c r="Q783" s="10"/>
      <c r="R783" s="9">
        <v>0</v>
      </c>
      <c r="S783" s="10"/>
      <c r="T783" s="9">
        <v>0</v>
      </c>
      <c r="U783" s="10"/>
      <c r="V783" s="9">
        <v>0</v>
      </c>
      <c r="W783" s="10"/>
      <c r="X783" s="9">
        <v>0</v>
      </c>
      <c r="Y783" s="10"/>
      <c r="Z783" s="9">
        <v>0</v>
      </c>
      <c r="AA783" s="10"/>
      <c r="AB783" s="11">
        <v>0</v>
      </c>
      <c r="AC783" s="10"/>
      <c r="AD783" s="7">
        <f>SUM(F783+H783+J783+L783+N783+P783+R783+T783+V783+X783+Z783+AB783)</f>
        <v>0</v>
      </c>
      <c r="AE783" s="7">
        <f>E783+AD783</f>
        <v>0</v>
      </c>
      <c r="AF783" s="8">
        <f>G783+I783+K783+M783+O783+Q783+S783+U783+W783+Y783+AA783+AC783</f>
        <v>0</v>
      </c>
      <c r="AG783" s="153">
        <f>SUM(AE783-AF783)</f>
        <v>0</v>
      </c>
      <c r="AH783" s="96" t="s">
        <v>1555</v>
      </c>
      <c r="AI783" s="96">
        <v>4</v>
      </c>
    </row>
    <row r="784" spans="1:42" customHeight="1" ht="11.5" s="96" customFormat="1">
      <c r="A784" s="5">
        <v>776</v>
      </c>
      <c r="B784" s="173" t="s">
        <v>1241</v>
      </c>
      <c r="C784" s="167" t="s">
        <v>36</v>
      </c>
      <c r="D784" s="88" t="s">
        <v>37</v>
      </c>
      <c r="E784" s="174">
        <v>0</v>
      </c>
      <c r="F784" s="9">
        <v>0</v>
      </c>
      <c r="G784" s="10"/>
      <c r="H784" s="9">
        <v>0</v>
      </c>
      <c r="I784" s="10"/>
      <c r="J784" s="152">
        <v>0</v>
      </c>
      <c r="K784" s="10"/>
      <c r="L784" s="152">
        <v>0</v>
      </c>
      <c r="M784" s="10"/>
      <c r="N784" s="152">
        <v>0</v>
      </c>
      <c r="O784" s="10"/>
      <c r="P784" s="152">
        <v>0</v>
      </c>
      <c r="Q784" s="10"/>
      <c r="R784" s="9">
        <v>0</v>
      </c>
      <c r="S784" s="10"/>
      <c r="T784" s="9">
        <v>0</v>
      </c>
      <c r="U784" s="10"/>
      <c r="V784" s="9">
        <v>0</v>
      </c>
      <c r="W784" s="10"/>
      <c r="X784" s="9">
        <v>0</v>
      </c>
      <c r="Y784" s="10"/>
      <c r="Z784" s="9">
        <v>0</v>
      </c>
      <c r="AA784" s="10"/>
      <c r="AB784" s="11">
        <v>0</v>
      </c>
      <c r="AC784" s="10"/>
      <c r="AD784" s="7">
        <f>SUM(F784+H784+J784+L784+N784+P784+R784+T784+V784+X784+Z784+AB784)</f>
        <v>0</v>
      </c>
      <c r="AE784" s="7">
        <f>E784+AD784</f>
        <v>0</v>
      </c>
      <c r="AF784" s="8">
        <f>G784+I784+K784+M784+O784+Q784+S784+U784+W784+Y784+AA784+AC784</f>
        <v>0</v>
      </c>
      <c r="AG784" s="153">
        <f>SUM(AE784-AF784)</f>
        <v>0</v>
      </c>
      <c r="AH784" s="96" t="s">
        <v>1555</v>
      </c>
      <c r="AI784" s="96">
        <v>4</v>
      </c>
    </row>
    <row r="785" spans="1:42" customHeight="1" ht="11.5" s="96" customFormat="1">
      <c r="A785" s="5">
        <v>777</v>
      </c>
      <c r="B785" s="173" t="s">
        <v>1242</v>
      </c>
      <c r="C785" s="167" t="s">
        <v>36</v>
      </c>
      <c r="D785" s="88" t="s">
        <v>37</v>
      </c>
      <c r="E785" s="174">
        <v>0</v>
      </c>
      <c r="F785" s="9">
        <v>0</v>
      </c>
      <c r="G785" s="10"/>
      <c r="H785" s="9">
        <v>0</v>
      </c>
      <c r="I785" s="10"/>
      <c r="J785" s="152">
        <v>0</v>
      </c>
      <c r="K785" s="10"/>
      <c r="L785" s="152">
        <v>0</v>
      </c>
      <c r="M785" s="10"/>
      <c r="N785" s="152">
        <v>0</v>
      </c>
      <c r="O785" s="10"/>
      <c r="P785" s="152">
        <v>0</v>
      </c>
      <c r="Q785" s="10"/>
      <c r="R785" s="9">
        <v>0</v>
      </c>
      <c r="S785" s="10"/>
      <c r="T785" s="9">
        <v>0</v>
      </c>
      <c r="U785" s="10"/>
      <c r="V785" s="9">
        <v>0</v>
      </c>
      <c r="W785" s="10"/>
      <c r="X785" s="9">
        <v>0</v>
      </c>
      <c r="Y785" s="10"/>
      <c r="Z785" s="9">
        <v>0</v>
      </c>
      <c r="AA785" s="10"/>
      <c r="AB785" s="11">
        <v>0</v>
      </c>
      <c r="AC785" s="10"/>
      <c r="AD785" s="7">
        <f>SUM(F785+H785+J785+L785+N785+P785+R785+T785+V785+X785+Z785+AB785)</f>
        <v>0</v>
      </c>
      <c r="AE785" s="7">
        <f>E785+AD785</f>
        <v>0</v>
      </c>
      <c r="AF785" s="8">
        <f>G785+I785+K785+M785+O785+Q785+S785+U785+W785+Y785+AA785+AC785</f>
        <v>0</v>
      </c>
      <c r="AG785" s="153">
        <f>SUM(AE785-AF785)</f>
        <v>0</v>
      </c>
      <c r="AH785" s="96" t="s">
        <v>1556</v>
      </c>
      <c r="AI785" s="96">
        <v>4</v>
      </c>
    </row>
    <row r="786" spans="1:42" customHeight="1" ht="11.5" s="96" customFormat="1">
      <c r="A786" s="5">
        <v>778</v>
      </c>
      <c r="B786" s="173" t="s">
        <v>1243</v>
      </c>
      <c r="C786" s="167" t="s">
        <v>36</v>
      </c>
      <c r="D786" s="88" t="s">
        <v>37</v>
      </c>
      <c r="E786" s="174">
        <v>0</v>
      </c>
      <c r="F786" s="9">
        <v>0</v>
      </c>
      <c r="G786" s="10"/>
      <c r="H786" s="9">
        <v>0</v>
      </c>
      <c r="I786" s="10"/>
      <c r="J786" s="152">
        <v>0</v>
      </c>
      <c r="K786" s="10"/>
      <c r="L786" s="152">
        <v>0</v>
      </c>
      <c r="M786" s="10"/>
      <c r="N786" s="152">
        <v>0</v>
      </c>
      <c r="O786" s="10"/>
      <c r="P786" s="152">
        <v>0</v>
      </c>
      <c r="Q786" s="10"/>
      <c r="R786" s="9">
        <v>0</v>
      </c>
      <c r="S786" s="10"/>
      <c r="T786" s="9">
        <v>0</v>
      </c>
      <c r="U786" s="10"/>
      <c r="V786" s="9">
        <v>0</v>
      </c>
      <c r="W786" s="10"/>
      <c r="X786" s="9">
        <v>0</v>
      </c>
      <c r="Y786" s="10"/>
      <c r="Z786" s="9">
        <v>0</v>
      </c>
      <c r="AA786" s="10"/>
      <c r="AB786" s="11">
        <v>0</v>
      </c>
      <c r="AC786" s="10"/>
      <c r="AD786" s="7">
        <f>SUM(F786+H786+J786+L786+N786+P786+R786+T786+V786+X786+Z786+AB786)</f>
        <v>0</v>
      </c>
      <c r="AE786" s="7">
        <f>E786+AD786</f>
        <v>0</v>
      </c>
      <c r="AF786" s="8">
        <f>G786+I786+K786+M786+O786+Q786+S786+U786+W786+Y786+AA786+AC786</f>
        <v>0</v>
      </c>
      <c r="AG786" s="153">
        <f>SUM(AE786-AF786)</f>
        <v>0</v>
      </c>
      <c r="AH786" s="96" t="s">
        <v>1556</v>
      </c>
      <c r="AI786" s="96">
        <v>4</v>
      </c>
    </row>
    <row r="787" spans="1:42" customHeight="1" ht="11.5" s="96" customFormat="1">
      <c r="A787" s="5">
        <v>779</v>
      </c>
      <c r="B787" s="173" t="s">
        <v>1244</v>
      </c>
      <c r="C787" s="167" t="s">
        <v>36</v>
      </c>
      <c r="D787" s="88" t="s">
        <v>37</v>
      </c>
      <c r="E787" s="174">
        <v>0</v>
      </c>
      <c r="F787" s="9">
        <v>0</v>
      </c>
      <c r="G787" s="10"/>
      <c r="H787" s="9">
        <v>0</v>
      </c>
      <c r="I787" s="10"/>
      <c r="J787" s="152">
        <v>0</v>
      </c>
      <c r="K787" s="10"/>
      <c r="L787" s="152">
        <v>0</v>
      </c>
      <c r="M787" s="10"/>
      <c r="N787" s="152">
        <v>0</v>
      </c>
      <c r="O787" s="10"/>
      <c r="P787" s="152">
        <v>0</v>
      </c>
      <c r="Q787" s="10"/>
      <c r="R787" s="9">
        <v>0</v>
      </c>
      <c r="S787" s="10"/>
      <c r="T787" s="9">
        <v>0</v>
      </c>
      <c r="U787" s="10"/>
      <c r="V787" s="9">
        <v>0</v>
      </c>
      <c r="W787" s="10"/>
      <c r="X787" s="9">
        <v>0</v>
      </c>
      <c r="Y787" s="10"/>
      <c r="Z787" s="9">
        <v>0</v>
      </c>
      <c r="AA787" s="10"/>
      <c r="AB787" s="11">
        <v>0</v>
      </c>
      <c r="AC787" s="10"/>
      <c r="AD787" s="7">
        <f>SUM(F787+H787+J787+L787+N787+P787+R787+T787+V787+X787+Z787+AB787)</f>
        <v>0</v>
      </c>
      <c r="AE787" s="7">
        <f>E787+AD787</f>
        <v>0</v>
      </c>
      <c r="AF787" s="8">
        <f>G787+I787+K787+M787+O787+Q787+S787+U787+W787+Y787+AA787+AC787</f>
        <v>0</v>
      </c>
      <c r="AG787" s="153">
        <f>SUM(AE787-AF787)</f>
        <v>0</v>
      </c>
      <c r="AH787" s="96" t="s">
        <v>1556</v>
      </c>
      <c r="AI787" s="96">
        <v>4</v>
      </c>
    </row>
    <row r="788" spans="1:42" customHeight="1" ht="11.5" s="96" customFormat="1">
      <c r="A788" s="5">
        <v>780</v>
      </c>
      <c r="B788" s="173" t="s">
        <v>1245</v>
      </c>
      <c r="C788" s="167" t="s">
        <v>91</v>
      </c>
      <c r="D788" s="88" t="s">
        <v>92</v>
      </c>
      <c r="E788" s="174">
        <v>-10000</v>
      </c>
      <c r="F788" s="9">
        <v>0</v>
      </c>
      <c r="G788" s="10"/>
      <c r="H788" s="9">
        <v>0</v>
      </c>
      <c r="I788" s="10"/>
      <c r="J788" s="152">
        <v>0</v>
      </c>
      <c r="K788" s="10"/>
      <c r="L788" s="152">
        <v>0</v>
      </c>
      <c r="M788" s="10"/>
      <c r="N788" s="152">
        <v>0</v>
      </c>
      <c r="O788" s="10"/>
      <c r="P788" s="152">
        <v>0</v>
      </c>
      <c r="Q788" s="10"/>
      <c r="R788" s="9">
        <v>0</v>
      </c>
      <c r="S788" s="10"/>
      <c r="T788" s="9">
        <v>0</v>
      </c>
      <c r="U788" s="10"/>
      <c r="V788" s="9">
        <v>0</v>
      </c>
      <c r="W788" s="10"/>
      <c r="X788" s="9">
        <v>0</v>
      </c>
      <c r="Y788" s="10"/>
      <c r="Z788" s="9">
        <v>0</v>
      </c>
      <c r="AA788" s="10"/>
      <c r="AB788" s="11">
        <v>0</v>
      </c>
      <c r="AC788" s="10"/>
      <c r="AD788" s="7">
        <f>SUM(F788+H788+J788+L788+N788+P788+R788+T788+V788+X788+Z788+AB788)</f>
        <v>0</v>
      </c>
      <c r="AE788" s="7">
        <f>E788+AD788</f>
        <v>-10000</v>
      </c>
      <c r="AF788" s="8">
        <f>G788+I788+K788+M788+O788+Q788+S788+U788+W788+Y788+AA788+AC788</f>
        <v>0</v>
      </c>
      <c r="AG788" s="153">
        <f>SUM(AE788-AF788)</f>
        <v>-10000</v>
      </c>
      <c r="AH788" s="96" t="s">
        <v>1556</v>
      </c>
      <c r="AI788" s="96">
        <v>4</v>
      </c>
    </row>
    <row r="789" spans="1:42" customHeight="1" ht="11.5" s="96" customFormat="1">
      <c r="A789" s="5">
        <v>781</v>
      </c>
      <c r="B789" s="173" t="s">
        <v>1246</v>
      </c>
      <c r="C789" s="167" t="s">
        <v>36</v>
      </c>
      <c r="D789" s="88" t="s">
        <v>37</v>
      </c>
      <c r="E789" s="174">
        <v>0</v>
      </c>
      <c r="F789" s="9">
        <v>0</v>
      </c>
      <c r="G789" s="10"/>
      <c r="H789" s="9">
        <v>0</v>
      </c>
      <c r="I789" s="10"/>
      <c r="J789" s="152">
        <v>0</v>
      </c>
      <c r="K789" s="10"/>
      <c r="L789" s="152">
        <v>0</v>
      </c>
      <c r="M789" s="10"/>
      <c r="N789" s="152">
        <v>0</v>
      </c>
      <c r="O789" s="10"/>
      <c r="P789" s="152">
        <v>0</v>
      </c>
      <c r="Q789" s="10"/>
      <c r="R789" s="9">
        <v>0</v>
      </c>
      <c r="S789" s="10"/>
      <c r="T789" s="9">
        <v>0</v>
      </c>
      <c r="U789" s="10"/>
      <c r="V789" s="9">
        <v>0</v>
      </c>
      <c r="W789" s="10"/>
      <c r="X789" s="9">
        <v>0</v>
      </c>
      <c r="Y789" s="10"/>
      <c r="Z789" s="9">
        <v>0</v>
      </c>
      <c r="AA789" s="10"/>
      <c r="AB789" s="11">
        <v>0</v>
      </c>
      <c r="AC789" s="10"/>
      <c r="AD789" s="7">
        <f>SUM(F789+H789+J789+L789+N789+P789+R789+T789+V789+X789+Z789+AB789)</f>
        <v>0</v>
      </c>
      <c r="AE789" s="7">
        <f>E789+AD789</f>
        <v>0</v>
      </c>
      <c r="AF789" s="8">
        <f>G789+I789+K789+M789+O789+Q789+S789+U789+W789+Y789+AA789+AC789</f>
        <v>0</v>
      </c>
      <c r="AG789" s="153">
        <f>SUM(AE789-AF789)</f>
        <v>0</v>
      </c>
      <c r="AH789" s="96" t="s">
        <v>1557</v>
      </c>
      <c r="AI789" s="96">
        <v>4</v>
      </c>
    </row>
    <row r="790" spans="1:42" customHeight="1" ht="11.5" s="96" customFormat="1">
      <c r="A790" s="5">
        <v>782</v>
      </c>
      <c r="B790" s="173" t="s">
        <v>1247</v>
      </c>
      <c r="C790" s="167" t="s">
        <v>36</v>
      </c>
      <c r="D790" s="88" t="s">
        <v>37</v>
      </c>
      <c r="E790" s="174">
        <v>0</v>
      </c>
      <c r="F790" s="9">
        <v>0</v>
      </c>
      <c r="G790" s="10"/>
      <c r="H790" s="9">
        <v>0</v>
      </c>
      <c r="I790" s="10"/>
      <c r="J790" s="152">
        <v>0</v>
      </c>
      <c r="K790" s="10"/>
      <c r="L790" s="152">
        <v>0</v>
      </c>
      <c r="M790" s="10"/>
      <c r="N790" s="152">
        <v>0</v>
      </c>
      <c r="O790" s="10"/>
      <c r="P790" s="152">
        <v>0</v>
      </c>
      <c r="Q790" s="10"/>
      <c r="R790" s="9">
        <v>0</v>
      </c>
      <c r="S790" s="10"/>
      <c r="T790" s="9">
        <v>0</v>
      </c>
      <c r="U790" s="10"/>
      <c r="V790" s="9">
        <v>0</v>
      </c>
      <c r="W790" s="10"/>
      <c r="X790" s="9">
        <v>0</v>
      </c>
      <c r="Y790" s="10"/>
      <c r="Z790" s="9">
        <v>0</v>
      </c>
      <c r="AA790" s="10"/>
      <c r="AB790" s="11">
        <v>0</v>
      </c>
      <c r="AC790" s="10"/>
      <c r="AD790" s="7">
        <f>SUM(F790+H790+J790+L790+N790+P790+R790+T790+V790+X790+Z790+AB790)</f>
        <v>0</v>
      </c>
      <c r="AE790" s="7">
        <f>E790+AD790</f>
        <v>0</v>
      </c>
      <c r="AF790" s="8">
        <f>G790+I790+K790+M790+O790+Q790+S790+U790+W790+Y790+AA790+AC790</f>
        <v>0</v>
      </c>
      <c r="AG790" s="153">
        <f>SUM(AE790-AF790)</f>
        <v>0</v>
      </c>
      <c r="AH790" s="96" t="s">
        <v>1557</v>
      </c>
      <c r="AI790" s="96">
        <v>4</v>
      </c>
    </row>
    <row r="791" spans="1:42" customHeight="1" ht="11.5" s="96" customFormat="1">
      <c r="A791" s="5">
        <v>783</v>
      </c>
      <c r="B791" s="173" t="s">
        <v>1248</v>
      </c>
      <c r="C791" s="167" t="s">
        <v>36</v>
      </c>
      <c r="D791" s="88" t="s">
        <v>37</v>
      </c>
      <c r="E791" s="174">
        <v>0</v>
      </c>
      <c r="F791" s="9">
        <v>0</v>
      </c>
      <c r="G791" s="10"/>
      <c r="H791" s="9">
        <v>0</v>
      </c>
      <c r="I791" s="10"/>
      <c r="J791" s="152">
        <v>0</v>
      </c>
      <c r="K791" s="10"/>
      <c r="L791" s="152">
        <v>0</v>
      </c>
      <c r="M791" s="10"/>
      <c r="N791" s="152">
        <v>0</v>
      </c>
      <c r="O791" s="10"/>
      <c r="P791" s="152">
        <v>0</v>
      </c>
      <c r="Q791" s="10"/>
      <c r="R791" s="9">
        <v>0</v>
      </c>
      <c r="S791" s="10"/>
      <c r="T791" s="9">
        <v>0</v>
      </c>
      <c r="U791" s="10"/>
      <c r="V791" s="9">
        <v>0</v>
      </c>
      <c r="W791" s="10"/>
      <c r="X791" s="9">
        <v>0</v>
      </c>
      <c r="Y791" s="10"/>
      <c r="Z791" s="9">
        <v>0</v>
      </c>
      <c r="AA791" s="10"/>
      <c r="AB791" s="11">
        <v>0</v>
      </c>
      <c r="AC791" s="10"/>
      <c r="AD791" s="7">
        <f>SUM(F791+H791+J791+L791+N791+P791+R791+T791+V791+X791+Z791+AB791)</f>
        <v>0</v>
      </c>
      <c r="AE791" s="7">
        <f>E791+AD791</f>
        <v>0</v>
      </c>
      <c r="AF791" s="8">
        <f>G791+I791+K791+M791+O791+Q791+S791+U791+W791+Y791+AA791+AC791</f>
        <v>0</v>
      </c>
      <c r="AG791" s="153">
        <f>SUM(AE791-AF791)</f>
        <v>0</v>
      </c>
      <c r="AH791" s="96" t="s">
        <v>1557</v>
      </c>
      <c r="AI791" s="96">
        <v>4</v>
      </c>
    </row>
    <row r="792" spans="1:42" customHeight="1" ht="11.5" s="96" customFormat="1">
      <c r="A792" s="5">
        <v>784</v>
      </c>
      <c r="B792" s="173" t="s">
        <v>1249</v>
      </c>
      <c r="C792" s="167" t="s">
        <v>36</v>
      </c>
      <c r="D792" s="88" t="s">
        <v>37</v>
      </c>
      <c r="E792" s="174">
        <v>0</v>
      </c>
      <c r="F792" s="9">
        <v>0</v>
      </c>
      <c r="G792" s="10"/>
      <c r="H792" s="9">
        <v>0</v>
      </c>
      <c r="I792" s="10"/>
      <c r="J792" s="152">
        <v>0</v>
      </c>
      <c r="K792" s="10"/>
      <c r="L792" s="152">
        <v>0</v>
      </c>
      <c r="M792" s="10"/>
      <c r="N792" s="152">
        <v>0</v>
      </c>
      <c r="O792" s="10"/>
      <c r="P792" s="152">
        <v>0</v>
      </c>
      <c r="Q792" s="10"/>
      <c r="R792" s="9">
        <v>0</v>
      </c>
      <c r="S792" s="10"/>
      <c r="T792" s="9">
        <v>0</v>
      </c>
      <c r="U792" s="10"/>
      <c r="V792" s="9">
        <v>0</v>
      </c>
      <c r="W792" s="10"/>
      <c r="X792" s="9">
        <v>0</v>
      </c>
      <c r="Y792" s="10"/>
      <c r="Z792" s="9">
        <v>0</v>
      </c>
      <c r="AA792" s="10"/>
      <c r="AB792" s="11">
        <v>0</v>
      </c>
      <c r="AC792" s="10"/>
      <c r="AD792" s="7">
        <f>SUM(F792+H792+J792+L792+N792+P792+R792+T792+V792+X792+Z792+AB792)</f>
        <v>0</v>
      </c>
      <c r="AE792" s="7">
        <f>E792+AD792</f>
        <v>0</v>
      </c>
      <c r="AF792" s="8">
        <f>G792+I792+K792+M792+O792+Q792+S792+U792+W792+Y792+AA792+AC792</f>
        <v>0</v>
      </c>
      <c r="AG792" s="153">
        <f>SUM(AE792-AF792)</f>
        <v>0</v>
      </c>
      <c r="AH792" s="96" t="s">
        <v>1557</v>
      </c>
      <c r="AI792" s="96">
        <v>4</v>
      </c>
    </row>
    <row r="793" spans="1:42" customHeight="1" ht="11.5" s="96" customFormat="1">
      <c r="A793" s="5">
        <v>785</v>
      </c>
      <c r="B793" s="173" t="s">
        <v>1250</v>
      </c>
      <c r="C793" s="167" t="s">
        <v>36</v>
      </c>
      <c r="D793" s="88" t="s">
        <v>37</v>
      </c>
      <c r="E793" s="174">
        <v>0</v>
      </c>
      <c r="F793" s="9">
        <v>0</v>
      </c>
      <c r="G793" s="10"/>
      <c r="H793" s="9">
        <v>0</v>
      </c>
      <c r="I793" s="10"/>
      <c r="J793" s="152">
        <v>0</v>
      </c>
      <c r="K793" s="10"/>
      <c r="L793" s="152">
        <v>0</v>
      </c>
      <c r="M793" s="10"/>
      <c r="N793" s="152">
        <v>0</v>
      </c>
      <c r="O793" s="10"/>
      <c r="P793" s="152">
        <v>0</v>
      </c>
      <c r="Q793" s="10"/>
      <c r="R793" s="9">
        <v>0</v>
      </c>
      <c r="S793" s="10"/>
      <c r="T793" s="9">
        <v>0</v>
      </c>
      <c r="U793" s="10"/>
      <c r="V793" s="9">
        <v>0</v>
      </c>
      <c r="W793" s="10"/>
      <c r="X793" s="9">
        <v>0</v>
      </c>
      <c r="Y793" s="10"/>
      <c r="Z793" s="9">
        <v>0</v>
      </c>
      <c r="AA793" s="10"/>
      <c r="AB793" s="11">
        <v>0</v>
      </c>
      <c r="AC793" s="10"/>
      <c r="AD793" s="7">
        <f>SUM(F793+H793+J793+L793+N793+P793+R793+T793+V793+X793+Z793+AB793)</f>
        <v>0</v>
      </c>
      <c r="AE793" s="7">
        <f>E793+AD793</f>
        <v>0</v>
      </c>
      <c r="AF793" s="8">
        <f>G793+I793+K793+M793+O793+Q793+S793+U793+W793+Y793+AA793+AC793</f>
        <v>0</v>
      </c>
      <c r="AG793" s="153">
        <f>SUM(AE793-AF793)</f>
        <v>0</v>
      </c>
      <c r="AH793" s="96" t="s">
        <v>1558</v>
      </c>
      <c r="AI793" s="96">
        <v>4</v>
      </c>
    </row>
    <row r="794" spans="1:42" customHeight="1" ht="11.5" s="96" customFormat="1">
      <c r="A794" s="5">
        <v>786</v>
      </c>
      <c r="B794" s="173" t="s">
        <v>1251</v>
      </c>
      <c r="C794" s="167" t="s">
        <v>36</v>
      </c>
      <c r="D794" s="88" t="s">
        <v>37</v>
      </c>
      <c r="E794" s="174">
        <v>0</v>
      </c>
      <c r="F794" s="9">
        <v>0</v>
      </c>
      <c r="G794" s="10"/>
      <c r="H794" s="9">
        <v>0</v>
      </c>
      <c r="I794" s="10"/>
      <c r="J794" s="152">
        <v>0</v>
      </c>
      <c r="K794" s="10"/>
      <c r="L794" s="152">
        <v>0</v>
      </c>
      <c r="M794" s="10"/>
      <c r="N794" s="152">
        <v>0</v>
      </c>
      <c r="O794" s="10"/>
      <c r="P794" s="152">
        <v>0</v>
      </c>
      <c r="Q794" s="10"/>
      <c r="R794" s="9">
        <v>0</v>
      </c>
      <c r="S794" s="10"/>
      <c r="T794" s="9">
        <v>0</v>
      </c>
      <c r="U794" s="10"/>
      <c r="V794" s="9">
        <v>0</v>
      </c>
      <c r="W794" s="10"/>
      <c r="X794" s="9">
        <v>0</v>
      </c>
      <c r="Y794" s="10"/>
      <c r="Z794" s="9">
        <v>0</v>
      </c>
      <c r="AA794" s="10"/>
      <c r="AB794" s="11">
        <v>0</v>
      </c>
      <c r="AC794" s="10"/>
      <c r="AD794" s="7">
        <f>SUM(F794+H794+J794+L794+N794+P794+R794+T794+V794+X794+Z794+AB794)</f>
        <v>0</v>
      </c>
      <c r="AE794" s="7">
        <f>E794+AD794</f>
        <v>0</v>
      </c>
      <c r="AF794" s="8">
        <f>G794+I794+K794+M794+O794+Q794+S794+U794+W794+Y794+AA794+AC794</f>
        <v>0</v>
      </c>
      <c r="AG794" s="153">
        <f>SUM(AE794-AF794)</f>
        <v>0</v>
      </c>
      <c r="AH794" s="96" t="s">
        <v>1558</v>
      </c>
      <c r="AI794" s="96">
        <v>4</v>
      </c>
    </row>
    <row r="795" spans="1:42" customHeight="1" ht="11.5" s="96" customFormat="1">
      <c r="A795" s="5">
        <v>787</v>
      </c>
      <c r="B795" s="173" t="s">
        <v>1252</v>
      </c>
      <c r="C795" s="167" t="s">
        <v>36</v>
      </c>
      <c r="D795" s="88" t="s">
        <v>37</v>
      </c>
      <c r="E795" s="174">
        <v>0</v>
      </c>
      <c r="F795" s="9">
        <v>0</v>
      </c>
      <c r="G795" s="10"/>
      <c r="H795" s="9">
        <v>10000</v>
      </c>
      <c r="I795" s="10"/>
      <c r="J795" s="152">
        <v>0</v>
      </c>
      <c r="K795" s="10">
        <v>10000</v>
      </c>
      <c r="L795" s="152">
        <v>0</v>
      </c>
      <c r="M795" s="10"/>
      <c r="N795" s="152">
        <v>0</v>
      </c>
      <c r="O795" s="10"/>
      <c r="P795" s="152">
        <v>0</v>
      </c>
      <c r="Q795" s="10"/>
      <c r="R795" s="9">
        <v>0</v>
      </c>
      <c r="S795" s="10"/>
      <c r="T795" s="9">
        <v>0</v>
      </c>
      <c r="U795" s="10"/>
      <c r="V795" s="9">
        <v>0</v>
      </c>
      <c r="W795" s="10"/>
      <c r="X795" s="9">
        <v>0</v>
      </c>
      <c r="Y795" s="10"/>
      <c r="Z795" s="9">
        <v>0</v>
      </c>
      <c r="AA795" s="10"/>
      <c r="AB795" s="11">
        <v>0</v>
      </c>
      <c r="AC795" s="10"/>
      <c r="AD795" s="7">
        <f>SUM(F795+H795+J795+L795+N795+P795+R795+T795+V795+X795+Z795+AB795)</f>
        <v>10000</v>
      </c>
      <c r="AE795" s="7">
        <f>E795+AD795</f>
        <v>10000</v>
      </c>
      <c r="AF795" s="8">
        <f>G795+I795+K795+M795+O795+Q795+S795+U795+W795+Y795+AA795+AC795</f>
        <v>10000</v>
      </c>
      <c r="AG795" s="153">
        <f>SUM(AE795-AF795)</f>
        <v>0</v>
      </c>
      <c r="AH795" s="96" t="s">
        <v>1559</v>
      </c>
      <c r="AI795" s="96">
        <v>4</v>
      </c>
    </row>
    <row r="796" spans="1:42" customHeight="1" ht="11.5" s="96" customFormat="1">
      <c r="A796" s="5">
        <v>788</v>
      </c>
      <c r="B796" s="173" t="s">
        <v>1253</v>
      </c>
      <c r="C796" s="167" t="s">
        <v>132</v>
      </c>
      <c r="D796" s="88" t="s">
        <v>133</v>
      </c>
      <c r="E796" s="174">
        <v>28000</v>
      </c>
      <c r="F796" s="9">
        <v>7000</v>
      </c>
      <c r="G796" s="10"/>
      <c r="H796" s="9">
        <v>8000</v>
      </c>
      <c r="I796" s="10"/>
      <c r="J796" s="152">
        <v>11000</v>
      </c>
      <c r="K796" s="10">
        <v>43000</v>
      </c>
      <c r="L796" s="152">
        <v>3000</v>
      </c>
      <c r="M796" s="10"/>
      <c r="N796" s="152">
        <v>5000</v>
      </c>
      <c r="O796" s="10"/>
      <c r="P796" s="152">
        <v>7000</v>
      </c>
      <c r="Q796" s="10"/>
      <c r="R796" s="9">
        <v>14000</v>
      </c>
      <c r="S796" s="10"/>
      <c r="T796" s="9">
        <v>0</v>
      </c>
      <c r="U796" s="10"/>
      <c r="V796" s="9">
        <v>0</v>
      </c>
      <c r="W796" s="10"/>
      <c r="X796" s="9">
        <v>0</v>
      </c>
      <c r="Y796" s="10"/>
      <c r="Z796" s="9">
        <v>0</v>
      </c>
      <c r="AA796" s="10"/>
      <c r="AB796" s="11">
        <v>0</v>
      </c>
      <c r="AC796" s="10"/>
      <c r="AD796" s="7">
        <f>SUM(F796+H796+J796+L796+N796+P796+R796+T796+V796+X796+Z796+AB796)</f>
        <v>55000</v>
      </c>
      <c r="AE796" s="7">
        <f>E796+AD796</f>
        <v>83000</v>
      </c>
      <c r="AF796" s="8">
        <f>G796+I796+K796+M796+O796+Q796+S796+U796+W796+Y796+AA796+AC796</f>
        <v>43000</v>
      </c>
      <c r="AG796" s="153">
        <f>SUM(AE796-AF796)</f>
        <v>40000</v>
      </c>
      <c r="AH796" s="96" t="s">
        <v>1560</v>
      </c>
      <c r="AI796" s="96">
        <v>4</v>
      </c>
    </row>
    <row r="797" spans="1:42" customHeight="1" ht="11.5" s="96" customFormat="1">
      <c r="A797" s="5">
        <v>789</v>
      </c>
      <c r="B797" s="173" t="s">
        <v>1254</v>
      </c>
      <c r="C797" s="167" t="s">
        <v>36</v>
      </c>
      <c r="D797" s="88" t="s">
        <v>37</v>
      </c>
      <c r="E797" s="174">
        <v>0</v>
      </c>
      <c r="F797" s="9">
        <v>0</v>
      </c>
      <c r="G797" s="10"/>
      <c r="H797" s="9">
        <v>0</v>
      </c>
      <c r="I797" s="10"/>
      <c r="J797" s="152">
        <v>0</v>
      </c>
      <c r="K797" s="10"/>
      <c r="L797" s="152">
        <v>0</v>
      </c>
      <c r="M797" s="10"/>
      <c r="N797" s="152">
        <v>0</v>
      </c>
      <c r="O797" s="10"/>
      <c r="P797" s="152">
        <v>0</v>
      </c>
      <c r="Q797" s="10"/>
      <c r="R797" s="9">
        <v>0</v>
      </c>
      <c r="S797" s="10"/>
      <c r="T797" s="9">
        <v>0</v>
      </c>
      <c r="U797" s="10"/>
      <c r="V797" s="9">
        <v>0</v>
      </c>
      <c r="W797" s="10"/>
      <c r="X797" s="9">
        <v>0</v>
      </c>
      <c r="Y797" s="10"/>
      <c r="Z797" s="9">
        <v>0</v>
      </c>
      <c r="AA797" s="10"/>
      <c r="AB797" s="11">
        <v>0</v>
      </c>
      <c r="AC797" s="10"/>
      <c r="AD797" s="7">
        <f>SUM(F797+H797+J797+L797+N797+P797+R797+T797+V797+X797+Z797+AB797)</f>
        <v>0</v>
      </c>
      <c r="AE797" s="7">
        <f>E797+AD797</f>
        <v>0</v>
      </c>
      <c r="AF797" s="8">
        <f>G797+I797+K797+M797+O797+Q797+S797+U797+W797+Y797+AA797+AC797</f>
        <v>0</v>
      </c>
      <c r="AG797" s="153">
        <f>SUM(AE797-AF797)</f>
        <v>0</v>
      </c>
      <c r="AH797" s="96" t="s">
        <v>1561</v>
      </c>
      <c r="AI797" s="96">
        <v>4</v>
      </c>
    </row>
    <row r="798" spans="1:42" customHeight="1" ht="11.5" s="96" customFormat="1">
      <c r="A798" s="5">
        <v>790</v>
      </c>
      <c r="B798" s="173" t="s">
        <v>1255</v>
      </c>
      <c r="C798" s="167" t="s">
        <v>36</v>
      </c>
      <c r="D798" s="88" t="s">
        <v>37</v>
      </c>
      <c r="E798" s="174">
        <v>0</v>
      </c>
      <c r="F798" s="9">
        <v>0</v>
      </c>
      <c r="G798" s="10"/>
      <c r="H798" s="9">
        <v>0</v>
      </c>
      <c r="I798" s="10"/>
      <c r="J798" s="152">
        <v>0</v>
      </c>
      <c r="K798" s="10"/>
      <c r="L798" s="152">
        <v>0</v>
      </c>
      <c r="M798" s="10"/>
      <c r="N798" s="152">
        <v>0</v>
      </c>
      <c r="O798" s="10"/>
      <c r="P798" s="152">
        <v>0</v>
      </c>
      <c r="Q798" s="10"/>
      <c r="R798" s="9">
        <v>0</v>
      </c>
      <c r="S798" s="10"/>
      <c r="T798" s="9">
        <v>0</v>
      </c>
      <c r="U798" s="10"/>
      <c r="V798" s="9">
        <v>0</v>
      </c>
      <c r="W798" s="10"/>
      <c r="X798" s="9">
        <v>0</v>
      </c>
      <c r="Y798" s="10"/>
      <c r="Z798" s="9">
        <v>0</v>
      </c>
      <c r="AA798" s="10"/>
      <c r="AB798" s="11">
        <v>0</v>
      </c>
      <c r="AC798" s="10"/>
      <c r="AD798" s="7">
        <f>SUM(F798+H798+J798+L798+N798+P798+R798+T798+V798+X798+Z798+AB798)</f>
        <v>0</v>
      </c>
      <c r="AE798" s="7">
        <f>E798+AD798</f>
        <v>0</v>
      </c>
      <c r="AF798" s="8">
        <f>G798+I798+K798+M798+O798+Q798+S798+U798+W798+Y798+AA798+AC798</f>
        <v>0</v>
      </c>
      <c r="AG798" s="153">
        <f>SUM(AE798-AF798)</f>
        <v>0</v>
      </c>
      <c r="AH798" s="96" t="s">
        <v>1562</v>
      </c>
      <c r="AI798" s="96">
        <v>4</v>
      </c>
    </row>
    <row r="799" spans="1:42" customHeight="1" ht="11.5" s="96" customFormat="1">
      <c r="A799" s="5">
        <v>791</v>
      </c>
      <c r="B799" s="173" t="s">
        <v>1256</v>
      </c>
      <c r="C799" s="167" t="s">
        <v>36</v>
      </c>
      <c r="D799" s="88" t="s">
        <v>37</v>
      </c>
      <c r="E799" s="174">
        <v>0</v>
      </c>
      <c r="F799" s="9">
        <v>0</v>
      </c>
      <c r="G799" s="10"/>
      <c r="H799" s="9">
        <v>0</v>
      </c>
      <c r="I799" s="10"/>
      <c r="J799" s="152">
        <v>0</v>
      </c>
      <c r="K799" s="10"/>
      <c r="L799" s="152">
        <v>0</v>
      </c>
      <c r="M799" s="10"/>
      <c r="N799" s="152">
        <v>0</v>
      </c>
      <c r="O799" s="10"/>
      <c r="P799" s="152">
        <v>0</v>
      </c>
      <c r="Q799" s="10"/>
      <c r="R799" s="9">
        <v>0</v>
      </c>
      <c r="S799" s="10"/>
      <c r="T799" s="9">
        <v>0</v>
      </c>
      <c r="U799" s="10"/>
      <c r="V799" s="9">
        <v>0</v>
      </c>
      <c r="W799" s="10"/>
      <c r="X799" s="9">
        <v>0</v>
      </c>
      <c r="Y799" s="10"/>
      <c r="Z799" s="9">
        <v>0</v>
      </c>
      <c r="AA799" s="10"/>
      <c r="AB799" s="11">
        <v>0</v>
      </c>
      <c r="AC799" s="10"/>
      <c r="AD799" s="7">
        <f>SUM(F799+H799+J799+L799+N799+P799+R799+T799+V799+X799+Z799+AB799)</f>
        <v>0</v>
      </c>
      <c r="AE799" s="7">
        <f>E799+AD799</f>
        <v>0</v>
      </c>
      <c r="AF799" s="8">
        <f>G799+I799+K799+M799+O799+Q799+S799+U799+W799+Y799+AA799+AC799</f>
        <v>0</v>
      </c>
      <c r="AG799" s="153">
        <f>SUM(AE799-AF799)</f>
        <v>0</v>
      </c>
      <c r="AH799" s="96" t="s">
        <v>1563</v>
      </c>
      <c r="AI799" s="96">
        <v>4</v>
      </c>
    </row>
    <row r="800" spans="1:42" customHeight="1" ht="11.5" s="96" customFormat="1">
      <c r="A800" s="5">
        <v>792</v>
      </c>
      <c r="B800" s="173" t="s">
        <v>1257</v>
      </c>
      <c r="C800" s="167" t="s">
        <v>36</v>
      </c>
      <c r="D800" s="88" t="s">
        <v>37</v>
      </c>
      <c r="E800" s="174">
        <v>0</v>
      </c>
      <c r="F800" s="9">
        <v>0</v>
      </c>
      <c r="G800" s="10"/>
      <c r="H800" s="9">
        <v>0</v>
      </c>
      <c r="I800" s="10"/>
      <c r="J800" s="152">
        <v>0</v>
      </c>
      <c r="K800" s="10"/>
      <c r="L800" s="152">
        <v>0</v>
      </c>
      <c r="M800" s="10"/>
      <c r="N800" s="152">
        <v>0</v>
      </c>
      <c r="O800" s="10"/>
      <c r="P800" s="152">
        <v>0</v>
      </c>
      <c r="Q800" s="10"/>
      <c r="R800" s="9">
        <v>0</v>
      </c>
      <c r="S800" s="10"/>
      <c r="T800" s="9">
        <v>0</v>
      </c>
      <c r="U800" s="10"/>
      <c r="V800" s="9">
        <v>0</v>
      </c>
      <c r="W800" s="10"/>
      <c r="X800" s="9">
        <v>0</v>
      </c>
      <c r="Y800" s="10"/>
      <c r="Z800" s="9">
        <v>0</v>
      </c>
      <c r="AA800" s="10"/>
      <c r="AB800" s="11">
        <v>0</v>
      </c>
      <c r="AC800" s="10"/>
      <c r="AD800" s="7">
        <f>SUM(F800+H800+J800+L800+N800+P800+R800+T800+V800+X800+Z800+AB800)</f>
        <v>0</v>
      </c>
      <c r="AE800" s="7">
        <f>E800+AD800</f>
        <v>0</v>
      </c>
      <c r="AF800" s="8">
        <f>G800+I800+K800+M800+O800+Q800+S800+U800+W800+Y800+AA800+AC800</f>
        <v>0</v>
      </c>
      <c r="AG800" s="153">
        <f>SUM(AE800-AF800)</f>
        <v>0</v>
      </c>
      <c r="AH800" s="96" t="s">
        <v>1564</v>
      </c>
      <c r="AI800" s="96">
        <v>4</v>
      </c>
    </row>
    <row r="801" spans="1:42" customHeight="1" ht="11.5" s="96" customFormat="1">
      <c r="A801" s="5">
        <v>793</v>
      </c>
      <c r="B801" s="173" t="s">
        <v>1258</v>
      </c>
      <c r="C801" s="167" t="s">
        <v>36</v>
      </c>
      <c r="D801" s="88" t="s">
        <v>37</v>
      </c>
      <c r="E801" s="174">
        <v>0</v>
      </c>
      <c r="F801" s="9">
        <v>0</v>
      </c>
      <c r="G801" s="10"/>
      <c r="H801" s="9">
        <v>0</v>
      </c>
      <c r="I801" s="10"/>
      <c r="J801" s="152">
        <v>0</v>
      </c>
      <c r="K801" s="10"/>
      <c r="L801" s="152">
        <v>0</v>
      </c>
      <c r="M801" s="10"/>
      <c r="N801" s="152">
        <v>0</v>
      </c>
      <c r="O801" s="10"/>
      <c r="P801" s="152">
        <v>0</v>
      </c>
      <c r="Q801" s="10"/>
      <c r="R801" s="9">
        <v>0</v>
      </c>
      <c r="S801" s="10"/>
      <c r="T801" s="9">
        <v>0</v>
      </c>
      <c r="U801" s="10"/>
      <c r="V801" s="9">
        <v>0</v>
      </c>
      <c r="W801" s="10"/>
      <c r="X801" s="9">
        <v>0</v>
      </c>
      <c r="Y801" s="10"/>
      <c r="Z801" s="9">
        <v>0</v>
      </c>
      <c r="AA801" s="10"/>
      <c r="AB801" s="11">
        <v>0</v>
      </c>
      <c r="AC801" s="10"/>
      <c r="AD801" s="7">
        <f>SUM(F801+H801+J801+L801+N801+P801+R801+T801+V801+X801+Z801+AB801)</f>
        <v>0</v>
      </c>
      <c r="AE801" s="7">
        <f>E801+AD801</f>
        <v>0</v>
      </c>
      <c r="AF801" s="8">
        <f>G801+I801+K801+M801+O801+Q801+S801+U801+W801+Y801+AA801+AC801</f>
        <v>0</v>
      </c>
      <c r="AG801" s="153">
        <f>SUM(AE801-AF801)</f>
        <v>0</v>
      </c>
      <c r="AH801" s="96" t="s">
        <v>1565</v>
      </c>
      <c r="AI801" s="96">
        <v>4</v>
      </c>
    </row>
    <row r="802" spans="1:42" customHeight="1" ht="11.5" s="96" customFormat="1">
      <c r="A802" s="5">
        <v>794</v>
      </c>
      <c r="B802" s="173" t="s">
        <v>1259</v>
      </c>
      <c r="C802" s="167" t="s">
        <v>36</v>
      </c>
      <c r="D802" s="88" t="s">
        <v>37</v>
      </c>
      <c r="E802" s="174">
        <v>0</v>
      </c>
      <c r="F802" s="9">
        <v>0</v>
      </c>
      <c r="G802" s="10"/>
      <c r="H802" s="9">
        <v>0</v>
      </c>
      <c r="I802" s="10"/>
      <c r="J802" s="152">
        <v>0</v>
      </c>
      <c r="K802" s="10"/>
      <c r="L802" s="152">
        <v>0</v>
      </c>
      <c r="M802" s="10"/>
      <c r="N802" s="152">
        <v>0</v>
      </c>
      <c r="O802" s="10"/>
      <c r="P802" s="152">
        <v>0</v>
      </c>
      <c r="Q802" s="10"/>
      <c r="R802" s="9">
        <v>0</v>
      </c>
      <c r="S802" s="10"/>
      <c r="T802" s="9">
        <v>0</v>
      </c>
      <c r="U802" s="10"/>
      <c r="V802" s="9">
        <v>0</v>
      </c>
      <c r="W802" s="10"/>
      <c r="X802" s="9">
        <v>0</v>
      </c>
      <c r="Y802" s="10"/>
      <c r="Z802" s="9">
        <v>0</v>
      </c>
      <c r="AA802" s="10"/>
      <c r="AB802" s="11">
        <v>0</v>
      </c>
      <c r="AC802" s="10"/>
      <c r="AD802" s="7">
        <f>SUM(F802+H802+J802+L802+N802+P802+R802+T802+V802+X802+Z802+AB802)</f>
        <v>0</v>
      </c>
      <c r="AE802" s="7">
        <f>E802+AD802</f>
        <v>0</v>
      </c>
      <c r="AF802" s="8">
        <f>G802+I802+K802+M802+O802+Q802+S802+U802+W802+Y802+AA802+AC802</f>
        <v>0</v>
      </c>
      <c r="AG802" s="153">
        <f>SUM(AE802-AF802)</f>
        <v>0</v>
      </c>
      <c r="AH802" s="96" t="s">
        <v>1566</v>
      </c>
      <c r="AI802" s="96">
        <v>4</v>
      </c>
    </row>
    <row r="803" spans="1:42" customHeight="1" ht="11.5" s="96" customFormat="1">
      <c r="A803" s="5">
        <v>795</v>
      </c>
      <c r="B803" s="173" t="s">
        <v>1260</v>
      </c>
      <c r="C803" s="167" t="s">
        <v>36</v>
      </c>
      <c r="D803" s="88" t="s">
        <v>37</v>
      </c>
      <c r="E803" s="174">
        <v>0</v>
      </c>
      <c r="F803" s="9">
        <v>0</v>
      </c>
      <c r="G803" s="10"/>
      <c r="H803" s="9">
        <v>0</v>
      </c>
      <c r="I803" s="10"/>
      <c r="J803" s="152">
        <v>0</v>
      </c>
      <c r="K803" s="10"/>
      <c r="L803" s="152">
        <v>0</v>
      </c>
      <c r="M803" s="10"/>
      <c r="N803" s="152">
        <v>0</v>
      </c>
      <c r="O803" s="10"/>
      <c r="P803" s="152">
        <v>0</v>
      </c>
      <c r="Q803" s="10"/>
      <c r="R803" s="9">
        <v>0</v>
      </c>
      <c r="S803" s="10"/>
      <c r="T803" s="9">
        <v>0</v>
      </c>
      <c r="U803" s="10"/>
      <c r="V803" s="9">
        <v>0</v>
      </c>
      <c r="W803" s="10"/>
      <c r="X803" s="9">
        <v>0</v>
      </c>
      <c r="Y803" s="10"/>
      <c r="Z803" s="9">
        <v>0</v>
      </c>
      <c r="AA803" s="10"/>
      <c r="AB803" s="11">
        <v>0</v>
      </c>
      <c r="AC803" s="10"/>
      <c r="AD803" s="7">
        <f>SUM(F803+H803+J803+L803+N803+P803+R803+T803+V803+X803+Z803+AB803)</f>
        <v>0</v>
      </c>
      <c r="AE803" s="7">
        <f>E803+AD803</f>
        <v>0</v>
      </c>
      <c r="AF803" s="8">
        <f>G803+I803+K803+M803+O803+Q803+S803+U803+W803+Y803+AA803+AC803</f>
        <v>0</v>
      </c>
      <c r="AG803" s="153">
        <f>SUM(AE803-AF803)</f>
        <v>0</v>
      </c>
      <c r="AH803" s="96" t="s">
        <v>1567</v>
      </c>
      <c r="AI803" s="96">
        <v>4</v>
      </c>
    </row>
    <row r="804" spans="1:42" customHeight="1" ht="11.5" s="96" customFormat="1">
      <c r="A804" s="5">
        <v>796</v>
      </c>
      <c r="B804" s="173" t="s">
        <v>1261</v>
      </c>
      <c r="C804" s="167" t="s">
        <v>132</v>
      </c>
      <c r="D804" s="88" t="s">
        <v>133</v>
      </c>
      <c r="E804" s="174">
        <v>60000</v>
      </c>
      <c r="F804" s="9">
        <v>10000</v>
      </c>
      <c r="G804" s="10"/>
      <c r="H804" s="9">
        <v>10000</v>
      </c>
      <c r="I804" s="10"/>
      <c r="J804" s="152">
        <v>0</v>
      </c>
      <c r="K804" s="10">
        <v>80000</v>
      </c>
      <c r="L804" s="152">
        <v>10000</v>
      </c>
      <c r="M804" s="10"/>
      <c r="N804" s="152">
        <v>10000</v>
      </c>
      <c r="O804" s="10"/>
      <c r="P804" s="152">
        <v>20000</v>
      </c>
      <c r="Q804" s="10"/>
      <c r="R804" s="9">
        <v>10000</v>
      </c>
      <c r="S804" s="10"/>
      <c r="T804" s="9">
        <v>0</v>
      </c>
      <c r="U804" s="10"/>
      <c r="V804" s="9">
        <v>0</v>
      </c>
      <c r="W804" s="10"/>
      <c r="X804" s="9">
        <v>0</v>
      </c>
      <c r="Y804" s="10"/>
      <c r="Z804" s="9">
        <v>0</v>
      </c>
      <c r="AA804" s="10"/>
      <c r="AB804" s="11">
        <v>0</v>
      </c>
      <c r="AC804" s="10"/>
      <c r="AD804" s="7">
        <f>SUM(F804+H804+J804+L804+N804+P804+R804+T804+V804+X804+Z804+AB804)</f>
        <v>70000</v>
      </c>
      <c r="AE804" s="7">
        <f>E804+AD804</f>
        <v>130000</v>
      </c>
      <c r="AF804" s="8">
        <f>G804+I804+K804+M804+O804+Q804+S804+U804+W804+Y804+AA804+AC804</f>
        <v>80000</v>
      </c>
      <c r="AG804" s="153">
        <f>SUM(AE804-AF804)</f>
        <v>50000</v>
      </c>
      <c r="AH804" s="96" t="s">
        <v>1568</v>
      </c>
      <c r="AI804" s="96">
        <v>4</v>
      </c>
    </row>
    <row r="805" spans="1:42" customHeight="1" ht="11.5" s="96" customFormat="1">
      <c r="A805" s="5">
        <v>797</v>
      </c>
      <c r="B805" s="173" t="s">
        <v>1262</v>
      </c>
      <c r="C805" s="167" t="s">
        <v>36</v>
      </c>
      <c r="D805" s="88" t="s">
        <v>37</v>
      </c>
      <c r="E805" s="174">
        <v>35000</v>
      </c>
      <c r="F805" s="9">
        <v>20000</v>
      </c>
      <c r="G805" s="10">
        <v>35000</v>
      </c>
      <c r="H805" s="9">
        <v>35000</v>
      </c>
      <c r="I805" s="10">
        <v>20000</v>
      </c>
      <c r="J805" s="152">
        <v>30000</v>
      </c>
      <c r="K805" s="10">
        <v>35000</v>
      </c>
      <c r="L805" s="152">
        <v>20000</v>
      </c>
      <c r="M805" s="10">
        <v>30000</v>
      </c>
      <c r="N805" s="152">
        <v>35000</v>
      </c>
      <c r="O805" s="10">
        <v>20000</v>
      </c>
      <c r="P805" s="152">
        <v>5000</v>
      </c>
      <c r="Q805" s="10">
        <v>35000</v>
      </c>
      <c r="R805" s="9">
        <v>35000</v>
      </c>
      <c r="S805" s="10"/>
      <c r="T805" s="9">
        <v>0</v>
      </c>
      <c r="U805" s="10"/>
      <c r="V805" s="9">
        <v>0</v>
      </c>
      <c r="W805" s="10"/>
      <c r="X805" s="9">
        <v>0</v>
      </c>
      <c r="Y805" s="10"/>
      <c r="Z805" s="9">
        <v>0</v>
      </c>
      <c r="AA805" s="10"/>
      <c r="AB805" s="11">
        <v>0</v>
      </c>
      <c r="AC805" s="10"/>
      <c r="AD805" s="7">
        <f>SUM(F805+H805+J805+L805+N805+P805+R805+T805+V805+X805+Z805+AB805)</f>
        <v>180000</v>
      </c>
      <c r="AE805" s="7">
        <f>E805+AD805</f>
        <v>215000</v>
      </c>
      <c r="AF805" s="8">
        <f>G805+I805+K805+M805+O805+Q805+S805+U805+W805+Y805+AA805+AC805</f>
        <v>175000</v>
      </c>
      <c r="AG805" s="153">
        <f>SUM(AE805-AF805)</f>
        <v>40000</v>
      </c>
      <c r="AH805" s="96" t="s">
        <v>1569</v>
      </c>
      <c r="AI805" s="96">
        <v>4</v>
      </c>
    </row>
    <row r="806" spans="1:42" customHeight="1" ht="11.5" s="96" customFormat="1">
      <c r="A806" s="5">
        <v>798</v>
      </c>
      <c r="B806" s="173" t="s">
        <v>1263</v>
      </c>
      <c r="C806" s="167" t="s">
        <v>36</v>
      </c>
      <c r="D806" s="88" t="s">
        <v>37</v>
      </c>
      <c r="E806" s="174">
        <v>0</v>
      </c>
      <c r="F806" s="9">
        <v>0</v>
      </c>
      <c r="G806" s="10"/>
      <c r="H806" s="9">
        <v>1000</v>
      </c>
      <c r="I806" s="10"/>
      <c r="J806" s="152">
        <v>0</v>
      </c>
      <c r="K806" s="10">
        <v>1000</v>
      </c>
      <c r="L806" s="152">
        <v>0</v>
      </c>
      <c r="M806" s="10"/>
      <c r="N806" s="152">
        <v>0</v>
      </c>
      <c r="O806" s="10"/>
      <c r="P806" s="152">
        <v>0</v>
      </c>
      <c r="Q806" s="10"/>
      <c r="R806" s="9">
        <v>0</v>
      </c>
      <c r="S806" s="10"/>
      <c r="T806" s="9">
        <v>0</v>
      </c>
      <c r="U806" s="10"/>
      <c r="V806" s="9">
        <v>0</v>
      </c>
      <c r="W806" s="10"/>
      <c r="X806" s="9">
        <v>0</v>
      </c>
      <c r="Y806" s="10"/>
      <c r="Z806" s="9">
        <v>0</v>
      </c>
      <c r="AA806" s="10"/>
      <c r="AB806" s="11">
        <v>0</v>
      </c>
      <c r="AC806" s="10"/>
      <c r="AD806" s="7">
        <f>SUM(F806+H806+J806+L806+N806+P806+R806+T806+V806+X806+Z806+AB806)</f>
        <v>1000</v>
      </c>
      <c r="AE806" s="7">
        <f>E806+AD806</f>
        <v>1000</v>
      </c>
      <c r="AF806" s="8">
        <f>G806+I806+K806+M806+O806+Q806+S806+U806+W806+Y806+AA806+AC806</f>
        <v>1000</v>
      </c>
      <c r="AG806" s="153">
        <f>SUM(AE806-AF806)</f>
        <v>0</v>
      </c>
      <c r="AH806" s="96" t="s">
        <v>1570</v>
      </c>
      <c r="AI806" s="96">
        <v>4</v>
      </c>
    </row>
    <row r="807" spans="1:42" customHeight="1" ht="11.5" s="96" customFormat="1">
      <c r="A807" s="5">
        <v>799</v>
      </c>
      <c r="B807" s="173" t="s">
        <v>1264</v>
      </c>
      <c r="C807" s="167" t="s">
        <v>36</v>
      </c>
      <c r="D807" s="88" t="s">
        <v>37</v>
      </c>
      <c r="E807" s="174">
        <v>5000</v>
      </c>
      <c r="F807" s="9">
        <v>0</v>
      </c>
      <c r="G807" s="10"/>
      <c r="H807" s="9">
        <v>0</v>
      </c>
      <c r="I807" s="10">
        <v>5000</v>
      </c>
      <c r="J807" s="152">
        <v>0</v>
      </c>
      <c r="K807" s="10"/>
      <c r="L807" s="152">
        <v>0</v>
      </c>
      <c r="M807" s="10"/>
      <c r="N807" s="152">
        <v>0</v>
      </c>
      <c r="O807" s="10"/>
      <c r="P807" s="152">
        <v>0</v>
      </c>
      <c r="Q807" s="10"/>
      <c r="R807" s="9">
        <v>0</v>
      </c>
      <c r="S807" s="10"/>
      <c r="T807" s="9">
        <v>0</v>
      </c>
      <c r="U807" s="10"/>
      <c r="V807" s="9">
        <v>0</v>
      </c>
      <c r="W807" s="10"/>
      <c r="X807" s="9">
        <v>0</v>
      </c>
      <c r="Y807" s="10"/>
      <c r="Z807" s="9">
        <v>0</v>
      </c>
      <c r="AA807" s="10"/>
      <c r="AB807" s="11">
        <v>0</v>
      </c>
      <c r="AC807" s="10"/>
      <c r="AD807" s="7">
        <f>SUM(F807+H807+J807+L807+N807+P807+R807+T807+V807+X807+Z807+AB807)</f>
        <v>0</v>
      </c>
      <c r="AE807" s="7">
        <f>E807+AD807</f>
        <v>5000</v>
      </c>
      <c r="AF807" s="8">
        <f>G807+I807+K807+M807+O807+Q807+S807+U807+W807+Y807+AA807+AC807</f>
        <v>5000</v>
      </c>
      <c r="AG807" s="153">
        <f>SUM(AE807-AF807)</f>
        <v>0</v>
      </c>
      <c r="AH807" s="96" t="s">
        <v>1571</v>
      </c>
      <c r="AI807" s="96">
        <v>4</v>
      </c>
    </row>
    <row r="808" spans="1:42" customHeight="1" ht="11.5" s="96" customFormat="1">
      <c r="A808" s="5">
        <v>800</v>
      </c>
      <c r="B808" s="173" t="s">
        <v>1265</v>
      </c>
      <c r="C808" s="167" t="s">
        <v>36</v>
      </c>
      <c r="D808" s="88" t="s">
        <v>37</v>
      </c>
      <c r="E808" s="174">
        <v>0</v>
      </c>
      <c r="F808" s="9">
        <v>0</v>
      </c>
      <c r="G808" s="10"/>
      <c r="H808" s="9">
        <v>0</v>
      </c>
      <c r="I808" s="10"/>
      <c r="J808" s="152">
        <v>0</v>
      </c>
      <c r="K808" s="10"/>
      <c r="L808" s="152">
        <v>0</v>
      </c>
      <c r="M808" s="10"/>
      <c r="N808" s="152">
        <v>0</v>
      </c>
      <c r="O808" s="10"/>
      <c r="P808" s="152">
        <v>0</v>
      </c>
      <c r="Q808" s="10"/>
      <c r="R808" s="9">
        <v>0</v>
      </c>
      <c r="S808" s="10"/>
      <c r="T808" s="9">
        <v>0</v>
      </c>
      <c r="U808" s="10"/>
      <c r="V808" s="9">
        <v>0</v>
      </c>
      <c r="W808" s="10"/>
      <c r="X808" s="9">
        <v>0</v>
      </c>
      <c r="Y808" s="10"/>
      <c r="Z808" s="9">
        <v>0</v>
      </c>
      <c r="AA808" s="10"/>
      <c r="AB808" s="11">
        <v>0</v>
      </c>
      <c r="AC808" s="10"/>
      <c r="AD808" s="7">
        <f>SUM(F808+H808+J808+L808+N808+P808+R808+T808+V808+X808+Z808+AB808)</f>
        <v>0</v>
      </c>
      <c r="AE808" s="7">
        <f>E808+AD808</f>
        <v>0</v>
      </c>
      <c r="AF808" s="8">
        <f>G808+I808+K808+M808+O808+Q808+S808+U808+W808+Y808+AA808+AC808</f>
        <v>0</v>
      </c>
      <c r="AG808" s="153">
        <f>SUM(AE808-AF808)</f>
        <v>0</v>
      </c>
      <c r="AH808" s="96" t="s">
        <v>1572</v>
      </c>
      <c r="AI808" s="96">
        <v>4</v>
      </c>
    </row>
    <row r="809" spans="1:42" customHeight="1" ht="11.5" s="96" customFormat="1">
      <c r="A809" s="5">
        <v>801</v>
      </c>
      <c r="B809" s="173" t="s">
        <v>1266</v>
      </c>
      <c r="C809" s="167" t="s">
        <v>36</v>
      </c>
      <c r="D809" s="88" t="s">
        <v>37</v>
      </c>
      <c r="E809" s="174">
        <v>4000</v>
      </c>
      <c r="F809" s="9">
        <v>0</v>
      </c>
      <c r="G809" s="10"/>
      <c r="H809" s="9">
        <v>0</v>
      </c>
      <c r="I809" s="10">
        <v>4000</v>
      </c>
      <c r="J809" s="152">
        <v>0</v>
      </c>
      <c r="K809" s="10"/>
      <c r="L809" s="152">
        <v>0</v>
      </c>
      <c r="M809" s="10"/>
      <c r="N809" s="152">
        <v>0</v>
      </c>
      <c r="O809" s="10"/>
      <c r="P809" s="152">
        <v>0</v>
      </c>
      <c r="Q809" s="10"/>
      <c r="R809" s="9">
        <v>0</v>
      </c>
      <c r="S809" s="10"/>
      <c r="T809" s="9">
        <v>0</v>
      </c>
      <c r="U809" s="10"/>
      <c r="V809" s="9">
        <v>0</v>
      </c>
      <c r="W809" s="10"/>
      <c r="X809" s="9">
        <v>0</v>
      </c>
      <c r="Y809" s="10"/>
      <c r="Z809" s="9">
        <v>0</v>
      </c>
      <c r="AA809" s="10"/>
      <c r="AB809" s="11">
        <v>0</v>
      </c>
      <c r="AC809" s="10"/>
      <c r="AD809" s="7">
        <f>SUM(F809+H809+J809+L809+N809+P809+R809+T809+V809+X809+Z809+AB809)</f>
        <v>0</v>
      </c>
      <c r="AE809" s="7">
        <f>E809+AD809</f>
        <v>4000</v>
      </c>
      <c r="AF809" s="8">
        <f>G809+I809+K809+M809+O809+Q809+S809+U809+W809+Y809+AA809+AC809</f>
        <v>4000</v>
      </c>
      <c r="AG809" s="153">
        <f>SUM(AE809-AF809)</f>
        <v>0</v>
      </c>
      <c r="AH809" s="96" t="s">
        <v>1573</v>
      </c>
      <c r="AI809" s="96">
        <v>4</v>
      </c>
    </row>
    <row r="810" spans="1:42" customHeight="1" ht="11.5" s="96" customFormat="1">
      <c r="A810" s="5">
        <v>802</v>
      </c>
      <c r="B810" s="173" t="s">
        <v>1267</v>
      </c>
      <c r="C810" s="167" t="s">
        <v>132</v>
      </c>
      <c r="D810" s="88" t="s">
        <v>133</v>
      </c>
      <c r="E810" s="174">
        <v>18579</v>
      </c>
      <c r="F810" s="9">
        <v>5000</v>
      </c>
      <c r="G810" s="10"/>
      <c r="H810" s="9">
        <v>5000</v>
      </c>
      <c r="I810" s="10"/>
      <c r="J810" s="152">
        <v>0</v>
      </c>
      <c r="K810" s="10">
        <v>28579</v>
      </c>
      <c r="L810" s="152">
        <v>5000</v>
      </c>
      <c r="M810" s="10"/>
      <c r="N810" s="152">
        <v>0</v>
      </c>
      <c r="O810" s="10"/>
      <c r="P810" s="152">
        <v>5000</v>
      </c>
      <c r="Q810" s="10"/>
      <c r="R810" s="9">
        <v>0</v>
      </c>
      <c r="S810" s="10"/>
      <c r="T810" s="9">
        <v>0</v>
      </c>
      <c r="U810" s="10"/>
      <c r="V810" s="9">
        <v>0</v>
      </c>
      <c r="W810" s="10"/>
      <c r="X810" s="9">
        <v>0</v>
      </c>
      <c r="Y810" s="10"/>
      <c r="Z810" s="9">
        <v>0</v>
      </c>
      <c r="AA810" s="10"/>
      <c r="AB810" s="11">
        <v>0</v>
      </c>
      <c r="AC810" s="10"/>
      <c r="AD810" s="7">
        <f>SUM(F810+H810+J810+L810+N810+P810+R810+T810+V810+X810+Z810+AB810)</f>
        <v>20000</v>
      </c>
      <c r="AE810" s="7">
        <f>E810+AD810</f>
        <v>38579</v>
      </c>
      <c r="AF810" s="8">
        <f>G810+I810+K810+M810+O810+Q810+S810+U810+W810+Y810+AA810+AC810</f>
        <v>28579</v>
      </c>
      <c r="AG810" s="153">
        <f>SUM(AE810-AF810)</f>
        <v>10000</v>
      </c>
      <c r="AH810" s="96" t="s">
        <v>1574</v>
      </c>
      <c r="AI810" s="96">
        <v>3</v>
      </c>
    </row>
    <row r="811" spans="1:42" customHeight="1" ht="11.5" s="96" customFormat="1">
      <c r="A811" s="5">
        <v>803</v>
      </c>
      <c r="B811" s="173" t="s">
        <v>1268</v>
      </c>
      <c r="C811" s="167" t="s">
        <v>132</v>
      </c>
      <c r="D811" s="88" t="s">
        <v>133</v>
      </c>
      <c r="E811" s="174">
        <v>5000</v>
      </c>
      <c r="F811" s="9">
        <v>5000</v>
      </c>
      <c r="G811" s="10"/>
      <c r="H811" s="9">
        <v>0</v>
      </c>
      <c r="I811" s="10"/>
      <c r="J811" s="152">
        <v>0</v>
      </c>
      <c r="K811" s="10">
        <v>10000</v>
      </c>
      <c r="L811" s="152">
        <v>0</v>
      </c>
      <c r="M811" s="10"/>
      <c r="N811" s="152">
        <v>5000</v>
      </c>
      <c r="O811" s="10"/>
      <c r="P811" s="152">
        <v>0</v>
      </c>
      <c r="Q811" s="10"/>
      <c r="R811" s="9">
        <v>0</v>
      </c>
      <c r="S811" s="10"/>
      <c r="T811" s="9">
        <v>0</v>
      </c>
      <c r="U811" s="10"/>
      <c r="V811" s="9">
        <v>0</v>
      </c>
      <c r="W811" s="10"/>
      <c r="X811" s="9">
        <v>0</v>
      </c>
      <c r="Y811" s="10"/>
      <c r="Z811" s="9">
        <v>0</v>
      </c>
      <c r="AA811" s="10"/>
      <c r="AB811" s="11">
        <v>0</v>
      </c>
      <c r="AC811" s="10"/>
      <c r="AD811" s="7">
        <f>SUM(F811+H811+J811+L811+N811+P811+R811+T811+V811+X811+Z811+AB811)</f>
        <v>10000</v>
      </c>
      <c r="AE811" s="7">
        <f>E811+AD811</f>
        <v>15000</v>
      </c>
      <c r="AF811" s="8">
        <f>G811+I811+K811+M811+O811+Q811+S811+U811+W811+Y811+AA811+AC811</f>
        <v>10000</v>
      </c>
      <c r="AG811" s="153">
        <f>SUM(AE811-AF811)</f>
        <v>5000</v>
      </c>
      <c r="AH811" s="96" t="s">
        <v>1575</v>
      </c>
      <c r="AI811" s="96">
        <v>3</v>
      </c>
    </row>
    <row r="812" spans="1:42" customHeight="1" ht="11.5" s="96" customFormat="1">
      <c r="A812" s="5">
        <v>804</v>
      </c>
      <c r="B812" s="173" t="s">
        <v>1269</v>
      </c>
      <c r="C812" s="167" t="s">
        <v>112</v>
      </c>
      <c r="D812" s="88" t="s">
        <v>113</v>
      </c>
      <c r="E812" s="174">
        <v>0</v>
      </c>
      <c r="F812" s="9">
        <v>5000</v>
      </c>
      <c r="G812" s="10"/>
      <c r="H812" s="9">
        <v>0</v>
      </c>
      <c r="I812" s="10">
        <v>5000</v>
      </c>
      <c r="J812" s="152">
        <v>5000</v>
      </c>
      <c r="K812" s="10"/>
      <c r="L812" s="152">
        <v>0</v>
      </c>
      <c r="M812" s="10">
        <v>5000</v>
      </c>
      <c r="N812" s="152">
        <v>0</v>
      </c>
      <c r="O812" s="10"/>
      <c r="P812" s="152">
        <v>5000</v>
      </c>
      <c r="Q812" s="10"/>
      <c r="R812" s="9">
        <v>0</v>
      </c>
      <c r="S812" s="10"/>
      <c r="T812" s="9">
        <v>0</v>
      </c>
      <c r="U812" s="10"/>
      <c r="V812" s="9">
        <v>0</v>
      </c>
      <c r="W812" s="10"/>
      <c r="X812" s="9">
        <v>0</v>
      </c>
      <c r="Y812" s="10"/>
      <c r="Z812" s="9">
        <v>0</v>
      </c>
      <c r="AA812" s="10"/>
      <c r="AB812" s="11">
        <v>0</v>
      </c>
      <c r="AC812" s="10"/>
      <c r="AD812" s="7">
        <f>SUM(F812+H812+J812+L812+N812+P812+R812+T812+V812+X812+Z812+AB812)</f>
        <v>15000</v>
      </c>
      <c r="AE812" s="7">
        <f>E812+AD812</f>
        <v>15000</v>
      </c>
      <c r="AF812" s="8">
        <f>G812+I812+K812+M812+O812+Q812+S812+U812+W812+Y812+AA812+AC812</f>
        <v>10000</v>
      </c>
      <c r="AG812" s="153">
        <f>SUM(AE812-AF812)</f>
        <v>5000</v>
      </c>
      <c r="AH812" s="96" t="s">
        <v>1576</v>
      </c>
      <c r="AI812" s="96">
        <v>4</v>
      </c>
    </row>
    <row r="813" spans="1:42" customHeight="1" ht="11.5" s="96" customFormat="1">
      <c r="A813" s="5">
        <v>805</v>
      </c>
      <c r="B813" s="173" t="s">
        <v>1270</v>
      </c>
      <c r="C813" s="167" t="s">
        <v>36</v>
      </c>
      <c r="D813" s="88" t="s">
        <v>37</v>
      </c>
      <c r="E813" s="174">
        <v>0</v>
      </c>
      <c r="F813" s="9">
        <v>0</v>
      </c>
      <c r="G813" s="10"/>
      <c r="H813" s="9">
        <v>0</v>
      </c>
      <c r="I813" s="10"/>
      <c r="J813" s="152">
        <v>0</v>
      </c>
      <c r="K813" s="10"/>
      <c r="L813" s="152">
        <v>0</v>
      </c>
      <c r="M813" s="10"/>
      <c r="N813" s="152">
        <v>0</v>
      </c>
      <c r="O813" s="10"/>
      <c r="P813" s="152">
        <v>0</v>
      </c>
      <c r="Q813" s="10"/>
      <c r="R813" s="9">
        <v>0</v>
      </c>
      <c r="S813" s="10"/>
      <c r="T813" s="9">
        <v>0</v>
      </c>
      <c r="U813" s="10"/>
      <c r="V813" s="9">
        <v>0</v>
      </c>
      <c r="W813" s="10"/>
      <c r="X813" s="9">
        <v>0</v>
      </c>
      <c r="Y813" s="10"/>
      <c r="Z813" s="9">
        <v>0</v>
      </c>
      <c r="AA813" s="10"/>
      <c r="AB813" s="11">
        <v>0</v>
      </c>
      <c r="AC813" s="10"/>
      <c r="AD813" s="7">
        <f>SUM(F813+H813+J813+L813+N813+P813+R813+T813+V813+X813+Z813+AB813)</f>
        <v>0</v>
      </c>
      <c r="AE813" s="7">
        <f>E813+AD813</f>
        <v>0</v>
      </c>
      <c r="AF813" s="8">
        <f>G813+I813+K813+M813+O813+Q813+S813+U813+W813+Y813+AA813+AC813</f>
        <v>0</v>
      </c>
      <c r="AG813" s="153">
        <f>SUM(AE813-AF813)</f>
        <v>0</v>
      </c>
      <c r="AH813" s="96" t="s">
        <v>1577</v>
      </c>
      <c r="AI813" s="96">
        <v>4</v>
      </c>
    </row>
    <row r="814" spans="1:42" customHeight="1" ht="11.5" s="96" customFormat="1">
      <c r="A814" s="5">
        <v>806</v>
      </c>
      <c r="B814" s="173" t="s">
        <v>1271</v>
      </c>
      <c r="C814" s="167" t="s">
        <v>36</v>
      </c>
      <c r="D814" s="88" t="s">
        <v>37</v>
      </c>
      <c r="E814" s="174">
        <v>0</v>
      </c>
      <c r="F814" s="9">
        <v>0</v>
      </c>
      <c r="G814" s="10"/>
      <c r="H814" s="9">
        <v>0</v>
      </c>
      <c r="I814" s="10"/>
      <c r="J814" s="152">
        <v>0</v>
      </c>
      <c r="K814" s="10"/>
      <c r="L814" s="152">
        <v>0</v>
      </c>
      <c r="M814" s="10"/>
      <c r="N814" s="152">
        <v>0</v>
      </c>
      <c r="O814" s="10"/>
      <c r="P814" s="152">
        <v>0</v>
      </c>
      <c r="Q814" s="10"/>
      <c r="R814" s="9">
        <v>0</v>
      </c>
      <c r="S814" s="10"/>
      <c r="T814" s="9">
        <v>0</v>
      </c>
      <c r="U814" s="10"/>
      <c r="V814" s="9">
        <v>0</v>
      </c>
      <c r="W814" s="10"/>
      <c r="X814" s="9">
        <v>0</v>
      </c>
      <c r="Y814" s="10"/>
      <c r="Z814" s="9">
        <v>0</v>
      </c>
      <c r="AA814" s="10"/>
      <c r="AB814" s="11">
        <v>0</v>
      </c>
      <c r="AC814" s="10"/>
      <c r="AD814" s="7">
        <f>SUM(F814+H814+J814+L814+N814+P814+R814+T814+V814+X814+Z814+AB814)</f>
        <v>0</v>
      </c>
      <c r="AE814" s="7">
        <f>E814+AD814</f>
        <v>0</v>
      </c>
      <c r="AF814" s="8">
        <f>G814+I814+K814+M814+O814+Q814+S814+U814+W814+Y814+AA814+AC814</f>
        <v>0</v>
      </c>
      <c r="AG814" s="153">
        <f>SUM(AE814-AF814)</f>
        <v>0</v>
      </c>
      <c r="AH814" s="96" t="s">
        <v>1578</v>
      </c>
      <c r="AI814" s="96">
        <v>4</v>
      </c>
    </row>
    <row r="815" spans="1:42" customHeight="1" ht="11.5" s="96" customFormat="1">
      <c r="A815" s="5">
        <v>807</v>
      </c>
      <c r="B815" s="173" t="s">
        <v>1272</v>
      </c>
      <c r="C815" s="167" t="s">
        <v>36</v>
      </c>
      <c r="D815" s="88" t="s">
        <v>37</v>
      </c>
      <c r="E815" s="174">
        <v>0</v>
      </c>
      <c r="F815" s="9">
        <v>0</v>
      </c>
      <c r="G815" s="10"/>
      <c r="H815" s="9">
        <v>0</v>
      </c>
      <c r="I815" s="10"/>
      <c r="J815" s="152">
        <v>30000</v>
      </c>
      <c r="K815" s="10"/>
      <c r="L815" s="152">
        <v>0</v>
      </c>
      <c r="M815" s="10">
        <v>30000</v>
      </c>
      <c r="N815" s="152">
        <v>0</v>
      </c>
      <c r="O815" s="10"/>
      <c r="P815" s="152">
        <v>0</v>
      </c>
      <c r="Q815" s="10"/>
      <c r="R815" s="9">
        <v>0</v>
      </c>
      <c r="S815" s="10"/>
      <c r="T815" s="9">
        <v>0</v>
      </c>
      <c r="U815" s="10"/>
      <c r="V815" s="9">
        <v>0</v>
      </c>
      <c r="W815" s="10"/>
      <c r="X815" s="9">
        <v>0</v>
      </c>
      <c r="Y815" s="10"/>
      <c r="Z815" s="9">
        <v>0</v>
      </c>
      <c r="AA815" s="10"/>
      <c r="AB815" s="11">
        <v>0</v>
      </c>
      <c r="AC815" s="10"/>
      <c r="AD815" s="7">
        <f>SUM(F815+H815+J815+L815+N815+P815+R815+T815+V815+X815+Z815+AB815)</f>
        <v>30000</v>
      </c>
      <c r="AE815" s="7">
        <f>E815+AD815</f>
        <v>30000</v>
      </c>
      <c r="AF815" s="8">
        <f>G815+I815+K815+M815+O815+Q815+S815+U815+W815+Y815+AA815+AC815</f>
        <v>30000</v>
      </c>
      <c r="AG815" s="153">
        <f>SUM(AE815-AF815)</f>
        <v>0</v>
      </c>
      <c r="AH815" s="96" t="s">
        <v>1578</v>
      </c>
      <c r="AI815" s="96">
        <v>4</v>
      </c>
    </row>
    <row r="816" spans="1:42" customHeight="1" ht="11.5" s="96" customFormat="1">
      <c r="A816" s="5">
        <v>808</v>
      </c>
      <c r="B816" s="173" t="s">
        <v>1273</v>
      </c>
      <c r="C816" s="167" t="s">
        <v>36</v>
      </c>
      <c r="D816" s="88" t="s">
        <v>37</v>
      </c>
      <c r="E816" s="174">
        <v>135000</v>
      </c>
      <c r="F816" s="9">
        <v>45000</v>
      </c>
      <c r="G816" s="10">
        <v>135000</v>
      </c>
      <c r="H816" s="9">
        <v>85000</v>
      </c>
      <c r="I816" s="10">
        <v>45000</v>
      </c>
      <c r="J816" s="152">
        <v>25000</v>
      </c>
      <c r="K816" s="10">
        <v>85000</v>
      </c>
      <c r="L816" s="152">
        <v>20000</v>
      </c>
      <c r="M816" s="10">
        <v>25000</v>
      </c>
      <c r="N816" s="152">
        <v>55000</v>
      </c>
      <c r="O816" s="10">
        <v>20000</v>
      </c>
      <c r="P816" s="152">
        <v>25000</v>
      </c>
      <c r="Q816" s="10">
        <v>55000</v>
      </c>
      <c r="R816" s="9">
        <v>45000</v>
      </c>
      <c r="S816" s="10"/>
      <c r="T816" s="9">
        <v>0</v>
      </c>
      <c r="U816" s="10"/>
      <c r="V816" s="9">
        <v>0</v>
      </c>
      <c r="W816" s="10"/>
      <c r="X816" s="9">
        <v>0</v>
      </c>
      <c r="Y816" s="10"/>
      <c r="Z816" s="9">
        <v>0</v>
      </c>
      <c r="AA816" s="10"/>
      <c r="AB816" s="11">
        <v>0</v>
      </c>
      <c r="AC816" s="10"/>
      <c r="AD816" s="7">
        <f>SUM(F816+H816+J816+L816+N816+P816+R816+T816+V816+X816+Z816+AB816)</f>
        <v>300000</v>
      </c>
      <c r="AE816" s="7">
        <f>E816+AD816</f>
        <v>435000</v>
      </c>
      <c r="AF816" s="8">
        <f>G816+I816+K816+M816+O816+Q816+S816+U816+W816+Y816+AA816+AC816</f>
        <v>365000</v>
      </c>
      <c r="AG816" s="153">
        <f>SUM(AE816-AF816)</f>
        <v>70000</v>
      </c>
      <c r="AH816" s="96" t="s">
        <v>1579</v>
      </c>
      <c r="AI816" s="96">
        <v>4</v>
      </c>
    </row>
    <row r="817" spans="1:42" customHeight="1" ht="11.5" s="96" customFormat="1">
      <c r="A817" s="5">
        <v>809</v>
      </c>
      <c r="B817" s="173" t="s">
        <v>1274</v>
      </c>
      <c r="C817" s="167" t="s">
        <v>36</v>
      </c>
      <c r="D817" s="88" t="s">
        <v>37</v>
      </c>
      <c r="E817" s="174">
        <v>12000</v>
      </c>
      <c r="F817" s="9">
        <v>9000</v>
      </c>
      <c r="G817" s="10">
        <v>12000</v>
      </c>
      <c r="H817" s="9">
        <v>6000</v>
      </c>
      <c r="I817" s="10">
        <v>9000</v>
      </c>
      <c r="J817" s="152">
        <v>6000</v>
      </c>
      <c r="K817" s="10">
        <v>6000</v>
      </c>
      <c r="L817" s="152">
        <v>6000</v>
      </c>
      <c r="M817" s="10">
        <v>6000</v>
      </c>
      <c r="N817" s="152">
        <v>6000</v>
      </c>
      <c r="O817" s="10">
        <v>6000</v>
      </c>
      <c r="P817" s="152">
        <v>6000</v>
      </c>
      <c r="Q817" s="10">
        <v>6000</v>
      </c>
      <c r="R817" s="9">
        <v>6000</v>
      </c>
      <c r="S817" s="10"/>
      <c r="T817" s="9">
        <v>0</v>
      </c>
      <c r="U817" s="10"/>
      <c r="V817" s="9">
        <v>0</v>
      </c>
      <c r="W817" s="10"/>
      <c r="X817" s="9">
        <v>0</v>
      </c>
      <c r="Y817" s="10"/>
      <c r="Z817" s="9">
        <v>0</v>
      </c>
      <c r="AA817" s="10"/>
      <c r="AB817" s="11">
        <v>0</v>
      </c>
      <c r="AC817" s="10"/>
      <c r="AD817" s="7">
        <f>SUM(F817+H817+J817+L817+N817+P817+R817+T817+V817+X817+Z817+AB817)</f>
        <v>45000</v>
      </c>
      <c r="AE817" s="7">
        <f>E817+AD817</f>
        <v>57000</v>
      </c>
      <c r="AF817" s="8">
        <f>G817+I817+K817+M817+O817+Q817+S817+U817+W817+Y817+AA817+AC817</f>
        <v>45000</v>
      </c>
      <c r="AG817" s="153">
        <f>SUM(AE817-AF817)</f>
        <v>12000</v>
      </c>
      <c r="AH817" s="96" t="s">
        <v>1579</v>
      </c>
      <c r="AI817" s="96">
        <v>4</v>
      </c>
    </row>
    <row r="818" spans="1:42" customHeight="1" ht="11.5" s="96" customFormat="1">
      <c r="A818" s="5">
        <v>810</v>
      </c>
      <c r="B818" s="173" t="s">
        <v>1275</v>
      </c>
      <c r="C818" s="167" t="s">
        <v>112</v>
      </c>
      <c r="D818" s="88" t="s">
        <v>113</v>
      </c>
      <c r="E818" s="174">
        <v>5000</v>
      </c>
      <c r="F818" s="9">
        <v>15000</v>
      </c>
      <c r="G818" s="10">
        <v>5000</v>
      </c>
      <c r="H818" s="9">
        <v>20000</v>
      </c>
      <c r="I818" s="10">
        <v>15000</v>
      </c>
      <c r="J818" s="152">
        <v>10000</v>
      </c>
      <c r="K818" s="10">
        <v>20000</v>
      </c>
      <c r="L818" s="152">
        <v>10000</v>
      </c>
      <c r="M818" s="10">
        <v>10000</v>
      </c>
      <c r="N818" s="152">
        <v>15000</v>
      </c>
      <c r="O818" s="10">
        <v>10000</v>
      </c>
      <c r="P818" s="152">
        <v>10000</v>
      </c>
      <c r="Q818" s="10">
        <v>15000</v>
      </c>
      <c r="R818" s="9">
        <v>15000</v>
      </c>
      <c r="S818" s="10"/>
      <c r="T818" s="9">
        <v>0</v>
      </c>
      <c r="U818" s="10"/>
      <c r="V818" s="9">
        <v>0</v>
      </c>
      <c r="W818" s="10"/>
      <c r="X818" s="9">
        <v>0</v>
      </c>
      <c r="Y818" s="10"/>
      <c r="Z818" s="9">
        <v>0</v>
      </c>
      <c r="AA818" s="10"/>
      <c r="AB818" s="11">
        <v>0</v>
      </c>
      <c r="AC818" s="10"/>
      <c r="AD818" s="7">
        <f>SUM(F818+H818+J818+L818+N818+P818+R818+T818+V818+X818+Z818+AB818)</f>
        <v>95000</v>
      </c>
      <c r="AE818" s="7">
        <f>E818+AD818</f>
        <v>100000</v>
      </c>
      <c r="AF818" s="8">
        <f>G818+I818+K818+M818+O818+Q818+S818+U818+W818+Y818+AA818+AC818</f>
        <v>75000</v>
      </c>
      <c r="AG818" s="153">
        <f>SUM(AE818-AF818)</f>
        <v>25000</v>
      </c>
      <c r="AH818" s="96" t="s">
        <v>1580</v>
      </c>
      <c r="AI818" s="96">
        <v>4</v>
      </c>
    </row>
    <row r="819" spans="1:42" customHeight="1" ht="11.5" s="96" customFormat="1">
      <c r="A819" s="5">
        <v>811</v>
      </c>
      <c r="B819" s="173" t="s">
        <v>1276</v>
      </c>
      <c r="C819" s="167" t="s">
        <v>36</v>
      </c>
      <c r="D819" s="88" t="s">
        <v>37</v>
      </c>
      <c r="E819" s="174">
        <v>0</v>
      </c>
      <c r="F819" s="9">
        <v>0</v>
      </c>
      <c r="G819" s="10"/>
      <c r="H819" s="9">
        <v>0</v>
      </c>
      <c r="I819" s="10"/>
      <c r="J819" s="152">
        <v>0</v>
      </c>
      <c r="K819" s="10"/>
      <c r="L819" s="152">
        <v>0</v>
      </c>
      <c r="M819" s="10"/>
      <c r="N819" s="152">
        <v>0</v>
      </c>
      <c r="O819" s="10"/>
      <c r="P819" s="152">
        <v>0</v>
      </c>
      <c r="Q819" s="10"/>
      <c r="R819" s="9">
        <v>0</v>
      </c>
      <c r="S819" s="10"/>
      <c r="T819" s="9">
        <v>0</v>
      </c>
      <c r="U819" s="10"/>
      <c r="V819" s="9">
        <v>0</v>
      </c>
      <c r="W819" s="10"/>
      <c r="X819" s="9">
        <v>0</v>
      </c>
      <c r="Y819" s="10"/>
      <c r="Z819" s="9">
        <v>0</v>
      </c>
      <c r="AA819" s="10"/>
      <c r="AB819" s="11">
        <v>0</v>
      </c>
      <c r="AC819" s="10"/>
      <c r="AD819" s="7">
        <f>SUM(F819+H819+J819+L819+N819+P819+R819+T819+V819+X819+Z819+AB819)</f>
        <v>0</v>
      </c>
      <c r="AE819" s="7">
        <f>E819+AD819</f>
        <v>0</v>
      </c>
      <c r="AF819" s="8">
        <f>G819+I819+K819+M819+O819+Q819+S819+U819+W819+Y819+AA819+AC819</f>
        <v>0</v>
      </c>
      <c r="AG819" s="153">
        <f>SUM(AE819-AF819)</f>
        <v>0</v>
      </c>
      <c r="AH819" s="96" t="s">
        <v>1581</v>
      </c>
      <c r="AI819" s="96">
        <v>4</v>
      </c>
    </row>
    <row r="820" spans="1:42" customHeight="1" ht="11.5" s="96" customFormat="1">
      <c r="A820" s="5">
        <v>812</v>
      </c>
      <c r="B820" s="173" t="s">
        <v>1277</v>
      </c>
      <c r="C820" s="167" t="s">
        <v>36</v>
      </c>
      <c r="D820" s="88" t="s">
        <v>37</v>
      </c>
      <c r="E820" s="174">
        <v>0</v>
      </c>
      <c r="F820" s="9">
        <v>0</v>
      </c>
      <c r="G820" s="10"/>
      <c r="H820" s="9">
        <v>0</v>
      </c>
      <c r="I820" s="10"/>
      <c r="J820" s="152">
        <v>0</v>
      </c>
      <c r="K820" s="10"/>
      <c r="L820" s="152">
        <v>0</v>
      </c>
      <c r="M820" s="10"/>
      <c r="N820" s="152">
        <v>0</v>
      </c>
      <c r="O820" s="10"/>
      <c r="P820" s="152">
        <v>0</v>
      </c>
      <c r="Q820" s="10"/>
      <c r="R820" s="9">
        <v>0</v>
      </c>
      <c r="S820" s="10"/>
      <c r="T820" s="9">
        <v>0</v>
      </c>
      <c r="U820" s="10"/>
      <c r="V820" s="9">
        <v>0</v>
      </c>
      <c r="W820" s="10"/>
      <c r="X820" s="9">
        <v>0</v>
      </c>
      <c r="Y820" s="10"/>
      <c r="Z820" s="9">
        <v>0</v>
      </c>
      <c r="AA820" s="10"/>
      <c r="AB820" s="11">
        <v>0</v>
      </c>
      <c r="AC820" s="10"/>
      <c r="AD820" s="7">
        <f>SUM(F820+H820+J820+L820+N820+P820+R820+T820+V820+X820+Z820+AB820)</f>
        <v>0</v>
      </c>
      <c r="AE820" s="7">
        <f>E820+AD820</f>
        <v>0</v>
      </c>
      <c r="AF820" s="8">
        <f>G820+I820+K820+M820+O820+Q820+S820+U820+W820+Y820+AA820+AC820</f>
        <v>0</v>
      </c>
      <c r="AG820" s="153">
        <f>SUM(AE820-AF820)</f>
        <v>0</v>
      </c>
      <c r="AH820" s="96" t="s">
        <v>1582</v>
      </c>
      <c r="AI820" s="96">
        <v>4</v>
      </c>
    </row>
    <row r="821" spans="1:42" customHeight="1" ht="11.5" s="96" customFormat="1">
      <c r="A821" s="5">
        <v>813</v>
      </c>
      <c r="B821" s="173" t="s">
        <v>1278</v>
      </c>
      <c r="C821" s="167" t="s">
        <v>36</v>
      </c>
      <c r="D821" s="88" t="s">
        <v>37</v>
      </c>
      <c r="E821" s="174">
        <v>0</v>
      </c>
      <c r="F821" s="9">
        <v>0</v>
      </c>
      <c r="G821" s="10"/>
      <c r="H821" s="9">
        <v>0</v>
      </c>
      <c r="I821" s="10"/>
      <c r="J821" s="152">
        <v>0</v>
      </c>
      <c r="K821" s="10"/>
      <c r="L821" s="152">
        <v>0</v>
      </c>
      <c r="M821" s="10"/>
      <c r="N821" s="152">
        <v>0</v>
      </c>
      <c r="O821" s="10"/>
      <c r="P821" s="152">
        <v>0</v>
      </c>
      <c r="Q821" s="10"/>
      <c r="R821" s="9">
        <v>0</v>
      </c>
      <c r="S821" s="10"/>
      <c r="T821" s="9">
        <v>0</v>
      </c>
      <c r="U821" s="10"/>
      <c r="V821" s="9">
        <v>0</v>
      </c>
      <c r="W821" s="10"/>
      <c r="X821" s="9">
        <v>0</v>
      </c>
      <c r="Y821" s="10"/>
      <c r="Z821" s="9">
        <v>0</v>
      </c>
      <c r="AA821" s="10"/>
      <c r="AB821" s="11">
        <v>0</v>
      </c>
      <c r="AC821" s="10"/>
      <c r="AD821" s="7">
        <f>SUM(F821+H821+J821+L821+N821+P821+R821+T821+V821+X821+Z821+AB821)</f>
        <v>0</v>
      </c>
      <c r="AE821" s="7">
        <f>E821+AD821</f>
        <v>0</v>
      </c>
      <c r="AF821" s="8">
        <f>G821+I821+K821+M821+O821+Q821+S821+U821+W821+Y821+AA821+AC821</f>
        <v>0</v>
      </c>
      <c r="AG821" s="153">
        <f>SUM(AE821-AF821)</f>
        <v>0</v>
      </c>
      <c r="AH821" s="96" t="s">
        <v>1583</v>
      </c>
      <c r="AI821" s="96">
        <v>4</v>
      </c>
    </row>
    <row r="822" spans="1:42" customHeight="1" ht="11.5" s="96" customFormat="1">
      <c r="A822" s="5">
        <v>814</v>
      </c>
      <c r="B822" s="173" t="s">
        <v>1279</v>
      </c>
      <c r="C822" s="167" t="s">
        <v>36</v>
      </c>
      <c r="D822" s="88" t="s">
        <v>37</v>
      </c>
      <c r="E822" s="174">
        <v>0</v>
      </c>
      <c r="F822" s="9">
        <v>10000</v>
      </c>
      <c r="G822" s="10"/>
      <c r="H822" s="9">
        <v>0</v>
      </c>
      <c r="I822" s="10">
        <v>10000</v>
      </c>
      <c r="J822" s="152">
        <v>20000</v>
      </c>
      <c r="K822" s="10"/>
      <c r="L822" s="152">
        <v>0</v>
      </c>
      <c r="M822" s="10">
        <v>20000</v>
      </c>
      <c r="N822" s="152">
        <v>10000</v>
      </c>
      <c r="O822" s="10"/>
      <c r="P822" s="152">
        <v>10000</v>
      </c>
      <c r="Q822" s="10">
        <v>10000</v>
      </c>
      <c r="R822" s="9">
        <v>10000</v>
      </c>
      <c r="S822" s="10"/>
      <c r="T822" s="9">
        <v>0</v>
      </c>
      <c r="U822" s="10"/>
      <c r="V822" s="9">
        <v>0</v>
      </c>
      <c r="W822" s="10"/>
      <c r="X822" s="9">
        <v>0</v>
      </c>
      <c r="Y822" s="10"/>
      <c r="Z822" s="9">
        <v>0</v>
      </c>
      <c r="AA822" s="10"/>
      <c r="AB822" s="11">
        <v>0</v>
      </c>
      <c r="AC822" s="10"/>
      <c r="AD822" s="7">
        <f>SUM(F822+H822+J822+L822+N822+P822+R822+T822+V822+X822+Z822+AB822)</f>
        <v>60000</v>
      </c>
      <c r="AE822" s="7">
        <f>E822+AD822</f>
        <v>60000</v>
      </c>
      <c r="AF822" s="8">
        <f>G822+I822+K822+M822+O822+Q822+S822+U822+W822+Y822+AA822+AC822</f>
        <v>40000</v>
      </c>
      <c r="AG822" s="153">
        <f>SUM(AE822-AF822)</f>
        <v>20000</v>
      </c>
      <c r="AH822" s="96" t="s">
        <v>1583</v>
      </c>
      <c r="AI822" s="96">
        <v>4</v>
      </c>
    </row>
    <row r="823" spans="1:42" customHeight="1" ht="11.5" s="96" customFormat="1">
      <c r="A823" s="5">
        <v>815</v>
      </c>
      <c r="B823" s="173" t="s">
        <v>1280</v>
      </c>
      <c r="C823" s="167" t="s">
        <v>36</v>
      </c>
      <c r="D823" s="88" t="s">
        <v>37</v>
      </c>
      <c r="E823" s="174">
        <v>0</v>
      </c>
      <c r="F823" s="9">
        <v>0</v>
      </c>
      <c r="G823" s="10"/>
      <c r="H823" s="9">
        <v>0</v>
      </c>
      <c r="I823" s="10"/>
      <c r="J823" s="152">
        <v>0</v>
      </c>
      <c r="K823" s="10"/>
      <c r="L823" s="152">
        <v>0</v>
      </c>
      <c r="M823" s="10"/>
      <c r="N823" s="152">
        <v>0</v>
      </c>
      <c r="O823" s="10"/>
      <c r="P823" s="152">
        <v>0</v>
      </c>
      <c r="Q823" s="10"/>
      <c r="R823" s="9">
        <v>0</v>
      </c>
      <c r="S823" s="10"/>
      <c r="T823" s="9">
        <v>0</v>
      </c>
      <c r="U823" s="10"/>
      <c r="V823" s="9">
        <v>0</v>
      </c>
      <c r="W823" s="10"/>
      <c r="X823" s="9">
        <v>0</v>
      </c>
      <c r="Y823" s="10"/>
      <c r="Z823" s="9">
        <v>0</v>
      </c>
      <c r="AA823" s="10"/>
      <c r="AB823" s="11">
        <v>0</v>
      </c>
      <c r="AC823" s="10"/>
      <c r="AD823" s="7">
        <f>SUM(F823+H823+J823+L823+N823+P823+R823+T823+V823+X823+Z823+AB823)</f>
        <v>0</v>
      </c>
      <c r="AE823" s="7">
        <f>E823+AD823</f>
        <v>0</v>
      </c>
      <c r="AF823" s="8">
        <f>G823+I823+K823+M823+O823+Q823+S823+U823+W823+Y823+AA823+AC823</f>
        <v>0</v>
      </c>
      <c r="AG823" s="153">
        <f>SUM(AE823-AF823)</f>
        <v>0</v>
      </c>
      <c r="AH823" s="96" t="s">
        <v>1583</v>
      </c>
      <c r="AI823" s="96">
        <v>4</v>
      </c>
    </row>
    <row r="824" spans="1:42" customHeight="1" ht="11.5" s="96" customFormat="1">
      <c r="A824" s="5">
        <v>816</v>
      </c>
      <c r="B824" s="173" t="s">
        <v>1281</v>
      </c>
      <c r="C824" s="167" t="s">
        <v>36</v>
      </c>
      <c r="D824" s="88" t="s">
        <v>37</v>
      </c>
      <c r="E824" s="174">
        <v>0</v>
      </c>
      <c r="F824" s="9">
        <v>0</v>
      </c>
      <c r="G824" s="10"/>
      <c r="H824" s="9">
        <v>0</v>
      </c>
      <c r="I824" s="10"/>
      <c r="J824" s="152">
        <v>0</v>
      </c>
      <c r="K824" s="10"/>
      <c r="L824" s="152">
        <v>0</v>
      </c>
      <c r="M824" s="10"/>
      <c r="N824" s="152">
        <v>0</v>
      </c>
      <c r="O824" s="10"/>
      <c r="P824" s="152">
        <v>0</v>
      </c>
      <c r="Q824" s="10"/>
      <c r="R824" s="9">
        <v>0</v>
      </c>
      <c r="S824" s="10"/>
      <c r="T824" s="9">
        <v>0</v>
      </c>
      <c r="U824" s="10"/>
      <c r="V824" s="9">
        <v>0</v>
      </c>
      <c r="W824" s="10"/>
      <c r="X824" s="9">
        <v>0</v>
      </c>
      <c r="Y824" s="10"/>
      <c r="Z824" s="9">
        <v>0</v>
      </c>
      <c r="AA824" s="10"/>
      <c r="AB824" s="11">
        <v>0</v>
      </c>
      <c r="AC824" s="10"/>
      <c r="AD824" s="7">
        <f>SUM(F824+H824+J824+L824+N824+P824+R824+T824+V824+X824+Z824+AB824)</f>
        <v>0</v>
      </c>
      <c r="AE824" s="7">
        <f>E824+AD824</f>
        <v>0</v>
      </c>
      <c r="AF824" s="8">
        <f>G824+I824+K824+M824+O824+Q824+S824+U824+W824+Y824+AA824+AC824</f>
        <v>0</v>
      </c>
      <c r="AG824" s="153">
        <f>SUM(AE824-AF824)</f>
        <v>0</v>
      </c>
      <c r="AH824" s="96" t="s">
        <v>1583</v>
      </c>
      <c r="AI824" s="96">
        <v>4</v>
      </c>
    </row>
    <row r="825" spans="1:42" customHeight="1" ht="11.5" s="96" customFormat="1">
      <c r="A825" s="5">
        <v>817</v>
      </c>
      <c r="B825" s="173" t="s">
        <v>1282</v>
      </c>
      <c r="C825" s="167" t="s">
        <v>36</v>
      </c>
      <c r="D825" s="175" t="s">
        <v>37</v>
      </c>
      <c r="E825" s="174">
        <v>0</v>
      </c>
      <c r="F825" s="9">
        <v>0</v>
      </c>
      <c r="G825" s="10"/>
      <c r="H825" s="9">
        <v>0</v>
      </c>
      <c r="I825" s="10"/>
      <c r="J825" s="152">
        <v>0</v>
      </c>
      <c r="K825" s="10"/>
      <c r="L825" s="152">
        <v>0</v>
      </c>
      <c r="M825" s="10"/>
      <c r="N825" s="152">
        <v>0</v>
      </c>
      <c r="O825" s="10"/>
      <c r="P825" s="152">
        <v>0</v>
      </c>
      <c r="Q825" s="10"/>
      <c r="R825" s="9">
        <v>0</v>
      </c>
      <c r="S825" s="10"/>
      <c r="T825" s="9">
        <v>0</v>
      </c>
      <c r="U825" s="10"/>
      <c r="V825" s="9">
        <v>0</v>
      </c>
      <c r="W825" s="10"/>
      <c r="X825" s="9">
        <v>0</v>
      </c>
      <c r="Y825" s="10"/>
      <c r="Z825" s="9">
        <v>0</v>
      </c>
      <c r="AA825" s="10"/>
      <c r="AB825" s="11">
        <v>0</v>
      </c>
      <c r="AC825" s="10"/>
      <c r="AD825" s="7">
        <f>SUM(F825+H825+J825+L825+N825+P825+R825+T825+V825+X825+Z825+AB825)</f>
        <v>0</v>
      </c>
      <c r="AE825" s="7">
        <f>E825+AD825</f>
        <v>0</v>
      </c>
      <c r="AF825" s="8">
        <f>G825+I825+K825+M825+O825+Q825+S825+U825+W825+Y825+AA825+AC825</f>
        <v>0</v>
      </c>
      <c r="AG825" s="153">
        <f>SUM(AE825-AF825)</f>
        <v>0</v>
      </c>
      <c r="AH825" s="96" t="s">
        <v>1583</v>
      </c>
      <c r="AI825" s="96">
        <v>4</v>
      </c>
    </row>
    <row r="826" spans="1:42" customHeight="1" ht="11.5" s="96" customFormat="1">
      <c r="A826" s="5">
        <v>818</v>
      </c>
      <c r="B826" s="173" t="s">
        <v>1283</v>
      </c>
      <c r="C826" s="167" t="s">
        <v>36</v>
      </c>
      <c r="D826" s="175" t="s">
        <v>37</v>
      </c>
      <c r="E826" s="174">
        <v>15000</v>
      </c>
      <c r="F826" s="9">
        <v>30000</v>
      </c>
      <c r="G826" s="10">
        <v>15000</v>
      </c>
      <c r="H826" s="9">
        <v>35000</v>
      </c>
      <c r="I826" s="10">
        <v>30000</v>
      </c>
      <c r="J826" s="152">
        <v>20000</v>
      </c>
      <c r="K826" s="10">
        <v>35000</v>
      </c>
      <c r="L826" s="152">
        <v>20000</v>
      </c>
      <c r="M826" s="10">
        <v>20000</v>
      </c>
      <c r="N826" s="152">
        <v>20000</v>
      </c>
      <c r="O826" s="10">
        <v>20000</v>
      </c>
      <c r="P826" s="152">
        <v>25000</v>
      </c>
      <c r="Q826" s="10">
        <v>20000</v>
      </c>
      <c r="R826" s="9">
        <v>35000</v>
      </c>
      <c r="S826" s="10"/>
      <c r="T826" s="9">
        <v>0</v>
      </c>
      <c r="U826" s="10"/>
      <c r="V826" s="9">
        <v>0</v>
      </c>
      <c r="W826" s="10"/>
      <c r="X826" s="9">
        <v>0</v>
      </c>
      <c r="Y826" s="10"/>
      <c r="Z826" s="9">
        <v>0</v>
      </c>
      <c r="AA826" s="10"/>
      <c r="AB826" s="11">
        <v>0</v>
      </c>
      <c r="AC826" s="10"/>
      <c r="AD826" s="7">
        <f>SUM(F826+H826+J826+L826+N826+P826+R826+T826+V826+X826+Z826+AB826)</f>
        <v>185000</v>
      </c>
      <c r="AE826" s="7">
        <f>E826+AD826</f>
        <v>200000</v>
      </c>
      <c r="AF826" s="8">
        <f>G826+I826+K826+M826+O826+Q826+S826+U826+W826+Y826+AA826+AC826</f>
        <v>140000</v>
      </c>
      <c r="AG826" s="153">
        <f>SUM(AE826-AF826)</f>
        <v>60000</v>
      </c>
      <c r="AH826" s="96" t="s">
        <v>1584</v>
      </c>
      <c r="AI826" s="96">
        <v>4</v>
      </c>
    </row>
    <row r="827" spans="1:42" customHeight="1" ht="11.5" s="96" customFormat="1">
      <c r="A827" s="5">
        <v>819</v>
      </c>
      <c r="B827" s="173" t="s">
        <v>1284</v>
      </c>
      <c r="C827" s="167" t="s">
        <v>36</v>
      </c>
      <c r="D827" s="175" t="s">
        <v>37</v>
      </c>
      <c r="E827" s="174">
        <v>45000</v>
      </c>
      <c r="F827" s="9">
        <v>15000</v>
      </c>
      <c r="G827" s="10">
        <v>45000</v>
      </c>
      <c r="H827" s="9">
        <v>15000</v>
      </c>
      <c r="I827" s="10">
        <v>15000</v>
      </c>
      <c r="J827" s="152">
        <v>10000</v>
      </c>
      <c r="K827" s="10">
        <v>15000</v>
      </c>
      <c r="L827" s="152">
        <v>10000</v>
      </c>
      <c r="M827" s="10">
        <v>10000</v>
      </c>
      <c r="N827" s="152">
        <v>5000</v>
      </c>
      <c r="O827" s="10">
        <v>10000</v>
      </c>
      <c r="P827" s="152">
        <v>10000</v>
      </c>
      <c r="Q827" s="10">
        <v>5000</v>
      </c>
      <c r="R827" s="9">
        <v>10000</v>
      </c>
      <c r="S827" s="10"/>
      <c r="T827" s="9">
        <v>0</v>
      </c>
      <c r="U827" s="10"/>
      <c r="V827" s="9">
        <v>0</v>
      </c>
      <c r="W827" s="10"/>
      <c r="X827" s="9">
        <v>0</v>
      </c>
      <c r="Y827" s="10"/>
      <c r="Z827" s="9">
        <v>0</v>
      </c>
      <c r="AA827" s="10"/>
      <c r="AB827" s="11">
        <v>0</v>
      </c>
      <c r="AC827" s="10"/>
      <c r="AD827" s="7">
        <f>SUM(F827+H827+J827+L827+N827+P827+R827+T827+V827+X827+Z827+AB827)</f>
        <v>75000</v>
      </c>
      <c r="AE827" s="7">
        <f>E827+AD827</f>
        <v>120000</v>
      </c>
      <c r="AF827" s="8">
        <f>G827+I827+K827+M827+O827+Q827+S827+U827+W827+Y827+AA827+AC827</f>
        <v>100000</v>
      </c>
      <c r="AG827" s="153">
        <f>SUM(AE827-AF827)</f>
        <v>20000</v>
      </c>
      <c r="AH827" s="96" t="s">
        <v>1584</v>
      </c>
      <c r="AI827" s="96">
        <v>4</v>
      </c>
    </row>
    <row r="828" spans="1:42" customHeight="1" ht="11.5" s="96" customFormat="1">
      <c r="A828" s="5">
        <v>820</v>
      </c>
      <c r="B828" s="173" t="s">
        <v>1285</v>
      </c>
      <c r="C828" s="167" t="s">
        <v>36</v>
      </c>
      <c r="D828" s="175" t="s">
        <v>37</v>
      </c>
      <c r="E828" s="174">
        <v>65000</v>
      </c>
      <c r="F828" s="9">
        <v>30000</v>
      </c>
      <c r="G828" s="10">
        <v>65000</v>
      </c>
      <c r="H828" s="9">
        <v>25000</v>
      </c>
      <c r="I828" s="10">
        <v>30000</v>
      </c>
      <c r="J828" s="152">
        <v>15000</v>
      </c>
      <c r="K828" s="10">
        <v>25000</v>
      </c>
      <c r="L828" s="152">
        <v>15000</v>
      </c>
      <c r="M828" s="10">
        <v>15000</v>
      </c>
      <c r="N828" s="152">
        <v>15000</v>
      </c>
      <c r="O828" s="10">
        <v>15000</v>
      </c>
      <c r="P828" s="152">
        <v>10000</v>
      </c>
      <c r="Q828" s="10">
        <v>15000</v>
      </c>
      <c r="R828" s="9">
        <v>20000</v>
      </c>
      <c r="S828" s="10"/>
      <c r="T828" s="9">
        <v>0</v>
      </c>
      <c r="U828" s="10"/>
      <c r="V828" s="9">
        <v>0</v>
      </c>
      <c r="W828" s="10"/>
      <c r="X828" s="9">
        <v>0</v>
      </c>
      <c r="Y828" s="10"/>
      <c r="Z828" s="9">
        <v>0</v>
      </c>
      <c r="AA828" s="10"/>
      <c r="AB828" s="11">
        <v>0</v>
      </c>
      <c r="AC828" s="10"/>
      <c r="AD828" s="7">
        <f>SUM(F828+H828+J828+L828+N828+P828+R828+T828+V828+X828+Z828+AB828)</f>
        <v>130000</v>
      </c>
      <c r="AE828" s="7">
        <f>E828+AD828</f>
        <v>195000</v>
      </c>
      <c r="AF828" s="8">
        <f>G828+I828+K828+M828+O828+Q828+S828+U828+W828+Y828+AA828+AC828</f>
        <v>165000</v>
      </c>
      <c r="AG828" s="153">
        <f>SUM(AE828-AF828)</f>
        <v>30000</v>
      </c>
      <c r="AH828" s="96" t="s">
        <v>1585</v>
      </c>
      <c r="AI828" s="96">
        <v>4</v>
      </c>
    </row>
    <row r="829" spans="1:42" customHeight="1" ht="11.5" s="96" customFormat="1">
      <c r="A829" s="5">
        <v>821</v>
      </c>
      <c r="B829" s="173" t="s">
        <v>1286</v>
      </c>
      <c r="C829" s="167" t="s">
        <v>36</v>
      </c>
      <c r="D829" s="175" t="s">
        <v>37</v>
      </c>
      <c r="E829" s="174">
        <v>0</v>
      </c>
      <c r="F829" s="9">
        <v>0</v>
      </c>
      <c r="G829" s="10"/>
      <c r="H829" s="9">
        <v>0</v>
      </c>
      <c r="I829" s="10"/>
      <c r="J829" s="152">
        <v>0</v>
      </c>
      <c r="K829" s="10"/>
      <c r="L829" s="152">
        <v>0</v>
      </c>
      <c r="M829" s="10"/>
      <c r="N829" s="152">
        <v>0</v>
      </c>
      <c r="O829" s="10"/>
      <c r="P829" s="152">
        <v>0</v>
      </c>
      <c r="Q829" s="10"/>
      <c r="R829" s="9">
        <v>0</v>
      </c>
      <c r="S829" s="10"/>
      <c r="T829" s="9">
        <v>0</v>
      </c>
      <c r="U829" s="10"/>
      <c r="V829" s="9">
        <v>0</v>
      </c>
      <c r="W829" s="10"/>
      <c r="X829" s="9">
        <v>0</v>
      </c>
      <c r="Y829" s="10"/>
      <c r="Z829" s="9">
        <v>0</v>
      </c>
      <c r="AA829" s="10"/>
      <c r="AB829" s="11">
        <v>0</v>
      </c>
      <c r="AC829" s="10"/>
      <c r="AD829" s="7">
        <f>SUM(F829+H829+J829+L829+N829+P829+R829+T829+V829+X829+Z829+AB829)</f>
        <v>0</v>
      </c>
      <c r="AE829" s="7">
        <f>E829+AD829</f>
        <v>0</v>
      </c>
      <c r="AF829" s="8">
        <f>G829+I829+K829+M829+O829+Q829+S829+U829+W829+Y829+AA829+AC829</f>
        <v>0</v>
      </c>
      <c r="AG829" s="153">
        <f>SUM(AE829-AF829)</f>
        <v>0</v>
      </c>
      <c r="AH829" s="96" t="s">
        <v>1586</v>
      </c>
      <c r="AI829" s="96">
        <v>4</v>
      </c>
    </row>
    <row r="830" spans="1:42" customHeight="1" ht="11.5" s="96" customFormat="1">
      <c r="A830" s="5">
        <v>822</v>
      </c>
      <c r="B830" s="173" t="s">
        <v>1287</v>
      </c>
      <c r="C830" s="167" t="s">
        <v>112</v>
      </c>
      <c r="D830" s="175" t="s">
        <v>113</v>
      </c>
      <c r="E830" s="174">
        <v>102445</v>
      </c>
      <c r="F830" s="9">
        <v>28000</v>
      </c>
      <c r="G830" s="10"/>
      <c r="H830" s="9">
        <v>12000</v>
      </c>
      <c r="I830" s="10">
        <v>130445</v>
      </c>
      <c r="J830" s="152">
        <v>14000</v>
      </c>
      <c r="K830" s="10">
        <v>12000</v>
      </c>
      <c r="L830" s="152">
        <v>14000</v>
      </c>
      <c r="M830" s="10">
        <v>14000</v>
      </c>
      <c r="N830" s="152">
        <v>22000</v>
      </c>
      <c r="O830" s="10">
        <v>14000</v>
      </c>
      <c r="P830" s="152">
        <v>24000</v>
      </c>
      <c r="Q830" s="10">
        <v>22000</v>
      </c>
      <c r="R830" s="9">
        <v>28000</v>
      </c>
      <c r="S830" s="10"/>
      <c r="T830" s="9">
        <v>0</v>
      </c>
      <c r="U830" s="10"/>
      <c r="V830" s="9">
        <v>0</v>
      </c>
      <c r="W830" s="10"/>
      <c r="X830" s="9">
        <v>0</v>
      </c>
      <c r="Y830" s="10"/>
      <c r="Z830" s="9">
        <v>0</v>
      </c>
      <c r="AA830" s="10"/>
      <c r="AB830" s="11">
        <v>0</v>
      </c>
      <c r="AC830" s="10"/>
      <c r="AD830" s="7">
        <f>SUM(F830+H830+J830+L830+N830+P830+R830+T830+V830+X830+Z830+AB830)</f>
        <v>142000</v>
      </c>
      <c r="AE830" s="7">
        <f>E830+AD830</f>
        <v>244445</v>
      </c>
      <c r="AF830" s="8">
        <f>G830+I830+K830+M830+O830+Q830+S830+U830+W830+Y830+AA830+AC830</f>
        <v>192445</v>
      </c>
      <c r="AG830" s="153">
        <f>SUM(AE830-AF830)</f>
        <v>52000</v>
      </c>
      <c r="AH830" s="96" t="s">
        <v>1587</v>
      </c>
      <c r="AI830" s="96">
        <v>4</v>
      </c>
    </row>
    <row r="831" spans="1:42" customHeight="1" ht="11.5" s="96" customFormat="1">
      <c r="A831" s="5">
        <v>823</v>
      </c>
      <c r="B831" s="173" t="s">
        <v>1288</v>
      </c>
      <c r="C831" s="167" t="s">
        <v>105</v>
      </c>
      <c r="D831" s="88" t="s">
        <v>106</v>
      </c>
      <c r="E831" s="174">
        <v>30000</v>
      </c>
      <c r="F831" s="9">
        <v>0</v>
      </c>
      <c r="G831" s="10"/>
      <c r="H831" s="9">
        <v>0</v>
      </c>
      <c r="I831" s="10"/>
      <c r="J831" s="152">
        <v>0</v>
      </c>
      <c r="K831" s="10"/>
      <c r="L831" s="152">
        <v>0</v>
      </c>
      <c r="M831" s="10"/>
      <c r="N831" s="152">
        <v>0</v>
      </c>
      <c r="O831" s="10"/>
      <c r="P831" s="152">
        <v>0</v>
      </c>
      <c r="Q831" s="10"/>
      <c r="R831" s="9">
        <v>0</v>
      </c>
      <c r="S831" s="10"/>
      <c r="T831" s="9">
        <v>0</v>
      </c>
      <c r="U831" s="10"/>
      <c r="V831" s="9">
        <v>0</v>
      </c>
      <c r="W831" s="10"/>
      <c r="X831" s="9">
        <v>0</v>
      </c>
      <c r="Y831" s="10"/>
      <c r="Z831" s="9">
        <v>0</v>
      </c>
      <c r="AA831" s="10"/>
      <c r="AB831" s="11">
        <v>0</v>
      </c>
      <c r="AC831" s="10"/>
      <c r="AD831" s="7">
        <f>SUM(F831+H831+J831+L831+N831+P831+R831+T831+V831+X831+Z831+AB831)</f>
        <v>0</v>
      </c>
      <c r="AE831" s="7">
        <f>E831+AD831</f>
        <v>30000</v>
      </c>
      <c r="AF831" s="8">
        <f>G831+I831+K831+M831+O831+Q831+S831+U831+W831+Y831+AA831+AC831</f>
        <v>0</v>
      </c>
      <c r="AG831" s="153">
        <f>SUM(AE831-AF831)</f>
        <v>30000</v>
      </c>
      <c r="AH831" s="96" t="s">
        <v>1587</v>
      </c>
      <c r="AI831" s="96">
        <v>4</v>
      </c>
    </row>
    <row r="832" spans="1:42" customHeight="1" ht="11.5" s="96" customFormat="1">
      <c r="A832" s="5">
        <v>824</v>
      </c>
      <c r="B832" s="173" t="s">
        <v>1289</v>
      </c>
      <c r="C832" s="167" t="s">
        <v>36</v>
      </c>
      <c r="D832" s="88" t="s">
        <v>37</v>
      </c>
      <c r="E832" s="174">
        <v>19800</v>
      </c>
      <c r="F832" s="9">
        <v>0</v>
      </c>
      <c r="G832" s="10">
        <v>19800</v>
      </c>
      <c r="H832" s="9">
        <v>0</v>
      </c>
      <c r="I832" s="10"/>
      <c r="J832" s="152">
        <v>0</v>
      </c>
      <c r="K832" s="10"/>
      <c r="L832" s="152">
        <v>0</v>
      </c>
      <c r="M832" s="10"/>
      <c r="N832" s="152">
        <v>0</v>
      </c>
      <c r="O832" s="10"/>
      <c r="P832" s="152">
        <v>0</v>
      </c>
      <c r="Q832" s="10"/>
      <c r="R832" s="9">
        <v>0</v>
      </c>
      <c r="S832" s="10"/>
      <c r="T832" s="9">
        <v>0</v>
      </c>
      <c r="U832" s="10"/>
      <c r="V832" s="9">
        <v>0</v>
      </c>
      <c r="W832" s="10"/>
      <c r="X832" s="9">
        <v>0</v>
      </c>
      <c r="Y832" s="10"/>
      <c r="Z832" s="9">
        <v>0</v>
      </c>
      <c r="AA832" s="10"/>
      <c r="AB832" s="11">
        <v>0</v>
      </c>
      <c r="AC832" s="10"/>
      <c r="AD832" s="7">
        <f>SUM(F832+H832+J832+L832+N832+P832+R832+T832+V832+X832+Z832+AB832)</f>
        <v>0</v>
      </c>
      <c r="AE832" s="7">
        <f>E832+AD832</f>
        <v>19800</v>
      </c>
      <c r="AF832" s="8">
        <f>G832+I832+K832+M832+O832+Q832+S832+U832+W832+Y832+AA832+AC832</f>
        <v>19800</v>
      </c>
      <c r="AG832" s="153">
        <f>SUM(AE832-AF832)</f>
        <v>0</v>
      </c>
      <c r="AH832" s="96" t="s">
        <v>1588</v>
      </c>
      <c r="AI832" s="96">
        <v>4</v>
      </c>
    </row>
    <row r="833" spans="1:42" customHeight="1" ht="11.5" s="96" customFormat="1">
      <c r="A833" s="5">
        <v>825</v>
      </c>
      <c r="B833" s="173" t="s">
        <v>1290</v>
      </c>
      <c r="C833" s="167" t="s">
        <v>36</v>
      </c>
      <c r="D833" s="88" t="s">
        <v>37</v>
      </c>
      <c r="E833" s="174">
        <v>80000</v>
      </c>
      <c r="F833" s="9">
        <v>30000</v>
      </c>
      <c r="G833" s="10">
        <v>80000</v>
      </c>
      <c r="H833" s="9">
        <v>30000</v>
      </c>
      <c r="I833" s="10">
        <v>30000</v>
      </c>
      <c r="J833" s="152">
        <v>30000</v>
      </c>
      <c r="K833" s="10">
        <v>30000</v>
      </c>
      <c r="L833" s="152">
        <v>20000</v>
      </c>
      <c r="M833" s="10">
        <v>30000</v>
      </c>
      <c r="N833" s="152">
        <v>20000</v>
      </c>
      <c r="O833" s="10">
        <v>20000</v>
      </c>
      <c r="P833" s="152">
        <v>14000</v>
      </c>
      <c r="Q833" s="10">
        <v>20000</v>
      </c>
      <c r="R833" s="9">
        <v>36000</v>
      </c>
      <c r="S833" s="10"/>
      <c r="T833" s="9">
        <v>0</v>
      </c>
      <c r="U833" s="10"/>
      <c r="V833" s="9">
        <v>0</v>
      </c>
      <c r="W833" s="10"/>
      <c r="X833" s="9">
        <v>0</v>
      </c>
      <c r="Y833" s="10"/>
      <c r="Z833" s="9">
        <v>0</v>
      </c>
      <c r="AA833" s="10"/>
      <c r="AB833" s="11">
        <v>0</v>
      </c>
      <c r="AC833" s="10"/>
      <c r="AD833" s="7">
        <f>SUM(F833+H833+J833+L833+N833+P833+R833+T833+V833+X833+Z833+AB833)</f>
        <v>180000</v>
      </c>
      <c r="AE833" s="7">
        <f>E833+AD833</f>
        <v>260000</v>
      </c>
      <c r="AF833" s="8">
        <f>G833+I833+K833+M833+O833+Q833+S833+U833+W833+Y833+AA833+AC833</f>
        <v>210000</v>
      </c>
      <c r="AG833" s="153">
        <f>SUM(AE833-AF833)</f>
        <v>50000</v>
      </c>
      <c r="AH833" s="96" t="s">
        <v>1589</v>
      </c>
      <c r="AI833" s="96">
        <v>4</v>
      </c>
    </row>
    <row r="834" spans="1:42" customHeight="1" ht="11.5" s="96" customFormat="1">
      <c r="A834" s="5">
        <v>826</v>
      </c>
      <c r="B834" s="173" t="s">
        <v>1291</v>
      </c>
      <c r="C834" s="167" t="s">
        <v>36</v>
      </c>
      <c r="D834" s="88" t="s">
        <v>37</v>
      </c>
      <c r="E834" s="174">
        <v>15000</v>
      </c>
      <c r="F834" s="9">
        <v>5000</v>
      </c>
      <c r="G834" s="10">
        <v>15000</v>
      </c>
      <c r="H834" s="9">
        <v>0</v>
      </c>
      <c r="I834" s="10">
        <v>5000</v>
      </c>
      <c r="J834" s="152">
        <v>0</v>
      </c>
      <c r="K834" s="10"/>
      <c r="L834" s="152">
        <v>0</v>
      </c>
      <c r="M834" s="10"/>
      <c r="N834" s="152">
        <v>0</v>
      </c>
      <c r="O834" s="10"/>
      <c r="P834" s="152">
        <v>0</v>
      </c>
      <c r="Q834" s="10"/>
      <c r="R834" s="9">
        <v>0</v>
      </c>
      <c r="S834" s="10"/>
      <c r="T834" s="9">
        <v>0</v>
      </c>
      <c r="U834" s="10"/>
      <c r="V834" s="9">
        <v>0</v>
      </c>
      <c r="W834" s="10"/>
      <c r="X834" s="9">
        <v>0</v>
      </c>
      <c r="Y834" s="10"/>
      <c r="Z834" s="9">
        <v>0</v>
      </c>
      <c r="AA834" s="10"/>
      <c r="AB834" s="11">
        <v>0</v>
      </c>
      <c r="AC834" s="10"/>
      <c r="AD834" s="7">
        <f>SUM(F834+H834+J834+L834+N834+P834+R834+T834+V834+X834+Z834+AB834)</f>
        <v>5000</v>
      </c>
      <c r="AE834" s="7">
        <f>E834+AD834</f>
        <v>20000</v>
      </c>
      <c r="AF834" s="8">
        <f>G834+I834+K834+M834+O834+Q834+S834+U834+W834+Y834+AA834+AC834</f>
        <v>20000</v>
      </c>
      <c r="AG834" s="153">
        <f>SUM(AE834-AF834)</f>
        <v>0</v>
      </c>
      <c r="AH834" s="96" t="s">
        <v>1590</v>
      </c>
      <c r="AI834" s="96">
        <v>3</v>
      </c>
    </row>
    <row r="835" spans="1:42" customHeight="1" ht="11.5" s="96" customFormat="1">
      <c r="A835" s="5">
        <v>827</v>
      </c>
      <c r="B835" s="173" t="s">
        <v>1292</v>
      </c>
      <c r="C835" s="167" t="s">
        <v>36</v>
      </c>
      <c r="D835" s="175" t="s">
        <v>37</v>
      </c>
      <c r="E835" s="174">
        <v>10000</v>
      </c>
      <c r="F835" s="9">
        <v>0</v>
      </c>
      <c r="G835" s="10">
        <v>10000</v>
      </c>
      <c r="H835" s="9">
        <v>0</v>
      </c>
      <c r="I835" s="10"/>
      <c r="J835" s="152">
        <v>0</v>
      </c>
      <c r="K835" s="10"/>
      <c r="L835" s="152">
        <v>0</v>
      </c>
      <c r="M835" s="10"/>
      <c r="N835" s="152">
        <v>0</v>
      </c>
      <c r="O835" s="10"/>
      <c r="P835" s="152">
        <v>0</v>
      </c>
      <c r="Q835" s="10"/>
      <c r="R835" s="9">
        <v>0</v>
      </c>
      <c r="S835" s="10"/>
      <c r="T835" s="9">
        <v>0</v>
      </c>
      <c r="U835" s="10"/>
      <c r="V835" s="9">
        <v>0</v>
      </c>
      <c r="W835" s="10"/>
      <c r="X835" s="9">
        <v>0</v>
      </c>
      <c r="Y835" s="10"/>
      <c r="Z835" s="9">
        <v>0</v>
      </c>
      <c r="AA835" s="10"/>
      <c r="AB835" s="11">
        <v>0</v>
      </c>
      <c r="AC835" s="10"/>
      <c r="AD835" s="7">
        <f>SUM(F835+H835+J835+L835+N835+P835+R835+T835+V835+X835+Z835+AB835)</f>
        <v>0</v>
      </c>
      <c r="AE835" s="7">
        <f>E835+AD835</f>
        <v>10000</v>
      </c>
      <c r="AF835" s="8">
        <f>G835+I835+K835+M835+O835+Q835+S835+U835+W835+Y835+AA835+AC835</f>
        <v>10000</v>
      </c>
      <c r="AG835" s="153">
        <f>SUM(AE835-AF835)</f>
        <v>0</v>
      </c>
      <c r="AH835" s="96" t="s">
        <v>1591</v>
      </c>
      <c r="AI835" s="96">
        <v>3</v>
      </c>
    </row>
    <row r="836" spans="1:42" customHeight="1" ht="11.5" s="96" customFormat="1">
      <c r="A836" s="5">
        <v>828</v>
      </c>
      <c r="B836" s="173" t="s">
        <v>1293</v>
      </c>
      <c r="C836" s="167" t="s">
        <v>36</v>
      </c>
      <c r="D836" s="175" t="s">
        <v>37</v>
      </c>
      <c r="E836" s="174">
        <v>25000</v>
      </c>
      <c r="F836" s="9">
        <v>0</v>
      </c>
      <c r="G836" s="10">
        <v>25000</v>
      </c>
      <c r="H836" s="9">
        <v>0</v>
      </c>
      <c r="I836" s="10"/>
      <c r="J836" s="152">
        <v>0</v>
      </c>
      <c r="K836" s="10"/>
      <c r="L836" s="152">
        <v>0</v>
      </c>
      <c r="M836" s="10"/>
      <c r="N836" s="152">
        <v>0</v>
      </c>
      <c r="O836" s="10"/>
      <c r="P836" s="152">
        <v>0</v>
      </c>
      <c r="Q836" s="10"/>
      <c r="R836" s="9">
        <v>0</v>
      </c>
      <c r="S836" s="10"/>
      <c r="T836" s="9">
        <v>0</v>
      </c>
      <c r="U836" s="10"/>
      <c r="V836" s="9">
        <v>0</v>
      </c>
      <c r="W836" s="10"/>
      <c r="X836" s="9">
        <v>0</v>
      </c>
      <c r="Y836" s="10"/>
      <c r="Z836" s="9">
        <v>0</v>
      </c>
      <c r="AA836" s="10"/>
      <c r="AB836" s="11">
        <v>0</v>
      </c>
      <c r="AC836" s="10"/>
      <c r="AD836" s="7">
        <f>SUM(F836+H836+J836+L836+N836+P836+R836+T836+V836+X836+Z836+AB836)</f>
        <v>0</v>
      </c>
      <c r="AE836" s="7">
        <f>E836+AD836</f>
        <v>25000</v>
      </c>
      <c r="AF836" s="8">
        <f>G836+I836+K836+M836+O836+Q836+S836+U836+W836+Y836+AA836+AC836</f>
        <v>25000</v>
      </c>
      <c r="AG836" s="153">
        <f>SUM(AE836-AF836)</f>
        <v>0</v>
      </c>
      <c r="AH836" s="96" t="s">
        <v>1592</v>
      </c>
      <c r="AI836" s="96">
        <v>4</v>
      </c>
    </row>
    <row r="837" spans="1:42" customHeight="1" ht="11.5" s="96" customFormat="1">
      <c r="A837" s="5">
        <v>829</v>
      </c>
      <c r="B837" s="173" t="s">
        <v>1294</v>
      </c>
      <c r="C837" s="167" t="s">
        <v>36</v>
      </c>
      <c r="D837" s="175" t="s">
        <v>37</v>
      </c>
      <c r="E837" s="174">
        <v>5000</v>
      </c>
      <c r="F837" s="9">
        <v>0</v>
      </c>
      <c r="G837" s="10">
        <v>5000</v>
      </c>
      <c r="H837" s="9">
        <v>0</v>
      </c>
      <c r="I837" s="10"/>
      <c r="J837" s="152">
        <v>0</v>
      </c>
      <c r="K837" s="10"/>
      <c r="L837" s="152">
        <v>0</v>
      </c>
      <c r="M837" s="10"/>
      <c r="N837" s="152">
        <v>0</v>
      </c>
      <c r="O837" s="10"/>
      <c r="P837" s="152">
        <v>0</v>
      </c>
      <c r="Q837" s="10"/>
      <c r="R837" s="9">
        <v>0</v>
      </c>
      <c r="S837" s="10"/>
      <c r="T837" s="9">
        <v>0</v>
      </c>
      <c r="U837" s="10"/>
      <c r="V837" s="9">
        <v>0</v>
      </c>
      <c r="W837" s="10"/>
      <c r="X837" s="9">
        <v>0</v>
      </c>
      <c r="Y837" s="10"/>
      <c r="Z837" s="9">
        <v>0</v>
      </c>
      <c r="AA837" s="10"/>
      <c r="AB837" s="11">
        <v>0</v>
      </c>
      <c r="AC837" s="10"/>
      <c r="AD837" s="7">
        <f>SUM(F837+H837+J837+L837+N837+P837+R837+T837+V837+X837+Z837+AB837)</f>
        <v>0</v>
      </c>
      <c r="AE837" s="7">
        <f>E837+AD837</f>
        <v>5000</v>
      </c>
      <c r="AF837" s="8">
        <f>G837+I837+K837+M837+O837+Q837+S837+U837+W837+Y837+AA837+AC837</f>
        <v>5000</v>
      </c>
      <c r="AG837" s="153">
        <f>SUM(AE837-AF837)</f>
        <v>0</v>
      </c>
      <c r="AH837" s="96" t="s">
        <v>1593</v>
      </c>
      <c r="AI837" s="96">
        <v>3</v>
      </c>
    </row>
    <row r="838" spans="1:42" customHeight="1" ht="11.5" s="96" customFormat="1">
      <c r="A838" s="5">
        <v>830</v>
      </c>
      <c r="B838" s="173" t="s">
        <v>1295</v>
      </c>
      <c r="C838" s="167" t="s">
        <v>36</v>
      </c>
      <c r="D838" s="88" t="s">
        <v>37</v>
      </c>
      <c r="E838" s="174">
        <v>10000</v>
      </c>
      <c r="F838" s="9">
        <v>10000</v>
      </c>
      <c r="G838" s="10">
        <v>10000</v>
      </c>
      <c r="H838" s="9">
        <v>20000</v>
      </c>
      <c r="I838" s="10">
        <v>10000</v>
      </c>
      <c r="J838" s="152">
        <v>10000</v>
      </c>
      <c r="K838" s="10">
        <v>20000</v>
      </c>
      <c r="L838" s="152">
        <v>0</v>
      </c>
      <c r="M838" s="10">
        <v>10000</v>
      </c>
      <c r="N838" s="152">
        <v>20000</v>
      </c>
      <c r="O838" s="10"/>
      <c r="P838" s="152">
        <v>10000</v>
      </c>
      <c r="Q838" s="10">
        <v>20000</v>
      </c>
      <c r="R838" s="9">
        <v>10200</v>
      </c>
      <c r="S838" s="10"/>
      <c r="T838" s="9">
        <v>0</v>
      </c>
      <c r="U838" s="10"/>
      <c r="V838" s="9">
        <v>0</v>
      </c>
      <c r="W838" s="10"/>
      <c r="X838" s="9">
        <v>0</v>
      </c>
      <c r="Y838" s="10"/>
      <c r="Z838" s="9">
        <v>0</v>
      </c>
      <c r="AA838" s="10"/>
      <c r="AB838" s="11">
        <v>0</v>
      </c>
      <c r="AC838" s="10"/>
      <c r="AD838" s="7">
        <f>SUM(F838+H838+J838+L838+N838+P838+R838+T838+V838+X838+Z838+AB838)</f>
        <v>80200</v>
      </c>
      <c r="AE838" s="7">
        <f>E838+AD838</f>
        <v>90200</v>
      </c>
      <c r="AF838" s="8">
        <f>G838+I838+K838+M838+O838+Q838+S838+U838+W838+Y838+AA838+AC838</f>
        <v>70000</v>
      </c>
      <c r="AG838" s="153">
        <f>SUM(AE838-AF838)</f>
        <v>20200</v>
      </c>
      <c r="AH838" s="96" t="s">
        <v>1594</v>
      </c>
      <c r="AI838" s="96">
        <v>4</v>
      </c>
    </row>
    <row r="839" spans="1:42" customHeight="1" ht="11.5" s="96" customFormat="1">
      <c r="A839" s="5">
        <v>831</v>
      </c>
      <c r="B839" s="173" t="s">
        <v>1296</v>
      </c>
      <c r="C839" s="167" t="s">
        <v>36</v>
      </c>
      <c r="D839" s="88" t="s">
        <v>37</v>
      </c>
      <c r="E839" s="174">
        <v>0</v>
      </c>
      <c r="F839" s="9">
        <v>0</v>
      </c>
      <c r="G839" s="10"/>
      <c r="H839" s="9">
        <v>0</v>
      </c>
      <c r="I839" s="10"/>
      <c r="J839" s="152">
        <v>0</v>
      </c>
      <c r="K839" s="10"/>
      <c r="L839" s="152">
        <v>0</v>
      </c>
      <c r="M839" s="10"/>
      <c r="N839" s="152">
        <v>0</v>
      </c>
      <c r="O839" s="10"/>
      <c r="P839" s="152">
        <v>0</v>
      </c>
      <c r="Q839" s="10"/>
      <c r="R839" s="9">
        <v>0</v>
      </c>
      <c r="S839" s="10"/>
      <c r="T839" s="9">
        <v>0</v>
      </c>
      <c r="U839" s="10"/>
      <c r="V839" s="9">
        <v>0</v>
      </c>
      <c r="W839" s="10"/>
      <c r="X839" s="9">
        <v>0</v>
      </c>
      <c r="Y839" s="10"/>
      <c r="Z839" s="9">
        <v>0</v>
      </c>
      <c r="AA839" s="10"/>
      <c r="AB839" s="11">
        <v>0</v>
      </c>
      <c r="AC839" s="10"/>
      <c r="AD839" s="7">
        <f>SUM(F839+H839+J839+L839+N839+P839+R839+T839+V839+X839+Z839+AB839)</f>
        <v>0</v>
      </c>
      <c r="AE839" s="7">
        <f>E839+AD839</f>
        <v>0</v>
      </c>
      <c r="AF839" s="8">
        <f>G839+I839+K839+M839+O839+Q839+S839+U839+W839+Y839+AA839+AC839</f>
        <v>0</v>
      </c>
      <c r="AG839" s="153">
        <f>SUM(AE839-AF839)</f>
        <v>0</v>
      </c>
      <c r="AH839" s="96" t="s">
        <v>1595</v>
      </c>
      <c r="AI839" s="96">
        <v>3</v>
      </c>
    </row>
    <row r="840" spans="1:42" customHeight="1" ht="11.5" s="96" customFormat="1">
      <c r="A840" s="5">
        <v>832</v>
      </c>
      <c r="B840" s="173" t="s">
        <v>1297</v>
      </c>
      <c r="C840" s="167" t="s">
        <v>36</v>
      </c>
      <c r="D840" s="88" t="s">
        <v>37</v>
      </c>
      <c r="E840" s="174">
        <v>0</v>
      </c>
      <c r="F840" s="9">
        <v>0</v>
      </c>
      <c r="G840" s="10"/>
      <c r="H840" s="9">
        <v>0</v>
      </c>
      <c r="I840" s="10"/>
      <c r="J840" s="152">
        <v>0</v>
      </c>
      <c r="K840" s="10"/>
      <c r="L840" s="152">
        <v>0</v>
      </c>
      <c r="M840" s="10"/>
      <c r="N840" s="152">
        <v>0</v>
      </c>
      <c r="O840" s="10"/>
      <c r="P840" s="152">
        <v>0</v>
      </c>
      <c r="Q840" s="10"/>
      <c r="R840" s="9">
        <v>0</v>
      </c>
      <c r="S840" s="10"/>
      <c r="T840" s="9">
        <v>0</v>
      </c>
      <c r="U840" s="10"/>
      <c r="V840" s="9">
        <v>0</v>
      </c>
      <c r="W840" s="10"/>
      <c r="X840" s="9">
        <v>0</v>
      </c>
      <c r="Y840" s="10"/>
      <c r="Z840" s="9">
        <v>0</v>
      </c>
      <c r="AA840" s="10"/>
      <c r="AB840" s="11">
        <v>0</v>
      </c>
      <c r="AC840" s="10"/>
      <c r="AD840" s="7">
        <f>SUM(F840+H840+J840+L840+N840+P840+R840+T840+V840+X840+Z840+AB840)</f>
        <v>0</v>
      </c>
      <c r="AE840" s="7">
        <f>E840+AD840</f>
        <v>0</v>
      </c>
      <c r="AF840" s="8">
        <f>G840+I840+K840+M840+O840+Q840+S840+U840+W840+Y840+AA840+AC840</f>
        <v>0</v>
      </c>
      <c r="AG840" s="153">
        <f>SUM(AE840-AF840)</f>
        <v>0</v>
      </c>
      <c r="AH840" s="96" t="s">
        <v>1596</v>
      </c>
      <c r="AI840" s="96">
        <v>3</v>
      </c>
    </row>
    <row r="841" spans="1:42" customHeight="1" ht="11.5" s="96" customFormat="1">
      <c r="A841" s="5">
        <v>833</v>
      </c>
      <c r="B841" s="173" t="s">
        <v>1298</v>
      </c>
      <c r="C841" s="167" t="s">
        <v>132</v>
      </c>
      <c r="D841" s="88" t="s">
        <v>133</v>
      </c>
      <c r="E841" s="174">
        <v>0</v>
      </c>
      <c r="F841" s="9">
        <v>0</v>
      </c>
      <c r="G841" s="10"/>
      <c r="H841" s="9">
        <v>0</v>
      </c>
      <c r="I841" s="10"/>
      <c r="J841" s="152">
        <v>0</v>
      </c>
      <c r="K841" s="10"/>
      <c r="L841" s="152">
        <v>0</v>
      </c>
      <c r="M841" s="10"/>
      <c r="N841" s="152">
        <v>0</v>
      </c>
      <c r="O841" s="10"/>
      <c r="P841" s="152">
        <v>0</v>
      </c>
      <c r="Q841" s="10"/>
      <c r="R841" s="9">
        <v>0</v>
      </c>
      <c r="S841" s="10"/>
      <c r="T841" s="9">
        <v>0</v>
      </c>
      <c r="U841" s="10"/>
      <c r="V841" s="9">
        <v>0</v>
      </c>
      <c r="W841" s="10"/>
      <c r="X841" s="9">
        <v>0</v>
      </c>
      <c r="Y841" s="10"/>
      <c r="Z841" s="9">
        <v>0</v>
      </c>
      <c r="AA841" s="10"/>
      <c r="AB841" s="11">
        <v>0</v>
      </c>
      <c r="AC841" s="10"/>
      <c r="AD841" s="7">
        <f>SUM(F841+H841+J841+L841+N841+P841+R841+T841+V841+X841+Z841+AB841)</f>
        <v>0</v>
      </c>
      <c r="AE841" s="7">
        <f>E841+AD841</f>
        <v>0</v>
      </c>
      <c r="AF841" s="8">
        <f>G841+I841+K841+M841+O841+Q841+S841+U841+W841+Y841+AA841+AC841</f>
        <v>0</v>
      </c>
      <c r="AG841" s="153">
        <f>SUM(AE841-AF841)</f>
        <v>0</v>
      </c>
      <c r="AH841" s="96" t="s">
        <v>1596</v>
      </c>
      <c r="AI841" s="96">
        <v>3</v>
      </c>
    </row>
    <row r="842" spans="1:42" customHeight="1" ht="11.5" s="96" customFormat="1">
      <c r="A842" s="5">
        <v>834</v>
      </c>
      <c r="B842" s="173" t="s">
        <v>1299</v>
      </c>
      <c r="C842" s="167" t="s">
        <v>36</v>
      </c>
      <c r="D842" s="88" t="s">
        <v>37</v>
      </c>
      <c r="E842" s="174">
        <v>0</v>
      </c>
      <c r="F842" s="9">
        <v>0</v>
      </c>
      <c r="G842" s="10"/>
      <c r="H842" s="9">
        <v>0</v>
      </c>
      <c r="I842" s="10"/>
      <c r="J842" s="152">
        <v>0</v>
      </c>
      <c r="K842" s="10"/>
      <c r="L842" s="152">
        <v>0</v>
      </c>
      <c r="M842" s="10"/>
      <c r="N842" s="152">
        <v>0</v>
      </c>
      <c r="O842" s="10"/>
      <c r="P842" s="152">
        <v>0</v>
      </c>
      <c r="Q842" s="10"/>
      <c r="R842" s="9">
        <v>0</v>
      </c>
      <c r="S842" s="10"/>
      <c r="T842" s="9">
        <v>0</v>
      </c>
      <c r="U842" s="10"/>
      <c r="V842" s="9">
        <v>0</v>
      </c>
      <c r="W842" s="10"/>
      <c r="X842" s="9">
        <v>0</v>
      </c>
      <c r="Y842" s="10"/>
      <c r="Z842" s="9">
        <v>0</v>
      </c>
      <c r="AA842" s="10"/>
      <c r="AB842" s="11">
        <v>0</v>
      </c>
      <c r="AC842" s="10"/>
      <c r="AD842" s="7">
        <f>SUM(F842+H842+J842+L842+N842+P842+R842+T842+V842+X842+Z842+AB842)</f>
        <v>0</v>
      </c>
      <c r="AE842" s="7">
        <f>E842+AD842</f>
        <v>0</v>
      </c>
      <c r="AF842" s="8">
        <f>G842+I842+K842+M842+O842+Q842+S842+U842+W842+Y842+AA842+AC842</f>
        <v>0</v>
      </c>
      <c r="AG842" s="153">
        <f>SUM(AE842-AF842)</f>
        <v>0</v>
      </c>
      <c r="AH842" s="96" t="s">
        <v>1596</v>
      </c>
      <c r="AI842" s="96">
        <v>3</v>
      </c>
    </row>
    <row r="843" spans="1:42" customHeight="1" ht="11.5" s="96" customFormat="1">
      <c r="A843" s="5">
        <v>835</v>
      </c>
      <c r="B843" s="173" t="s">
        <v>1300</v>
      </c>
      <c r="C843" s="167" t="s">
        <v>36</v>
      </c>
      <c r="D843" s="88" t="s">
        <v>37</v>
      </c>
      <c r="E843" s="174">
        <v>0</v>
      </c>
      <c r="F843" s="9">
        <v>0</v>
      </c>
      <c r="G843" s="10"/>
      <c r="H843" s="9">
        <v>0</v>
      </c>
      <c r="I843" s="10"/>
      <c r="J843" s="152">
        <v>0</v>
      </c>
      <c r="K843" s="10"/>
      <c r="L843" s="152">
        <v>0</v>
      </c>
      <c r="M843" s="10"/>
      <c r="N843" s="152">
        <v>0</v>
      </c>
      <c r="O843" s="10"/>
      <c r="P843" s="152">
        <v>0</v>
      </c>
      <c r="Q843" s="10"/>
      <c r="R843" s="9">
        <v>0</v>
      </c>
      <c r="S843" s="10"/>
      <c r="T843" s="9">
        <v>0</v>
      </c>
      <c r="U843" s="10"/>
      <c r="V843" s="9">
        <v>0</v>
      </c>
      <c r="W843" s="10"/>
      <c r="X843" s="9">
        <v>0</v>
      </c>
      <c r="Y843" s="10"/>
      <c r="Z843" s="9">
        <v>0</v>
      </c>
      <c r="AA843" s="10"/>
      <c r="AB843" s="11">
        <v>0</v>
      </c>
      <c r="AC843" s="10"/>
      <c r="AD843" s="7">
        <f>SUM(F843+H843+J843+L843+N843+P843+R843+T843+V843+X843+Z843+AB843)</f>
        <v>0</v>
      </c>
      <c r="AE843" s="7">
        <f>E843+AD843</f>
        <v>0</v>
      </c>
      <c r="AF843" s="8">
        <f>G843+I843+K843+M843+O843+Q843+S843+U843+W843+Y843+AA843+AC843</f>
        <v>0</v>
      </c>
      <c r="AG843" s="153">
        <f>SUM(AE843-AF843)</f>
        <v>0</v>
      </c>
      <c r="AH843" s="96" t="s">
        <v>1596</v>
      </c>
      <c r="AI843" s="96">
        <v>3</v>
      </c>
    </row>
    <row r="844" spans="1:42" customHeight="1" ht="11.5" s="96" customFormat="1">
      <c r="A844" s="5">
        <v>836</v>
      </c>
      <c r="B844" s="173" t="s">
        <v>1301</v>
      </c>
      <c r="C844" s="167" t="s">
        <v>36</v>
      </c>
      <c r="D844" s="88" t="s">
        <v>37</v>
      </c>
      <c r="E844" s="174">
        <v>0</v>
      </c>
      <c r="F844" s="9">
        <v>0</v>
      </c>
      <c r="G844" s="10"/>
      <c r="H844" s="9">
        <v>0</v>
      </c>
      <c r="I844" s="10"/>
      <c r="J844" s="152">
        <v>0</v>
      </c>
      <c r="K844" s="10"/>
      <c r="L844" s="152">
        <v>0</v>
      </c>
      <c r="M844" s="10"/>
      <c r="N844" s="152">
        <v>0</v>
      </c>
      <c r="O844" s="10"/>
      <c r="P844" s="152">
        <v>5000</v>
      </c>
      <c r="Q844" s="10"/>
      <c r="R844" s="9">
        <v>0</v>
      </c>
      <c r="S844" s="10"/>
      <c r="T844" s="9">
        <v>0</v>
      </c>
      <c r="U844" s="10"/>
      <c r="V844" s="9">
        <v>0</v>
      </c>
      <c r="W844" s="10"/>
      <c r="X844" s="9">
        <v>0</v>
      </c>
      <c r="Y844" s="10"/>
      <c r="Z844" s="9">
        <v>0</v>
      </c>
      <c r="AA844" s="10"/>
      <c r="AB844" s="11">
        <v>0</v>
      </c>
      <c r="AC844" s="10"/>
      <c r="AD844" s="7">
        <f>SUM(F844+H844+J844+L844+N844+P844+R844+T844+V844+X844+Z844+AB844)</f>
        <v>5000</v>
      </c>
      <c r="AE844" s="7">
        <f>E844+AD844</f>
        <v>5000</v>
      </c>
      <c r="AF844" s="8">
        <f>G844+I844+K844+M844+O844+Q844+S844+U844+W844+Y844+AA844+AC844</f>
        <v>0</v>
      </c>
      <c r="AG844" s="153">
        <f>SUM(AE844-AF844)</f>
        <v>5000</v>
      </c>
      <c r="AH844" s="96" t="s">
        <v>1597</v>
      </c>
      <c r="AI844" s="96">
        <v>3</v>
      </c>
    </row>
    <row r="845" spans="1:42" customHeight="1" ht="11.5" s="96" customFormat="1">
      <c r="A845" s="5">
        <v>837</v>
      </c>
      <c r="B845" s="173" t="s">
        <v>1302</v>
      </c>
      <c r="C845" s="167" t="s">
        <v>36</v>
      </c>
      <c r="D845" s="88" t="s">
        <v>37</v>
      </c>
      <c r="E845" s="174">
        <v>0</v>
      </c>
      <c r="F845" s="9">
        <v>0</v>
      </c>
      <c r="G845" s="10"/>
      <c r="H845" s="9">
        <v>0</v>
      </c>
      <c r="I845" s="10"/>
      <c r="J845" s="152">
        <v>0</v>
      </c>
      <c r="K845" s="10"/>
      <c r="L845" s="152">
        <v>0</v>
      </c>
      <c r="M845" s="10"/>
      <c r="N845" s="152">
        <v>0</v>
      </c>
      <c r="O845" s="10"/>
      <c r="P845" s="152">
        <v>0</v>
      </c>
      <c r="Q845" s="10"/>
      <c r="R845" s="9">
        <v>0</v>
      </c>
      <c r="S845" s="10"/>
      <c r="T845" s="9">
        <v>0</v>
      </c>
      <c r="U845" s="10"/>
      <c r="V845" s="9">
        <v>0</v>
      </c>
      <c r="W845" s="10"/>
      <c r="X845" s="9">
        <v>0</v>
      </c>
      <c r="Y845" s="10"/>
      <c r="Z845" s="9">
        <v>0</v>
      </c>
      <c r="AA845" s="10"/>
      <c r="AB845" s="11">
        <v>0</v>
      </c>
      <c r="AC845" s="10"/>
      <c r="AD845" s="7">
        <f>SUM(F845+H845+J845+L845+N845+P845+R845+T845+V845+X845+Z845+AB845)</f>
        <v>0</v>
      </c>
      <c r="AE845" s="7">
        <f>E845+AD845</f>
        <v>0</v>
      </c>
      <c r="AF845" s="8">
        <f>G845+I845+K845+M845+O845+Q845+S845+U845+W845+Y845+AA845+AC845</f>
        <v>0</v>
      </c>
      <c r="AG845" s="153">
        <f>SUM(AE845-AF845)</f>
        <v>0</v>
      </c>
      <c r="AH845" s="96" t="s">
        <v>1597</v>
      </c>
      <c r="AI845" s="96">
        <v>3</v>
      </c>
    </row>
    <row r="846" spans="1:42" customHeight="1" ht="11.5" s="96" customFormat="1">
      <c r="A846" s="5">
        <v>838</v>
      </c>
      <c r="B846" s="173" t="s">
        <v>1303</v>
      </c>
      <c r="C846" s="167" t="s">
        <v>36</v>
      </c>
      <c r="D846" s="88" t="s">
        <v>37</v>
      </c>
      <c r="E846" s="174">
        <v>0</v>
      </c>
      <c r="F846" s="9">
        <v>0</v>
      </c>
      <c r="G846" s="10"/>
      <c r="H846" s="9">
        <v>0</v>
      </c>
      <c r="I846" s="10"/>
      <c r="J846" s="152">
        <v>0</v>
      </c>
      <c r="K846" s="10"/>
      <c r="L846" s="152">
        <v>0</v>
      </c>
      <c r="M846" s="10"/>
      <c r="N846" s="152">
        <v>0</v>
      </c>
      <c r="O846" s="10"/>
      <c r="P846" s="152">
        <v>0</v>
      </c>
      <c r="Q846" s="10"/>
      <c r="R846" s="9">
        <v>0</v>
      </c>
      <c r="S846" s="10"/>
      <c r="T846" s="9">
        <v>0</v>
      </c>
      <c r="U846" s="10"/>
      <c r="V846" s="9">
        <v>0</v>
      </c>
      <c r="W846" s="10"/>
      <c r="X846" s="9">
        <v>0</v>
      </c>
      <c r="Y846" s="10"/>
      <c r="Z846" s="9">
        <v>0</v>
      </c>
      <c r="AA846" s="10"/>
      <c r="AB846" s="11">
        <v>0</v>
      </c>
      <c r="AC846" s="10"/>
      <c r="AD846" s="7">
        <f>SUM(F846+H846+J846+L846+N846+P846+R846+T846+V846+X846+Z846+AB846)</f>
        <v>0</v>
      </c>
      <c r="AE846" s="7">
        <f>E846+AD846</f>
        <v>0</v>
      </c>
      <c r="AF846" s="8">
        <f>G846+I846+K846+M846+O846+Q846+S846+U846+W846+Y846+AA846+AC846</f>
        <v>0</v>
      </c>
      <c r="AG846" s="153">
        <f>SUM(AE846-AF846)</f>
        <v>0</v>
      </c>
      <c r="AH846" s="96" t="s">
        <v>1598</v>
      </c>
      <c r="AI846" s="96">
        <v>3</v>
      </c>
    </row>
    <row r="847" spans="1:42" customHeight="1" ht="11.5" s="96" customFormat="1">
      <c r="A847" s="5">
        <v>839</v>
      </c>
      <c r="B847" s="173" t="s">
        <v>1304</v>
      </c>
      <c r="C847" s="167" t="s">
        <v>36</v>
      </c>
      <c r="D847" s="88" t="s">
        <v>37</v>
      </c>
      <c r="E847" s="174">
        <v>0</v>
      </c>
      <c r="F847" s="9">
        <v>0</v>
      </c>
      <c r="G847" s="10"/>
      <c r="H847" s="9">
        <v>0</v>
      </c>
      <c r="I847" s="10"/>
      <c r="J847" s="152">
        <v>0</v>
      </c>
      <c r="K847" s="10"/>
      <c r="L847" s="152">
        <v>0</v>
      </c>
      <c r="M847" s="10"/>
      <c r="N847" s="152">
        <v>0</v>
      </c>
      <c r="O847" s="10"/>
      <c r="P847" s="152">
        <v>0</v>
      </c>
      <c r="Q847" s="10"/>
      <c r="R847" s="9">
        <v>0</v>
      </c>
      <c r="S847" s="10"/>
      <c r="T847" s="9">
        <v>0</v>
      </c>
      <c r="U847" s="10"/>
      <c r="V847" s="9">
        <v>0</v>
      </c>
      <c r="W847" s="10"/>
      <c r="X847" s="9">
        <v>0</v>
      </c>
      <c r="Y847" s="10"/>
      <c r="Z847" s="9">
        <v>0</v>
      </c>
      <c r="AA847" s="10"/>
      <c r="AB847" s="11">
        <v>0</v>
      </c>
      <c r="AC847" s="10"/>
      <c r="AD847" s="7">
        <f>SUM(F847+H847+J847+L847+N847+P847+R847+T847+V847+X847+Z847+AB847)</f>
        <v>0</v>
      </c>
      <c r="AE847" s="7">
        <f>E847+AD847</f>
        <v>0</v>
      </c>
      <c r="AF847" s="8">
        <f>G847+I847+K847+M847+O847+Q847+S847+U847+W847+Y847+AA847+AC847</f>
        <v>0</v>
      </c>
      <c r="AG847" s="153">
        <f>SUM(AE847-AF847)</f>
        <v>0</v>
      </c>
      <c r="AH847" s="96" t="s">
        <v>1598</v>
      </c>
      <c r="AI847" s="96">
        <v>3</v>
      </c>
    </row>
    <row r="848" spans="1:42" customHeight="1" ht="11.5" s="96" customFormat="1">
      <c r="A848" s="5">
        <v>840</v>
      </c>
      <c r="B848" s="173" t="s">
        <v>1305</v>
      </c>
      <c r="C848" s="167" t="s">
        <v>36</v>
      </c>
      <c r="D848" s="88" t="s">
        <v>37</v>
      </c>
      <c r="E848" s="174">
        <v>0</v>
      </c>
      <c r="F848" s="9">
        <v>0</v>
      </c>
      <c r="G848" s="10"/>
      <c r="H848" s="9">
        <v>0</v>
      </c>
      <c r="I848" s="10"/>
      <c r="J848" s="152">
        <v>0</v>
      </c>
      <c r="K848" s="10"/>
      <c r="L848" s="152">
        <v>0</v>
      </c>
      <c r="M848" s="10"/>
      <c r="N848" s="152">
        <v>0</v>
      </c>
      <c r="O848" s="10"/>
      <c r="P848" s="152">
        <v>0</v>
      </c>
      <c r="Q848" s="10"/>
      <c r="R848" s="9">
        <v>0</v>
      </c>
      <c r="S848" s="10"/>
      <c r="T848" s="9">
        <v>0</v>
      </c>
      <c r="U848" s="10"/>
      <c r="V848" s="9">
        <v>0</v>
      </c>
      <c r="W848" s="10"/>
      <c r="X848" s="9">
        <v>0</v>
      </c>
      <c r="Y848" s="10"/>
      <c r="Z848" s="9">
        <v>0</v>
      </c>
      <c r="AA848" s="10"/>
      <c r="AB848" s="11">
        <v>0</v>
      </c>
      <c r="AC848" s="10"/>
      <c r="AD848" s="7">
        <f>SUM(F848+H848+J848+L848+N848+P848+R848+T848+V848+X848+Z848+AB848)</f>
        <v>0</v>
      </c>
      <c r="AE848" s="7">
        <f>E848+AD848</f>
        <v>0</v>
      </c>
      <c r="AF848" s="8">
        <f>G848+I848+K848+M848+O848+Q848+S848+U848+W848+Y848+AA848+AC848</f>
        <v>0</v>
      </c>
      <c r="AG848" s="153">
        <f>SUM(AE848-AF848)</f>
        <v>0</v>
      </c>
      <c r="AH848" s="96" t="s">
        <v>1599</v>
      </c>
      <c r="AI848" s="96">
        <v>3</v>
      </c>
    </row>
    <row r="849" spans="1:42" customHeight="1" ht="11.5" s="96" customFormat="1">
      <c r="A849" s="5">
        <v>841</v>
      </c>
      <c r="B849" s="173" t="s">
        <v>1306</v>
      </c>
      <c r="C849" s="167" t="s">
        <v>36</v>
      </c>
      <c r="D849" s="88" t="s">
        <v>37</v>
      </c>
      <c r="E849" s="174">
        <v>0</v>
      </c>
      <c r="F849" s="9">
        <v>0</v>
      </c>
      <c r="G849" s="10"/>
      <c r="H849" s="9">
        <v>0</v>
      </c>
      <c r="I849" s="10"/>
      <c r="J849" s="152">
        <v>0</v>
      </c>
      <c r="K849" s="10"/>
      <c r="L849" s="152">
        <v>0</v>
      </c>
      <c r="M849" s="10"/>
      <c r="N849" s="152">
        <v>0</v>
      </c>
      <c r="O849" s="10"/>
      <c r="P849" s="152">
        <v>0</v>
      </c>
      <c r="Q849" s="10"/>
      <c r="R849" s="9">
        <v>0</v>
      </c>
      <c r="S849" s="10"/>
      <c r="T849" s="9">
        <v>0</v>
      </c>
      <c r="U849" s="10"/>
      <c r="V849" s="9">
        <v>0</v>
      </c>
      <c r="W849" s="10"/>
      <c r="X849" s="9">
        <v>0</v>
      </c>
      <c r="Y849" s="10"/>
      <c r="Z849" s="9">
        <v>0</v>
      </c>
      <c r="AA849" s="10"/>
      <c r="AB849" s="11">
        <v>0</v>
      </c>
      <c r="AC849" s="10"/>
      <c r="AD849" s="7">
        <f>SUM(F849+H849+J849+L849+N849+P849+R849+T849+V849+X849+Z849+AB849)</f>
        <v>0</v>
      </c>
      <c r="AE849" s="7">
        <f>E849+AD849</f>
        <v>0</v>
      </c>
      <c r="AF849" s="8">
        <f>G849+I849+K849+M849+O849+Q849+S849+U849+W849+Y849+AA849+AC849</f>
        <v>0</v>
      </c>
      <c r="AG849" s="153">
        <f>SUM(AE849-AF849)</f>
        <v>0</v>
      </c>
      <c r="AH849" s="96" t="s">
        <v>1599</v>
      </c>
      <c r="AI849" s="96">
        <v>3</v>
      </c>
    </row>
    <row r="850" spans="1:42" customHeight="1" ht="11.5" s="96" customFormat="1">
      <c r="A850" s="5">
        <v>842</v>
      </c>
      <c r="B850" s="173" t="s">
        <v>1307</v>
      </c>
      <c r="C850" s="167" t="s">
        <v>36</v>
      </c>
      <c r="D850" s="88" t="s">
        <v>37</v>
      </c>
      <c r="E850" s="174">
        <v>0</v>
      </c>
      <c r="F850" s="9">
        <v>0</v>
      </c>
      <c r="G850" s="10"/>
      <c r="H850" s="9">
        <v>0</v>
      </c>
      <c r="I850" s="10"/>
      <c r="J850" s="152">
        <v>0</v>
      </c>
      <c r="K850" s="10"/>
      <c r="L850" s="152">
        <v>0</v>
      </c>
      <c r="M850" s="10"/>
      <c r="N850" s="152">
        <v>0</v>
      </c>
      <c r="O850" s="10"/>
      <c r="P850" s="152">
        <v>0</v>
      </c>
      <c r="Q850" s="10"/>
      <c r="R850" s="9">
        <v>0</v>
      </c>
      <c r="S850" s="10"/>
      <c r="T850" s="9">
        <v>0</v>
      </c>
      <c r="U850" s="10"/>
      <c r="V850" s="9">
        <v>0</v>
      </c>
      <c r="W850" s="10"/>
      <c r="X850" s="9">
        <v>0</v>
      </c>
      <c r="Y850" s="10"/>
      <c r="Z850" s="9">
        <v>0</v>
      </c>
      <c r="AA850" s="10"/>
      <c r="AB850" s="11">
        <v>0</v>
      </c>
      <c r="AC850" s="10"/>
      <c r="AD850" s="7">
        <f>SUM(F850+H850+J850+L850+N850+P850+R850+T850+V850+X850+Z850+AB850)</f>
        <v>0</v>
      </c>
      <c r="AE850" s="7">
        <f>E850+AD850</f>
        <v>0</v>
      </c>
      <c r="AF850" s="8">
        <f>G850+I850+K850+M850+O850+Q850+S850+U850+W850+Y850+AA850+AC850</f>
        <v>0</v>
      </c>
      <c r="AG850" s="153">
        <f>SUM(AE850-AF850)</f>
        <v>0</v>
      </c>
      <c r="AH850" s="96" t="s">
        <v>1600</v>
      </c>
      <c r="AI850" s="96">
        <v>3</v>
      </c>
    </row>
    <row r="851" spans="1:42" customHeight="1" ht="11.5" s="96" customFormat="1">
      <c r="A851" s="5">
        <v>843</v>
      </c>
      <c r="B851" s="173" t="s">
        <v>1308</v>
      </c>
      <c r="C851" s="167" t="s">
        <v>36</v>
      </c>
      <c r="D851" s="88" t="s">
        <v>37</v>
      </c>
      <c r="E851" s="174">
        <v>0</v>
      </c>
      <c r="F851" s="9">
        <v>0</v>
      </c>
      <c r="G851" s="10"/>
      <c r="H851" s="9">
        <v>0</v>
      </c>
      <c r="I851" s="10"/>
      <c r="J851" s="152">
        <v>0</v>
      </c>
      <c r="K851" s="10"/>
      <c r="L851" s="152">
        <v>0</v>
      </c>
      <c r="M851" s="10"/>
      <c r="N851" s="152">
        <v>0</v>
      </c>
      <c r="O851" s="10"/>
      <c r="P851" s="152">
        <v>0</v>
      </c>
      <c r="Q851" s="10"/>
      <c r="R851" s="9">
        <v>0</v>
      </c>
      <c r="S851" s="10"/>
      <c r="T851" s="9">
        <v>0</v>
      </c>
      <c r="U851" s="10"/>
      <c r="V851" s="9">
        <v>0</v>
      </c>
      <c r="W851" s="10"/>
      <c r="X851" s="9">
        <v>0</v>
      </c>
      <c r="Y851" s="10"/>
      <c r="Z851" s="9">
        <v>0</v>
      </c>
      <c r="AA851" s="10"/>
      <c r="AB851" s="11">
        <v>0</v>
      </c>
      <c r="AC851" s="10"/>
      <c r="AD851" s="7">
        <f>SUM(F851+H851+J851+L851+N851+P851+R851+T851+V851+X851+Z851+AB851)</f>
        <v>0</v>
      </c>
      <c r="AE851" s="7">
        <f>E851+AD851</f>
        <v>0</v>
      </c>
      <c r="AF851" s="8">
        <f>G851+I851+K851+M851+O851+Q851+S851+U851+W851+Y851+AA851+AC851</f>
        <v>0</v>
      </c>
      <c r="AG851" s="153">
        <f>SUM(AE851-AF851)</f>
        <v>0</v>
      </c>
      <c r="AH851" s="96" t="s">
        <v>1600</v>
      </c>
      <c r="AI851" s="96">
        <v>3</v>
      </c>
    </row>
    <row r="852" spans="1:42" customHeight="1" ht="11.5" s="96" customFormat="1">
      <c r="A852" s="5">
        <v>844</v>
      </c>
      <c r="B852" s="173" t="s">
        <v>1309</v>
      </c>
      <c r="C852" s="167" t="s">
        <v>36</v>
      </c>
      <c r="D852" s="175" t="s">
        <v>37</v>
      </c>
      <c r="E852" s="174">
        <v>0</v>
      </c>
      <c r="F852" s="9">
        <v>0</v>
      </c>
      <c r="G852" s="10"/>
      <c r="H852" s="9">
        <v>0</v>
      </c>
      <c r="I852" s="10"/>
      <c r="J852" s="152">
        <v>0</v>
      </c>
      <c r="K852" s="10"/>
      <c r="L852" s="152">
        <v>0</v>
      </c>
      <c r="M852" s="10"/>
      <c r="N852" s="152">
        <v>0</v>
      </c>
      <c r="O852" s="10"/>
      <c r="P852" s="152">
        <v>0</v>
      </c>
      <c r="Q852" s="10"/>
      <c r="R852" s="9">
        <v>0</v>
      </c>
      <c r="S852" s="10"/>
      <c r="T852" s="9">
        <v>0</v>
      </c>
      <c r="U852" s="10"/>
      <c r="V852" s="9">
        <v>0</v>
      </c>
      <c r="W852" s="10"/>
      <c r="X852" s="9">
        <v>0</v>
      </c>
      <c r="Y852" s="10"/>
      <c r="Z852" s="9">
        <v>0</v>
      </c>
      <c r="AA852" s="10"/>
      <c r="AB852" s="11">
        <v>0</v>
      </c>
      <c r="AC852" s="10"/>
      <c r="AD852" s="7">
        <f>SUM(F852+H852+J852+L852+N852+P852+R852+T852+V852+X852+Z852+AB852)</f>
        <v>0</v>
      </c>
      <c r="AE852" s="7">
        <f>E852+AD852</f>
        <v>0</v>
      </c>
      <c r="AF852" s="8">
        <f>G852+I852+K852+M852+O852+Q852+S852+U852+W852+Y852+AA852+AC852</f>
        <v>0</v>
      </c>
      <c r="AG852" s="153">
        <f>SUM(AE852-AF852)</f>
        <v>0</v>
      </c>
      <c r="AH852" s="96" t="s">
        <v>1600</v>
      </c>
      <c r="AI852" s="96">
        <v>3</v>
      </c>
    </row>
    <row r="853" spans="1:42" customHeight="1" ht="11.5" s="96" customFormat="1">
      <c r="A853" s="5">
        <v>845</v>
      </c>
      <c r="B853" s="173" t="s">
        <v>1310</v>
      </c>
      <c r="C853" s="167" t="s">
        <v>36</v>
      </c>
      <c r="D853" s="175" t="s">
        <v>37</v>
      </c>
      <c r="E853" s="174">
        <v>0</v>
      </c>
      <c r="F853" s="9">
        <v>0</v>
      </c>
      <c r="G853" s="10"/>
      <c r="H853" s="9">
        <v>0</v>
      </c>
      <c r="I853" s="10"/>
      <c r="J853" s="152">
        <v>0</v>
      </c>
      <c r="K853" s="10"/>
      <c r="L853" s="152">
        <v>0</v>
      </c>
      <c r="M853" s="10"/>
      <c r="N853" s="152">
        <v>0</v>
      </c>
      <c r="O853" s="10"/>
      <c r="P853" s="152">
        <v>0</v>
      </c>
      <c r="Q853" s="10"/>
      <c r="R853" s="9">
        <v>0</v>
      </c>
      <c r="S853" s="10"/>
      <c r="T853" s="9">
        <v>0</v>
      </c>
      <c r="U853" s="10"/>
      <c r="V853" s="9">
        <v>0</v>
      </c>
      <c r="W853" s="10"/>
      <c r="X853" s="9">
        <v>0</v>
      </c>
      <c r="Y853" s="10"/>
      <c r="Z853" s="9">
        <v>0</v>
      </c>
      <c r="AA853" s="10"/>
      <c r="AB853" s="11">
        <v>0</v>
      </c>
      <c r="AC853" s="10"/>
      <c r="AD853" s="7">
        <f>SUM(F853+H853+J853+L853+N853+P853+R853+T853+V853+X853+Z853+AB853)</f>
        <v>0</v>
      </c>
      <c r="AE853" s="7">
        <f>E853+AD853</f>
        <v>0</v>
      </c>
      <c r="AF853" s="8">
        <f>G853+I853+K853+M853+O853+Q853+S853+U853+W853+Y853+AA853+AC853</f>
        <v>0</v>
      </c>
      <c r="AG853" s="153">
        <f>SUM(AE853-AF853)</f>
        <v>0</v>
      </c>
      <c r="AH853" s="96" t="s">
        <v>1601</v>
      </c>
      <c r="AI853" s="96">
        <v>3</v>
      </c>
    </row>
    <row r="854" spans="1:42" customHeight="1" ht="11.5" s="96" customFormat="1">
      <c r="A854" s="5">
        <v>846</v>
      </c>
      <c r="B854" s="173" t="s">
        <v>1311</v>
      </c>
      <c r="C854" s="167" t="s">
        <v>36</v>
      </c>
      <c r="D854" s="88" t="s">
        <v>37</v>
      </c>
      <c r="E854" s="174">
        <v>0</v>
      </c>
      <c r="F854" s="9">
        <v>0</v>
      </c>
      <c r="G854" s="10"/>
      <c r="H854" s="9">
        <v>0</v>
      </c>
      <c r="I854" s="10"/>
      <c r="J854" s="152">
        <v>0</v>
      </c>
      <c r="K854" s="10"/>
      <c r="L854" s="152">
        <v>0</v>
      </c>
      <c r="M854" s="10"/>
      <c r="N854" s="152">
        <v>0</v>
      </c>
      <c r="O854" s="10"/>
      <c r="P854" s="152">
        <v>0</v>
      </c>
      <c r="Q854" s="10"/>
      <c r="R854" s="9">
        <v>0</v>
      </c>
      <c r="S854" s="10"/>
      <c r="T854" s="9">
        <v>0</v>
      </c>
      <c r="U854" s="10"/>
      <c r="V854" s="9">
        <v>0</v>
      </c>
      <c r="W854" s="10"/>
      <c r="X854" s="9">
        <v>0</v>
      </c>
      <c r="Y854" s="10"/>
      <c r="Z854" s="9">
        <v>0</v>
      </c>
      <c r="AA854" s="10"/>
      <c r="AB854" s="11">
        <v>0</v>
      </c>
      <c r="AC854" s="10"/>
      <c r="AD854" s="7">
        <f>SUM(F854+H854+J854+L854+N854+P854+R854+T854+V854+X854+Z854+AB854)</f>
        <v>0</v>
      </c>
      <c r="AE854" s="7">
        <f>E854+AD854</f>
        <v>0</v>
      </c>
      <c r="AF854" s="8">
        <f>G854+I854+K854+M854+O854+Q854+S854+U854+W854+Y854+AA854+AC854</f>
        <v>0</v>
      </c>
      <c r="AG854" s="153">
        <f>SUM(AE854-AF854)</f>
        <v>0</v>
      </c>
      <c r="AH854" s="96" t="s">
        <v>1601</v>
      </c>
      <c r="AI854" s="96">
        <v>3</v>
      </c>
    </row>
    <row r="855" spans="1:42" customHeight="1" ht="11.5" s="96" customFormat="1">
      <c r="A855" s="5">
        <v>847</v>
      </c>
      <c r="B855" s="173" t="s">
        <v>1312</v>
      </c>
      <c r="C855" s="167" t="s">
        <v>36</v>
      </c>
      <c r="D855" s="88" t="s">
        <v>37</v>
      </c>
      <c r="E855" s="174">
        <v>0</v>
      </c>
      <c r="F855" s="9">
        <v>0</v>
      </c>
      <c r="G855" s="10"/>
      <c r="H855" s="9">
        <v>0</v>
      </c>
      <c r="I855" s="10"/>
      <c r="J855" s="152">
        <v>0</v>
      </c>
      <c r="K855" s="10"/>
      <c r="L855" s="152">
        <v>0</v>
      </c>
      <c r="M855" s="10"/>
      <c r="N855" s="152">
        <v>0</v>
      </c>
      <c r="O855" s="10"/>
      <c r="P855" s="152">
        <v>0</v>
      </c>
      <c r="Q855" s="10"/>
      <c r="R855" s="9">
        <v>0</v>
      </c>
      <c r="S855" s="10"/>
      <c r="T855" s="9">
        <v>0</v>
      </c>
      <c r="U855" s="10"/>
      <c r="V855" s="9">
        <v>0</v>
      </c>
      <c r="W855" s="10"/>
      <c r="X855" s="9">
        <v>0</v>
      </c>
      <c r="Y855" s="10"/>
      <c r="Z855" s="9">
        <v>0</v>
      </c>
      <c r="AA855" s="10"/>
      <c r="AB855" s="11">
        <v>0</v>
      </c>
      <c r="AC855" s="10"/>
      <c r="AD855" s="7">
        <f>SUM(F855+H855+J855+L855+N855+P855+R855+T855+V855+X855+Z855+AB855)</f>
        <v>0</v>
      </c>
      <c r="AE855" s="7">
        <f>E855+AD855</f>
        <v>0</v>
      </c>
      <c r="AF855" s="8">
        <f>G855+I855+K855+M855+O855+Q855+S855+U855+W855+Y855+AA855+AC855</f>
        <v>0</v>
      </c>
      <c r="AG855" s="153">
        <f>SUM(AE855-AF855)</f>
        <v>0</v>
      </c>
      <c r="AH855" s="96" t="s">
        <v>1601</v>
      </c>
      <c r="AI855" s="96">
        <v>3</v>
      </c>
    </row>
    <row r="856" spans="1:42" customHeight="1" ht="11.5" s="96" customFormat="1">
      <c r="A856" s="5">
        <v>848</v>
      </c>
      <c r="B856" s="173" t="s">
        <v>1313</v>
      </c>
      <c r="C856" s="167" t="s">
        <v>36</v>
      </c>
      <c r="D856" s="88" t="s">
        <v>37</v>
      </c>
      <c r="E856" s="174">
        <v>25000</v>
      </c>
      <c r="F856" s="9">
        <v>5000</v>
      </c>
      <c r="G856" s="10">
        <v>25000</v>
      </c>
      <c r="H856" s="9">
        <v>5000</v>
      </c>
      <c r="I856" s="10">
        <v>5000</v>
      </c>
      <c r="J856" s="152">
        <v>0</v>
      </c>
      <c r="K856" s="10">
        <v>5000</v>
      </c>
      <c r="L856" s="152">
        <v>0</v>
      </c>
      <c r="M856" s="10"/>
      <c r="N856" s="152">
        <v>0</v>
      </c>
      <c r="O856" s="10"/>
      <c r="P856" s="152">
        <v>0</v>
      </c>
      <c r="Q856" s="10"/>
      <c r="R856" s="9">
        <v>0</v>
      </c>
      <c r="S856" s="10"/>
      <c r="T856" s="9">
        <v>0</v>
      </c>
      <c r="U856" s="10"/>
      <c r="V856" s="9">
        <v>0</v>
      </c>
      <c r="W856" s="10"/>
      <c r="X856" s="9">
        <v>0</v>
      </c>
      <c r="Y856" s="10"/>
      <c r="Z856" s="9">
        <v>0</v>
      </c>
      <c r="AA856" s="10"/>
      <c r="AB856" s="11">
        <v>0</v>
      </c>
      <c r="AC856" s="10"/>
      <c r="AD856" s="7">
        <f>SUM(F856+H856+J856+L856+N856+P856+R856+T856+V856+X856+Z856+AB856)</f>
        <v>10000</v>
      </c>
      <c r="AE856" s="7">
        <f>E856+AD856</f>
        <v>35000</v>
      </c>
      <c r="AF856" s="8">
        <f>G856+I856+K856+M856+O856+Q856+S856+U856+W856+Y856+AA856+AC856</f>
        <v>35000</v>
      </c>
      <c r="AG856" s="153">
        <f>SUM(AE856-AF856)</f>
        <v>0</v>
      </c>
      <c r="AH856" s="96" t="s">
        <v>1602</v>
      </c>
      <c r="AI856" s="96">
        <v>4</v>
      </c>
    </row>
    <row r="857" spans="1:42" customHeight="1" ht="11.5" s="96" customFormat="1">
      <c r="A857" s="5">
        <v>849</v>
      </c>
      <c r="B857" s="173" t="s">
        <v>1314</v>
      </c>
      <c r="C857" s="167" t="s">
        <v>36</v>
      </c>
      <c r="D857" s="88" t="s">
        <v>37</v>
      </c>
      <c r="E857" s="174">
        <v>5000</v>
      </c>
      <c r="F857" s="9">
        <v>0</v>
      </c>
      <c r="G857" s="10"/>
      <c r="H857" s="9">
        <v>0</v>
      </c>
      <c r="I857" s="10">
        <v>5000</v>
      </c>
      <c r="J857" s="152">
        <v>0</v>
      </c>
      <c r="K857" s="10"/>
      <c r="L857" s="152">
        <v>0</v>
      </c>
      <c r="M857" s="10"/>
      <c r="N857" s="152">
        <v>0</v>
      </c>
      <c r="O857" s="10"/>
      <c r="P857" s="152">
        <v>5000</v>
      </c>
      <c r="Q857" s="10"/>
      <c r="R857" s="9">
        <v>0</v>
      </c>
      <c r="S857" s="10"/>
      <c r="T857" s="9">
        <v>0</v>
      </c>
      <c r="U857" s="10"/>
      <c r="V857" s="9">
        <v>0</v>
      </c>
      <c r="W857" s="10"/>
      <c r="X857" s="9">
        <v>0</v>
      </c>
      <c r="Y857" s="10"/>
      <c r="Z857" s="9">
        <v>0</v>
      </c>
      <c r="AA857" s="10"/>
      <c r="AB857" s="11">
        <v>0</v>
      </c>
      <c r="AC857" s="10"/>
      <c r="AD857" s="7">
        <f>SUM(F857+H857+J857+L857+N857+P857+R857+T857+V857+X857+Z857+AB857)</f>
        <v>5000</v>
      </c>
      <c r="AE857" s="7">
        <f>E857+AD857</f>
        <v>10000</v>
      </c>
      <c r="AF857" s="8">
        <f>G857+I857+K857+M857+O857+Q857+S857+U857+W857+Y857+AA857+AC857</f>
        <v>5000</v>
      </c>
      <c r="AG857" s="153">
        <f>SUM(AE857-AF857)</f>
        <v>5000</v>
      </c>
      <c r="AH857" s="96" t="s">
        <v>1603</v>
      </c>
      <c r="AI857" s="96">
        <v>3</v>
      </c>
    </row>
    <row r="858" spans="1:42" customHeight="1" ht="11.5" s="96" customFormat="1">
      <c r="A858" s="5">
        <v>850</v>
      </c>
      <c r="B858" s="173" t="s">
        <v>1315</v>
      </c>
      <c r="C858" s="167" t="s">
        <v>36</v>
      </c>
      <c r="D858" s="88" t="s">
        <v>37</v>
      </c>
      <c r="E858" s="174">
        <v>0</v>
      </c>
      <c r="F858" s="9">
        <v>0</v>
      </c>
      <c r="G858" s="10"/>
      <c r="H858" s="9">
        <v>0</v>
      </c>
      <c r="I858" s="10"/>
      <c r="J858" s="152">
        <v>0</v>
      </c>
      <c r="K858" s="10"/>
      <c r="L858" s="152">
        <v>0</v>
      </c>
      <c r="M858" s="10"/>
      <c r="N858" s="152">
        <v>0</v>
      </c>
      <c r="O858" s="10"/>
      <c r="P858" s="152">
        <v>0</v>
      </c>
      <c r="Q858" s="10"/>
      <c r="R858" s="9">
        <v>0</v>
      </c>
      <c r="S858" s="10"/>
      <c r="T858" s="9">
        <v>0</v>
      </c>
      <c r="U858" s="10"/>
      <c r="V858" s="9">
        <v>0</v>
      </c>
      <c r="W858" s="10"/>
      <c r="X858" s="9">
        <v>0</v>
      </c>
      <c r="Y858" s="10"/>
      <c r="Z858" s="9">
        <v>0</v>
      </c>
      <c r="AA858" s="10"/>
      <c r="AB858" s="11">
        <v>0</v>
      </c>
      <c r="AC858" s="10"/>
      <c r="AD858" s="7">
        <f>SUM(F858+H858+J858+L858+N858+P858+R858+T858+V858+X858+Z858+AB858)</f>
        <v>0</v>
      </c>
      <c r="AE858" s="7">
        <f>E858+AD858</f>
        <v>0</v>
      </c>
      <c r="AF858" s="8">
        <f>G858+I858+K858+M858+O858+Q858+S858+U858+W858+Y858+AA858+AC858</f>
        <v>0</v>
      </c>
      <c r="AG858" s="153">
        <f>SUM(AE858-AF858)</f>
        <v>0</v>
      </c>
      <c r="AH858" s="96" t="s">
        <v>1604</v>
      </c>
      <c r="AI858" s="96">
        <v>3</v>
      </c>
    </row>
    <row r="859" spans="1:42" customHeight="1" ht="11.5" s="96" customFormat="1">
      <c r="A859" s="5">
        <v>851</v>
      </c>
      <c r="B859" s="173" t="s">
        <v>1316</v>
      </c>
      <c r="C859" s="167" t="s">
        <v>36</v>
      </c>
      <c r="D859" s="88" t="s">
        <v>37</v>
      </c>
      <c r="E859" s="174">
        <v>0</v>
      </c>
      <c r="F859" s="9">
        <v>0</v>
      </c>
      <c r="G859" s="10"/>
      <c r="H859" s="9">
        <v>0</v>
      </c>
      <c r="I859" s="10"/>
      <c r="J859" s="152">
        <v>0</v>
      </c>
      <c r="K859" s="10"/>
      <c r="L859" s="152">
        <v>0</v>
      </c>
      <c r="M859" s="10"/>
      <c r="N859" s="152">
        <v>0</v>
      </c>
      <c r="O859" s="10"/>
      <c r="P859" s="152">
        <v>0</v>
      </c>
      <c r="Q859" s="10"/>
      <c r="R859" s="9">
        <v>0</v>
      </c>
      <c r="S859" s="10"/>
      <c r="T859" s="9">
        <v>0</v>
      </c>
      <c r="U859" s="10"/>
      <c r="V859" s="9">
        <v>0</v>
      </c>
      <c r="W859" s="10"/>
      <c r="X859" s="9">
        <v>0</v>
      </c>
      <c r="Y859" s="10"/>
      <c r="Z859" s="9">
        <v>0</v>
      </c>
      <c r="AA859" s="10"/>
      <c r="AB859" s="11">
        <v>0</v>
      </c>
      <c r="AC859" s="10"/>
      <c r="AD859" s="7">
        <f>SUM(F859+H859+J859+L859+N859+P859+R859+T859+V859+X859+Z859+AB859)</f>
        <v>0</v>
      </c>
      <c r="AE859" s="7">
        <f>E859+AD859</f>
        <v>0</v>
      </c>
      <c r="AF859" s="8">
        <f>G859+I859+K859+M859+O859+Q859+S859+U859+W859+Y859+AA859+AC859</f>
        <v>0</v>
      </c>
      <c r="AG859" s="153">
        <f>SUM(AE859-AF859)</f>
        <v>0</v>
      </c>
      <c r="AH859" s="96" t="s">
        <v>1605</v>
      </c>
      <c r="AI859" s="96">
        <v>3</v>
      </c>
    </row>
    <row r="860" spans="1:42" customHeight="1" ht="11.5" s="96" customFormat="1">
      <c r="A860" s="5">
        <v>852</v>
      </c>
      <c r="B860" s="173" t="s">
        <v>1317</v>
      </c>
      <c r="C860" s="167" t="s">
        <v>36</v>
      </c>
      <c r="D860" s="88" t="s">
        <v>37</v>
      </c>
      <c r="E860" s="174">
        <v>0</v>
      </c>
      <c r="F860" s="9">
        <v>0</v>
      </c>
      <c r="G860" s="10"/>
      <c r="H860" s="9">
        <v>0</v>
      </c>
      <c r="I860" s="10"/>
      <c r="J860" s="152">
        <v>0</v>
      </c>
      <c r="K860" s="10"/>
      <c r="L860" s="152">
        <v>0</v>
      </c>
      <c r="M860" s="10"/>
      <c r="N860" s="152">
        <v>0</v>
      </c>
      <c r="O860" s="10"/>
      <c r="P860" s="152">
        <v>0</v>
      </c>
      <c r="Q860" s="10"/>
      <c r="R860" s="9">
        <v>0</v>
      </c>
      <c r="S860" s="10"/>
      <c r="T860" s="9">
        <v>0</v>
      </c>
      <c r="U860" s="10"/>
      <c r="V860" s="9">
        <v>0</v>
      </c>
      <c r="W860" s="10"/>
      <c r="X860" s="9">
        <v>0</v>
      </c>
      <c r="Y860" s="10"/>
      <c r="Z860" s="9">
        <v>0</v>
      </c>
      <c r="AA860" s="10"/>
      <c r="AB860" s="11">
        <v>0</v>
      </c>
      <c r="AC860" s="10"/>
      <c r="AD860" s="7">
        <f>SUM(F860+H860+J860+L860+N860+P860+R860+T860+V860+X860+Z860+AB860)</f>
        <v>0</v>
      </c>
      <c r="AE860" s="7">
        <f>E860+AD860</f>
        <v>0</v>
      </c>
      <c r="AF860" s="8">
        <f>G860+I860+K860+M860+O860+Q860+S860+U860+W860+Y860+AA860+AC860</f>
        <v>0</v>
      </c>
      <c r="AG860" s="153">
        <f>SUM(AE860-AF860)</f>
        <v>0</v>
      </c>
      <c r="AH860" s="96" t="s">
        <v>1606</v>
      </c>
      <c r="AI860" s="96">
        <v>4</v>
      </c>
    </row>
    <row r="861" spans="1:42" customHeight="1" ht="11.5" s="96" customFormat="1">
      <c r="A861" s="5">
        <v>853</v>
      </c>
      <c r="B861" s="173" t="s">
        <v>1318</v>
      </c>
      <c r="C861" s="167" t="s">
        <v>36</v>
      </c>
      <c r="D861" s="88" t="s">
        <v>37</v>
      </c>
      <c r="E861" s="174">
        <v>60000</v>
      </c>
      <c r="F861" s="9">
        <v>40000</v>
      </c>
      <c r="G861" s="10">
        <v>4561</v>
      </c>
      <c r="H861" s="9">
        <v>70000</v>
      </c>
      <c r="I861" s="10">
        <v>95439</v>
      </c>
      <c r="J861" s="152">
        <v>75000</v>
      </c>
      <c r="K861" s="10">
        <v>70000</v>
      </c>
      <c r="L861" s="152">
        <v>50000</v>
      </c>
      <c r="M861" s="10">
        <v>75000</v>
      </c>
      <c r="N861" s="152">
        <v>60000</v>
      </c>
      <c r="O861" s="10">
        <v>50000</v>
      </c>
      <c r="P861" s="152">
        <v>15000</v>
      </c>
      <c r="Q861" s="10">
        <v>60000</v>
      </c>
      <c r="R861" s="9">
        <v>70000</v>
      </c>
      <c r="S861" s="10"/>
      <c r="T861" s="9">
        <v>0</v>
      </c>
      <c r="U861" s="10"/>
      <c r="V861" s="9">
        <v>0</v>
      </c>
      <c r="W861" s="10"/>
      <c r="X861" s="9">
        <v>0</v>
      </c>
      <c r="Y861" s="10"/>
      <c r="Z861" s="9">
        <v>0</v>
      </c>
      <c r="AA861" s="10"/>
      <c r="AB861" s="11">
        <v>0</v>
      </c>
      <c r="AC861" s="10"/>
      <c r="AD861" s="7">
        <f>SUM(F861+H861+J861+L861+N861+P861+R861+T861+V861+X861+Z861+AB861)</f>
        <v>380000</v>
      </c>
      <c r="AE861" s="7">
        <f>E861+AD861</f>
        <v>440000</v>
      </c>
      <c r="AF861" s="8">
        <f>G861+I861+K861+M861+O861+Q861+S861+U861+W861+Y861+AA861+AC861</f>
        <v>355000</v>
      </c>
      <c r="AG861" s="153">
        <f>SUM(AE861-AF861)</f>
        <v>85000</v>
      </c>
      <c r="AH861" s="96" t="s">
        <v>1607</v>
      </c>
      <c r="AI861" s="96">
        <v>4</v>
      </c>
    </row>
    <row r="862" spans="1:42" customHeight="1" ht="11.5" s="96" customFormat="1">
      <c r="A862" s="5">
        <v>854</v>
      </c>
      <c r="B862" s="173" t="s">
        <v>1319</v>
      </c>
      <c r="C862" s="167" t="s">
        <v>36</v>
      </c>
      <c r="D862" s="88" t="s">
        <v>37</v>
      </c>
      <c r="E862" s="174">
        <v>30000</v>
      </c>
      <c r="F862" s="9">
        <v>75000</v>
      </c>
      <c r="G862" s="10">
        <v>30000</v>
      </c>
      <c r="H862" s="9">
        <v>75000</v>
      </c>
      <c r="I862" s="10">
        <v>75000</v>
      </c>
      <c r="J862" s="152">
        <v>40000</v>
      </c>
      <c r="K862" s="10">
        <v>75000</v>
      </c>
      <c r="L862" s="152">
        <v>20000</v>
      </c>
      <c r="M862" s="10">
        <v>40000</v>
      </c>
      <c r="N862" s="152">
        <v>70000</v>
      </c>
      <c r="O862" s="10">
        <v>20000</v>
      </c>
      <c r="P862" s="152">
        <v>55000</v>
      </c>
      <c r="Q862" s="10">
        <v>70000</v>
      </c>
      <c r="R862" s="9">
        <v>75000</v>
      </c>
      <c r="S862" s="10"/>
      <c r="T862" s="9">
        <v>0</v>
      </c>
      <c r="U862" s="10"/>
      <c r="V862" s="9">
        <v>0</v>
      </c>
      <c r="W862" s="10"/>
      <c r="X862" s="9">
        <v>0</v>
      </c>
      <c r="Y862" s="10"/>
      <c r="Z862" s="9">
        <v>0</v>
      </c>
      <c r="AA862" s="10"/>
      <c r="AB862" s="11">
        <v>0</v>
      </c>
      <c r="AC862" s="10"/>
      <c r="AD862" s="7">
        <f>SUM(F862+H862+J862+L862+N862+P862+R862+T862+V862+X862+Z862+AB862)</f>
        <v>410000</v>
      </c>
      <c r="AE862" s="7">
        <f>E862+AD862</f>
        <v>440000</v>
      </c>
      <c r="AF862" s="8">
        <f>G862+I862+K862+M862+O862+Q862+S862+U862+W862+Y862+AA862+AC862</f>
        <v>310000</v>
      </c>
      <c r="AG862" s="153">
        <f>SUM(AE862-AF862)</f>
        <v>130000</v>
      </c>
      <c r="AH862" s="96" t="s">
        <v>1608</v>
      </c>
      <c r="AI862" s="96">
        <v>4</v>
      </c>
    </row>
    <row r="863" spans="1:42" customHeight="1" ht="11.5" s="96" customFormat="1">
      <c r="A863" s="5">
        <v>855</v>
      </c>
      <c r="B863" s="173" t="s">
        <v>1320</v>
      </c>
      <c r="C863" s="167" t="s">
        <v>36</v>
      </c>
      <c r="D863" s="88" t="s">
        <v>37</v>
      </c>
      <c r="E863" s="174">
        <v>5000</v>
      </c>
      <c r="F863" s="9">
        <v>0</v>
      </c>
      <c r="G863" s="10">
        <v>5000</v>
      </c>
      <c r="H863" s="9">
        <v>0</v>
      </c>
      <c r="I863" s="10"/>
      <c r="J863" s="152">
        <v>0</v>
      </c>
      <c r="K863" s="10"/>
      <c r="L863" s="152">
        <v>0</v>
      </c>
      <c r="M863" s="10"/>
      <c r="N863" s="152">
        <v>0</v>
      </c>
      <c r="O863" s="10"/>
      <c r="P863" s="152">
        <v>0</v>
      </c>
      <c r="Q863" s="10"/>
      <c r="R863" s="9">
        <v>0</v>
      </c>
      <c r="S863" s="10"/>
      <c r="T863" s="9">
        <v>0</v>
      </c>
      <c r="U863" s="10"/>
      <c r="V863" s="9">
        <v>0</v>
      </c>
      <c r="W863" s="10"/>
      <c r="X863" s="9">
        <v>0</v>
      </c>
      <c r="Y863" s="10"/>
      <c r="Z863" s="9">
        <v>0</v>
      </c>
      <c r="AA863" s="10"/>
      <c r="AB863" s="11">
        <v>0</v>
      </c>
      <c r="AC863" s="10"/>
      <c r="AD863" s="7">
        <f>SUM(F863+H863+J863+L863+N863+P863+R863+T863+V863+X863+Z863+AB863)</f>
        <v>0</v>
      </c>
      <c r="AE863" s="7">
        <f>E863+AD863</f>
        <v>5000</v>
      </c>
      <c r="AF863" s="8">
        <f>G863+I863+K863+M863+O863+Q863+S863+U863+W863+Y863+AA863+AC863</f>
        <v>5000</v>
      </c>
      <c r="AG863" s="153">
        <f>SUM(AE863-AF863)</f>
        <v>0</v>
      </c>
      <c r="AH863" s="96" t="s">
        <v>1609</v>
      </c>
      <c r="AI863" s="96">
        <v>4</v>
      </c>
    </row>
    <row r="864" spans="1:42" customHeight="1" ht="11.5" s="96" customFormat="1">
      <c r="A864" s="5">
        <v>856</v>
      </c>
      <c r="B864" s="173" t="s">
        <v>1321</v>
      </c>
      <c r="C864" s="167" t="s">
        <v>36</v>
      </c>
      <c r="D864" s="88" t="s">
        <v>37</v>
      </c>
      <c r="E864" s="174">
        <v>5000</v>
      </c>
      <c r="F864" s="9">
        <v>0</v>
      </c>
      <c r="G864" s="10"/>
      <c r="H864" s="9">
        <v>0</v>
      </c>
      <c r="I864" s="10">
        <v>5000</v>
      </c>
      <c r="J864" s="152">
        <v>0</v>
      </c>
      <c r="K864" s="10"/>
      <c r="L864" s="152">
        <v>0</v>
      </c>
      <c r="M864" s="10"/>
      <c r="N864" s="152">
        <v>0</v>
      </c>
      <c r="O864" s="10"/>
      <c r="P864" s="152">
        <v>0</v>
      </c>
      <c r="Q864" s="10"/>
      <c r="R864" s="9">
        <v>0</v>
      </c>
      <c r="S864" s="10"/>
      <c r="T864" s="9">
        <v>0</v>
      </c>
      <c r="U864" s="10"/>
      <c r="V864" s="9">
        <v>0</v>
      </c>
      <c r="W864" s="10"/>
      <c r="X864" s="9">
        <v>0</v>
      </c>
      <c r="Y864" s="10"/>
      <c r="Z864" s="9">
        <v>0</v>
      </c>
      <c r="AA864" s="10"/>
      <c r="AB864" s="11">
        <v>0</v>
      </c>
      <c r="AC864" s="10"/>
      <c r="AD864" s="7">
        <f>SUM(F864+H864+J864+L864+N864+P864+R864+T864+V864+X864+Z864+AB864)</f>
        <v>0</v>
      </c>
      <c r="AE864" s="7">
        <f>E864+AD864</f>
        <v>5000</v>
      </c>
      <c r="AF864" s="8">
        <f>G864+I864+K864+M864+O864+Q864+S864+U864+W864+Y864+AA864+AC864</f>
        <v>5000</v>
      </c>
      <c r="AG864" s="153">
        <f>SUM(AE864-AF864)</f>
        <v>0</v>
      </c>
      <c r="AH864" s="96" t="s">
        <v>1610</v>
      </c>
      <c r="AI864" s="96">
        <v>3</v>
      </c>
    </row>
    <row r="865" spans="1:42" customHeight="1" ht="11.5" s="96" customFormat="1">
      <c r="A865" s="5">
        <v>857</v>
      </c>
      <c r="B865" s="173" t="s">
        <v>1322</v>
      </c>
      <c r="C865" s="167" t="s">
        <v>36</v>
      </c>
      <c r="D865" s="88" t="s">
        <v>37</v>
      </c>
      <c r="E865" s="174">
        <v>15000</v>
      </c>
      <c r="F865" s="9">
        <v>14900</v>
      </c>
      <c r="G865" s="10"/>
      <c r="H865" s="9">
        <v>15000</v>
      </c>
      <c r="I865" s="10">
        <v>29900</v>
      </c>
      <c r="J865" s="152">
        <v>10000</v>
      </c>
      <c r="K865" s="10">
        <v>15000</v>
      </c>
      <c r="L865" s="152">
        <v>0</v>
      </c>
      <c r="M865" s="10">
        <v>10000</v>
      </c>
      <c r="N865" s="152">
        <v>10000</v>
      </c>
      <c r="O865" s="10"/>
      <c r="P865" s="152">
        <v>5000</v>
      </c>
      <c r="Q865" s="10">
        <v>10000</v>
      </c>
      <c r="R865" s="9">
        <v>10000</v>
      </c>
      <c r="S865" s="10"/>
      <c r="T865" s="9">
        <v>0</v>
      </c>
      <c r="U865" s="10"/>
      <c r="V865" s="9">
        <v>0</v>
      </c>
      <c r="W865" s="10"/>
      <c r="X865" s="9">
        <v>0</v>
      </c>
      <c r="Y865" s="10"/>
      <c r="Z865" s="9">
        <v>0</v>
      </c>
      <c r="AA865" s="10"/>
      <c r="AB865" s="11">
        <v>0</v>
      </c>
      <c r="AC865" s="10"/>
      <c r="AD865" s="7">
        <f>SUM(F865+H865+J865+L865+N865+P865+R865+T865+V865+X865+Z865+AB865)</f>
        <v>64900</v>
      </c>
      <c r="AE865" s="7">
        <f>E865+AD865</f>
        <v>79900</v>
      </c>
      <c r="AF865" s="8">
        <f>G865+I865+K865+M865+O865+Q865+S865+U865+W865+Y865+AA865+AC865</f>
        <v>64900</v>
      </c>
      <c r="AG865" s="153">
        <f>SUM(AE865-AF865)</f>
        <v>15000</v>
      </c>
      <c r="AH865" s="96" t="s">
        <v>1611</v>
      </c>
      <c r="AI865" s="96">
        <v>4</v>
      </c>
    </row>
    <row r="866" spans="1:42" customHeight="1" ht="11.5" s="96" customFormat="1">
      <c r="A866" s="5">
        <v>858</v>
      </c>
      <c r="B866" s="173" t="s">
        <v>1323</v>
      </c>
      <c r="C866" s="167" t="s">
        <v>36</v>
      </c>
      <c r="D866" s="88" t="s">
        <v>37</v>
      </c>
      <c r="E866" s="174">
        <v>20100</v>
      </c>
      <c r="F866" s="9">
        <v>0</v>
      </c>
      <c r="G866" s="10"/>
      <c r="H866" s="9">
        <v>0</v>
      </c>
      <c r="I866" s="10">
        <v>20100</v>
      </c>
      <c r="J866" s="152">
        <v>0</v>
      </c>
      <c r="K866" s="10"/>
      <c r="L866" s="152">
        <v>0</v>
      </c>
      <c r="M866" s="10"/>
      <c r="N866" s="152">
        <v>16100</v>
      </c>
      <c r="O866" s="10"/>
      <c r="P866" s="152">
        <v>3900</v>
      </c>
      <c r="Q866" s="10">
        <v>16100</v>
      </c>
      <c r="R866" s="9">
        <v>10000</v>
      </c>
      <c r="S866" s="10"/>
      <c r="T866" s="9">
        <v>0</v>
      </c>
      <c r="U866" s="10"/>
      <c r="V866" s="9">
        <v>0</v>
      </c>
      <c r="W866" s="10"/>
      <c r="X866" s="9">
        <v>0</v>
      </c>
      <c r="Y866" s="10"/>
      <c r="Z866" s="9">
        <v>0</v>
      </c>
      <c r="AA866" s="10"/>
      <c r="AB866" s="11">
        <v>0</v>
      </c>
      <c r="AC866" s="10"/>
      <c r="AD866" s="7">
        <f>SUM(F866+H866+J866+L866+N866+P866+R866+T866+V866+X866+Z866+AB866)</f>
        <v>30000</v>
      </c>
      <c r="AE866" s="7">
        <f>E866+AD866</f>
        <v>50100</v>
      </c>
      <c r="AF866" s="8">
        <f>G866+I866+K866+M866+O866+Q866+S866+U866+W866+Y866+AA866+AC866</f>
        <v>36200</v>
      </c>
      <c r="AG866" s="153">
        <f>SUM(AE866-AF866)</f>
        <v>13900</v>
      </c>
      <c r="AH866" s="96" t="s">
        <v>1612</v>
      </c>
      <c r="AI866" s="96">
        <v>4</v>
      </c>
    </row>
    <row r="867" spans="1:42" customHeight="1" ht="11.5" s="96" customFormat="1">
      <c r="A867" s="5">
        <v>859</v>
      </c>
      <c r="B867" s="173" t="s">
        <v>1324</v>
      </c>
      <c r="C867" s="167" t="s">
        <v>36</v>
      </c>
      <c r="D867" s="88" t="s">
        <v>37</v>
      </c>
      <c r="E867" s="174">
        <v>20000</v>
      </c>
      <c r="F867" s="9">
        <v>20000</v>
      </c>
      <c r="G867" s="10"/>
      <c r="H867" s="9">
        <v>20000</v>
      </c>
      <c r="I867" s="10">
        <v>40000</v>
      </c>
      <c r="J867" s="152">
        <v>0</v>
      </c>
      <c r="K867" s="10">
        <v>20000</v>
      </c>
      <c r="L867" s="152">
        <v>0</v>
      </c>
      <c r="M867" s="10"/>
      <c r="N867" s="152">
        <v>15000</v>
      </c>
      <c r="O867" s="10"/>
      <c r="P867" s="152">
        <v>10000</v>
      </c>
      <c r="Q867" s="10">
        <v>15000</v>
      </c>
      <c r="R867" s="9">
        <v>15000</v>
      </c>
      <c r="S867" s="10"/>
      <c r="T867" s="9">
        <v>0</v>
      </c>
      <c r="U867" s="10"/>
      <c r="V867" s="9">
        <v>0</v>
      </c>
      <c r="W867" s="10"/>
      <c r="X867" s="9">
        <v>0</v>
      </c>
      <c r="Y867" s="10"/>
      <c r="Z867" s="9">
        <v>0</v>
      </c>
      <c r="AA867" s="10"/>
      <c r="AB867" s="11">
        <v>0</v>
      </c>
      <c r="AC867" s="10"/>
      <c r="AD867" s="7">
        <f>SUM(F867+H867+J867+L867+N867+P867+R867+T867+V867+X867+Z867+AB867)</f>
        <v>80000</v>
      </c>
      <c r="AE867" s="7">
        <f>E867+AD867</f>
        <v>100000</v>
      </c>
      <c r="AF867" s="8">
        <f>G867+I867+K867+M867+O867+Q867+S867+U867+W867+Y867+AA867+AC867</f>
        <v>75000</v>
      </c>
      <c r="AG867" s="153">
        <f>SUM(AE867-AF867)</f>
        <v>25000</v>
      </c>
      <c r="AH867" s="96" t="s">
        <v>1613</v>
      </c>
      <c r="AI867" s="96">
        <v>4</v>
      </c>
    </row>
    <row r="868" spans="1:42" customHeight="1" ht="11.5" s="96" customFormat="1">
      <c r="A868" s="5">
        <v>860</v>
      </c>
      <c r="B868" s="173" t="s">
        <v>1325</v>
      </c>
      <c r="C868" s="167" t="s">
        <v>36</v>
      </c>
      <c r="D868" s="88" t="s">
        <v>37</v>
      </c>
      <c r="E868" s="174">
        <v>54900</v>
      </c>
      <c r="F868" s="9">
        <v>20000</v>
      </c>
      <c r="G868" s="10"/>
      <c r="H868" s="9">
        <v>15000</v>
      </c>
      <c r="I868" s="10">
        <v>74900</v>
      </c>
      <c r="J868" s="152">
        <v>0</v>
      </c>
      <c r="K868" s="10">
        <v>15000</v>
      </c>
      <c r="L868" s="152">
        <v>15000</v>
      </c>
      <c r="M868" s="10"/>
      <c r="N868" s="152">
        <v>5000</v>
      </c>
      <c r="O868" s="10">
        <v>15000</v>
      </c>
      <c r="P868" s="152">
        <v>10000</v>
      </c>
      <c r="Q868" s="10">
        <v>5000</v>
      </c>
      <c r="R868" s="9">
        <v>15000</v>
      </c>
      <c r="S868" s="10"/>
      <c r="T868" s="9">
        <v>0</v>
      </c>
      <c r="U868" s="10"/>
      <c r="V868" s="9">
        <v>0</v>
      </c>
      <c r="W868" s="10"/>
      <c r="X868" s="9">
        <v>0</v>
      </c>
      <c r="Y868" s="10"/>
      <c r="Z868" s="9">
        <v>0</v>
      </c>
      <c r="AA868" s="10"/>
      <c r="AB868" s="11">
        <v>0</v>
      </c>
      <c r="AC868" s="10"/>
      <c r="AD868" s="7">
        <f>SUM(F868+H868+J868+L868+N868+P868+R868+T868+V868+X868+Z868+AB868)</f>
        <v>80000</v>
      </c>
      <c r="AE868" s="7">
        <f>E868+AD868</f>
        <v>134900</v>
      </c>
      <c r="AF868" s="8">
        <f>G868+I868+K868+M868+O868+Q868+S868+U868+W868+Y868+AA868+AC868</f>
        <v>109900</v>
      </c>
      <c r="AG868" s="153">
        <f>SUM(AE868-AF868)</f>
        <v>25000</v>
      </c>
      <c r="AH868" s="96" t="s">
        <v>1614</v>
      </c>
      <c r="AI868" s="96">
        <v>4</v>
      </c>
    </row>
    <row r="869" spans="1:42" customHeight="1" ht="11.5" s="96" customFormat="1">
      <c r="A869" s="5">
        <v>861</v>
      </c>
      <c r="B869" s="173" t="s">
        <v>1326</v>
      </c>
      <c r="C869" s="167" t="s">
        <v>36</v>
      </c>
      <c r="D869" s="88" t="s">
        <v>37</v>
      </c>
      <c r="E869" s="174">
        <v>90000</v>
      </c>
      <c r="F869" s="9">
        <v>0</v>
      </c>
      <c r="G869" s="10"/>
      <c r="H869" s="9">
        <v>30000</v>
      </c>
      <c r="I869" s="10">
        <v>90000</v>
      </c>
      <c r="J869" s="152">
        <v>30000</v>
      </c>
      <c r="K869" s="10">
        <v>30000</v>
      </c>
      <c r="L869" s="152">
        <v>20000</v>
      </c>
      <c r="M869" s="10">
        <v>30000</v>
      </c>
      <c r="N869" s="152">
        <v>15000</v>
      </c>
      <c r="O869" s="10">
        <v>20000</v>
      </c>
      <c r="P869" s="152">
        <v>20000</v>
      </c>
      <c r="Q869" s="10">
        <v>15000</v>
      </c>
      <c r="R869" s="9">
        <v>20000</v>
      </c>
      <c r="S869" s="10"/>
      <c r="T869" s="9">
        <v>0</v>
      </c>
      <c r="U869" s="10"/>
      <c r="V869" s="9">
        <v>0</v>
      </c>
      <c r="W869" s="10"/>
      <c r="X869" s="9">
        <v>0</v>
      </c>
      <c r="Y869" s="10"/>
      <c r="Z869" s="9">
        <v>0</v>
      </c>
      <c r="AA869" s="10"/>
      <c r="AB869" s="11">
        <v>0</v>
      </c>
      <c r="AC869" s="10"/>
      <c r="AD869" s="7">
        <f>SUM(F869+H869+J869+L869+N869+P869+R869+T869+V869+X869+Z869+AB869)</f>
        <v>135000</v>
      </c>
      <c r="AE869" s="7">
        <f>E869+AD869</f>
        <v>225000</v>
      </c>
      <c r="AF869" s="8">
        <f>G869+I869+K869+M869+O869+Q869+S869+U869+W869+Y869+AA869+AC869</f>
        <v>185000</v>
      </c>
      <c r="AG869" s="153">
        <f>SUM(AE869-AF869)</f>
        <v>40000</v>
      </c>
      <c r="AH869" s="96" t="s">
        <v>1615</v>
      </c>
      <c r="AI869" s="96">
        <v>4</v>
      </c>
    </row>
    <row r="870" spans="1:42" customHeight="1" ht="11.5" s="96" customFormat="1">
      <c r="A870" s="5">
        <v>862</v>
      </c>
      <c r="B870" s="173" t="s">
        <v>1327</v>
      </c>
      <c r="C870" s="167" t="s">
        <v>36</v>
      </c>
      <c r="D870" s="88" t="s">
        <v>37</v>
      </c>
      <c r="E870" s="174">
        <v>0</v>
      </c>
      <c r="F870" s="9">
        <v>0</v>
      </c>
      <c r="G870" s="10"/>
      <c r="H870" s="9">
        <v>0</v>
      </c>
      <c r="I870" s="10"/>
      <c r="J870" s="152">
        <v>0</v>
      </c>
      <c r="K870" s="10"/>
      <c r="L870" s="152">
        <v>0</v>
      </c>
      <c r="M870" s="10"/>
      <c r="N870" s="152">
        <v>0</v>
      </c>
      <c r="O870" s="10"/>
      <c r="P870" s="152">
        <v>0</v>
      </c>
      <c r="Q870" s="10"/>
      <c r="R870" s="9">
        <v>0</v>
      </c>
      <c r="S870" s="10"/>
      <c r="T870" s="9">
        <v>0</v>
      </c>
      <c r="U870" s="10"/>
      <c r="V870" s="9">
        <v>0</v>
      </c>
      <c r="W870" s="10"/>
      <c r="X870" s="9">
        <v>0</v>
      </c>
      <c r="Y870" s="10"/>
      <c r="Z870" s="9">
        <v>0</v>
      </c>
      <c r="AA870" s="10"/>
      <c r="AB870" s="11">
        <v>0</v>
      </c>
      <c r="AC870" s="10"/>
      <c r="AD870" s="7">
        <f>SUM(F870+H870+J870+L870+N870+P870+R870+T870+V870+X870+Z870+AB870)</f>
        <v>0</v>
      </c>
      <c r="AE870" s="7">
        <f>E870+AD870</f>
        <v>0</v>
      </c>
      <c r="AF870" s="8">
        <f>G870+I870+K870+M870+O870+Q870+S870+U870+W870+Y870+AA870+AC870</f>
        <v>0</v>
      </c>
      <c r="AG870" s="153">
        <f>SUM(AE870-AF870)</f>
        <v>0</v>
      </c>
      <c r="AH870" s="96" t="s">
        <v>1616</v>
      </c>
      <c r="AI870" s="96">
        <v>4</v>
      </c>
    </row>
    <row r="871" spans="1:42" customHeight="1" ht="11.5" s="96" customFormat="1">
      <c r="A871" s="5">
        <v>863</v>
      </c>
      <c r="B871" s="173" t="s">
        <v>1328</v>
      </c>
      <c r="C871" s="167" t="s">
        <v>36</v>
      </c>
      <c r="D871" s="175" t="s">
        <v>37</v>
      </c>
      <c r="E871" s="174">
        <v>20000</v>
      </c>
      <c r="F871" s="9">
        <v>5000</v>
      </c>
      <c r="G871" s="10"/>
      <c r="H871" s="9">
        <v>5000</v>
      </c>
      <c r="I871" s="10">
        <v>25000</v>
      </c>
      <c r="J871" s="152">
        <v>5000</v>
      </c>
      <c r="K871" s="10">
        <v>5000</v>
      </c>
      <c r="L871" s="152">
        <v>5000</v>
      </c>
      <c r="M871" s="10">
        <v>5000</v>
      </c>
      <c r="N871" s="152">
        <v>5000</v>
      </c>
      <c r="O871" s="10">
        <v>5000</v>
      </c>
      <c r="P871" s="152">
        <v>5000</v>
      </c>
      <c r="Q871" s="10">
        <v>5000</v>
      </c>
      <c r="R871" s="9">
        <v>10000</v>
      </c>
      <c r="S871" s="10"/>
      <c r="T871" s="9">
        <v>0</v>
      </c>
      <c r="U871" s="10"/>
      <c r="V871" s="9">
        <v>0</v>
      </c>
      <c r="W871" s="10"/>
      <c r="X871" s="9">
        <v>0</v>
      </c>
      <c r="Y871" s="10"/>
      <c r="Z871" s="9">
        <v>0</v>
      </c>
      <c r="AA871" s="10"/>
      <c r="AB871" s="11">
        <v>0</v>
      </c>
      <c r="AC871" s="10"/>
      <c r="AD871" s="7">
        <f>SUM(F871+H871+J871+L871+N871+P871+R871+T871+V871+X871+Z871+AB871)</f>
        <v>40000</v>
      </c>
      <c r="AE871" s="7">
        <f>E871+AD871</f>
        <v>60000</v>
      </c>
      <c r="AF871" s="8">
        <f>G871+I871+K871+M871+O871+Q871+S871+U871+W871+Y871+AA871+AC871</f>
        <v>45000</v>
      </c>
      <c r="AG871" s="153">
        <f>SUM(AE871-AF871)</f>
        <v>15000</v>
      </c>
      <c r="AH871" s="96" t="s">
        <v>1617</v>
      </c>
      <c r="AI871" s="96">
        <v>4</v>
      </c>
    </row>
    <row r="872" spans="1:42" customHeight="1" ht="11.5" s="96" customFormat="1">
      <c r="A872" s="5">
        <v>864</v>
      </c>
      <c r="B872" s="173" t="s">
        <v>1329</v>
      </c>
      <c r="C872" s="167" t="s">
        <v>36</v>
      </c>
      <c r="D872" s="88" t="s">
        <v>37</v>
      </c>
      <c r="E872" s="174">
        <v>100</v>
      </c>
      <c r="F872" s="9">
        <v>0</v>
      </c>
      <c r="G872" s="10"/>
      <c r="H872" s="9">
        <v>0</v>
      </c>
      <c r="I872" s="10">
        <v>100</v>
      </c>
      <c r="J872" s="152">
        <v>0</v>
      </c>
      <c r="K872" s="10"/>
      <c r="L872" s="152">
        <v>0</v>
      </c>
      <c r="M872" s="10"/>
      <c r="N872" s="152">
        <v>0</v>
      </c>
      <c r="O872" s="10"/>
      <c r="P872" s="152">
        <v>0</v>
      </c>
      <c r="Q872" s="10"/>
      <c r="R872" s="9">
        <v>0</v>
      </c>
      <c r="S872" s="10"/>
      <c r="T872" s="9">
        <v>0</v>
      </c>
      <c r="U872" s="10"/>
      <c r="V872" s="9">
        <v>0</v>
      </c>
      <c r="W872" s="10"/>
      <c r="X872" s="9">
        <v>0</v>
      </c>
      <c r="Y872" s="10"/>
      <c r="Z872" s="9">
        <v>0</v>
      </c>
      <c r="AA872" s="10"/>
      <c r="AB872" s="11">
        <v>0</v>
      </c>
      <c r="AC872" s="10"/>
      <c r="AD872" s="7">
        <f>SUM(F872+H872+J872+L872+N872+P872+R872+T872+V872+X872+Z872+AB872)</f>
        <v>0</v>
      </c>
      <c r="AE872" s="7">
        <f>E872+AD872</f>
        <v>100</v>
      </c>
      <c r="AF872" s="8">
        <f>G872+I872+K872+M872+O872+Q872+S872+U872+W872+Y872+AA872+AC872</f>
        <v>100</v>
      </c>
      <c r="AG872" s="153">
        <f>SUM(AE872-AF872)</f>
        <v>0</v>
      </c>
      <c r="AH872" s="96" t="s">
        <v>1618</v>
      </c>
      <c r="AI872" s="96">
        <v>4</v>
      </c>
    </row>
    <row r="873" spans="1:42" customHeight="1" ht="11.5" s="96" customFormat="1">
      <c r="A873" s="5">
        <v>865</v>
      </c>
      <c r="B873" s="173" t="s">
        <v>1330</v>
      </c>
      <c r="C873" s="167" t="s">
        <v>36</v>
      </c>
      <c r="D873" s="88" t="s">
        <v>37</v>
      </c>
      <c r="E873" s="174">
        <v>0</v>
      </c>
      <c r="F873" s="9">
        <v>0</v>
      </c>
      <c r="G873" s="10"/>
      <c r="H873" s="9">
        <v>0</v>
      </c>
      <c r="I873" s="10"/>
      <c r="J873" s="152">
        <v>0</v>
      </c>
      <c r="K873" s="10"/>
      <c r="L873" s="152">
        <v>0</v>
      </c>
      <c r="M873" s="10"/>
      <c r="N873" s="152">
        <v>5000</v>
      </c>
      <c r="O873" s="10"/>
      <c r="P873" s="152">
        <v>0</v>
      </c>
      <c r="Q873" s="10">
        <v>5000</v>
      </c>
      <c r="R873" s="9">
        <v>10000</v>
      </c>
      <c r="S873" s="10"/>
      <c r="T873" s="9">
        <v>0</v>
      </c>
      <c r="U873" s="10"/>
      <c r="V873" s="9">
        <v>0</v>
      </c>
      <c r="W873" s="10"/>
      <c r="X873" s="9">
        <v>0</v>
      </c>
      <c r="Y873" s="10"/>
      <c r="Z873" s="9">
        <v>0</v>
      </c>
      <c r="AA873" s="10"/>
      <c r="AB873" s="11">
        <v>0</v>
      </c>
      <c r="AC873" s="10"/>
      <c r="AD873" s="7">
        <f>SUM(F873+H873+J873+L873+N873+P873+R873+T873+V873+X873+Z873+AB873)</f>
        <v>15000</v>
      </c>
      <c r="AE873" s="7">
        <f>E873+AD873</f>
        <v>15000</v>
      </c>
      <c r="AF873" s="8">
        <f>G873+I873+K873+M873+O873+Q873+S873+U873+W873+Y873+AA873+AC873</f>
        <v>5000</v>
      </c>
      <c r="AG873" s="153">
        <f>SUM(AE873-AF873)</f>
        <v>10000</v>
      </c>
      <c r="AH873" s="96" t="s">
        <v>1619</v>
      </c>
      <c r="AI873" s="96">
        <v>4</v>
      </c>
    </row>
    <row r="874" spans="1:42" customHeight="1" ht="11.5" s="96" customFormat="1">
      <c r="A874" s="5">
        <v>866</v>
      </c>
      <c r="B874" s="173" t="s">
        <v>1331</v>
      </c>
      <c r="C874" s="167" t="s">
        <v>36</v>
      </c>
      <c r="D874" s="88" t="s">
        <v>37</v>
      </c>
      <c r="E874" s="174">
        <v>250000</v>
      </c>
      <c r="F874" s="9">
        <v>130000</v>
      </c>
      <c r="G874" s="10"/>
      <c r="H874" s="9">
        <v>205000</v>
      </c>
      <c r="I874" s="10">
        <v>380000</v>
      </c>
      <c r="J874" s="152">
        <v>270000</v>
      </c>
      <c r="K874" s="10">
        <v>205000</v>
      </c>
      <c r="L874" s="152">
        <v>125000</v>
      </c>
      <c r="M874" s="10">
        <v>270000</v>
      </c>
      <c r="N874" s="152">
        <v>240000</v>
      </c>
      <c r="O874" s="10">
        <v>125000</v>
      </c>
      <c r="P874" s="152">
        <v>35000</v>
      </c>
      <c r="Q874" s="10">
        <v>240000</v>
      </c>
      <c r="R874" s="9">
        <v>340000</v>
      </c>
      <c r="S874" s="10"/>
      <c r="T874" s="9">
        <v>0</v>
      </c>
      <c r="U874" s="10"/>
      <c r="V874" s="9">
        <v>0</v>
      </c>
      <c r="W874" s="10"/>
      <c r="X874" s="9">
        <v>0</v>
      </c>
      <c r="Y874" s="10"/>
      <c r="Z874" s="9">
        <v>0</v>
      </c>
      <c r="AA874" s="10"/>
      <c r="AB874" s="11">
        <v>0</v>
      </c>
      <c r="AC874" s="10"/>
      <c r="AD874" s="7">
        <f>SUM(F874+H874+J874+L874+N874+P874+R874+T874+V874+X874+Z874+AB874)</f>
        <v>1345000</v>
      </c>
      <c r="AE874" s="7">
        <f>E874+AD874</f>
        <v>1595000</v>
      </c>
      <c r="AF874" s="8">
        <f>G874+I874+K874+M874+O874+Q874+S874+U874+W874+Y874+AA874+AC874</f>
        <v>1220000</v>
      </c>
      <c r="AG874" s="153">
        <f>SUM(AE874-AF874)</f>
        <v>375000</v>
      </c>
      <c r="AH874" s="96" t="s">
        <v>1620</v>
      </c>
      <c r="AI874" s="96">
        <v>4</v>
      </c>
    </row>
    <row r="875" spans="1:42" customHeight="1" ht="11.5" s="96" customFormat="1">
      <c r="A875" s="5">
        <v>867</v>
      </c>
      <c r="B875" s="173" t="s">
        <v>1332</v>
      </c>
      <c r="C875" s="167" t="s">
        <v>36</v>
      </c>
      <c r="D875" s="88" t="s">
        <v>37</v>
      </c>
      <c r="E875" s="174">
        <v>0</v>
      </c>
      <c r="F875" s="9">
        <v>0</v>
      </c>
      <c r="G875" s="10"/>
      <c r="H875" s="9">
        <v>0</v>
      </c>
      <c r="I875" s="10"/>
      <c r="J875" s="152">
        <v>0</v>
      </c>
      <c r="K875" s="10"/>
      <c r="L875" s="152">
        <v>0</v>
      </c>
      <c r="M875" s="10"/>
      <c r="N875" s="152">
        <v>0</v>
      </c>
      <c r="O875" s="10"/>
      <c r="P875" s="152">
        <v>0</v>
      </c>
      <c r="Q875" s="10"/>
      <c r="R875" s="9">
        <v>0</v>
      </c>
      <c r="S875" s="10"/>
      <c r="T875" s="9">
        <v>0</v>
      </c>
      <c r="U875" s="10"/>
      <c r="V875" s="9">
        <v>0</v>
      </c>
      <c r="W875" s="10"/>
      <c r="X875" s="9">
        <v>0</v>
      </c>
      <c r="Y875" s="10"/>
      <c r="Z875" s="9">
        <v>0</v>
      </c>
      <c r="AA875" s="10"/>
      <c r="AB875" s="11">
        <v>0</v>
      </c>
      <c r="AC875" s="10"/>
      <c r="AD875" s="7">
        <f>SUM(F875+H875+J875+L875+N875+P875+R875+T875+V875+X875+Z875+AB875)</f>
        <v>0</v>
      </c>
      <c r="AE875" s="7">
        <f>E875+AD875</f>
        <v>0</v>
      </c>
      <c r="AF875" s="8">
        <f>G875+I875+K875+M875+O875+Q875+S875+U875+W875+Y875+AA875+AC875</f>
        <v>0</v>
      </c>
      <c r="AG875" s="153">
        <f>SUM(AE875-AF875)</f>
        <v>0</v>
      </c>
      <c r="AH875" s="96" t="s">
        <v>1621</v>
      </c>
      <c r="AI875" s="96">
        <v>4</v>
      </c>
    </row>
    <row r="876" spans="1:42" customHeight="1" ht="11.5" s="96" customFormat="1">
      <c r="A876" s="5">
        <v>868</v>
      </c>
      <c r="B876" s="173" t="s">
        <v>1333</v>
      </c>
      <c r="C876" s="167" t="s">
        <v>36</v>
      </c>
      <c r="D876" s="88" t="s">
        <v>37</v>
      </c>
      <c r="E876" s="174">
        <v>79700</v>
      </c>
      <c r="F876" s="9">
        <v>30000</v>
      </c>
      <c r="G876" s="10"/>
      <c r="H876" s="9">
        <v>20000</v>
      </c>
      <c r="I876" s="10">
        <v>109700</v>
      </c>
      <c r="J876" s="152">
        <v>30000</v>
      </c>
      <c r="K876" s="10">
        <v>20000</v>
      </c>
      <c r="L876" s="152">
        <v>10000</v>
      </c>
      <c r="M876" s="10">
        <v>30000</v>
      </c>
      <c r="N876" s="152">
        <v>15000</v>
      </c>
      <c r="O876" s="10">
        <v>10000</v>
      </c>
      <c r="P876" s="152">
        <v>10000</v>
      </c>
      <c r="Q876" s="10">
        <v>15000</v>
      </c>
      <c r="R876" s="9">
        <v>25000</v>
      </c>
      <c r="S876" s="10"/>
      <c r="T876" s="9">
        <v>0</v>
      </c>
      <c r="U876" s="10"/>
      <c r="V876" s="9">
        <v>0</v>
      </c>
      <c r="W876" s="10"/>
      <c r="X876" s="9">
        <v>0</v>
      </c>
      <c r="Y876" s="10"/>
      <c r="Z876" s="9">
        <v>0</v>
      </c>
      <c r="AA876" s="10"/>
      <c r="AB876" s="11">
        <v>0</v>
      </c>
      <c r="AC876" s="10"/>
      <c r="AD876" s="7">
        <f>SUM(F876+H876+J876+L876+N876+P876+R876+T876+V876+X876+Z876+AB876)</f>
        <v>140000</v>
      </c>
      <c r="AE876" s="7">
        <f>E876+AD876</f>
        <v>219700</v>
      </c>
      <c r="AF876" s="8">
        <f>G876+I876+K876+M876+O876+Q876+S876+U876+W876+Y876+AA876+AC876</f>
        <v>184700</v>
      </c>
      <c r="AG876" s="153">
        <f>SUM(AE876-AF876)</f>
        <v>35000</v>
      </c>
      <c r="AH876" s="96" t="s">
        <v>1622</v>
      </c>
      <c r="AI876" s="96">
        <v>4</v>
      </c>
    </row>
    <row r="877" spans="1:42" customHeight="1" ht="11.5" s="96" customFormat="1">
      <c r="A877" s="5">
        <v>869</v>
      </c>
      <c r="B877" s="173" t="s">
        <v>1334</v>
      </c>
      <c r="C877" s="167" t="s">
        <v>36</v>
      </c>
      <c r="D877" s="88" t="s">
        <v>37</v>
      </c>
      <c r="E877" s="174">
        <v>0</v>
      </c>
      <c r="F877" s="9">
        <v>0</v>
      </c>
      <c r="G877" s="10"/>
      <c r="H877" s="9">
        <v>0</v>
      </c>
      <c r="I877" s="10"/>
      <c r="J877" s="152">
        <v>0</v>
      </c>
      <c r="K877" s="10"/>
      <c r="L877" s="152">
        <v>0</v>
      </c>
      <c r="M877" s="10"/>
      <c r="N877" s="152">
        <v>0</v>
      </c>
      <c r="O877" s="10"/>
      <c r="P877" s="152">
        <v>0</v>
      </c>
      <c r="Q877" s="10"/>
      <c r="R877" s="9">
        <v>0</v>
      </c>
      <c r="S877" s="10"/>
      <c r="T877" s="9">
        <v>0</v>
      </c>
      <c r="U877" s="10"/>
      <c r="V877" s="9">
        <v>0</v>
      </c>
      <c r="W877" s="10"/>
      <c r="X877" s="9">
        <v>0</v>
      </c>
      <c r="Y877" s="10"/>
      <c r="Z877" s="9">
        <v>0</v>
      </c>
      <c r="AA877" s="10"/>
      <c r="AB877" s="11">
        <v>0</v>
      </c>
      <c r="AC877" s="10"/>
      <c r="AD877" s="7">
        <f>SUM(F877+H877+J877+L877+N877+P877+R877+T877+V877+X877+Z877+AB877)</f>
        <v>0</v>
      </c>
      <c r="AE877" s="7">
        <f>E877+AD877</f>
        <v>0</v>
      </c>
      <c r="AF877" s="8">
        <f>G877+I877+K877+M877+O877+Q877+S877+U877+W877+Y877+AA877+AC877</f>
        <v>0</v>
      </c>
      <c r="AG877" s="153">
        <f>SUM(AE877-AF877)</f>
        <v>0</v>
      </c>
      <c r="AH877" s="96" t="s">
        <v>1623</v>
      </c>
      <c r="AI877" s="96">
        <v>4</v>
      </c>
    </row>
    <row r="878" spans="1:42" customHeight="1" ht="11.5" s="96" customFormat="1">
      <c r="A878" s="5">
        <v>870</v>
      </c>
      <c r="B878" s="173" t="s">
        <v>1335</v>
      </c>
      <c r="C878" s="167" t="s">
        <v>36</v>
      </c>
      <c r="D878" s="88" t="s">
        <v>37</v>
      </c>
      <c r="E878" s="174">
        <v>0</v>
      </c>
      <c r="F878" s="9">
        <v>0</v>
      </c>
      <c r="G878" s="10"/>
      <c r="H878" s="9">
        <v>0</v>
      </c>
      <c r="I878" s="10"/>
      <c r="J878" s="152">
        <v>0</v>
      </c>
      <c r="K878" s="10"/>
      <c r="L878" s="152">
        <v>0</v>
      </c>
      <c r="M878" s="10"/>
      <c r="N878" s="152">
        <v>0</v>
      </c>
      <c r="O878" s="10"/>
      <c r="P878" s="152">
        <v>0</v>
      </c>
      <c r="Q878" s="10"/>
      <c r="R878" s="9">
        <v>0</v>
      </c>
      <c r="S878" s="10"/>
      <c r="T878" s="9">
        <v>0</v>
      </c>
      <c r="U878" s="10"/>
      <c r="V878" s="9">
        <v>0</v>
      </c>
      <c r="W878" s="10"/>
      <c r="X878" s="9">
        <v>0</v>
      </c>
      <c r="Y878" s="10"/>
      <c r="Z878" s="9">
        <v>0</v>
      </c>
      <c r="AA878" s="10"/>
      <c r="AB878" s="11">
        <v>0</v>
      </c>
      <c r="AC878" s="10"/>
      <c r="AD878" s="7">
        <f>SUM(F878+H878+J878+L878+N878+P878+R878+T878+V878+X878+Z878+AB878)</f>
        <v>0</v>
      </c>
      <c r="AE878" s="7">
        <f>E878+AD878</f>
        <v>0</v>
      </c>
      <c r="AF878" s="8">
        <f>G878+I878+K878+M878+O878+Q878+S878+U878+W878+Y878+AA878+AC878</f>
        <v>0</v>
      </c>
      <c r="AG878" s="153">
        <f>SUM(AE878-AF878)</f>
        <v>0</v>
      </c>
      <c r="AH878" s="96" t="s">
        <v>1624</v>
      </c>
      <c r="AI878" s="96">
        <v>4</v>
      </c>
    </row>
    <row r="879" spans="1:42" customHeight="1" ht="11.5" s="96" customFormat="1">
      <c r="A879" s="5">
        <v>871</v>
      </c>
      <c r="B879" s="173" t="s">
        <v>1336</v>
      </c>
      <c r="C879" s="167" t="s">
        <v>36</v>
      </c>
      <c r="D879" s="88" t="s">
        <v>37</v>
      </c>
      <c r="E879" s="174">
        <v>22000</v>
      </c>
      <c r="F879" s="9">
        <v>0</v>
      </c>
      <c r="G879" s="10">
        <v>22000</v>
      </c>
      <c r="H879" s="9">
        <v>0</v>
      </c>
      <c r="I879" s="10"/>
      <c r="J879" s="152">
        <v>0</v>
      </c>
      <c r="K879" s="10"/>
      <c r="L879" s="152">
        <v>0</v>
      </c>
      <c r="M879" s="10"/>
      <c r="N879" s="152">
        <v>0</v>
      </c>
      <c r="O879" s="10"/>
      <c r="P879" s="152">
        <v>0</v>
      </c>
      <c r="Q879" s="10"/>
      <c r="R879" s="9">
        <v>0</v>
      </c>
      <c r="S879" s="10"/>
      <c r="T879" s="9">
        <v>0</v>
      </c>
      <c r="U879" s="10"/>
      <c r="V879" s="9">
        <v>0</v>
      </c>
      <c r="W879" s="10"/>
      <c r="X879" s="9">
        <v>0</v>
      </c>
      <c r="Y879" s="10"/>
      <c r="Z879" s="9">
        <v>0</v>
      </c>
      <c r="AA879" s="10"/>
      <c r="AB879" s="11">
        <v>0</v>
      </c>
      <c r="AC879" s="10"/>
      <c r="AD879" s="7">
        <f>SUM(F879+H879+J879+L879+N879+P879+R879+T879+V879+X879+Z879+AB879)</f>
        <v>0</v>
      </c>
      <c r="AE879" s="7">
        <f>E879+AD879</f>
        <v>22000</v>
      </c>
      <c r="AF879" s="8">
        <f>G879+I879+K879+M879+O879+Q879+S879+U879+W879+Y879+AA879+AC879</f>
        <v>22000</v>
      </c>
      <c r="AG879" s="153">
        <f>SUM(AE879-AF879)</f>
        <v>0</v>
      </c>
      <c r="AH879" s="96" t="s">
        <v>1625</v>
      </c>
      <c r="AI879" s="96">
        <v>4</v>
      </c>
    </row>
    <row r="880" spans="1:42" customHeight="1" ht="11.5" s="96" customFormat="1">
      <c r="A880" s="5">
        <v>872</v>
      </c>
      <c r="B880" s="173" t="s">
        <v>1337</v>
      </c>
      <c r="C880" s="167" t="s">
        <v>36</v>
      </c>
      <c r="D880" s="88" t="s">
        <v>37</v>
      </c>
      <c r="E880" s="174">
        <v>0</v>
      </c>
      <c r="F880" s="9">
        <v>0</v>
      </c>
      <c r="G880" s="10"/>
      <c r="H880" s="9">
        <v>0</v>
      </c>
      <c r="I880" s="10"/>
      <c r="J880" s="152">
        <v>0</v>
      </c>
      <c r="K880" s="10"/>
      <c r="L880" s="152">
        <v>0</v>
      </c>
      <c r="M880" s="10"/>
      <c r="N880" s="152">
        <v>0</v>
      </c>
      <c r="O880" s="10"/>
      <c r="P880" s="152">
        <v>0</v>
      </c>
      <c r="Q880" s="10"/>
      <c r="R880" s="9">
        <v>0</v>
      </c>
      <c r="S880" s="10"/>
      <c r="T880" s="9">
        <v>0</v>
      </c>
      <c r="U880" s="10"/>
      <c r="V880" s="9">
        <v>0</v>
      </c>
      <c r="W880" s="10"/>
      <c r="X880" s="9">
        <v>0</v>
      </c>
      <c r="Y880" s="10"/>
      <c r="Z880" s="9">
        <v>0</v>
      </c>
      <c r="AA880" s="10"/>
      <c r="AB880" s="11">
        <v>0</v>
      </c>
      <c r="AC880" s="10"/>
      <c r="AD880" s="7">
        <f>SUM(F880+H880+J880+L880+N880+P880+R880+T880+V880+X880+Z880+AB880)</f>
        <v>0</v>
      </c>
      <c r="AE880" s="7">
        <f>E880+AD880</f>
        <v>0</v>
      </c>
      <c r="AF880" s="8">
        <f>G880+I880+K880+M880+O880+Q880+S880+U880+W880+Y880+AA880+AC880</f>
        <v>0</v>
      </c>
      <c r="AG880" s="153">
        <f>SUM(AE880-AF880)</f>
        <v>0</v>
      </c>
      <c r="AH880" s="96" t="s">
        <v>1626</v>
      </c>
      <c r="AI880" s="96">
        <v>4</v>
      </c>
    </row>
    <row r="881" spans="1:42" customHeight="1" ht="11.5" s="96" customFormat="1">
      <c r="A881" s="5">
        <v>873</v>
      </c>
      <c r="B881" s="173" t="s">
        <v>1338</v>
      </c>
      <c r="C881" s="167" t="s">
        <v>36</v>
      </c>
      <c r="D881" s="88" t="s">
        <v>37</v>
      </c>
      <c r="E881" s="174">
        <v>0</v>
      </c>
      <c r="F881" s="9">
        <v>0</v>
      </c>
      <c r="G881" s="10"/>
      <c r="H881" s="9">
        <v>0</v>
      </c>
      <c r="I881" s="10"/>
      <c r="J881" s="152">
        <v>0</v>
      </c>
      <c r="K881" s="10"/>
      <c r="L881" s="152">
        <v>0</v>
      </c>
      <c r="M881" s="10"/>
      <c r="N881" s="152">
        <v>0</v>
      </c>
      <c r="O881" s="10"/>
      <c r="P881" s="152">
        <v>0</v>
      </c>
      <c r="Q881" s="10"/>
      <c r="R881" s="9">
        <v>0</v>
      </c>
      <c r="S881" s="10"/>
      <c r="T881" s="9">
        <v>0</v>
      </c>
      <c r="U881" s="10"/>
      <c r="V881" s="9">
        <v>0</v>
      </c>
      <c r="W881" s="10"/>
      <c r="X881" s="9">
        <v>0</v>
      </c>
      <c r="Y881" s="10"/>
      <c r="Z881" s="9">
        <v>0</v>
      </c>
      <c r="AA881" s="10"/>
      <c r="AB881" s="11">
        <v>0</v>
      </c>
      <c r="AC881" s="10"/>
      <c r="AD881" s="7">
        <f>SUM(F881+H881+J881+L881+N881+P881+R881+T881+V881+X881+Z881+AB881)</f>
        <v>0</v>
      </c>
      <c r="AE881" s="7">
        <f>E881+AD881</f>
        <v>0</v>
      </c>
      <c r="AF881" s="8">
        <f>G881+I881+K881+M881+O881+Q881+S881+U881+W881+Y881+AA881+AC881</f>
        <v>0</v>
      </c>
      <c r="AG881" s="153">
        <f>SUM(AE881-AF881)</f>
        <v>0</v>
      </c>
      <c r="AH881" s="96" t="s">
        <v>1627</v>
      </c>
      <c r="AI881" s="96">
        <v>4</v>
      </c>
    </row>
    <row r="882" spans="1:42" customHeight="1" ht="11.5" s="96" customFormat="1">
      <c r="A882" s="5">
        <v>874</v>
      </c>
      <c r="B882" s="173" t="s">
        <v>1339</v>
      </c>
      <c r="C882" s="167" t="s">
        <v>36</v>
      </c>
      <c r="D882" s="88" t="s">
        <v>37</v>
      </c>
      <c r="E882" s="174">
        <v>0</v>
      </c>
      <c r="F882" s="9">
        <v>0</v>
      </c>
      <c r="G882" s="10"/>
      <c r="H882" s="9">
        <v>0</v>
      </c>
      <c r="I882" s="10"/>
      <c r="J882" s="152">
        <v>0</v>
      </c>
      <c r="K882" s="10"/>
      <c r="L882" s="152">
        <v>5000</v>
      </c>
      <c r="M882" s="10"/>
      <c r="N882" s="152">
        <v>0</v>
      </c>
      <c r="O882" s="10">
        <v>5000</v>
      </c>
      <c r="P882" s="152">
        <v>0</v>
      </c>
      <c r="Q882" s="10"/>
      <c r="R882" s="9">
        <v>0</v>
      </c>
      <c r="S882" s="10"/>
      <c r="T882" s="9">
        <v>0</v>
      </c>
      <c r="U882" s="10"/>
      <c r="V882" s="9">
        <v>0</v>
      </c>
      <c r="W882" s="10"/>
      <c r="X882" s="9">
        <v>0</v>
      </c>
      <c r="Y882" s="10"/>
      <c r="Z882" s="9">
        <v>0</v>
      </c>
      <c r="AA882" s="10"/>
      <c r="AB882" s="11">
        <v>0</v>
      </c>
      <c r="AC882" s="10"/>
      <c r="AD882" s="7">
        <f>SUM(F882+H882+J882+L882+N882+P882+R882+T882+V882+X882+Z882+AB882)</f>
        <v>5000</v>
      </c>
      <c r="AE882" s="7">
        <f>E882+AD882</f>
        <v>5000</v>
      </c>
      <c r="AF882" s="8">
        <f>G882+I882+K882+M882+O882+Q882+S882+U882+W882+Y882+AA882+AC882</f>
        <v>5000</v>
      </c>
      <c r="AG882" s="153">
        <f>SUM(AE882-AF882)</f>
        <v>0</v>
      </c>
      <c r="AH882" s="96" t="s">
        <v>1628</v>
      </c>
      <c r="AI882" s="96">
        <v>4</v>
      </c>
    </row>
    <row r="883" spans="1:42" customHeight="1" ht="11.5" s="96" customFormat="1">
      <c r="A883" s="5">
        <v>875</v>
      </c>
      <c r="B883" s="173" t="s">
        <v>1340</v>
      </c>
      <c r="C883" s="167" t="s">
        <v>36</v>
      </c>
      <c r="D883" s="88" t="s">
        <v>37</v>
      </c>
      <c r="E883" s="174">
        <v>0</v>
      </c>
      <c r="F883" s="9">
        <v>0</v>
      </c>
      <c r="G883" s="10"/>
      <c r="H883" s="9">
        <v>0</v>
      </c>
      <c r="I883" s="10"/>
      <c r="J883" s="152">
        <v>0</v>
      </c>
      <c r="K883" s="10"/>
      <c r="L883" s="152">
        <v>0</v>
      </c>
      <c r="M883" s="10"/>
      <c r="N883" s="152">
        <v>0</v>
      </c>
      <c r="O883" s="10"/>
      <c r="P883" s="152">
        <v>0</v>
      </c>
      <c r="Q883" s="10"/>
      <c r="R883" s="9">
        <v>0</v>
      </c>
      <c r="S883" s="10"/>
      <c r="T883" s="9">
        <v>0</v>
      </c>
      <c r="U883" s="10"/>
      <c r="V883" s="9">
        <v>0</v>
      </c>
      <c r="W883" s="10"/>
      <c r="X883" s="9">
        <v>0</v>
      </c>
      <c r="Y883" s="10"/>
      <c r="Z883" s="9">
        <v>0</v>
      </c>
      <c r="AA883" s="10"/>
      <c r="AB883" s="11">
        <v>0</v>
      </c>
      <c r="AC883" s="10"/>
      <c r="AD883" s="7">
        <f>SUM(F883+H883+J883+L883+N883+P883+R883+T883+V883+X883+Z883+AB883)</f>
        <v>0</v>
      </c>
      <c r="AE883" s="7">
        <f>E883+AD883</f>
        <v>0</v>
      </c>
      <c r="AF883" s="8">
        <f>G883+I883+K883+M883+O883+Q883+S883+U883+W883+Y883+AA883+AC883</f>
        <v>0</v>
      </c>
      <c r="AG883" s="153">
        <f>SUM(AE883-AF883)</f>
        <v>0</v>
      </c>
      <c r="AH883" s="96" t="s">
        <v>1629</v>
      </c>
      <c r="AI883" s="96">
        <v>4</v>
      </c>
    </row>
    <row r="884" spans="1:42" customHeight="1" ht="11.5" s="96" customFormat="1">
      <c r="A884" s="5">
        <v>876</v>
      </c>
      <c r="B884" s="173" t="s">
        <v>1341</v>
      </c>
      <c r="C884" s="167" t="s">
        <v>36</v>
      </c>
      <c r="D884" s="88" t="s">
        <v>37</v>
      </c>
      <c r="E884" s="174">
        <v>0</v>
      </c>
      <c r="F884" s="9">
        <v>0</v>
      </c>
      <c r="G884" s="10"/>
      <c r="H884" s="9">
        <v>10000</v>
      </c>
      <c r="I884" s="10"/>
      <c r="J884" s="152">
        <v>10000</v>
      </c>
      <c r="K884" s="10">
        <v>10000</v>
      </c>
      <c r="L884" s="152">
        <v>10000</v>
      </c>
      <c r="M884" s="10">
        <v>10000</v>
      </c>
      <c r="N884" s="152">
        <v>0</v>
      </c>
      <c r="O884" s="10">
        <v>10000</v>
      </c>
      <c r="P884" s="152">
        <v>0</v>
      </c>
      <c r="Q884" s="10"/>
      <c r="R884" s="9">
        <v>10000</v>
      </c>
      <c r="S884" s="10"/>
      <c r="T884" s="9">
        <v>0</v>
      </c>
      <c r="U884" s="10"/>
      <c r="V884" s="9">
        <v>0</v>
      </c>
      <c r="W884" s="10"/>
      <c r="X884" s="9">
        <v>0</v>
      </c>
      <c r="Y884" s="10"/>
      <c r="Z884" s="9">
        <v>0</v>
      </c>
      <c r="AA884" s="10"/>
      <c r="AB884" s="11">
        <v>0</v>
      </c>
      <c r="AC884" s="10"/>
      <c r="AD884" s="7">
        <f>SUM(F884+H884+J884+L884+N884+P884+R884+T884+V884+X884+Z884+AB884)</f>
        <v>40000</v>
      </c>
      <c r="AE884" s="7">
        <f>E884+AD884</f>
        <v>40000</v>
      </c>
      <c r="AF884" s="8">
        <f>G884+I884+K884+M884+O884+Q884+S884+U884+W884+Y884+AA884+AC884</f>
        <v>30000</v>
      </c>
      <c r="AG884" s="153">
        <f>SUM(AE884-AF884)</f>
        <v>10000</v>
      </c>
      <c r="AH884" s="96" t="s">
        <v>1630</v>
      </c>
      <c r="AI884" s="96">
        <v>4</v>
      </c>
    </row>
    <row r="885" spans="1:42" customHeight="1" ht="11.5" s="96" customFormat="1">
      <c r="A885" s="5">
        <v>877</v>
      </c>
      <c r="B885" s="173" t="s">
        <v>1342</v>
      </c>
      <c r="C885" s="167" t="s">
        <v>36</v>
      </c>
      <c r="D885" s="88" t="s">
        <v>37</v>
      </c>
      <c r="E885" s="174">
        <v>25000</v>
      </c>
      <c r="F885" s="9">
        <v>60000</v>
      </c>
      <c r="G885" s="10">
        <v>25000</v>
      </c>
      <c r="H885" s="9">
        <v>40000</v>
      </c>
      <c r="I885" s="10">
        <v>60000</v>
      </c>
      <c r="J885" s="152">
        <v>40000</v>
      </c>
      <c r="K885" s="10">
        <v>40000</v>
      </c>
      <c r="L885" s="152">
        <v>40000</v>
      </c>
      <c r="M885" s="10"/>
      <c r="N885" s="152">
        <v>50000</v>
      </c>
      <c r="O885" s="10"/>
      <c r="P885" s="152">
        <v>55000</v>
      </c>
      <c r="Q885" s="10"/>
      <c r="R885" s="9">
        <v>45000</v>
      </c>
      <c r="S885" s="10"/>
      <c r="T885" s="9">
        <v>0</v>
      </c>
      <c r="U885" s="10"/>
      <c r="V885" s="9">
        <v>0</v>
      </c>
      <c r="W885" s="10"/>
      <c r="X885" s="9">
        <v>0</v>
      </c>
      <c r="Y885" s="10"/>
      <c r="Z885" s="9">
        <v>0</v>
      </c>
      <c r="AA885" s="10"/>
      <c r="AB885" s="11">
        <v>0</v>
      </c>
      <c r="AC885" s="10"/>
      <c r="AD885" s="7">
        <f>SUM(F885+H885+J885+L885+N885+P885+R885+T885+V885+X885+Z885+AB885)</f>
        <v>330000</v>
      </c>
      <c r="AE885" s="7">
        <f>E885+AD885</f>
        <v>355000</v>
      </c>
      <c r="AF885" s="8">
        <f>G885+I885+K885+M885+O885+Q885+S885+U885+W885+Y885+AA885+AC885</f>
        <v>125000</v>
      </c>
      <c r="AG885" s="153">
        <f>SUM(AE885-AF885)</f>
        <v>230000</v>
      </c>
      <c r="AH885" s="96" t="s">
        <v>1631</v>
      </c>
      <c r="AI885" s="96">
        <v>4</v>
      </c>
    </row>
    <row r="886" spans="1:42" customHeight="1" ht="11.5" s="96" customFormat="1">
      <c r="A886" s="5">
        <v>878</v>
      </c>
      <c r="B886" s="173" t="s">
        <v>1343</v>
      </c>
      <c r="C886" s="167" t="s">
        <v>36</v>
      </c>
      <c r="D886" s="88" t="s">
        <v>37</v>
      </c>
      <c r="E886" s="174">
        <v>60000</v>
      </c>
      <c r="F886" s="9">
        <v>80000</v>
      </c>
      <c r="G886" s="10">
        <v>60000</v>
      </c>
      <c r="H886" s="9">
        <v>80000</v>
      </c>
      <c r="I886" s="10">
        <v>80000</v>
      </c>
      <c r="J886" s="152">
        <v>80000</v>
      </c>
      <c r="K886" s="10">
        <v>80000</v>
      </c>
      <c r="L886" s="152">
        <v>70000</v>
      </c>
      <c r="M886" s="10">
        <v>80000</v>
      </c>
      <c r="N886" s="152">
        <v>70000</v>
      </c>
      <c r="O886" s="10">
        <v>70000</v>
      </c>
      <c r="P886" s="152">
        <v>50000</v>
      </c>
      <c r="Q886" s="10">
        <v>70000</v>
      </c>
      <c r="R886" s="9">
        <v>60000</v>
      </c>
      <c r="S886" s="10"/>
      <c r="T886" s="9">
        <v>0</v>
      </c>
      <c r="U886" s="10"/>
      <c r="V886" s="9">
        <v>0</v>
      </c>
      <c r="W886" s="10"/>
      <c r="X886" s="9">
        <v>0</v>
      </c>
      <c r="Y886" s="10"/>
      <c r="Z886" s="9">
        <v>0</v>
      </c>
      <c r="AA886" s="10"/>
      <c r="AB886" s="11">
        <v>0</v>
      </c>
      <c r="AC886" s="10"/>
      <c r="AD886" s="7">
        <f>SUM(F886+H886+J886+L886+N886+P886+R886+T886+V886+X886+Z886+AB886)</f>
        <v>490000</v>
      </c>
      <c r="AE886" s="7">
        <f>E886+AD886</f>
        <v>550000</v>
      </c>
      <c r="AF886" s="8">
        <f>G886+I886+K886+M886+O886+Q886+S886+U886+W886+Y886+AA886+AC886</f>
        <v>440000</v>
      </c>
      <c r="AG886" s="153">
        <f>SUM(AE886-AF886)</f>
        <v>110000</v>
      </c>
      <c r="AH886" s="96" t="s">
        <v>1632</v>
      </c>
      <c r="AI886" s="96">
        <v>4</v>
      </c>
    </row>
    <row r="887" spans="1:42" customHeight="1" ht="11.5" s="96" customFormat="1">
      <c r="A887" s="5">
        <v>879</v>
      </c>
      <c r="B887" s="173" t="s">
        <v>1344</v>
      </c>
      <c r="C887" s="167" t="s">
        <v>36</v>
      </c>
      <c r="D887" s="88" t="s">
        <v>37</v>
      </c>
      <c r="E887" s="174">
        <v>0</v>
      </c>
      <c r="F887" s="9">
        <v>0</v>
      </c>
      <c r="G887" s="10"/>
      <c r="H887" s="9">
        <v>0</v>
      </c>
      <c r="I887" s="10"/>
      <c r="J887" s="152">
        <v>0</v>
      </c>
      <c r="K887" s="10"/>
      <c r="L887" s="152">
        <v>30000</v>
      </c>
      <c r="M887" s="10"/>
      <c r="N887" s="152">
        <v>0</v>
      </c>
      <c r="O887" s="10">
        <v>30000</v>
      </c>
      <c r="P887" s="152">
        <v>0</v>
      </c>
      <c r="Q887" s="10"/>
      <c r="R887" s="9">
        <v>0</v>
      </c>
      <c r="S887" s="10"/>
      <c r="T887" s="9">
        <v>0</v>
      </c>
      <c r="U887" s="10"/>
      <c r="V887" s="9">
        <v>0</v>
      </c>
      <c r="W887" s="10"/>
      <c r="X887" s="9">
        <v>0</v>
      </c>
      <c r="Y887" s="10"/>
      <c r="Z887" s="9">
        <v>0</v>
      </c>
      <c r="AA887" s="10"/>
      <c r="AB887" s="11">
        <v>0</v>
      </c>
      <c r="AC887" s="10"/>
      <c r="AD887" s="7">
        <f>SUM(F887+H887+J887+L887+N887+P887+R887+T887+V887+X887+Z887+AB887)</f>
        <v>30000</v>
      </c>
      <c r="AE887" s="7">
        <f>E887+AD887</f>
        <v>30000</v>
      </c>
      <c r="AF887" s="8">
        <f>G887+I887+K887+M887+O887+Q887+S887+U887+W887+Y887+AA887+AC887</f>
        <v>30000</v>
      </c>
      <c r="AG887" s="153">
        <f>SUM(AE887-AF887)</f>
        <v>0</v>
      </c>
      <c r="AH887" s="96" t="s">
        <v>1633</v>
      </c>
      <c r="AI887" s="96">
        <v>4</v>
      </c>
    </row>
    <row r="888" spans="1:42" customHeight="1" ht="11.5" s="96" customFormat="1">
      <c r="A888" s="5">
        <v>880</v>
      </c>
      <c r="B888" s="173" t="s">
        <v>1345</v>
      </c>
      <c r="C888" s="167" t="s">
        <v>36</v>
      </c>
      <c r="D888" s="88" t="s">
        <v>37</v>
      </c>
      <c r="E888" s="174">
        <v>4900</v>
      </c>
      <c r="F888" s="9">
        <v>0</v>
      </c>
      <c r="G888" s="10">
        <v>4900</v>
      </c>
      <c r="H888" s="9">
        <v>0</v>
      </c>
      <c r="I888" s="10"/>
      <c r="J888" s="152">
        <v>0</v>
      </c>
      <c r="K888" s="10"/>
      <c r="L888" s="152">
        <v>0</v>
      </c>
      <c r="M888" s="10"/>
      <c r="N888" s="152">
        <v>0</v>
      </c>
      <c r="O888" s="10"/>
      <c r="P888" s="152">
        <v>0</v>
      </c>
      <c r="Q888" s="10"/>
      <c r="R888" s="9">
        <v>0</v>
      </c>
      <c r="S888" s="10"/>
      <c r="T888" s="9">
        <v>0</v>
      </c>
      <c r="U888" s="10"/>
      <c r="V888" s="9">
        <v>0</v>
      </c>
      <c r="W888" s="10"/>
      <c r="X888" s="9">
        <v>0</v>
      </c>
      <c r="Y888" s="10"/>
      <c r="Z888" s="9">
        <v>0</v>
      </c>
      <c r="AA888" s="10"/>
      <c r="AB888" s="11">
        <v>0</v>
      </c>
      <c r="AC888" s="10"/>
      <c r="AD888" s="7">
        <f>SUM(F888+H888+J888+L888+N888+P888+R888+T888+V888+X888+Z888+AB888)</f>
        <v>0</v>
      </c>
      <c r="AE888" s="7">
        <f>E888+AD888</f>
        <v>4900</v>
      </c>
      <c r="AF888" s="8">
        <f>G888+I888+K888+M888+O888+Q888+S888+U888+W888+Y888+AA888+AC888</f>
        <v>4900</v>
      </c>
      <c r="AG888" s="153">
        <f>SUM(AE888-AF888)</f>
        <v>0</v>
      </c>
      <c r="AH888" s="96" t="s">
        <v>1634</v>
      </c>
      <c r="AI888" s="96">
        <v>4</v>
      </c>
    </row>
    <row r="889" spans="1:42" customHeight="1" ht="11.5" s="96" customFormat="1">
      <c r="A889" s="5">
        <v>881</v>
      </c>
      <c r="B889" s="173" t="s">
        <v>1346</v>
      </c>
      <c r="C889" s="167" t="s">
        <v>36</v>
      </c>
      <c r="D889" s="88" t="s">
        <v>37</v>
      </c>
      <c r="E889" s="174">
        <v>0</v>
      </c>
      <c r="F889" s="9">
        <v>0</v>
      </c>
      <c r="G889" s="10"/>
      <c r="H889" s="9">
        <v>0</v>
      </c>
      <c r="I889" s="10"/>
      <c r="J889" s="152">
        <v>0</v>
      </c>
      <c r="K889" s="10"/>
      <c r="L889" s="152">
        <v>0</v>
      </c>
      <c r="M889" s="10"/>
      <c r="N889" s="152">
        <v>0</v>
      </c>
      <c r="O889" s="10"/>
      <c r="P889" s="152">
        <v>0</v>
      </c>
      <c r="Q889" s="10"/>
      <c r="R889" s="9">
        <v>0</v>
      </c>
      <c r="S889" s="10"/>
      <c r="T889" s="9">
        <v>0</v>
      </c>
      <c r="U889" s="10"/>
      <c r="V889" s="9">
        <v>0</v>
      </c>
      <c r="W889" s="10"/>
      <c r="X889" s="9">
        <v>0</v>
      </c>
      <c r="Y889" s="10"/>
      <c r="Z889" s="9">
        <v>0</v>
      </c>
      <c r="AA889" s="10"/>
      <c r="AB889" s="11">
        <v>0</v>
      </c>
      <c r="AC889" s="10"/>
      <c r="AD889" s="7">
        <f>SUM(F889+H889+J889+L889+N889+P889+R889+T889+V889+X889+Z889+AB889)</f>
        <v>0</v>
      </c>
      <c r="AE889" s="7">
        <f>E889+AD889</f>
        <v>0</v>
      </c>
      <c r="AF889" s="8">
        <f>G889+I889+K889+M889+O889+Q889+S889+U889+W889+Y889+AA889+AC889</f>
        <v>0</v>
      </c>
      <c r="AG889" s="153">
        <f>SUM(AE889-AF889)</f>
        <v>0</v>
      </c>
      <c r="AH889" s="96" t="s">
        <v>1635</v>
      </c>
      <c r="AI889" s="96">
        <v>4</v>
      </c>
    </row>
    <row r="890" spans="1:42" customHeight="1" ht="11.5" s="96" customFormat="1">
      <c r="A890" s="5">
        <v>882</v>
      </c>
      <c r="B890" s="173" t="s">
        <v>1347</v>
      </c>
      <c r="C890" s="167" t="s">
        <v>36</v>
      </c>
      <c r="D890" s="88" t="s">
        <v>37</v>
      </c>
      <c r="E890" s="174">
        <v>0</v>
      </c>
      <c r="F890" s="9">
        <v>0</v>
      </c>
      <c r="G890" s="10"/>
      <c r="H890" s="9">
        <v>0</v>
      </c>
      <c r="I890" s="10"/>
      <c r="J890" s="152">
        <v>0</v>
      </c>
      <c r="K890" s="10"/>
      <c r="L890" s="152">
        <v>0</v>
      </c>
      <c r="M890" s="10"/>
      <c r="N890" s="152">
        <v>0</v>
      </c>
      <c r="O890" s="10"/>
      <c r="P890" s="152">
        <v>0</v>
      </c>
      <c r="Q890" s="10"/>
      <c r="R890" s="9">
        <v>0</v>
      </c>
      <c r="S890" s="10"/>
      <c r="T890" s="9">
        <v>0</v>
      </c>
      <c r="U890" s="10"/>
      <c r="V890" s="9">
        <v>0</v>
      </c>
      <c r="W890" s="10"/>
      <c r="X890" s="9">
        <v>0</v>
      </c>
      <c r="Y890" s="10"/>
      <c r="Z890" s="9">
        <v>0</v>
      </c>
      <c r="AA890" s="10"/>
      <c r="AB890" s="11">
        <v>0</v>
      </c>
      <c r="AC890" s="10"/>
      <c r="AD890" s="7">
        <f>SUM(F890+H890+J890+L890+N890+P890+R890+T890+V890+X890+Z890+AB890)</f>
        <v>0</v>
      </c>
      <c r="AE890" s="7">
        <f>E890+AD890</f>
        <v>0</v>
      </c>
      <c r="AF890" s="8">
        <f>G890+I890+K890+M890+O890+Q890+S890+U890+W890+Y890+AA890+AC890</f>
        <v>0</v>
      </c>
      <c r="AG890" s="153">
        <f>SUM(AE890-AF890)</f>
        <v>0</v>
      </c>
      <c r="AH890" s="96" t="s">
        <v>1636</v>
      </c>
      <c r="AI890" s="96">
        <v>4</v>
      </c>
    </row>
    <row r="891" spans="1:42" customHeight="1" ht="11.5" s="96" customFormat="1">
      <c r="A891" s="5">
        <v>883</v>
      </c>
      <c r="B891" s="173" t="s">
        <v>1348</v>
      </c>
      <c r="C891" s="167" t="s">
        <v>36</v>
      </c>
      <c r="D891" s="88" t="s">
        <v>37</v>
      </c>
      <c r="E891" s="174">
        <v>0</v>
      </c>
      <c r="F891" s="9">
        <v>0</v>
      </c>
      <c r="G891" s="10"/>
      <c r="H891" s="9">
        <v>0</v>
      </c>
      <c r="I891" s="10"/>
      <c r="J891" s="152">
        <v>0</v>
      </c>
      <c r="K891" s="10"/>
      <c r="L891" s="152">
        <v>0</v>
      </c>
      <c r="M891" s="10"/>
      <c r="N891" s="152">
        <v>0</v>
      </c>
      <c r="O891" s="10"/>
      <c r="P891" s="152">
        <v>0</v>
      </c>
      <c r="Q891" s="10"/>
      <c r="R891" s="9">
        <v>0</v>
      </c>
      <c r="S891" s="10"/>
      <c r="T891" s="9">
        <v>0</v>
      </c>
      <c r="U891" s="10"/>
      <c r="V891" s="9">
        <v>0</v>
      </c>
      <c r="W891" s="10"/>
      <c r="X891" s="9">
        <v>0</v>
      </c>
      <c r="Y891" s="10"/>
      <c r="Z891" s="9">
        <v>0</v>
      </c>
      <c r="AA891" s="10"/>
      <c r="AB891" s="11">
        <v>0</v>
      </c>
      <c r="AC891" s="10"/>
      <c r="AD891" s="7">
        <f>SUM(F891+H891+J891+L891+N891+P891+R891+T891+V891+X891+Z891+AB891)</f>
        <v>0</v>
      </c>
      <c r="AE891" s="7">
        <f>E891+AD891</f>
        <v>0</v>
      </c>
      <c r="AF891" s="8">
        <f>G891+I891+K891+M891+O891+Q891+S891+U891+W891+Y891+AA891+AC891</f>
        <v>0</v>
      </c>
      <c r="AG891" s="153">
        <f>SUM(AE891-AF891)</f>
        <v>0</v>
      </c>
      <c r="AH891" s="96" t="s">
        <v>1637</v>
      </c>
      <c r="AI891" s="96">
        <v>4</v>
      </c>
    </row>
    <row r="892" spans="1:42" customHeight="1" ht="11.5" s="96" customFormat="1">
      <c r="A892" s="5">
        <v>884</v>
      </c>
      <c r="B892" s="173" t="s">
        <v>1349</v>
      </c>
      <c r="C892" s="167" t="s">
        <v>36</v>
      </c>
      <c r="D892" s="88" t="s">
        <v>37</v>
      </c>
      <c r="E892" s="174">
        <v>110030</v>
      </c>
      <c r="F892" s="9">
        <v>35000</v>
      </c>
      <c r="G892" s="10"/>
      <c r="H892" s="9">
        <v>60000</v>
      </c>
      <c r="I892" s="10">
        <v>145030</v>
      </c>
      <c r="J892" s="152">
        <v>40000</v>
      </c>
      <c r="K892" s="10">
        <v>60000</v>
      </c>
      <c r="L892" s="152">
        <v>40000</v>
      </c>
      <c r="M892" s="10">
        <v>40000</v>
      </c>
      <c r="N892" s="152">
        <v>40000</v>
      </c>
      <c r="O892" s="10">
        <v>40000</v>
      </c>
      <c r="P892" s="152">
        <v>30000</v>
      </c>
      <c r="Q892" s="10">
        <v>40000</v>
      </c>
      <c r="R892" s="9">
        <v>75000</v>
      </c>
      <c r="S892" s="10"/>
      <c r="T892" s="9">
        <v>0</v>
      </c>
      <c r="U892" s="10"/>
      <c r="V892" s="9">
        <v>0</v>
      </c>
      <c r="W892" s="10"/>
      <c r="X892" s="9">
        <v>0</v>
      </c>
      <c r="Y892" s="10"/>
      <c r="Z892" s="9">
        <v>0</v>
      </c>
      <c r="AA892" s="10"/>
      <c r="AB892" s="11">
        <v>0</v>
      </c>
      <c r="AC892" s="10"/>
      <c r="AD892" s="7">
        <f>SUM(F892+H892+J892+L892+N892+P892+R892+T892+V892+X892+Z892+AB892)</f>
        <v>320000</v>
      </c>
      <c r="AE892" s="7">
        <f>E892+AD892</f>
        <v>430030</v>
      </c>
      <c r="AF892" s="8">
        <f>G892+I892+K892+M892+O892+Q892+S892+U892+W892+Y892+AA892+AC892</f>
        <v>325030</v>
      </c>
      <c r="AG892" s="153">
        <f>SUM(AE892-AF892)</f>
        <v>105000</v>
      </c>
      <c r="AH892" s="96" t="s">
        <v>1638</v>
      </c>
      <c r="AI892" s="96">
        <v>4</v>
      </c>
    </row>
    <row r="893" spans="1:42" customHeight="1" ht="11.5" s="96" customFormat="1">
      <c r="A893" s="5">
        <v>885</v>
      </c>
      <c r="B893" s="173" t="s">
        <v>1350</v>
      </c>
      <c r="C893" s="167" t="s">
        <v>36</v>
      </c>
      <c r="D893" s="88" t="s">
        <v>37</v>
      </c>
      <c r="E893" s="174">
        <v>0</v>
      </c>
      <c r="F893" s="9">
        <v>0</v>
      </c>
      <c r="G893" s="10"/>
      <c r="H893" s="9">
        <v>0</v>
      </c>
      <c r="I893" s="10"/>
      <c r="J893" s="152">
        <v>0</v>
      </c>
      <c r="K893" s="10"/>
      <c r="L893" s="152">
        <v>0</v>
      </c>
      <c r="M893" s="10"/>
      <c r="N893" s="152">
        <v>0</v>
      </c>
      <c r="O893" s="10"/>
      <c r="P893" s="152">
        <v>5000</v>
      </c>
      <c r="Q893" s="10"/>
      <c r="R893" s="9">
        <v>0</v>
      </c>
      <c r="S893" s="10"/>
      <c r="T893" s="9">
        <v>0</v>
      </c>
      <c r="U893" s="10"/>
      <c r="V893" s="9">
        <v>0</v>
      </c>
      <c r="W893" s="10"/>
      <c r="X893" s="9">
        <v>0</v>
      </c>
      <c r="Y893" s="10"/>
      <c r="Z893" s="9">
        <v>0</v>
      </c>
      <c r="AA893" s="10"/>
      <c r="AB893" s="11">
        <v>0</v>
      </c>
      <c r="AC893" s="10"/>
      <c r="AD893" s="7">
        <f>SUM(F893+H893+J893+L893+N893+P893+R893+T893+V893+X893+Z893+AB893)</f>
        <v>5000</v>
      </c>
      <c r="AE893" s="7">
        <f>E893+AD893</f>
        <v>5000</v>
      </c>
      <c r="AF893" s="8">
        <f>G893+I893+K893+M893+O893+Q893+S893+U893+W893+Y893+AA893+AC893</f>
        <v>0</v>
      </c>
      <c r="AG893" s="153">
        <f>SUM(AE893-AF893)</f>
        <v>5000</v>
      </c>
      <c r="AH893" s="96" t="s">
        <v>1639</v>
      </c>
      <c r="AI893" s="96">
        <v>4</v>
      </c>
    </row>
    <row r="894" spans="1:42" customHeight="1" ht="11.5" s="96" customFormat="1">
      <c r="A894" s="5">
        <v>886</v>
      </c>
      <c r="B894" s="173" t="s">
        <v>1351</v>
      </c>
      <c r="C894" s="167" t="s">
        <v>36</v>
      </c>
      <c r="D894" s="88" t="s">
        <v>37</v>
      </c>
      <c r="E894" s="174">
        <v>0</v>
      </c>
      <c r="F894" s="9">
        <v>0</v>
      </c>
      <c r="G894" s="10"/>
      <c r="H894" s="9">
        <v>0</v>
      </c>
      <c r="I894" s="10"/>
      <c r="J894" s="152">
        <v>0</v>
      </c>
      <c r="K894" s="10"/>
      <c r="L894" s="152">
        <v>0</v>
      </c>
      <c r="M894" s="10"/>
      <c r="N894" s="152">
        <v>0</v>
      </c>
      <c r="O894" s="10"/>
      <c r="P894" s="152">
        <v>0</v>
      </c>
      <c r="Q894" s="10"/>
      <c r="R894" s="9">
        <v>0</v>
      </c>
      <c r="S894" s="10"/>
      <c r="T894" s="9">
        <v>0</v>
      </c>
      <c r="U894" s="10"/>
      <c r="V894" s="9">
        <v>0</v>
      </c>
      <c r="W894" s="10"/>
      <c r="X894" s="9">
        <v>0</v>
      </c>
      <c r="Y894" s="10"/>
      <c r="Z894" s="9">
        <v>0</v>
      </c>
      <c r="AA894" s="10"/>
      <c r="AB894" s="11">
        <v>0</v>
      </c>
      <c r="AC894" s="10"/>
      <c r="AD894" s="7">
        <f>SUM(F894+H894+J894+L894+N894+P894+R894+T894+V894+X894+Z894+AB894)</f>
        <v>0</v>
      </c>
      <c r="AE894" s="7">
        <f>E894+AD894</f>
        <v>0</v>
      </c>
      <c r="AF894" s="8">
        <f>G894+I894+K894+M894+O894+Q894+S894+U894+W894+Y894+AA894+AC894</f>
        <v>0</v>
      </c>
      <c r="AG894" s="153">
        <f>SUM(AE894-AF894)</f>
        <v>0</v>
      </c>
      <c r="AH894" s="96" t="s">
        <v>1640</v>
      </c>
      <c r="AI894" s="96">
        <v>4</v>
      </c>
    </row>
    <row r="895" spans="1:42" customHeight="1" ht="11.5" s="96" customFormat="1">
      <c r="A895" s="5">
        <v>887</v>
      </c>
      <c r="B895" s="173" t="s">
        <v>1352</v>
      </c>
      <c r="C895" s="167" t="s">
        <v>36</v>
      </c>
      <c r="D895" s="88" t="s">
        <v>37</v>
      </c>
      <c r="E895" s="174">
        <v>0</v>
      </c>
      <c r="F895" s="9">
        <v>0</v>
      </c>
      <c r="G895" s="10"/>
      <c r="H895" s="9">
        <v>0</v>
      </c>
      <c r="I895" s="10"/>
      <c r="J895" s="152">
        <v>0</v>
      </c>
      <c r="K895" s="10"/>
      <c r="L895" s="152">
        <v>0</v>
      </c>
      <c r="M895" s="10"/>
      <c r="N895" s="152">
        <v>0</v>
      </c>
      <c r="O895" s="10"/>
      <c r="P895" s="152">
        <v>0</v>
      </c>
      <c r="Q895" s="10"/>
      <c r="R895" s="9">
        <v>0</v>
      </c>
      <c r="S895" s="10"/>
      <c r="T895" s="9">
        <v>0</v>
      </c>
      <c r="U895" s="10"/>
      <c r="V895" s="9">
        <v>0</v>
      </c>
      <c r="W895" s="10"/>
      <c r="X895" s="9">
        <v>0</v>
      </c>
      <c r="Y895" s="10"/>
      <c r="Z895" s="9">
        <v>0</v>
      </c>
      <c r="AA895" s="10"/>
      <c r="AB895" s="11">
        <v>0</v>
      </c>
      <c r="AC895" s="10"/>
      <c r="AD895" s="7">
        <f>SUM(F895+H895+J895+L895+N895+P895+R895+T895+V895+X895+Z895+AB895)</f>
        <v>0</v>
      </c>
      <c r="AE895" s="7">
        <f>E895+AD895</f>
        <v>0</v>
      </c>
      <c r="AF895" s="8">
        <f>G895+I895+K895+M895+O895+Q895+S895+U895+W895+Y895+AA895+AC895</f>
        <v>0</v>
      </c>
      <c r="AG895" s="153">
        <f>SUM(AE895-AF895)</f>
        <v>0</v>
      </c>
      <c r="AH895" s="96" t="s">
        <v>1641</v>
      </c>
      <c r="AI895" s="96">
        <v>4</v>
      </c>
    </row>
    <row r="896" spans="1:42" customHeight="1" ht="11.5" s="96" customFormat="1">
      <c r="A896" s="5">
        <v>888</v>
      </c>
      <c r="B896" s="173" t="s">
        <v>1353</v>
      </c>
      <c r="C896" s="167" t="s">
        <v>157</v>
      </c>
      <c r="D896" s="88" t="s">
        <v>158</v>
      </c>
      <c r="E896" s="174">
        <v>2000</v>
      </c>
      <c r="F896" s="9">
        <v>0</v>
      </c>
      <c r="G896" s="10">
        <v>2000</v>
      </c>
      <c r="H896" s="9">
        <v>0</v>
      </c>
      <c r="I896" s="10"/>
      <c r="J896" s="152">
        <v>0</v>
      </c>
      <c r="K896" s="10"/>
      <c r="L896" s="152">
        <v>0</v>
      </c>
      <c r="M896" s="10"/>
      <c r="N896" s="152">
        <v>0</v>
      </c>
      <c r="O896" s="10"/>
      <c r="P896" s="152">
        <v>0</v>
      </c>
      <c r="Q896" s="10"/>
      <c r="R896" s="9">
        <v>0</v>
      </c>
      <c r="S896" s="10"/>
      <c r="T896" s="9">
        <v>0</v>
      </c>
      <c r="U896" s="10"/>
      <c r="V896" s="9">
        <v>0</v>
      </c>
      <c r="W896" s="10"/>
      <c r="X896" s="9">
        <v>0</v>
      </c>
      <c r="Y896" s="10"/>
      <c r="Z896" s="9">
        <v>0</v>
      </c>
      <c r="AA896" s="10"/>
      <c r="AB896" s="11">
        <v>0</v>
      </c>
      <c r="AC896" s="10"/>
      <c r="AD896" s="7">
        <f>SUM(F896+H896+J896+L896+N896+P896+R896+T896+V896+X896+Z896+AB896)</f>
        <v>0</v>
      </c>
      <c r="AE896" s="7">
        <f>E896+AD896</f>
        <v>2000</v>
      </c>
      <c r="AF896" s="8">
        <f>G896+I896+K896+M896+O896+Q896+S896+U896+W896+Y896+AA896+AC896</f>
        <v>2000</v>
      </c>
      <c r="AG896" s="153">
        <f>SUM(AE896-AF896)</f>
        <v>0</v>
      </c>
      <c r="AH896" s="96" t="s">
        <v>1642</v>
      </c>
      <c r="AI896" s="96">
        <v>4</v>
      </c>
    </row>
    <row r="897" spans="1:42" customHeight="1" ht="11.5" s="96" customFormat="1">
      <c r="A897" s="5">
        <v>889</v>
      </c>
      <c r="B897" s="173" t="s">
        <v>1354</v>
      </c>
      <c r="C897" s="167" t="s">
        <v>36</v>
      </c>
      <c r="D897" s="88" t="s">
        <v>37</v>
      </c>
      <c r="E897" s="174">
        <v>4870</v>
      </c>
      <c r="F897" s="9">
        <v>0</v>
      </c>
      <c r="G897" s="10">
        <v>4870</v>
      </c>
      <c r="H897" s="9">
        <v>0</v>
      </c>
      <c r="I897" s="10"/>
      <c r="J897" s="152">
        <v>0</v>
      </c>
      <c r="K897" s="10"/>
      <c r="L897" s="152">
        <v>0</v>
      </c>
      <c r="M897" s="10"/>
      <c r="N897" s="152">
        <v>0</v>
      </c>
      <c r="O897" s="10"/>
      <c r="P897" s="152">
        <v>0</v>
      </c>
      <c r="Q897" s="10"/>
      <c r="R897" s="9">
        <v>0</v>
      </c>
      <c r="S897" s="10"/>
      <c r="T897" s="9">
        <v>0</v>
      </c>
      <c r="U897" s="10"/>
      <c r="V897" s="9">
        <v>0</v>
      </c>
      <c r="W897" s="10"/>
      <c r="X897" s="9">
        <v>0</v>
      </c>
      <c r="Y897" s="10"/>
      <c r="Z897" s="9">
        <v>0</v>
      </c>
      <c r="AA897" s="10"/>
      <c r="AB897" s="11">
        <v>0</v>
      </c>
      <c r="AC897" s="10"/>
      <c r="AD897" s="7">
        <f>SUM(F897+H897+J897+L897+N897+P897+R897+T897+V897+X897+Z897+AB897)</f>
        <v>0</v>
      </c>
      <c r="AE897" s="7">
        <f>E897+AD897</f>
        <v>4870</v>
      </c>
      <c r="AF897" s="8">
        <f>G897+I897+K897+M897+O897+Q897+S897+U897+W897+Y897+AA897+AC897</f>
        <v>4870</v>
      </c>
      <c r="AG897" s="153">
        <f>SUM(AE897-AF897)</f>
        <v>0</v>
      </c>
      <c r="AH897" s="96" t="s">
        <v>1643</v>
      </c>
      <c r="AI897" s="96">
        <v>4</v>
      </c>
    </row>
    <row r="898" spans="1:42" customHeight="1" ht="11.5" s="96" customFormat="1">
      <c r="A898" s="5">
        <v>890</v>
      </c>
      <c r="B898" s="173" t="s">
        <v>1355</v>
      </c>
      <c r="C898" s="167" t="s">
        <v>36</v>
      </c>
      <c r="D898" s="88" t="s">
        <v>37</v>
      </c>
      <c r="E898" s="174">
        <v>40000</v>
      </c>
      <c r="F898" s="9">
        <v>0</v>
      </c>
      <c r="G898" s="10"/>
      <c r="H898" s="9">
        <v>0</v>
      </c>
      <c r="I898" s="10">
        <v>40000</v>
      </c>
      <c r="J898" s="152">
        <v>0</v>
      </c>
      <c r="K898" s="10"/>
      <c r="L898" s="152">
        <v>0</v>
      </c>
      <c r="M898" s="10"/>
      <c r="N898" s="152">
        <v>0</v>
      </c>
      <c r="O898" s="10"/>
      <c r="P898" s="152">
        <v>0</v>
      </c>
      <c r="Q898" s="10"/>
      <c r="R898" s="9">
        <v>0</v>
      </c>
      <c r="S898" s="10"/>
      <c r="T898" s="9">
        <v>0</v>
      </c>
      <c r="U898" s="10"/>
      <c r="V898" s="9">
        <v>0</v>
      </c>
      <c r="W898" s="10"/>
      <c r="X898" s="9">
        <v>0</v>
      </c>
      <c r="Y898" s="10"/>
      <c r="Z898" s="9">
        <v>0</v>
      </c>
      <c r="AA898" s="10"/>
      <c r="AB898" s="11">
        <v>0</v>
      </c>
      <c r="AC898" s="10"/>
      <c r="AD898" s="7">
        <f>SUM(F898+H898+J898+L898+N898+P898+R898+T898+V898+X898+Z898+AB898)</f>
        <v>0</v>
      </c>
      <c r="AE898" s="7">
        <f>E898+AD898</f>
        <v>40000</v>
      </c>
      <c r="AF898" s="8">
        <f>G898+I898+K898+M898+O898+Q898+S898+U898+W898+Y898+AA898+AC898</f>
        <v>40000</v>
      </c>
      <c r="AG898" s="153">
        <f>SUM(AE898-AF898)</f>
        <v>0</v>
      </c>
      <c r="AH898" s="96" t="s">
        <v>1644</v>
      </c>
      <c r="AI898" s="96">
        <v>3</v>
      </c>
    </row>
    <row r="899" spans="1:42" customHeight="1" ht="11.5" s="96" customFormat="1">
      <c r="A899" s="5">
        <v>891</v>
      </c>
      <c r="B899" s="173" t="s">
        <v>1356</v>
      </c>
      <c r="C899" s="167" t="s">
        <v>36</v>
      </c>
      <c r="D899" s="88" t="s">
        <v>37</v>
      </c>
      <c r="E899" s="174">
        <v>25000</v>
      </c>
      <c r="F899" s="9">
        <v>35000</v>
      </c>
      <c r="G899" s="10">
        <v>25000</v>
      </c>
      <c r="H899" s="9">
        <v>45000</v>
      </c>
      <c r="I899" s="10">
        <v>35000</v>
      </c>
      <c r="J899" s="152">
        <v>30000</v>
      </c>
      <c r="K899" s="10">
        <v>45000</v>
      </c>
      <c r="L899" s="152">
        <v>10000</v>
      </c>
      <c r="M899" s="10">
        <v>30000</v>
      </c>
      <c r="N899" s="152">
        <v>20000</v>
      </c>
      <c r="O899" s="10">
        <v>10000</v>
      </c>
      <c r="P899" s="152">
        <v>15000</v>
      </c>
      <c r="Q899" s="10">
        <v>20000</v>
      </c>
      <c r="R899" s="9">
        <v>30000</v>
      </c>
      <c r="S899" s="10"/>
      <c r="T899" s="9">
        <v>0</v>
      </c>
      <c r="U899" s="10"/>
      <c r="V899" s="9">
        <v>0</v>
      </c>
      <c r="W899" s="10"/>
      <c r="X899" s="9">
        <v>0</v>
      </c>
      <c r="Y899" s="10"/>
      <c r="Z899" s="9">
        <v>0</v>
      </c>
      <c r="AA899" s="10"/>
      <c r="AB899" s="11">
        <v>0</v>
      </c>
      <c r="AC899" s="10"/>
      <c r="AD899" s="7">
        <f>SUM(F899+H899+J899+L899+N899+P899+R899+T899+V899+X899+Z899+AB899)</f>
        <v>185000</v>
      </c>
      <c r="AE899" s="7">
        <f>E899+AD899</f>
        <v>210000</v>
      </c>
      <c r="AF899" s="8">
        <f>G899+I899+K899+M899+O899+Q899+S899+U899+W899+Y899+AA899+AC899</f>
        <v>165000</v>
      </c>
      <c r="AG899" s="153">
        <f>SUM(AE899-AF899)</f>
        <v>45000</v>
      </c>
      <c r="AH899" s="96" t="s">
        <v>1645</v>
      </c>
      <c r="AI899" s="96">
        <v>4</v>
      </c>
    </row>
    <row r="900" spans="1:42" customHeight="1" ht="11.5" s="96" customFormat="1">
      <c r="A900" s="5">
        <v>892</v>
      </c>
      <c r="B900" s="173" t="s">
        <v>1357</v>
      </c>
      <c r="C900" s="167" t="s">
        <v>132</v>
      </c>
      <c r="D900" s="88" t="s">
        <v>133</v>
      </c>
      <c r="E900" s="174">
        <v>330</v>
      </c>
      <c r="F900" s="9">
        <v>0</v>
      </c>
      <c r="G900" s="10"/>
      <c r="H900" s="9">
        <v>0</v>
      </c>
      <c r="I900" s="10"/>
      <c r="J900" s="152">
        <v>0</v>
      </c>
      <c r="K900" s="10">
        <v>330</v>
      </c>
      <c r="L900" s="152">
        <v>0</v>
      </c>
      <c r="M900" s="10"/>
      <c r="N900" s="152">
        <v>0</v>
      </c>
      <c r="O900" s="10"/>
      <c r="P900" s="152">
        <v>0</v>
      </c>
      <c r="Q900" s="10"/>
      <c r="R900" s="9">
        <v>0</v>
      </c>
      <c r="S900" s="10"/>
      <c r="T900" s="9">
        <v>0</v>
      </c>
      <c r="U900" s="10"/>
      <c r="V900" s="9">
        <v>0</v>
      </c>
      <c r="W900" s="10"/>
      <c r="X900" s="9">
        <v>0</v>
      </c>
      <c r="Y900" s="10"/>
      <c r="Z900" s="9">
        <v>0</v>
      </c>
      <c r="AA900" s="10"/>
      <c r="AB900" s="11">
        <v>0</v>
      </c>
      <c r="AC900" s="10"/>
      <c r="AD900" s="7">
        <f>SUM(F900+H900+J900+L900+N900+P900+R900+T900+V900+X900+Z900+AB900)</f>
        <v>0</v>
      </c>
      <c r="AE900" s="7">
        <f>E900+AD900</f>
        <v>330</v>
      </c>
      <c r="AF900" s="8">
        <f>G900+I900+K900+M900+O900+Q900+S900+U900+W900+Y900+AA900+AC900</f>
        <v>330</v>
      </c>
      <c r="AG900" s="153">
        <f>SUM(AE900-AF900)</f>
        <v>0</v>
      </c>
      <c r="AH900" s="96" t="s">
        <v>1646</v>
      </c>
      <c r="AI900" s="96">
        <v>4</v>
      </c>
    </row>
    <row r="901" spans="1:42" customHeight="1" ht="11.5" s="96" customFormat="1">
      <c r="A901" s="5">
        <v>893</v>
      </c>
      <c r="B901" s="173" t="s">
        <v>1358</v>
      </c>
      <c r="C901" s="167" t="s">
        <v>36</v>
      </c>
      <c r="D901" s="88" t="s">
        <v>37</v>
      </c>
      <c r="E901" s="174">
        <v>0</v>
      </c>
      <c r="F901" s="9">
        <v>0</v>
      </c>
      <c r="G901" s="10"/>
      <c r="H901" s="9">
        <v>0</v>
      </c>
      <c r="I901" s="10"/>
      <c r="J901" s="152">
        <v>5000</v>
      </c>
      <c r="K901" s="10"/>
      <c r="L901" s="152">
        <v>0</v>
      </c>
      <c r="M901" s="10">
        <v>5000</v>
      </c>
      <c r="N901" s="152">
        <v>0</v>
      </c>
      <c r="O901" s="10"/>
      <c r="P901" s="152">
        <v>0</v>
      </c>
      <c r="Q901" s="10"/>
      <c r="R901" s="9">
        <v>0</v>
      </c>
      <c r="S901" s="10"/>
      <c r="T901" s="9">
        <v>0</v>
      </c>
      <c r="U901" s="10"/>
      <c r="V901" s="9">
        <v>0</v>
      </c>
      <c r="W901" s="10"/>
      <c r="X901" s="9">
        <v>0</v>
      </c>
      <c r="Y901" s="10"/>
      <c r="Z901" s="9">
        <v>0</v>
      </c>
      <c r="AA901" s="10"/>
      <c r="AB901" s="11">
        <v>0</v>
      </c>
      <c r="AC901" s="10"/>
      <c r="AD901" s="7">
        <f>SUM(F901+H901+J901+L901+N901+P901+R901+T901+V901+X901+Z901+AB901)</f>
        <v>5000</v>
      </c>
      <c r="AE901" s="7">
        <f>E901+AD901</f>
        <v>5000</v>
      </c>
      <c r="AF901" s="8">
        <f>G901+I901+K901+M901+O901+Q901+S901+U901+W901+Y901+AA901+AC901</f>
        <v>5000</v>
      </c>
      <c r="AG901" s="153">
        <f>SUM(AE901-AF901)</f>
        <v>0</v>
      </c>
      <c r="AH901" s="96" t="s">
        <v>1647</v>
      </c>
      <c r="AI901" s="96">
        <v>4</v>
      </c>
    </row>
    <row r="902" spans="1:42" customHeight="1" ht="11.5" s="96" customFormat="1">
      <c r="A902" s="5">
        <v>894</v>
      </c>
      <c r="B902" s="173" t="s">
        <v>1359</v>
      </c>
      <c r="C902" s="167" t="s">
        <v>36</v>
      </c>
      <c r="D902" s="88" t="s">
        <v>37</v>
      </c>
      <c r="E902" s="174">
        <v>0</v>
      </c>
      <c r="F902" s="9">
        <v>15000</v>
      </c>
      <c r="G902" s="10"/>
      <c r="H902" s="9">
        <v>5000</v>
      </c>
      <c r="I902" s="10">
        <v>15000</v>
      </c>
      <c r="J902" s="152">
        <v>5000</v>
      </c>
      <c r="K902" s="10">
        <v>5000</v>
      </c>
      <c r="L902" s="152">
        <v>10000</v>
      </c>
      <c r="M902" s="10">
        <v>5000</v>
      </c>
      <c r="N902" s="152">
        <v>5000</v>
      </c>
      <c r="O902" s="10">
        <v>10000</v>
      </c>
      <c r="P902" s="152">
        <v>0</v>
      </c>
      <c r="Q902" s="10">
        <v>5000</v>
      </c>
      <c r="R902" s="9">
        <v>5000</v>
      </c>
      <c r="S902" s="10"/>
      <c r="T902" s="9">
        <v>0</v>
      </c>
      <c r="U902" s="10"/>
      <c r="V902" s="9">
        <v>0</v>
      </c>
      <c r="W902" s="10"/>
      <c r="X902" s="9">
        <v>0</v>
      </c>
      <c r="Y902" s="10"/>
      <c r="Z902" s="9">
        <v>0</v>
      </c>
      <c r="AA902" s="10"/>
      <c r="AB902" s="11">
        <v>0</v>
      </c>
      <c r="AC902" s="10"/>
      <c r="AD902" s="7">
        <f>SUM(F902+H902+J902+L902+N902+P902+R902+T902+V902+X902+Z902+AB902)</f>
        <v>45000</v>
      </c>
      <c r="AE902" s="7">
        <f>E902+AD902</f>
        <v>45000</v>
      </c>
      <c r="AF902" s="8">
        <f>G902+I902+K902+M902+O902+Q902+S902+U902+W902+Y902+AA902+AC902</f>
        <v>40000</v>
      </c>
      <c r="AG902" s="153">
        <f>SUM(AE902-AF902)</f>
        <v>5000</v>
      </c>
      <c r="AH902" s="96" t="s">
        <v>1648</v>
      </c>
      <c r="AI902" s="96">
        <v>4</v>
      </c>
    </row>
    <row r="903" spans="1:42" customHeight="1" ht="11.5" s="96" customFormat="1">
      <c r="A903" s="5">
        <v>895</v>
      </c>
      <c r="B903" s="173" t="s">
        <v>1360</v>
      </c>
      <c r="C903" s="167" t="s">
        <v>36</v>
      </c>
      <c r="D903" s="88" t="s">
        <v>37</v>
      </c>
      <c r="E903" s="174">
        <v>0</v>
      </c>
      <c r="F903" s="9">
        <v>1000</v>
      </c>
      <c r="G903" s="10"/>
      <c r="H903" s="9">
        <v>0</v>
      </c>
      <c r="I903" s="10">
        <v>1000</v>
      </c>
      <c r="J903" s="152">
        <v>0</v>
      </c>
      <c r="K903" s="10"/>
      <c r="L903" s="152">
        <v>0</v>
      </c>
      <c r="M903" s="10"/>
      <c r="N903" s="152">
        <v>0</v>
      </c>
      <c r="O903" s="10"/>
      <c r="P903" s="152">
        <v>0</v>
      </c>
      <c r="Q903" s="10"/>
      <c r="R903" s="9">
        <v>0</v>
      </c>
      <c r="S903" s="10"/>
      <c r="T903" s="9">
        <v>0</v>
      </c>
      <c r="U903" s="10"/>
      <c r="V903" s="9">
        <v>0</v>
      </c>
      <c r="W903" s="10"/>
      <c r="X903" s="9">
        <v>0</v>
      </c>
      <c r="Y903" s="10"/>
      <c r="Z903" s="9">
        <v>0</v>
      </c>
      <c r="AA903" s="10"/>
      <c r="AB903" s="11">
        <v>0</v>
      </c>
      <c r="AC903" s="10"/>
      <c r="AD903" s="7">
        <f>SUM(F903+H903+J903+L903+N903+P903+R903+T903+V903+X903+Z903+AB903)</f>
        <v>1000</v>
      </c>
      <c r="AE903" s="7">
        <f>E903+AD903</f>
        <v>1000</v>
      </c>
      <c r="AF903" s="8">
        <f>G903+I903+K903+M903+O903+Q903+S903+U903+W903+Y903+AA903+AC903</f>
        <v>1000</v>
      </c>
      <c r="AG903" s="153">
        <f>SUM(AE903-AF903)</f>
        <v>0</v>
      </c>
      <c r="AH903" s="96" t="s">
        <v>1649</v>
      </c>
      <c r="AI903" s="96">
        <v>4</v>
      </c>
    </row>
    <row r="904" spans="1:42" customHeight="1" ht="11.5" s="96" customFormat="1">
      <c r="A904" s="5">
        <v>896</v>
      </c>
      <c r="B904" s="173" t="s">
        <v>1361</v>
      </c>
      <c r="C904" s="167" t="s">
        <v>36</v>
      </c>
      <c r="D904" s="88" t="s">
        <v>37</v>
      </c>
      <c r="E904" s="174">
        <v>0</v>
      </c>
      <c r="F904" s="9">
        <v>0</v>
      </c>
      <c r="G904" s="10"/>
      <c r="H904" s="9">
        <v>0</v>
      </c>
      <c r="I904" s="10"/>
      <c r="J904" s="152">
        <v>0</v>
      </c>
      <c r="K904" s="10"/>
      <c r="L904" s="152">
        <v>0</v>
      </c>
      <c r="M904" s="10"/>
      <c r="N904" s="152">
        <v>0</v>
      </c>
      <c r="O904" s="10"/>
      <c r="P904" s="152">
        <v>0</v>
      </c>
      <c r="Q904" s="10"/>
      <c r="R904" s="9">
        <v>0</v>
      </c>
      <c r="S904" s="10"/>
      <c r="T904" s="9">
        <v>0</v>
      </c>
      <c r="U904" s="10"/>
      <c r="V904" s="9">
        <v>0</v>
      </c>
      <c r="W904" s="10"/>
      <c r="X904" s="9">
        <v>0</v>
      </c>
      <c r="Y904" s="10"/>
      <c r="Z904" s="9">
        <v>0</v>
      </c>
      <c r="AA904" s="10"/>
      <c r="AB904" s="11">
        <v>0</v>
      </c>
      <c r="AC904" s="10"/>
      <c r="AD904" s="7">
        <f>SUM(F904+H904+J904+L904+N904+P904+R904+T904+V904+X904+Z904+AB904)</f>
        <v>0</v>
      </c>
      <c r="AE904" s="7">
        <f>E904+AD904</f>
        <v>0</v>
      </c>
      <c r="AF904" s="8">
        <f>G904+I904+K904+M904+O904+Q904+S904+U904+W904+Y904+AA904+AC904</f>
        <v>0</v>
      </c>
      <c r="AG904" s="153">
        <f>SUM(AE904-AF904)</f>
        <v>0</v>
      </c>
      <c r="AH904" s="96" t="s">
        <v>1650</v>
      </c>
      <c r="AI904" s="96">
        <v>4</v>
      </c>
    </row>
    <row r="905" spans="1:42" customHeight="1" ht="11.5" s="96" customFormat="1">
      <c r="A905" s="5">
        <v>897</v>
      </c>
      <c r="B905" s="173" t="s">
        <v>1362</v>
      </c>
      <c r="C905" s="167" t="s">
        <v>36</v>
      </c>
      <c r="D905" s="88" t="s">
        <v>37</v>
      </c>
      <c r="E905" s="174">
        <v>0</v>
      </c>
      <c r="F905" s="9">
        <v>0</v>
      </c>
      <c r="G905" s="10"/>
      <c r="H905" s="9">
        <v>0</v>
      </c>
      <c r="I905" s="10"/>
      <c r="J905" s="152">
        <v>0</v>
      </c>
      <c r="K905" s="10"/>
      <c r="L905" s="152">
        <v>0</v>
      </c>
      <c r="M905" s="10"/>
      <c r="N905" s="152">
        <v>0</v>
      </c>
      <c r="O905" s="10"/>
      <c r="P905" s="152">
        <v>0</v>
      </c>
      <c r="Q905" s="10"/>
      <c r="R905" s="9">
        <v>0</v>
      </c>
      <c r="S905" s="10"/>
      <c r="T905" s="9">
        <v>0</v>
      </c>
      <c r="U905" s="10"/>
      <c r="V905" s="9">
        <v>0</v>
      </c>
      <c r="W905" s="10"/>
      <c r="X905" s="9">
        <v>0</v>
      </c>
      <c r="Y905" s="10"/>
      <c r="Z905" s="9">
        <v>0</v>
      </c>
      <c r="AA905" s="10"/>
      <c r="AB905" s="11">
        <v>0</v>
      </c>
      <c r="AC905" s="10"/>
      <c r="AD905" s="7">
        <f>SUM(F905+H905+J905+L905+N905+P905+R905+T905+V905+X905+Z905+AB905)</f>
        <v>0</v>
      </c>
      <c r="AE905" s="7">
        <f>E905+AD905</f>
        <v>0</v>
      </c>
      <c r="AF905" s="8">
        <f>G905+I905+K905+M905+O905+Q905+S905+U905+W905+Y905+AA905+AC905</f>
        <v>0</v>
      </c>
      <c r="AG905" s="153">
        <f>SUM(AE905-AF905)</f>
        <v>0</v>
      </c>
      <c r="AH905" s="96" t="s">
        <v>1651</v>
      </c>
      <c r="AI905" s="96">
        <v>3</v>
      </c>
    </row>
    <row r="906" spans="1:42" customHeight="1" ht="11.5" s="96" customFormat="1">
      <c r="A906" s="5">
        <v>898</v>
      </c>
      <c r="B906" s="173" t="s">
        <v>1363</v>
      </c>
      <c r="C906" s="167" t="s">
        <v>36</v>
      </c>
      <c r="D906" s="88" t="s">
        <v>37</v>
      </c>
      <c r="E906" s="174">
        <v>0</v>
      </c>
      <c r="F906" s="9">
        <v>0</v>
      </c>
      <c r="G906" s="10"/>
      <c r="H906" s="9">
        <v>0</v>
      </c>
      <c r="I906" s="10"/>
      <c r="J906" s="152">
        <v>0</v>
      </c>
      <c r="K906" s="10"/>
      <c r="L906" s="152">
        <v>0</v>
      </c>
      <c r="M906" s="10"/>
      <c r="N906" s="152">
        <v>0</v>
      </c>
      <c r="O906" s="10"/>
      <c r="P906" s="152">
        <v>0</v>
      </c>
      <c r="Q906" s="10"/>
      <c r="R906" s="9">
        <v>0</v>
      </c>
      <c r="S906" s="10"/>
      <c r="T906" s="9">
        <v>0</v>
      </c>
      <c r="U906" s="10"/>
      <c r="V906" s="9">
        <v>0</v>
      </c>
      <c r="W906" s="10"/>
      <c r="X906" s="9">
        <v>0</v>
      </c>
      <c r="Y906" s="10"/>
      <c r="Z906" s="9">
        <v>0</v>
      </c>
      <c r="AA906" s="10"/>
      <c r="AB906" s="11">
        <v>0</v>
      </c>
      <c r="AC906" s="10"/>
      <c r="AD906" s="7">
        <f>SUM(F906+H906+J906+L906+N906+P906+R906+T906+V906+X906+Z906+AB906)</f>
        <v>0</v>
      </c>
      <c r="AE906" s="7">
        <f>E906+AD906</f>
        <v>0</v>
      </c>
      <c r="AF906" s="8">
        <f>G906+I906+K906+M906+O906+Q906+S906+U906+W906+Y906+AA906+AC906</f>
        <v>0</v>
      </c>
      <c r="AG906" s="153">
        <f>SUM(AE906-AF906)</f>
        <v>0</v>
      </c>
      <c r="AH906" s="96" t="s">
        <v>1652</v>
      </c>
      <c r="AI906" s="96">
        <v>3</v>
      </c>
    </row>
    <row r="907" spans="1:42" customHeight="1" ht="11.5" s="96" customFormat="1">
      <c r="A907" s="5">
        <v>899</v>
      </c>
      <c r="B907" s="173" t="s">
        <v>1364</v>
      </c>
      <c r="C907" s="167" t="s">
        <v>36</v>
      </c>
      <c r="D907" s="88" t="s">
        <v>37</v>
      </c>
      <c r="E907" s="174">
        <v>0</v>
      </c>
      <c r="F907" s="9">
        <v>0</v>
      </c>
      <c r="G907" s="10"/>
      <c r="H907" s="9">
        <v>0</v>
      </c>
      <c r="I907" s="10"/>
      <c r="J907" s="152">
        <v>0</v>
      </c>
      <c r="K907" s="10"/>
      <c r="L907" s="152">
        <v>0</v>
      </c>
      <c r="M907" s="10"/>
      <c r="N907" s="152">
        <v>0</v>
      </c>
      <c r="O907" s="10"/>
      <c r="P907" s="152">
        <v>0</v>
      </c>
      <c r="Q907" s="10"/>
      <c r="R907" s="9">
        <v>0</v>
      </c>
      <c r="S907" s="10"/>
      <c r="T907" s="9">
        <v>0</v>
      </c>
      <c r="U907" s="10"/>
      <c r="V907" s="9">
        <v>0</v>
      </c>
      <c r="W907" s="10"/>
      <c r="X907" s="9">
        <v>0</v>
      </c>
      <c r="Y907" s="10"/>
      <c r="Z907" s="9">
        <v>0</v>
      </c>
      <c r="AA907" s="10"/>
      <c r="AB907" s="11">
        <v>0</v>
      </c>
      <c r="AC907" s="10"/>
      <c r="AD907" s="7">
        <f>SUM(F907+H907+J907+L907+N907+P907+R907+T907+V907+X907+Z907+AB907)</f>
        <v>0</v>
      </c>
      <c r="AE907" s="7">
        <f>E907+AD907</f>
        <v>0</v>
      </c>
      <c r="AF907" s="8">
        <f>G907+I907+K907+M907+O907+Q907+S907+U907+W907+Y907+AA907+AC907</f>
        <v>0</v>
      </c>
      <c r="AG907" s="153">
        <f>SUM(AE907-AF907)</f>
        <v>0</v>
      </c>
      <c r="AH907" s="96" t="s">
        <v>1653</v>
      </c>
      <c r="AI907" s="96">
        <v>3</v>
      </c>
    </row>
    <row r="908" spans="1:42" customHeight="1" ht="11.5" s="96" customFormat="1">
      <c r="A908" s="5">
        <v>900</v>
      </c>
      <c r="B908" s="173" t="s">
        <v>1365</v>
      </c>
      <c r="C908" s="167" t="s">
        <v>36</v>
      </c>
      <c r="D908" s="88" t="s">
        <v>37</v>
      </c>
      <c r="E908" s="174">
        <v>0</v>
      </c>
      <c r="F908" s="9">
        <v>0</v>
      </c>
      <c r="G908" s="10"/>
      <c r="H908" s="9">
        <v>0</v>
      </c>
      <c r="I908" s="10"/>
      <c r="J908" s="152">
        <v>0</v>
      </c>
      <c r="K908" s="10"/>
      <c r="L908" s="152">
        <v>0</v>
      </c>
      <c r="M908" s="10"/>
      <c r="N908" s="152">
        <v>0</v>
      </c>
      <c r="O908" s="10"/>
      <c r="P908" s="152">
        <v>0</v>
      </c>
      <c r="Q908" s="10"/>
      <c r="R908" s="9">
        <v>0</v>
      </c>
      <c r="S908" s="10"/>
      <c r="T908" s="9">
        <v>0</v>
      </c>
      <c r="U908" s="10"/>
      <c r="V908" s="9">
        <v>0</v>
      </c>
      <c r="W908" s="10"/>
      <c r="X908" s="9">
        <v>0</v>
      </c>
      <c r="Y908" s="10"/>
      <c r="Z908" s="9">
        <v>0</v>
      </c>
      <c r="AA908" s="10"/>
      <c r="AB908" s="11">
        <v>0</v>
      </c>
      <c r="AC908" s="10"/>
      <c r="AD908" s="7">
        <f>SUM(F908+H908+J908+L908+N908+P908+R908+T908+V908+X908+Z908+AB908)</f>
        <v>0</v>
      </c>
      <c r="AE908" s="7">
        <f>E908+AD908</f>
        <v>0</v>
      </c>
      <c r="AF908" s="8">
        <f>G908+I908+K908+M908+O908+Q908+S908+U908+W908+Y908+AA908+AC908</f>
        <v>0</v>
      </c>
      <c r="AG908" s="153">
        <f>SUM(AE908-AF908)</f>
        <v>0</v>
      </c>
      <c r="AH908" s="96" t="s">
        <v>1654</v>
      </c>
      <c r="AI908" s="96">
        <v>3</v>
      </c>
    </row>
    <row r="909" spans="1:42" customHeight="1" ht="11.5" s="96" customFormat="1">
      <c r="A909" s="5">
        <v>901</v>
      </c>
      <c r="B909" s="173" t="s">
        <v>1366</v>
      </c>
      <c r="C909" s="167" t="s">
        <v>105</v>
      </c>
      <c r="D909" s="88" t="s">
        <v>106</v>
      </c>
      <c r="E909" s="174">
        <v>0</v>
      </c>
      <c r="F909" s="9">
        <v>20000</v>
      </c>
      <c r="G909" s="10"/>
      <c r="H909" s="9">
        <v>20000</v>
      </c>
      <c r="I909" s="10">
        <v>20000</v>
      </c>
      <c r="J909" s="152">
        <v>40000</v>
      </c>
      <c r="K909" s="10">
        <v>20000</v>
      </c>
      <c r="L909" s="152">
        <v>40000</v>
      </c>
      <c r="M909" s="10">
        <v>40000</v>
      </c>
      <c r="N909" s="152">
        <v>20000</v>
      </c>
      <c r="O909" s="10">
        <v>40000</v>
      </c>
      <c r="P909" s="152">
        <v>40000</v>
      </c>
      <c r="Q909" s="10">
        <v>20000</v>
      </c>
      <c r="R909" s="9">
        <v>40000</v>
      </c>
      <c r="S909" s="10"/>
      <c r="T909" s="9">
        <v>0</v>
      </c>
      <c r="U909" s="10"/>
      <c r="V909" s="9">
        <v>0</v>
      </c>
      <c r="W909" s="10"/>
      <c r="X909" s="9">
        <v>0</v>
      </c>
      <c r="Y909" s="10"/>
      <c r="Z909" s="9">
        <v>0</v>
      </c>
      <c r="AA909" s="10"/>
      <c r="AB909" s="11">
        <v>0</v>
      </c>
      <c r="AC909" s="10"/>
      <c r="AD909" s="7">
        <f>SUM(F909+H909+J909+L909+N909+P909+R909+T909+V909+X909+Z909+AB909)</f>
        <v>220000</v>
      </c>
      <c r="AE909" s="7">
        <f>E909+AD909</f>
        <v>220000</v>
      </c>
      <c r="AF909" s="8">
        <f>G909+I909+K909+M909+O909+Q909+S909+U909+W909+Y909+AA909+AC909</f>
        <v>140000</v>
      </c>
      <c r="AG909" s="153">
        <f>SUM(AE909-AF909)</f>
        <v>80000</v>
      </c>
      <c r="AH909" s="96" t="s">
        <v>1655</v>
      </c>
      <c r="AI909" s="96">
        <v>4</v>
      </c>
    </row>
    <row r="910" spans="1:42" customHeight="1" ht="11.5" s="96" customFormat="1">
      <c r="A910" s="5">
        <v>902</v>
      </c>
      <c r="B910" s="173" t="s">
        <v>1367</v>
      </c>
      <c r="C910" s="167" t="s">
        <v>36</v>
      </c>
      <c r="D910" s="88" t="s">
        <v>37</v>
      </c>
      <c r="E910" s="174">
        <v>0</v>
      </c>
      <c r="F910" s="9">
        <v>10000</v>
      </c>
      <c r="G910" s="10"/>
      <c r="H910" s="9">
        <v>5000</v>
      </c>
      <c r="I910" s="10">
        <v>10000</v>
      </c>
      <c r="J910" s="152">
        <v>34715</v>
      </c>
      <c r="K910" s="10">
        <v>5000</v>
      </c>
      <c r="L910" s="152">
        <v>30000</v>
      </c>
      <c r="M910" s="10">
        <v>34715</v>
      </c>
      <c r="N910" s="152">
        <v>0</v>
      </c>
      <c r="O910" s="10">
        <v>30000</v>
      </c>
      <c r="P910" s="152">
        <v>0</v>
      </c>
      <c r="Q910" s="10"/>
      <c r="R910" s="9">
        <v>5000</v>
      </c>
      <c r="S910" s="10"/>
      <c r="T910" s="9">
        <v>0</v>
      </c>
      <c r="U910" s="10"/>
      <c r="V910" s="9">
        <v>0</v>
      </c>
      <c r="W910" s="10"/>
      <c r="X910" s="9">
        <v>0</v>
      </c>
      <c r="Y910" s="10"/>
      <c r="Z910" s="9">
        <v>0</v>
      </c>
      <c r="AA910" s="10"/>
      <c r="AB910" s="11">
        <v>0</v>
      </c>
      <c r="AC910" s="10"/>
      <c r="AD910" s="7">
        <f>SUM(F910+H910+J910+L910+N910+P910+R910+T910+V910+X910+Z910+AB910)</f>
        <v>84715</v>
      </c>
      <c r="AE910" s="7">
        <f>E910+AD910</f>
        <v>84715</v>
      </c>
      <c r="AF910" s="8">
        <f>G910+I910+K910+M910+O910+Q910+S910+U910+W910+Y910+AA910+AC910</f>
        <v>79715</v>
      </c>
      <c r="AG910" s="153">
        <f>SUM(AE910-AF910)</f>
        <v>5000</v>
      </c>
      <c r="AH910" s="96" t="s">
        <v>1656</v>
      </c>
      <c r="AI910" s="96">
        <v>4</v>
      </c>
    </row>
    <row r="911" spans="1:42" customHeight="1" ht="11.5" s="96" customFormat="1">
      <c r="A911" s="5">
        <v>903</v>
      </c>
      <c r="B911" s="173" t="s">
        <v>1368</v>
      </c>
      <c r="C911" s="167" t="s">
        <v>36</v>
      </c>
      <c r="D911" s="88" t="s">
        <v>37</v>
      </c>
      <c r="E911" s="174">
        <v>0</v>
      </c>
      <c r="F911" s="9">
        <v>10000</v>
      </c>
      <c r="G911" s="10"/>
      <c r="H911" s="9">
        <v>40000</v>
      </c>
      <c r="I911" s="10">
        <v>10000</v>
      </c>
      <c r="J911" s="152">
        <v>50000</v>
      </c>
      <c r="K911" s="10">
        <v>40000</v>
      </c>
      <c r="L911" s="152">
        <v>30000</v>
      </c>
      <c r="M911" s="10">
        <v>50000</v>
      </c>
      <c r="N911" s="152">
        <v>45000</v>
      </c>
      <c r="O911" s="10">
        <v>30000</v>
      </c>
      <c r="P911" s="152">
        <v>10000</v>
      </c>
      <c r="Q911" s="10">
        <v>45000</v>
      </c>
      <c r="R911" s="9">
        <v>65000</v>
      </c>
      <c r="S911" s="10"/>
      <c r="T911" s="9">
        <v>0</v>
      </c>
      <c r="U911" s="10"/>
      <c r="V911" s="9">
        <v>0</v>
      </c>
      <c r="W911" s="10"/>
      <c r="X911" s="9">
        <v>0</v>
      </c>
      <c r="Y911" s="10"/>
      <c r="Z911" s="9">
        <v>0</v>
      </c>
      <c r="AA911" s="10"/>
      <c r="AB911" s="11">
        <v>0</v>
      </c>
      <c r="AC911" s="10"/>
      <c r="AD911" s="7">
        <f>SUM(F911+H911+J911+L911+N911+P911+R911+T911+V911+X911+Z911+AB911)</f>
        <v>250000</v>
      </c>
      <c r="AE911" s="7">
        <f>E911+AD911</f>
        <v>250000</v>
      </c>
      <c r="AF911" s="8">
        <f>G911+I911+K911+M911+O911+Q911+S911+U911+W911+Y911+AA911+AC911</f>
        <v>175000</v>
      </c>
      <c r="AG911" s="153">
        <f>SUM(AE911-AF911)</f>
        <v>75000</v>
      </c>
      <c r="AH911" s="96" t="s">
        <v>1657</v>
      </c>
      <c r="AI911" s="96">
        <v>4</v>
      </c>
    </row>
    <row r="912" spans="1:42" customHeight="1" ht="11.5" s="96" customFormat="1">
      <c r="A912" s="5">
        <v>904</v>
      </c>
      <c r="B912" s="173" t="s">
        <v>1369</v>
      </c>
      <c r="C912" s="167" t="s">
        <v>132</v>
      </c>
      <c r="D912" s="88" t="s">
        <v>133</v>
      </c>
      <c r="E912" s="174">
        <v>0</v>
      </c>
      <c r="F912" s="9">
        <v>10000</v>
      </c>
      <c r="G912" s="10"/>
      <c r="H912" s="9">
        <v>3000</v>
      </c>
      <c r="I912" s="10"/>
      <c r="J912" s="152">
        <v>20000</v>
      </c>
      <c r="K912" s="10">
        <v>13000</v>
      </c>
      <c r="L912" s="152">
        <v>11000</v>
      </c>
      <c r="M912" s="10">
        <v>20000</v>
      </c>
      <c r="N912" s="152">
        <v>14000</v>
      </c>
      <c r="O912" s="10"/>
      <c r="P912" s="152">
        <v>3000</v>
      </c>
      <c r="Q912" s="10"/>
      <c r="R912" s="9">
        <v>16000</v>
      </c>
      <c r="S912" s="10"/>
      <c r="T912" s="9">
        <v>0</v>
      </c>
      <c r="U912" s="10"/>
      <c r="V912" s="9">
        <v>0</v>
      </c>
      <c r="W912" s="10"/>
      <c r="X912" s="9">
        <v>0</v>
      </c>
      <c r="Y912" s="10"/>
      <c r="Z912" s="9">
        <v>0</v>
      </c>
      <c r="AA912" s="10"/>
      <c r="AB912" s="11">
        <v>0</v>
      </c>
      <c r="AC912" s="10"/>
      <c r="AD912" s="7">
        <f>SUM(F912+H912+J912+L912+N912+P912+R912+T912+V912+X912+Z912+AB912)</f>
        <v>77000</v>
      </c>
      <c r="AE912" s="7">
        <f>E912+AD912</f>
        <v>77000</v>
      </c>
      <c r="AF912" s="8">
        <f>G912+I912+K912+M912+O912+Q912+S912+U912+W912+Y912+AA912+AC912</f>
        <v>33000</v>
      </c>
      <c r="AG912" s="153">
        <f>SUM(AE912-AF912)</f>
        <v>44000</v>
      </c>
      <c r="AH912" s="96" t="s">
        <v>1658</v>
      </c>
      <c r="AI912" s="96">
        <v>4</v>
      </c>
    </row>
    <row r="913" spans="1:42" customHeight="1" ht="11.5" s="96" customFormat="1">
      <c r="A913" s="5">
        <v>905</v>
      </c>
      <c r="B913" s="173" t="s">
        <v>1370</v>
      </c>
      <c r="C913" s="167" t="s">
        <v>36</v>
      </c>
      <c r="D913" s="88" t="s">
        <v>37</v>
      </c>
      <c r="E913" s="174">
        <v>0</v>
      </c>
      <c r="F913" s="9">
        <v>50</v>
      </c>
      <c r="G913" s="10"/>
      <c r="H913" s="9">
        <v>0</v>
      </c>
      <c r="I913" s="10">
        <v>50</v>
      </c>
      <c r="J913" s="152">
        <v>0</v>
      </c>
      <c r="K913" s="10"/>
      <c r="L913" s="152">
        <v>0</v>
      </c>
      <c r="M913" s="10"/>
      <c r="N913" s="152">
        <v>0</v>
      </c>
      <c r="O913" s="10"/>
      <c r="P913" s="152">
        <v>0</v>
      </c>
      <c r="Q913" s="10"/>
      <c r="R913" s="9">
        <v>0</v>
      </c>
      <c r="S913" s="10"/>
      <c r="T913" s="9">
        <v>0</v>
      </c>
      <c r="U913" s="10"/>
      <c r="V913" s="9">
        <v>0</v>
      </c>
      <c r="W913" s="10"/>
      <c r="X913" s="9">
        <v>0</v>
      </c>
      <c r="Y913" s="10"/>
      <c r="Z913" s="9">
        <v>0</v>
      </c>
      <c r="AA913" s="10"/>
      <c r="AB913" s="11">
        <v>0</v>
      </c>
      <c r="AC913" s="10"/>
      <c r="AD913" s="7">
        <f>SUM(F913+H913+J913+L913+N913+P913+R913+T913+V913+X913+Z913+AB913)</f>
        <v>50</v>
      </c>
      <c r="AE913" s="7">
        <f>E913+AD913</f>
        <v>50</v>
      </c>
      <c r="AF913" s="8">
        <f>G913+I913+K913+M913+O913+Q913+S913+U913+W913+Y913+AA913+AC913</f>
        <v>50</v>
      </c>
      <c r="AG913" s="153">
        <f>SUM(AE913-AF913)</f>
        <v>0</v>
      </c>
      <c r="AH913" s="96" t="s">
        <v>1659</v>
      </c>
      <c r="AI913" s="96">
        <v>4</v>
      </c>
    </row>
    <row r="914" spans="1:42" customHeight="1" ht="11.5" s="96" customFormat="1">
      <c r="A914" s="5">
        <v>906</v>
      </c>
      <c r="B914" s="173" t="s">
        <v>1371</v>
      </c>
      <c r="C914" s="167" t="s">
        <v>36</v>
      </c>
      <c r="D914" s="88" t="s">
        <v>37</v>
      </c>
      <c r="E914" s="174">
        <v>0</v>
      </c>
      <c r="F914" s="9">
        <v>0</v>
      </c>
      <c r="G914" s="10"/>
      <c r="H914" s="9">
        <v>50</v>
      </c>
      <c r="I914" s="10"/>
      <c r="J914" s="152">
        <v>0</v>
      </c>
      <c r="K914" s="10"/>
      <c r="L914" s="152">
        <v>0</v>
      </c>
      <c r="M914" s="10">
        <v>50</v>
      </c>
      <c r="N914" s="152">
        <v>0</v>
      </c>
      <c r="O914" s="10"/>
      <c r="P914" s="152">
        <v>0</v>
      </c>
      <c r="Q914" s="10"/>
      <c r="R914" s="9">
        <v>0</v>
      </c>
      <c r="S914" s="10"/>
      <c r="T914" s="9">
        <v>0</v>
      </c>
      <c r="U914" s="10"/>
      <c r="V914" s="9">
        <v>0</v>
      </c>
      <c r="W914" s="10"/>
      <c r="X914" s="9">
        <v>0</v>
      </c>
      <c r="Y914" s="10"/>
      <c r="Z914" s="9">
        <v>0</v>
      </c>
      <c r="AA914" s="10"/>
      <c r="AB914" s="11">
        <v>0</v>
      </c>
      <c r="AC914" s="10"/>
      <c r="AD914" s="7">
        <f>SUM(F914+H914+J914+L914+N914+P914+R914+T914+V914+X914+Z914+AB914)</f>
        <v>50</v>
      </c>
      <c r="AE914" s="7">
        <f>E914+AD914</f>
        <v>50</v>
      </c>
      <c r="AF914" s="8">
        <f>G914+I914+K914+M914+O914+Q914+S914+U914+W914+Y914+AA914+AC914</f>
        <v>50</v>
      </c>
      <c r="AG914" s="153">
        <f>SUM(AE914-AF914)</f>
        <v>0</v>
      </c>
      <c r="AH914" s="96" t="s">
        <v>1660</v>
      </c>
      <c r="AI914" s="96">
        <v>4</v>
      </c>
    </row>
    <row r="915" spans="1:42" customHeight="1" ht="11.5" s="96" customFormat="1">
      <c r="A915" s="5">
        <v>907</v>
      </c>
      <c r="B915" s="173" t="s">
        <v>1372</v>
      </c>
      <c r="C915" s="167" t="s">
        <v>36</v>
      </c>
      <c r="D915" s="88" t="s">
        <v>37</v>
      </c>
      <c r="E915" s="174">
        <v>0</v>
      </c>
      <c r="F915" s="9">
        <v>0</v>
      </c>
      <c r="G915" s="10"/>
      <c r="H915" s="9">
        <v>50</v>
      </c>
      <c r="I915" s="10"/>
      <c r="J915" s="152">
        <v>0</v>
      </c>
      <c r="K915" s="10"/>
      <c r="L915" s="152">
        <v>0</v>
      </c>
      <c r="M915" s="10">
        <v>50</v>
      </c>
      <c r="N915" s="152">
        <v>0</v>
      </c>
      <c r="O915" s="10"/>
      <c r="P915" s="152">
        <v>0</v>
      </c>
      <c r="Q915" s="10"/>
      <c r="R915" s="9">
        <v>0</v>
      </c>
      <c r="S915" s="10"/>
      <c r="T915" s="9">
        <v>0</v>
      </c>
      <c r="U915" s="10"/>
      <c r="V915" s="9">
        <v>0</v>
      </c>
      <c r="W915" s="10"/>
      <c r="X915" s="9">
        <v>0</v>
      </c>
      <c r="Y915" s="10"/>
      <c r="Z915" s="9">
        <v>0</v>
      </c>
      <c r="AA915" s="10"/>
      <c r="AB915" s="11">
        <v>0</v>
      </c>
      <c r="AC915" s="10"/>
      <c r="AD915" s="7">
        <f>SUM(F915+H915+J915+L915+N915+P915+R915+T915+V915+X915+Z915+AB915)</f>
        <v>50</v>
      </c>
      <c r="AE915" s="7">
        <f>E915+AD915</f>
        <v>50</v>
      </c>
      <c r="AF915" s="8">
        <f>G915+I915+K915+M915+O915+Q915+S915+U915+W915+Y915+AA915+AC915</f>
        <v>50</v>
      </c>
      <c r="AG915" s="153">
        <f>SUM(AE915-AF915)</f>
        <v>0</v>
      </c>
      <c r="AH915" s="96" t="s">
        <v>1661</v>
      </c>
      <c r="AI915" s="96">
        <v>4</v>
      </c>
    </row>
    <row r="916" spans="1:42" customHeight="1" ht="11.5" s="96" customFormat="1">
      <c r="A916" s="5">
        <v>908</v>
      </c>
      <c r="B916" s="173" t="s">
        <v>1373</v>
      </c>
      <c r="C916" s="167" t="s">
        <v>36</v>
      </c>
      <c r="D916" s="88" t="s">
        <v>37</v>
      </c>
      <c r="E916" s="174">
        <v>0</v>
      </c>
      <c r="F916" s="9">
        <v>0</v>
      </c>
      <c r="G916" s="10"/>
      <c r="H916" s="9">
        <v>50</v>
      </c>
      <c r="I916" s="10"/>
      <c r="J916" s="152">
        <v>0</v>
      </c>
      <c r="K916" s="10"/>
      <c r="L916" s="152">
        <v>0</v>
      </c>
      <c r="M916" s="10">
        <v>50</v>
      </c>
      <c r="N916" s="152">
        <v>0</v>
      </c>
      <c r="O916" s="10"/>
      <c r="P916" s="152">
        <v>0</v>
      </c>
      <c r="Q916" s="10"/>
      <c r="R916" s="9">
        <v>0</v>
      </c>
      <c r="S916" s="10"/>
      <c r="T916" s="9">
        <v>0</v>
      </c>
      <c r="U916" s="10"/>
      <c r="V916" s="9">
        <v>0</v>
      </c>
      <c r="W916" s="10"/>
      <c r="X916" s="9">
        <v>0</v>
      </c>
      <c r="Y916" s="10"/>
      <c r="Z916" s="9">
        <v>0</v>
      </c>
      <c r="AA916" s="10"/>
      <c r="AB916" s="11">
        <v>0</v>
      </c>
      <c r="AC916" s="10"/>
      <c r="AD916" s="7">
        <f>SUM(F916+H916+J916+L916+N916+P916+R916+T916+V916+X916+Z916+AB916)</f>
        <v>50</v>
      </c>
      <c r="AE916" s="7">
        <f>E916+AD916</f>
        <v>50</v>
      </c>
      <c r="AF916" s="8">
        <f>G916+I916+K916+M916+O916+Q916+S916+U916+W916+Y916+AA916+AC916</f>
        <v>50</v>
      </c>
      <c r="AG916" s="153">
        <f>SUM(AE916-AF916)</f>
        <v>0</v>
      </c>
      <c r="AH916" s="96" t="s">
        <v>1662</v>
      </c>
      <c r="AI916" s="96">
        <v>4</v>
      </c>
    </row>
    <row r="917" spans="1:42" customHeight="1" ht="11.5" s="96" customFormat="1">
      <c r="A917" s="5">
        <v>909</v>
      </c>
      <c r="B917" s="173" t="s">
        <v>1374</v>
      </c>
      <c r="C917" s="167" t="s">
        <v>36</v>
      </c>
      <c r="D917" s="88" t="s">
        <v>37</v>
      </c>
      <c r="E917" s="174">
        <v>0</v>
      </c>
      <c r="F917" s="9">
        <v>9900</v>
      </c>
      <c r="G917" s="10"/>
      <c r="H917" s="9">
        <v>10000</v>
      </c>
      <c r="I917" s="10">
        <v>9900</v>
      </c>
      <c r="J917" s="152">
        <v>10000</v>
      </c>
      <c r="K917" s="10">
        <v>10000</v>
      </c>
      <c r="L917" s="152">
        <v>0</v>
      </c>
      <c r="M917" s="10">
        <v>10000</v>
      </c>
      <c r="N917" s="152">
        <v>10000</v>
      </c>
      <c r="O917" s="10"/>
      <c r="P917" s="152">
        <v>10000</v>
      </c>
      <c r="Q917" s="10">
        <v>10000</v>
      </c>
      <c r="R917" s="9">
        <v>0</v>
      </c>
      <c r="S917" s="10"/>
      <c r="T917" s="9">
        <v>0</v>
      </c>
      <c r="U917" s="10"/>
      <c r="V917" s="9">
        <v>0</v>
      </c>
      <c r="W917" s="10"/>
      <c r="X917" s="9">
        <v>0</v>
      </c>
      <c r="Y917" s="10"/>
      <c r="Z917" s="9">
        <v>0</v>
      </c>
      <c r="AA917" s="10"/>
      <c r="AB917" s="11">
        <v>0</v>
      </c>
      <c r="AC917" s="10"/>
      <c r="AD917" s="7">
        <f>SUM(F917+H917+J917+L917+N917+P917+R917+T917+V917+X917+Z917+AB917)</f>
        <v>49900</v>
      </c>
      <c r="AE917" s="7">
        <f>E917+AD917</f>
        <v>49900</v>
      </c>
      <c r="AF917" s="8">
        <f>G917+I917+K917+M917+O917+Q917+S917+U917+W917+Y917+AA917+AC917</f>
        <v>39900</v>
      </c>
      <c r="AG917" s="153">
        <f>SUM(AE917-AF917)</f>
        <v>10000</v>
      </c>
      <c r="AH917" s="96" t="s">
        <v>1663</v>
      </c>
      <c r="AI917" s="96">
        <v>4</v>
      </c>
    </row>
    <row r="918" spans="1:42" customHeight="1" ht="11.5" s="96" customFormat="1">
      <c r="A918" s="5">
        <v>910</v>
      </c>
      <c r="B918" s="173" t="s">
        <v>1375</v>
      </c>
      <c r="C918" s="167" t="s">
        <v>36</v>
      </c>
      <c r="D918" s="88" t="s">
        <v>37</v>
      </c>
      <c r="E918" s="174">
        <v>0</v>
      </c>
      <c r="F918" s="9">
        <v>0</v>
      </c>
      <c r="G918" s="10"/>
      <c r="H918" s="9">
        <v>0</v>
      </c>
      <c r="I918" s="10"/>
      <c r="J918" s="152">
        <v>50</v>
      </c>
      <c r="K918" s="10"/>
      <c r="L918" s="152">
        <v>0</v>
      </c>
      <c r="M918" s="10">
        <v>50</v>
      </c>
      <c r="N918" s="152">
        <v>0</v>
      </c>
      <c r="O918" s="10"/>
      <c r="P918" s="152">
        <v>0</v>
      </c>
      <c r="Q918" s="10"/>
      <c r="R918" s="9">
        <v>50</v>
      </c>
      <c r="S918" s="10"/>
      <c r="T918" s="9">
        <v>0</v>
      </c>
      <c r="U918" s="10"/>
      <c r="V918" s="9">
        <v>0</v>
      </c>
      <c r="W918" s="10"/>
      <c r="X918" s="9">
        <v>0</v>
      </c>
      <c r="Y918" s="10"/>
      <c r="Z918" s="9">
        <v>0</v>
      </c>
      <c r="AA918" s="10"/>
      <c r="AB918" s="11">
        <v>0</v>
      </c>
      <c r="AC918" s="10"/>
      <c r="AD918" s="7">
        <f>SUM(F918+H918+J918+L918+N918+P918+R918+T918+V918+X918+Z918+AB918)</f>
        <v>100</v>
      </c>
      <c r="AE918" s="7">
        <f>E918+AD918</f>
        <v>100</v>
      </c>
      <c r="AF918" s="8">
        <f>G918+I918+K918+M918+O918+Q918+S918+U918+W918+Y918+AA918+AC918</f>
        <v>50</v>
      </c>
      <c r="AG918" s="153">
        <f>SUM(AE918-AF918)</f>
        <v>50</v>
      </c>
      <c r="AH918" s="96" t="s">
        <v>1664</v>
      </c>
      <c r="AI918" s="96">
        <v>3</v>
      </c>
    </row>
    <row r="919" spans="1:42" customHeight="1" ht="11.5" s="96" customFormat="1">
      <c r="A919" s="5">
        <v>911</v>
      </c>
      <c r="B919" s="173" t="s">
        <v>1376</v>
      </c>
      <c r="C919" s="167" t="s">
        <v>112</v>
      </c>
      <c r="D919" s="88" t="s">
        <v>113</v>
      </c>
      <c r="E919" s="174">
        <v>0</v>
      </c>
      <c r="F919" s="9">
        <v>0</v>
      </c>
      <c r="G919" s="10"/>
      <c r="H919" s="9">
        <v>50</v>
      </c>
      <c r="I919" s="10"/>
      <c r="J919" s="152">
        <v>0</v>
      </c>
      <c r="K919" s="10"/>
      <c r="L919" s="152">
        <v>0</v>
      </c>
      <c r="M919" s="10">
        <v>50</v>
      </c>
      <c r="N919" s="152">
        <v>0</v>
      </c>
      <c r="O919" s="10"/>
      <c r="P919" s="152">
        <v>0</v>
      </c>
      <c r="Q919" s="10"/>
      <c r="R919" s="9">
        <v>0</v>
      </c>
      <c r="S919" s="10"/>
      <c r="T919" s="9">
        <v>0</v>
      </c>
      <c r="U919" s="10"/>
      <c r="V919" s="9">
        <v>0</v>
      </c>
      <c r="W919" s="10"/>
      <c r="X919" s="9">
        <v>0</v>
      </c>
      <c r="Y919" s="10"/>
      <c r="Z919" s="9">
        <v>0</v>
      </c>
      <c r="AA919" s="10"/>
      <c r="AB919" s="11">
        <v>0</v>
      </c>
      <c r="AC919" s="10"/>
      <c r="AD919" s="7">
        <f>SUM(F919+H919+J919+L919+N919+P919+R919+T919+V919+X919+Z919+AB919)</f>
        <v>50</v>
      </c>
      <c r="AE919" s="7">
        <f>E919+AD919</f>
        <v>50</v>
      </c>
      <c r="AF919" s="8">
        <f>G919+I919+K919+M919+O919+Q919+S919+U919+W919+Y919+AA919+AC919</f>
        <v>50</v>
      </c>
      <c r="AG919" s="153">
        <f>SUM(AE919-AF919)</f>
        <v>0</v>
      </c>
      <c r="AH919" s="96" t="s">
        <v>1665</v>
      </c>
      <c r="AI919" s="96">
        <v>3</v>
      </c>
    </row>
    <row r="920" spans="1:42" customHeight="1" ht="11.5" s="96" customFormat="1">
      <c r="A920" s="5">
        <v>912</v>
      </c>
      <c r="B920" s="173" t="s">
        <v>1377</v>
      </c>
      <c r="C920" s="167" t="s">
        <v>157</v>
      </c>
      <c r="D920" s="88" t="s">
        <v>158</v>
      </c>
      <c r="E920" s="174">
        <v>0</v>
      </c>
      <c r="F920" s="9">
        <v>0</v>
      </c>
      <c r="G920" s="10"/>
      <c r="H920" s="9">
        <v>0</v>
      </c>
      <c r="I920" s="10"/>
      <c r="J920" s="152">
        <v>0</v>
      </c>
      <c r="K920" s="10"/>
      <c r="L920" s="152">
        <v>0</v>
      </c>
      <c r="M920" s="10"/>
      <c r="N920" s="152">
        <v>0</v>
      </c>
      <c r="O920" s="10"/>
      <c r="P920" s="152">
        <v>50</v>
      </c>
      <c r="Q920" s="10"/>
      <c r="R920" s="9">
        <v>0</v>
      </c>
      <c r="S920" s="10"/>
      <c r="T920" s="9">
        <v>0</v>
      </c>
      <c r="U920" s="10"/>
      <c r="V920" s="9">
        <v>0</v>
      </c>
      <c r="W920" s="10"/>
      <c r="X920" s="9">
        <v>0</v>
      </c>
      <c r="Y920" s="10"/>
      <c r="Z920" s="9">
        <v>0</v>
      </c>
      <c r="AA920" s="10"/>
      <c r="AB920" s="11">
        <v>0</v>
      </c>
      <c r="AC920" s="10"/>
      <c r="AD920" s="7">
        <f>SUM(F920+H920+J920+L920+N920+P920+R920+T920+V920+X920+Z920+AB920)</f>
        <v>50</v>
      </c>
      <c r="AE920" s="7">
        <f>E920+AD920</f>
        <v>50</v>
      </c>
      <c r="AF920" s="8">
        <f>G920+I920+K920+M920+O920+Q920+S920+U920+W920+Y920+AA920+AC920</f>
        <v>0</v>
      </c>
      <c r="AG920" s="153">
        <f>SUM(AE920-AF920)</f>
        <v>50</v>
      </c>
      <c r="AH920" s="96" t="s">
        <v>1666</v>
      </c>
      <c r="AI920" s="96">
        <v>3</v>
      </c>
    </row>
    <row r="921" spans="1:42" customHeight="1" ht="11.5" s="96" customFormat="1">
      <c r="A921" s="5">
        <v>913</v>
      </c>
      <c r="B921" s="173" t="s">
        <v>1378</v>
      </c>
      <c r="C921" s="167" t="s">
        <v>157</v>
      </c>
      <c r="D921" s="88" t="s">
        <v>158</v>
      </c>
      <c r="E921" s="174">
        <v>0</v>
      </c>
      <c r="F921" s="9">
        <v>0</v>
      </c>
      <c r="G921" s="10"/>
      <c r="H921" s="9">
        <v>0</v>
      </c>
      <c r="I921" s="10"/>
      <c r="J921" s="152">
        <v>0</v>
      </c>
      <c r="K921" s="10"/>
      <c r="L921" s="152">
        <v>0</v>
      </c>
      <c r="M921" s="10"/>
      <c r="N921" s="152">
        <v>50</v>
      </c>
      <c r="O921" s="10"/>
      <c r="P921" s="152">
        <v>0</v>
      </c>
      <c r="Q921" s="10"/>
      <c r="R921" s="9">
        <v>50</v>
      </c>
      <c r="S921" s="10"/>
      <c r="T921" s="9">
        <v>0</v>
      </c>
      <c r="U921" s="10"/>
      <c r="V921" s="9">
        <v>0</v>
      </c>
      <c r="W921" s="10"/>
      <c r="X921" s="9">
        <v>0</v>
      </c>
      <c r="Y921" s="10"/>
      <c r="Z921" s="9">
        <v>0</v>
      </c>
      <c r="AA921" s="10"/>
      <c r="AB921" s="11">
        <v>0</v>
      </c>
      <c r="AC921" s="10"/>
      <c r="AD921" s="7">
        <f>SUM(F921+H921+J921+L921+N921+P921+R921+T921+V921+X921+Z921+AB921)</f>
        <v>100</v>
      </c>
      <c r="AE921" s="7">
        <f>E921+AD921</f>
        <v>100</v>
      </c>
      <c r="AF921" s="8">
        <f>G921+I921+K921+M921+O921+Q921+S921+U921+W921+Y921+AA921+AC921</f>
        <v>0</v>
      </c>
      <c r="AG921" s="153">
        <f>SUM(AE921-AF921)</f>
        <v>100</v>
      </c>
      <c r="AH921" s="96" t="s">
        <v>1667</v>
      </c>
      <c r="AI921" s="96">
        <v>3</v>
      </c>
    </row>
    <row r="922" spans="1:42" customHeight="1" ht="11.5" s="96" customFormat="1">
      <c r="A922" s="5">
        <v>914</v>
      </c>
      <c r="B922" s="173" t="s">
        <v>1379</v>
      </c>
      <c r="C922" s="167" t="s">
        <v>112</v>
      </c>
      <c r="D922" s="88" t="s">
        <v>113</v>
      </c>
      <c r="E922" s="174">
        <v>0</v>
      </c>
      <c r="F922" s="9">
        <v>0</v>
      </c>
      <c r="G922" s="10"/>
      <c r="H922" s="9">
        <v>0</v>
      </c>
      <c r="I922" s="10"/>
      <c r="J922" s="152">
        <v>0</v>
      </c>
      <c r="K922" s="10"/>
      <c r="L922" s="152">
        <v>0</v>
      </c>
      <c r="M922" s="10"/>
      <c r="N922" s="152">
        <v>50</v>
      </c>
      <c r="O922" s="10"/>
      <c r="P922" s="152">
        <v>0</v>
      </c>
      <c r="Q922" s="10">
        <v>50</v>
      </c>
      <c r="R922" s="9">
        <v>0</v>
      </c>
      <c r="S922" s="10"/>
      <c r="T922" s="9">
        <v>0</v>
      </c>
      <c r="U922" s="10"/>
      <c r="V922" s="9">
        <v>0</v>
      </c>
      <c r="W922" s="10"/>
      <c r="X922" s="9">
        <v>0</v>
      </c>
      <c r="Y922" s="10"/>
      <c r="Z922" s="9">
        <v>0</v>
      </c>
      <c r="AA922" s="10"/>
      <c r="AB922" s="11">
        <v>0</v>
      </c>
      <c r="AC922" s="10"/>
      <c r="AD922" s="7">
        <f>SUM(F922+H922+J922+L922+N922+P922+R922+T922+V922+X922+Z922+AB922)</f>
        <v>50</v>
      </c>
      <c r="AE922" s="7">
        <f>E922+AD922</f>
        <v>50</v>
      </c>
      <c r="AF922" s="8">
        <f>G922+I922+K922+M922+O922+Q922+S922+U922+W922+Y922+AA922+AC922</f>
        <v>50</v>
      </c>
      <c r="AG922" s="153">
        <f>SUM(AE922-AF922)</f>
        <v>0</v>
      </c>
      <c r="AH922" s="96" t="s">
        <v>1668</v>
      </c>
      <c r="AI922" s="96">
        <v>3</v>
      </c>
    </row>
    <row r="923" spans="1:42" customHeight="1" ht="11.5" s="96" customFormat="1">
      <c r="A923" s="5">
        <v>915</v>
      </c>
      <c r="B923" s="173" t="s">
        <v>1380</v>
      </c>
      <c r="C923" s="167" t="s">
        <v>36</v>
      </c>
      <c r="D923" s="88" t="s">
        <v>37</v>
      </c>
      <c r="E923" s="174">
        <v>0</v>
      </c>
      <c r="F923" s="9">
        <v>0</v>
      </c>
      <c r="G923" s="10"/>
      <c r="H923" s="9">
        <v>0</v>
      </c>
      <c r="I923" s="10"/>
      <c r="J923" s="152">
        <v>0</v>
      </c>
      <c r="K923" s="10"/>
      <c r="L923" s="152">
        <v>0</v>
      </c>
      <c r="M923" s="10"/>
      <c r="N923" s="152">
        <v>0</v>
      </c>
      <c r="O923" s="10"/>
      <c r="P923" s="152">
        <v>50</v>
      </c>
      <c r="Q923" s="10"/>
      <c r="R923" s="9">
        <v>50</v>
      </c>
      <c r="S923" s="10"/>
      <c r="T923" s="9">
        <v>0</v>
      </c>
      <c r="U923" s="10"/>
      <c r="V923" s="9">
        <v>0</v>
      </c>
      <c r="W923" s="10"/>
      <c r="X923" s="9">
        <v>0</v>
      </c>
      <c r="Y923" s="10"/>
      <c r="Z923" s="9">
        <v>0</v>
      </c>
      <c r="AA923" s="10"/>
      <c r="AB923" s="11">
        <v>0</v>
      </c>
      <c r="AC923" s="10"/>
      <c r="AD923" s="7">
        <f>SUM(F923+H923+J923+L923+N923+P923+R923+T923+V923+X923+Z923+AB923)</f>
        <v>100</v>
      </c>
      <c r="AE923" s="7">
        <f>E923+AD923</f>
        <v>100</v>
      </c>
      <c r="AF923" s="8">
        <f>G923+I923+K923+M923+O923+Q923+S923+U923+W923+Y923+AA923+AC923</f>
        <v>0</v>
      </c>
      <c r="AG923" s="153">
        <f>SUM(AE923-AF923)</f>
        <v>100</v>
      </c>
      <c r="AH923" s="96" t="s">
        <v>1669</v>
      </c>
      <c r="AI923" s="96">
        <v>3</v>
      </c>
    </row>
    <row r="924" spans="1:42" customHeight="1" ht="11.5" s="96" customFormat="1">
      <c r="A924" s="5">
        <v>916</v>
      </c>
      <c r="B924" s="173" t="s">
        <v>1381</v>
      </c>
      <c r="C924" s="167" t="s">
        <v>36</v>
      </c>
      <c r="D924" s="88" t="s">
        <v>37</v>
      </c>
      <c r="E924" s="174">
        <v>0</v>
      </c>
      <c r="F924" s="9">
        <v>0</v>
      </c>
      <c r="G924" s="10"/>
      <c r="H924" s="9">
        <v>0</v>
      </c>
      <c r="I924" s="10"/>
      <c r="J924" s="152">
        <v>80</v>
      </c>
      <c r="K924" s="10"/>
      <c r="L924" s="152">
        <v>0</v>
      </c>
      <c r="M924" s="10">
        <v>80</v>
      </c>
      <c r="N924" s="152">
        <v>0</v>
      </c>
      <c r="O924" s="10"/>
      <c r="P924" s="152">
        <v>0</v>
      </c>
      <c r="Q924" s="10"/>
      <c r="R924" s="9">
        <v>0</v>
      </c>
      <c r="S924" s="10"/>
      <c r="T924" s="9">
        <v>0</v>
      </c>
      <c r="U924" s="10"/>
      <c r="V924" s="9">
        <v>0</v>
      </c>
      <c r="W924" s="10"/>
      <c r="X924" s="9">
        <v>0</v>
      </c>
      <c r="Y924" s="10"/>
      <c r="Z924" s="9">
        <v>0</v>
      </c>
      <c r="AA924" s="10"/>
      <c r="AB924" s="11">
        <v>0</v>
      </c>
      <c r="AC924" s="10"/>
      <c r="AD924" s="7">
        <f>SUM(F924+H924+J924+L924+N924+P924+R924+T924+V924+X924+Z924+AB924)</f>
        <v>80</v>
      </c>
      <c r="AE924" s="7">
        <f>E924+AD924</f>
        <v>80</v>
      </c>
      <c r="AF924" s="8">
        <f>G924+I924+K924+M924+O924+Q924+S924+U924+W924+Y924+AA924+AC924</f>
        <v>80</v>
      </c>
      <c r="AG924" s="153">
        <f>SUM(AE924-AF924)</f>
        <v>0</v>
      </c>
      <c r="AH924" s="96" t="s">
        <v>1670</v>
      </c>
      <c r="AI924" s="96">
        <v>3</v>
      </c>
    </row>
    <row r="925" spans="1:42" customHeight="1" ht="11.5" s="96" customFormat="1">
      <c r="A925" s="5">
        <v>917</v>
      </c>
      <c r="B925" s="173" t="s">
        <v>1382</v>
      </c>
      <c r="C925" s="167" t="s">
        <v>36</v>
      </c>
      <c r="D925" s="88" t="s">
        <v>37</v>
      </c>
      <c r="E925" s="174">
        <v>0</v>
      </c>
      <c r="F925" s="9">
        <v>0</v>
      </c>
      <c r="G925" s="10"/>
      <c r="H925" s="9">
        <v>0</v>
      </c>
      <c r="I925" s="10"/>
      <c r="J925" s="152">
        <v>80</v>
      </c>
      <c r="K925" s="10"/>
      <c r="L925" s="152">
        <v>0</v>
      </c>
      <c r="M925" s="10">
        <v>80</v>
      </c>
      <c r="N925" s="152">
        <v>0</v>
      </c>
      <c r="O925" s="10"/>
      <c r="P925" s="152">
        <v>80</v>
      </c>
      <c r="Q925" s="10"/>
      <c r="R925" s="9">
        <v>0</v>
      </c>
      <c r="S925" s="10"/>
      <c r="T925" s="9">
        <v>0</v>
      </c>
      <c r="U925" s="10"/>
      <c r="V925" s="9">
        <v>0</v>
      </c>
      <c r="W925" s="10"/>
      <c r="X925" s="9">
        <v>0</v>
      </c>
      <c r="Y925" s="10"/>
      <c r="Z925" s="9">
        <v>0</v>
      </c>
      <c r="AA925" s="10"/>
      <c r="AB925" s="11">
        <v>0</v>
      </c>
      <c r="AC925" s="10"/>
      <c r="AD925" s="7">
        <f>SUM(F925+H925+J925+L925+N925+P925+R925+T925+V925+X925+Z925+AB925)</f>
        <v>160</v>
      </c>
      <c r="AE925" s="7">
        <f>E925+AD925</f>
        <v>160</v>
      </c>
      <c r="AF925" s="8">
        <f>G925+I925+K925+M925+O925+Q925+S925+U925+W925+Y925+AA925+AC925</f>
        <v>80</v>
      </c>
      <c r="AG925" s="153">
        <f>SUM(AE925-AF925)</f>
        <v>80</v>
      </c>
      <c r="AH925" s="96" t="s">
        <v>1671</v>
      </c>
      <c r="AI925" s="96">
        <v>3</v>
      </c>
    </row>
    <row r="926" spans="1:42" customHeight="1" ht="11.5" s="96" customFormat="1">
      <c r="A926" s="5">
        <v>918</v>
      </c>
      <c r="B926" s="173" t="s">
        <v>1383</v>
      </c>
      <c r="C926" s="167" t="s">
        <v>36</v>
      </c>
      <c r="D926" s="88" t="s">
        <v>37</v>
      </c>
      <c r="E926" s="174">
        <v>0</v>
      </c>
      <c r="F926" s="9">
        <v>0</v>
      </c>
      <c r="G926" s="10"/>
      <c r="H926" s="9">
        <v>0</v>
      </c>
      <c r="I926" s="10"/>
      <c r="J926" s="152">
        <v>0</v>
      </c>
      <c r="K926" s="10"/>
      <c r="L926" s="152">
        <v>80</v>
      </c>
      <c r="M926" s="10"/>
      <c r="N926" s="152">
        <v>0</v>
      </c>
      <c r="O926" s="10">
        <v>80</v>
      </c>
      <c r="P926" s="152">
        <v>2000</v>
      </c>
      <c r="Q926" s="10"/>
      <c r="R926" s="9">
        <v>0</v>
      </c>
      <c r="S926" s="10"/>
      <c r="T926" s="9">
        <v>0</v>
      </c>
      <c r="U926" s="10"/>
      <c r="V926" s="9">
        <v>0</v>
      </c>
      <c r="W926" s="10"/>
      <c r="X926" s="9">
        <v>0</v>
      </c>
      <c r="Y926" s="10"/>
      <c r="Z926" s="9">
        <v>0</v>
      </c>
      <c r="AA926" s="10"/>
      <c r="AB926" s="11">
        <v>0</v>
      </c>
      <c r="AC926" s="10"/>
      <c r="AD926" s="7">
        <f>SUM(F926+H926+J926+L926+N926+P926+R926+T926+V926+X926+Z926+AB926)</f>
        <v>2080</v>
      </c>
      <c r="AE926" s="7">
        <f>E926+AD926</f>
        <v>2080</v>
      </c>
      <c r="AF926" s="8">
        <f>G926+I926+K926+M926+O926+Q926+S926+U926+W926+Y926+AA926+AC926</f>
        <v>80</v>
      </c>
      <c r="AG926" s="153">
        <f>SUM(AE926-AF926)</f>
        <v>2000</v>
      </c>
      <c r="AH926" s="96" t="s">
        <v>1672</v>
      </c>
      <c r="AI926" s="96">
        <v>3</v>
      </c>
    </row>
    <row r="927" spans="1:42" customHeight="1" ht="11.5" s="96" customFormat="1">
      <c r="A927" s="5">
        <v>919</v>
      </c>
      <c r="B927" s="173" t="s">
        <v>1384</v>
      </c>
      <c r="C927" s="167" t="s">
        <v>36</v>
      </c>
      <c r="D927" s="88" t="s">
        <v>37</v>
      </c>
      <c r="E927" s="174">
        <v>0</v>
      </c>
      <c r="F927" s="9">
        <v>0</v>
      </c>
      <c r="G927" s="10"/>
      <c r="H927" s="9">
        <v>0</v>
      </c>
      <c r="I927" s="10"/>
      <c r="J927" s="152">
        <v>0</v>
      </c>
      <c r="K927" s="10"/>
      <c r="L927" s="152">
        <v>80</v>
      </c>
      <c r="M927" s="10"/>
      <c r="N927" s="152">
        <v>0</v>
      </c>
      <c r="O927" s="10">
        <v>80</v>
      </c>
      <c r="P927" s="152">
        <v>0</v>
      </c>
      <c r="Q927" s="10"/>
      <c r="R927" s="9">
        <v>0</v>
      </c>
      <c r="S927" s="10"/>
      <c r="T927" s="9">
        <v>0</v>
      </c>
      <c r="U927" s="10"/>
      <c r="V927" s="9">
        <v>0</v>
      </c>
      <c r="W927" s="10"/>
      <c r="X927" s="9">
        <v>0</v>
      </c>
      <c r="Y927" s="10"/>
      <c r="Z927" s="9">
        <v>0</v>
      </c>
      <c r="AA927" s="10"/>
      <c r="AB927" s="11">
        <v>0</v>
      </c>
      <c r="AC927" s="10"/>
      <c r="AD927" s="7">
        <f>SUM(F927+H927+J927+L927+N927+P927+R927+T927+V927+X927+Z927+AB927)</f>
        <v>80</v>
      </c>
      <c r="AE927" s="7">
        <f>E927+AD927</f>
        <v>80</v>
      </c>
      <c r="AF927" s="8">
        <f>G927+I927+K927+M927+O927+Q927+S927+U927+W927+Y927+AA927+AC927</f>
        <v>80</v>
      </c>
      <c r="AG927" s="153">
        <f>SUM(AE927-AF927)</f>
        <v>0</v>
      </c>
      <c r="AH927" s="96" t="s">
        <v>1673</v>
      </c>
      <c r="AI927" s="96">
        <v>3</v>
      </c>
    </row>
    <row r="928" spans="1:42" customHeight="1" ht="11.5" s="96" customFormat="1">
      <c r="A928" s="5">
        <v>920</v>
      </c>
      <c r="B928" s="173" t="s">
        <v>1385</v>
      </c>
      <c r="C928" s="167" t="s">
        <v>132</v>
      </c>
      <c r="D928" s="88" t="s">
        <v>133</v>
      </c>
      <c r="E928" s="174">
        <v>0</v>
      </c>
      <c r="F928" s="9">
        <v>0</v>
      </c>
      <c r="G928" s="10"/>
      <c r="H928" s="9">
        <v>0</v>
      </c>
      <c r="I928" s="10"/>
      <c r="J928" s="152">
        <v>0</v>
      </c>
      <c r="K928" s="10"/>
      <c r="L928" s="152">
        <v>195</v>
      </c>
      <c r="M928" s="10"/>
      <c r="N928" s="152">
        <v>0</v>
      </c>
      <c r="O928" s="10"/>
      <c r="P928" s="152">
        <v>0</v>
      </c>
      <c r="Q928" s="10"/>
      <c r="R928" s="9">
        <v>0</v>
      </c>
      <c r="S928" s="10"/>
      <c r="T928" s="9">
        <v>0</v>
      </c>
      <c r="U928" s="10"/>
      <c r="V928" s="9">
        <v>0</v>
      </c>
      <c r="W928" s="10"/>
      <c r="X928" s="9">
        <v>0</v>
      </c>
      <c r="Y928" s="10"/>
      <c r="Z928" s="9">
        <v>0</v>
      </c>
      <c r="AA928" s="10"/>
      <c r="AB928" s="11">
        <v>0</v>
      </c>
      <c r="AC928" s="10"/>
      <c r="AD928" s="7">
        <f>SUM(F928+H928+J928+L928+N928+P928+R928+T928+V928+X928+Z928+AB928)</f>
        <v>195</v>
      </c>
      <c r="AE928" s="7">
        <f>E928+AD928</f>
        <v>195</v>
      </c>
      <c r="AF928" s="8">
        <f>G928+I928+K928+M928+O928+Q928+S928+U928+W928+Y928+AA928+AC928</f>
        <v>0</v>
      </c>
      <c r="AG928" s="153">
        <f>SUM(AE928-AF928)</f>
        <v>195</v>
      </c>
      <c r="AH928" s="96" t="s">
        <v>1674</v>
      </c>
      <c r="AI928" s="96">
        <v>3</v>
      </c>
    </row>
    <row r="929" spans="1:42" customHeight="1" ht="11.5" s="96" customFormat="1">
      <c r="A929" s="5">
        <v>921</v>
      </c>
      <c r="B929" s="173" t="s">
        <v>1386</v>
      </c>
      <c r="C929" s="167" t="s">
        <v>36</v>
      </c>
      <c r="D929" s="88" t="s">
        <v>37</v>
      </c>
      <c r="E929" s="174">
        <v>0</v>
      </c>
      <c r="F929" s="9">
        <v>0</v>
      </c>
      <c r="G929" s="10"/>
      <c r="H929" s="9">
        <v>20000</v>
      </c>
      <c r="I929" s="10"/>
      <c r="J929" s="152">
        <v>20000</v>
      </c>
      <c r="K929" s="10"/>
      <c r="L929" s="152">
        <v>20000</v>
      </c>
      <c r="M929" s="10">
        <v>40000</v>
      </c>
      <c r="N929" s="152">
        <v>0</v>
      </c>
      <c r="O929" s="10">
        <v>20000</v>
      </c>
      <c r="P929" s="152">
        <v>20000</v>
      </c>
      <c r="Q929" s="10"/>
      <c r="R929" s="9">
        <v>0</v>
      </c>
      <c r="S929" s="10"/>
      <c r="T929" s="9">
        <v>0</v>
      </c>
      <c r="U929" s="10"/>
      <c r="V929" s="9">
        <v>0</v>
      </c>
      <c r="W929" s="10"/>
      <c r="X929" s="9">
        <v>0</v>
      </c>
      <c r="Y929" s="10"/>
      <c r="Z929" s="9">
        <v>0</v>
      </c>
      <c r="AA929" s="10"/>
      <c r="AB929" s="11">
        <v>0</v>
      </c>
      <c r="AC929" s="10"/>
      <c r="AD929" s="7">
        <f>SUM(F929+H929+J929+L929+N929+P929+R929+T929+V929+X929+Z929+AB929)</f>
        <v>80000</v>
      </c>
      <c r="AE929" s="7">
        <f>E929+AD929</f>
        <v>80000</v>
      </c>
      <c r="AF929" s="8">
        <f>G929+I929+K929+M929+O929+Q929+S929+U929+W929+Y929+AA929+AC929</f>
        <v>60000</v>
      </c>
      <c r="AG929" s="153">
        <f>SUM(AE929-AF929)</f>
        <v>20000</v>
      </c>
      <c r="AH929" s="96" t="s">
        <v>1675</v>
      </c>
      <c r="AI929" s="96">
        <v>3</v>
      </c>
    </row>
    <row r="930" spans="1:42" customHeight="1" ht="11.5" s="96" customFormat="1">
      <c r="A930" s="5">
        <v>922</v>
      </c>
      <c r="B930" s="173" t="s">
        <v>1387</v>
      </c>
      <c r="C930" s="167" t="s">
        <v>36</v>
      </c>
      <c r="D930" s="88" t="s">
        <v>37</v>
      </c>
      <c r="E930" s="174">
        <v>0</v>
      </c>
      <c r="F930" s="9">
        <v>0</v>
      </c>
      <c r="G930" s="10"/>
      <c r="H930" s="9">
        <v>0</v>
      </c>
      <c r="I930" s="10"/>
      <c r="J930" s="152">
        <v>0</v>
      </c>
      <c r="K930" s="10"/>
      <c r="L930" s="152">
        <v>0</v>
      </c>
      <c r="M930" s="10"/>
      <c r="N930" s="152">
        <v>0</v>
      </c>
      <c r="O930" s="10"/>
      <c r="P930" s="152">
        <v>0</v>
      </c>
      <c r="Q930" s="10"/>
      <c r="R930" s="9">
        <v>0</v>
      </c>
      <c r="S930" s="10"/>
      <c r="T930" s="9">
        <v>0</v>
      </c>
      <c r="U930" s="10"/>
      <c r="V930" s="9">
        <v>0</v>
      </c>
      <c r="W930" s="10"/>
      <c r="X930" s="9">
        <v>0</v>
      </c>
      <c r="Y930" s="10"/>
      <c r="Z930" s="9">
        <v>0</v>
      </c>
      <c r="AA930" s="10"/>
      <c r="AB930" s="11">
        <v>0</v>
      </c>
      <c r="AC930" s="10"/>
      <c r="AD930" s="7">
        <f>SUM(F930+H930+J930+L930+N930+P930+R930+T930+V930+X930+Z930+AB930)</f>
        <v>0</v>
      </c>
      <c r="AE930" s="7">
        <f>E930+AD930</f>
        <v>0</v>
      </c>
      <c r="AF930" s="8">
        <f>G930+I930+K930+M930+O930+Q930+S930+U930+W930+Y930+AA930+AC930</f>
        <v>0</v>
      </c>
      <c r="AG930" s="153">
        <f>SUM(AE930-AF930)</f>
        <v>0</v>
      </c>
      <c r="AH930" s="96" t="s">
        <v>1676</v>
      </c>
      <c r="AI930" s="96">
        <v>4</v>
      </c>
    </row>
    <row r="931" spans="1:42" customHeight="1" ht="11.5" s="96" customFormat="1">
      <c r="A931" s="5">
        <v>923</v>
      </c>
      <c r="B931" s="173" t="s">
        <v>1388</v>
      </c>
      <c r="C931" s="167" t="s">
        <v>36</v>
      </c>
      <c r="D931" s="88" t="s">
        <v>37</v>
      </c>
      <c r="E931" s="174">
        <v>0</v>
      </c>
      <c r="F931" s="9">
        <v>0</v>
      </c>
      <c r="G931" s="10"/>
      <c r="H931" s="9">
        <v>0</v>
      </c>
      <c r="I931" s="10"/>
      <c r="J931" s="152">
        <v>0</v>
      </c>
      <c r="K931" s="10"/>
      <c r="L931" s="152">
        <v>30000</v>
      </c>
      <c r="M931" s="10"/>
      <c r="N931" s="152">
        <v>0</v>
      </c>
      <c r="O931" s="10">
        <v>30000</v>
      </c>
      <c r="P931" s="152">
        <v>0</v>
      </c>
      <c r="Q931" s="10"/>
      <c r="R931" s="9">
        <v>0</v>
      </c>
      <c r="S931" s="10"/>
      <c r="T931" s="9">
        <v>0</v>
      </c>
      <c r="U931" s="10"/>
      <c r="V931" s="9">
        <v>0</v>
      </c>
      <c r="W931" s="10"/>
      <c r="X931" s="9">
        <v>0</v>
      </c>
      <c r="Y931" s="10"/>
      <c r="Z931" s="9">
        <v>0</v>
      </c>
      <c r="AA931" s="10"/>
      <c r="AB931" s="11">
        <v>0</v>
      </c>
      <c r="AC931" s="10"/>
      <c r="AD931" s="7">
        <f>SUM(F931+H931+J931+L931+N931+P931+R931+T931+V931+X931+Z931+AB931)</f>
        <v>30000</v>
      </c>
      <c r="AE931" s="7">
        <f>E931+AD931</f>
        <v>30000</v>
      </c>
      <c r="AF931" s="8">
        <f>G931+I931+K931+M931+O931+Q931+S931+U931+W931+Y931+AA931+AC931</f>
        <v>30000</v>
      </c>
      <c r="AG931" s="153">
        <f>SUM(AE931-AF931)</f>
        <v>0</v>
      </c>
      <c r="AH931" s="96" t="s">
        <v>1677</v>
      </c>
      <c r="AI931" s="96">
        <v>4</v>
      </c>
    </row>
    <row r="932" spans="1:42" customHeight="1" ht="11.5" s="96" customFormat="1">
      <c r="A932" s="5">
        <v>924</v>
      </c>
      <c r="B932" s="173" t="s">
        <v>1389</v>
      </c>
      <c r="C932" s="167" t="s">
        <v>36</v>
      </c>
      <c r="D932" s="88" t="s">
        <v>37</v>
      </c>
      <c r="E932" s="174">
        <v>0</v>
      </c>
      <c r="F932" s="9">
        <v>0</v>
      </c>
      <c r="G932" s="10"/>
      <c r="H932" s="9">
        <v>0</v>
      </c>
      <c r="I932" s="10"/>
      <c r="J932" s="152">
        <v>0</v>
      </c>
      <c r="K932" s="10"/>
      <c r="L932" s="152">
        <v>0</v>
      </c>
      <c r="M932" s="10"/>
      <c r="N932" s="152">
        <v>30</v>
      </c>
      <c r="O932" s="10"/>
      <c r="P932" s="152">
        <v>0</v>
      </c>
      <c r="Q932" s="10">
        <v>30</v>
      </c>
      <c r="R932" s="9">
        <v>100</v>
      </c>
      <c r="S932" s="10"/>
      <c r="T932" s="9">
        <v>0</v>
      </c>
      <c r="U932" s="10"/>
      <c r="V932" s="9">
        <v>0</v>
      </c>
      <c r="W932" s="10"/>
      <c r="X932" s="9">
        <v>0</v>
      </c>
      <c r="Y932" s="10"/>
      <c r="Z932" s="9">
        <v>0</v>
      </c>
      <c r="AA932" s="10"/>
      <c r="AB932" s="11">
        <v>0</v>
      </c>
      <c r="AC932" s="10"/>
      <c r="AD932" s="7">
        <f>SUM(F932+H932+J932+L932+N932+P932+R932+T932+V932+X932+Z932+AB932)</f>
        <v>130</v>
      </c>
      <c r="AE932" s="7">
        <f>E932+AD932</f>
        <v>130</v>
      </c>
      <c r="AF932" s="8">
        <f>G932+I932+K932+M932+O932+Q932+S932+U932+W932+Y932+AA932+AC932</f>
        <v>30</v>
      </c>
      <c r="AG932" s="153">
        <f>SUM(AE932-AF932)</f>
        <v>100</v>
      </c>
      <c r="AH932" s="96" t="s">
        <v>1678</v>
      </c>
      <c r="AI932" s="96">
        <v>4</v>
      </c>
    </row>
    <row r="933" spans="1:42" customHeight="1" ht="11.5" s="96" customFormat="1">
      <c r="A933" s="5">
        <v>925</v>
      </c>
      <c r="B933" s="173" t="s">
        <v>1390</v>
      </c>
      <c r="C933" s="167" t="s">
        <v>36</v>
      </c>
      <c r="D933" s="88" t="s">
        <v>37</v>
      </c>
      <c r="E933" s="174">
        <v>0</v>
      </c>
      <c r="F933" s="9">
        <v>0</v>
      </c>
      <c r="G933" s="10"/>
      <c r="H933" s="9">
        <v>0</v>
      </c>
      <c r="I933" s="10"/>
      <c r="J933" s="152">
        <v>0</v>
      </c>
      <c r="K933" s="10"/>
      <c r="L933" s="152">
        <v>0</v>
      </c>
      <c r="M933" s="10"/>
      <c r="N933" s="152">
        <v>0</v>
      </c>
      <c r="O933" s="10"/>
      <c r="P933" s="152">
        <v>0</v>
      </c>
      <c r="Q933" s="10"/>
      <c r="R933" s="9">
        <v>0</v>
      </c>
      <c r="S933" s="10"/>
      <c r="T933" s="9">
        <v>0</v>
      </c>
      <c r="U933" s="10"/>
      <c r="V933" s="9">
        <v>0</v>
      </c>
      <c r="W933" s="10"/>
      <c r="X933" s="9">
        <v>0</v>
      </c>
      <c r="Y933" s="10"/>
      <c r="Z933" s="9">
        <v>0</v>
      </c>
      <c r="AA933" s="10"/>
      <c r="AB933" s="11">
        <v>0</v>
      </c>
      <c r="AC933" s="10"/>
      <c r="AD933" s="7">
        <f>SUM(F933+H933+J933+L933+N933+P933+R933+T933+V933+X933+Z933+AB933)</f>
        <v>0</v>
      </c>
      <c r="AE933" s="7">
        <f>E933+AD933</f>
        <v>0</v>
      </c>
      <c r="AF933" s="8">
        <f>G933+I933+K933+M933+O933+Q933+S933+U933+W933+Y933+AA933+AC933</f>
        <v>0</v>
      </c>
      <c r="AG933" s="153">
        <f>SUM(AE933-AF933)</f>
        <v>0</v>
      </c>
      <c r="AH933" s="96" t="s">
        <v>1679</v>
      </c>
      <c r="AI933" s="96">
        <v>4</v>
      </c>
    </row>
    <row r="934" spans="1:42" customHeight="1" ht="11.5" s="96" customFormat="1">
      <c r="A934" s="5">
        <v>926</v>
      </c>
      <c r="B934" s="173" t="s">
        <v>1391</v>
      </c>
      <c r="C934" s="167" t="s">
        <v>36</v>
      </c>
      <c r="D934" s="88" t="s">
        <v>37</v>
      </c>
      <c r="E934" s="174">
        <v>0</v>
      </c>
      <c r="F934" s="9">
        <v>0</v>
      </c>
      <c r="G934" s="10"/>
      <c r="H934" s="9">
        <v>0</v>
      </c>
      <c r="I934" s="10"/>
      <c r="J934" s="152">
        <v>0</v>
      </c>
      <c r="K934" s="10"/>
      <c r="L934" s="152">
        <v>900</v>
      </c>
      <c r="M934" s="10"/>
      <c r="N934" s="152">
        <v>0</v>
      </c>
      <c r="O934" s="10">
        <v>900</v>
      </c>
      <c r="P934" s="152">
        <v>0</v>
      </c>
      <c r="Q934" s="10"/>
      <c r="R934" s="9">
        <v>1020</v>
      </c>
      <c r="S934" s="10"/>
      <c r="T934" s="9">
        <v>0</v>
      </c>
      <c r="U934" s="10"/>
      <c r="V934" s="9">
        <v>0</v>
      </c>
      <c r="W934" s="10"/>
      <c r="X934" s="9">
        <v>0</v>
      </c>
      <c r="Y934" s="10"/>
      <c r="Z934" s="9">
        <v>0</v>
      </c>
      <c r="AA934" s="10"/>
      <c r="AB934" s="11">
        <v>0</v>
      </c>
      <c r="AC934" s="10"/>
      <c r="AD934" s="7">
        <f>SUM(F934+H934+J934+L934+N934+P934+R934+T934+V934+X934+Z934+AB934)</f>
        <v>1920</v>
      </c>
      <c r="AE934" s="7">
        <f>E934+AD934</f>
        <v>1920</v>
      </c>
      <c r="AF934" s="8">
        <f>G934+I934+K934+M934+O934+Q934+S934+U934+W934+Y934+AA934+AC934</f>
        <v>900</v>
      </c>
      <c r="AG934" s="153">
        <f>SUM(AE934-AF934)</f>
        <v>1020</v>
      </c>
      <c r="AH934" s="96" t="s">
        <v>1680</v>
      </c>
      <c r="AI934" s="96">
        <v>4</v>
      </c>
    </row>
    <row r="935" spans="1:42" customHeight="1" ht="11.5" s="96" customFormat="1">
      <c r="A935" s="5">
        <v>927</v>
      </c>
      <c r="B935" s="173" t="s">
        <v>1392</v>
      </c>
      <c r="C935" s="167" t="s">
        <v>36</v>
      </c>
      <c r="D935" s="88" t="s">
        <v>37</v>
      </c>
      <c r="E935" s="174">
        <v>0</v>
      </c>
      <c r="F935" s="9">
        <v>0</v>
      </c>
      <c r="G935" s="10"/>
      <c r="H935" s="9">
        <v>0</v>
      </c>
      <c r="I935" s="10"/>
      <c r="J935" s="152">
        <v>0</v>
      </c>
      <c r="K935" s="10"/>
      <c r="L935" s="152">
        <v>0</v>
      </c>
      <c r="M935" s="10"/>
      <c r="N935" s="152">
        <v>30000</v>
      </c>
      <c r="O935" s="10"/>
      <c r="P935" s="152">
        <v>0</v>
      </c>
      <c r="Q935" s="10">
        <v>30000</v>
      </c>
      <c r="R935" s="9">
        <v>0</v>
      </c>
      <c r="S935" s="10"/>
      <c r="T935" s="9">
        <v>0</v>
      </c>
      <c r="U935" s="10"/>
      <c r="V935" s="9">
        <v>0</v>
      </c>
      <c r="W935" s="10"/>
      <c r="X935" s="9">
        <v>0</v>
      </c>
      <c r="Y935" s="10"/>
      <c r="Z935" s="9">
        <v>0</v>
      </c>
      <c r="AA935" s="10"/>
      <c r="AB935" s="11">
        <v>0</v>
      </c>
      <c r="AC935" s="10"/>
      <c r="AD935" s="7">
        <f>SUM(F935+H935+J935+L935+N935+P935+R935+T935+V935+X935+Z935+AB935)</f>
        <v>30000</v>
      </c>
      <c r="AE935" s="7">
        <f>E935+AD935</f>
        <v>30000</v>
      </c>
      <c r="AF935" s="8">
        <f>G935+I935+K935+M935+O935+Q935+S935+U935+W935+Y935+AA935+AC935</f>
        <v>30000</v>
      </c>
      <c r="AG935" s="153">
        <f>SUM(AE935-AF935)</f>
        <v>0</v>
      </c>
      <c r="AH935" s="96" t="s">
        <v>1681</v>
      </c>
      <c r="AI935" s="96">
        <v>3</v>
      </c>
    </row>
    <row r="936" spans="1:42" customHeight="1" ht="11.5" s="96" customFormat="1">
      <c r="A936" s="5">
        <v>928</v>
      </c>
      <c r="B936" s="173" t="s">
        <v>1393</v>
      </c>
      <c r="C936" s="167" t="s">
        <v>36</v>
      </c>
      <c r="D936" s="88" t="s">
        <v>37</v>
      </c>
      <c r="E936" s="174">
        <v>0</v>
      </c>
      <c r="F936" s="9">
        <v>0</v>
      </c>
      <c r="G936" s="10"/>
      <c r="H936" s="9">
        <v>0</v>
      </c>
      <c r="I936" s="10"/>
      <c r="J936" s="152">
        <v>0</v>
      </c>
      <c r="K936" s="10"/>
      <c r="L936" s="152">
        <v>0</v>
      </c>
      <c r="M936" s="10"/>
      <c r="N936" s="152">
        <v>0</v>
      </c>
      <c r="O936" s="10"/>
      <c r="P936" s="152">
        <v>0</v>
      </c>
      <c r="Q936" s="10"/>
      <c r="R936" s="9">
        <v>0</v>
      </c>
      <c r="S936" s="10"/>
      <c r="T936" s="9">
        <v>0</v>
      </c>
      <c r="U936" s="10"/>
      <c r="V936" s="9">
        <v>0</v>
      </c>
      <c r="W936" s="10"/>
      <c r="X936" s="9">
        <v>0</v>
      </c>
      <c r="Y936" s="10"/>
      <c r="Z936" s="9">
        <v>0</v>
      </c>
      <c r="AA936" s="10"/>
      <c r="AB936" s="11">
        <v>0</v>
      </c>
      <c r="AC936" s="10"/>
      <c r="AD936" s="7">
        <f>SUM(F936+H936+J936+L936+N936+P936+R936+T936+V936+X936+Z936+AB936)</f>
        <v>0</v>
      </c>
      <c r="AE936" s="7">
        <f>E936+AD936</f>
        <v>0</v>
      </c>
      <c r="AF936" s="8">
        <f>G936+I936+K936+M936+O936+Q936+S936+U936+W936+Y936+AA936+AC936</f>
        <v>0</v>
      </c>
      <c r="AG936" s="153">
        <f>SUM(AE936-AF936)</f>
        <v>0</v>
      </c>
      <c r="AH936" s="96" t="s">
        <v>1682</v>
      </c>
      <c r="AI936" s="96">
        <v>3</v>
      </c>
    </row>
    <row r="937" spans="1:42" customHeight="1" ht="11.5" s="96" customFormat="1">
      <c r="A937" s="5">
        <v>929</v>
      </c>
      <c r="B937" s="173" t="s">
        <v>1394</v>
      </c>
      <c r="C937" s="167" t="s">
        <v>36</v>
      </c>
      <c r="D937" s="88" t="s">
        <v>37</v>
      </c>
      <c r="E937" s="174">
        <v>0</v>
      </c>
      <c r="F937" s="9">
        <v>0</v>
      </c>
      <c r="G937" s="10"/>
      <c r="H937" s="9">
        <v>0</v>
      </c>
      <c r="I937" s="10"/>
      <c r="J937" s="152">
        <v>0</v>
      </c>
      <c r="K937" s="10"/>
      <c r="L937" s="152">
        <v>0</v>
      </c>
      <c r="M937" s="10"/>
      <c r="N937" s="152">
        <v>0</v>
      </c>
      <c r="O937" s="10"/>
      <c r="P937" s="152">
        <v>0</v>
      </c>
      <c r="Q937" s="10"/>
      <c r="R937" s="9">
        <v>0</v>
      </c>
      <c r="S937" s="10"/>
      <c r="T937" s="9">
        <v>0</v>
      </c>
      <c r="U937" s="10"/>
      <c r="V937" s="9">
        <v>0</v>
      </c>
      <c r="W937" s="10"/>
      <c r="X937" s="9">
        <v>0</v>
      </c>
      <c r="Y937" s="10"/>
      <c r="Z937" s="9">
        <v>0</v>
      </c>
      <c r="AA937" s="10"/>
      <c r="AB937" s="11">
        <v>0</v>
      </c>
      <c r="AC937" s="10"/>
      <c r="AD937" s="7">
        <f>SUM(F937+H937+J937+L937+N937+P937+R937+T937+V937+X937+Z937+AB937)</f>
        <v>0</v>
      </c>
      <c r="AE937" s="7">
        <f>E937+AD937</f>
        <v>0</v>
      </c>
      <c r="AF937" s="8">
        <f>G937+I937+K937+M937+O937+Q937+S937+U937+W937+Y937+AA937+AC937</f>
        <v>0</v>
      </c>
      <c r="AG937" s="153">
        <f>SUM(AE937-AF937)</f>
        <v>0</v>
      </c>
      <c r="AH937" s="96" t="s">
        <v>1683</v>
      </c>
      <c r="AI937" s="96">
        <v>3</v>
      </c>
    </row>
    <row r="938" spans="1:42" customHeight="1" ht="11.5" s="96" customFormat="1">
      <c r="A938" s="5">
        <v>930</v>
      </c>
      <c r="B938" s="173" t="s">
        <v>1395</v>
      </c>
      <c r="C938" s="167" t="s">
        <v>132</v>
      </c>
      <c r="D938" s="88" t="s">
        <v>133</v>
      </c>
      <c r="E938" s="174">
        <v>0</v>
      </c>
      <c r="F938" s="9">
        <v>0</v>
      </c>
      <c r="G938" s="10"/>
      <c r="H938" s="9">
        <v>0</v>
      </c>
      <c r="I938" s="10"/>
      <c r="J938" s="152">
        <v>0</v>
      </c>
      <c r="K938" s="10"/>
      <c r="L938" s="152">
        <v>0</v>
      </c>
      <c r="M938" s="10"/>
      <c r="N938" s="152">
        <v>0</v>
      </c>
      <c r="O938" s="10"/>
      <c r="P938" s="152">
        <v>0</v>
      </c>
      <c r="Q938" s="10"/>
      <c r="R938" s="9">
        <v>0</v>
      </c>
      <c r="S938" s="10"/>
      <c r="T938" s="9">
        <v>0</v>
      </c>
      <c r="U938" s="10"/>
      <c r="V938" s="9">
        <v>0</v>
      </c>
      <c r="W938" s="10"/>
      <c r="X938" s="9">
        <v>0</v>
      </c>
      <c r="Y938" s="10"/>
      <c r="Z938" s="9">
        <v>0</v>
      </c>
      <c r="AA938" s="10"/>
      <c r="AB938" s="11">
        <v>0</v>
      </c>
      <c r="AC938" s="10"/>
      <c r="AD938" s="7">
        <f>SUM(F938+H938+J938+L938+N938+P938+R938+T938+V938+X938+Z938+AB938)</f>
        <v>0</v>
      </c>
      <c r="AE938" s="7">
        <f>E938+AD938</f>
        <v>0</v>
      </c>
      <c r="AF938" s="8">
        <f>G938+I938+K938+M938+O938+Q938+S938+U938+W938+Y938+AA938+AC938</f>
        <v>0</v>
      </c>
      <c r="AG938" s="153">
        <f>SUM(AE938-AF938)</f>
        <v>0</v>
      </c>
      <c r="AH938" s="96" t="s">
        <v>1684</v>
      </c>
      <c r="AI938" s="96">
        <v>4</v>
      </c>
    </row>
    <row r="939" spans="1:42" customHeight="1" ht="11.5" s="96" customFormat="1">
      <c r="A939" s="5">
        <v>931</v>
      </c>
      <c r="B939" s="173" t="s">
        <v>1396</v>
      </c>
      <c r="C939" s="167" t="s">
        <v>36</v>
      </c>
      <c r="D939" s="88" t="s">
        <v>37</v>
      </c>
      <c r="E939" s="174">
        <v>0</v>
      </c>
      <c r="F939" s="9">
        <v>0</v>
      </c>
      <c r="G939" s="10"/>
      <c r="H939" s="9">
        <v>0</v>
      </c>
      <c r="I939" s="10"/>
      <c r="J939" s="152">
        <v>0</v>
      </c>
      <c r="K939" s="10"/>
      <c r="L939" s="152">
        <v>0</v>
      </c>
      <c r="M939" s="10"/>
      <c r="N939" s="152">
        <v>0</v>
      </c>
      <c r="O939" s="10"/>
      <c r="P939" s="152">
        <v>0</v>
      </c>
      <c r="Q939" s="10"/>
      <c r="R939" s="9">
        <v>0</v>
      </c>
      <c r="S939" s="10"/>
      <c r="T939" s="9">
        <v>0</v>
      </c>
      <c r="U939" s="10"/>
      <c r="V939" s="9">
        <v>0</v>
      </c>
      <c r="W939" s="10"/>
      <c r="X939" s="9">
        <v>0</v>
      </c>
      <c r="Y939" s="10"/>
      <c r="Z939" s="9">
        <v>0</v>
      </c>
      <c r="AA939" s="10"/>
      <c r="AB939" s="11">
        <v>0</v>
      </c>
      <c r="AC939" s="10"/>
      <c r="AD939" s="7">
        <f>SUM(F939+H939+J939+L939+N939+P939+R939+T939+V939+X939+Z939+AB939)</f>
        <v>0</v>
      </c>
      <c r="AE939" s="7">
        <f>E939+AD939</f>
        <v>0</v>
      </c>
      <c r="AF939" s="8">
        <f>G939+I939+K939+M939+O939+Q939+S939+U939+W939+Y939+AA939+AC939</f>
        <v>0</v>
      </c>
      <c r="AG939" s="153">
        <f>SUM(AE939-AF939)</f>
        <v>0</v>
      </c>
      <c r="AH939" s="96" t="s">
        <v>1685</v>
      </c>
      <c r="AI939" s="96">
        <v>4</v>
      </c>
    </row>
    <row r="940" spans="1:42" customHeight="1" ht="11.5" s="96" customFormat="1">
      <c r="A940" s="5">
        <v>932</v>
      </c>
      <c r="B940" s="173" t="s">
        <v>1397</v>
      </c>
      <c r="C940" s="167" t="s">
        <v>36</v>
      </c>
      <c r="D940" s="88" t="s">
        <v>37</v>
      </c>
      <c r="E940" s="174">
        <v>0</v>
      </c>
      <c r="F940" s="9">
        <v>0</v>
      </c>
      <c r="G940" s="10"/>
      <c r="H940" s="9">
        <v>0</v>
      </c>
      <c r="I940" s="10"/>
      <c r="J940" s="152">
        <v>0</v>
      </c>
      <c r="K940" s="10"/>
      <c r="L940" s="152">
        <v>0</v>
      </c>
      <c r="M940" s="10"/>
      <c r="N940" s="152">
        <v>0</v>
      </c>
      <c r="O940" s="10"/>
      <c r="P940" s="152">
        <v>0</v>
      </c>
      <c r="Q940" s="10"/>
      <c r="R940" s="9">
        <v>0</v>
      </c>
      <c r="S940" s="10"/>
      <c r="T940" s="9">
        <v>0</v>
      </c>
      <c r="U940" s="10"/>
      <c r="V940" s="9">
        <v>0</v>
      </c>
      <c r="W940" s="10"/>
      <c r="X940" s="9">
        <v>0</v>
      </c>
      <c r="Y940" s="10"/>
      <c r="Z940" s="9">
        <v>0</v>
      </c>
      <c r="AA940" s="10"/>
      <c r="AB940" s="11">
        <v>0</v>
      </c>
      <c r="AC940" s="10"/>
      <c r="AD940" s="7">
        <f>SUM(F940+H940+J940+L940+N940+P940+R940+T940+V940+X940+Z940+AB940)</f>
        <v>0</v>
      </c>
      <c r="AE940" s="7">
        <f>E940+AD940</f>
        <v>0</v>
      </c>
      <c r="AF940" s="8">
        <f>G940+I940+K940+M940+O940+Q940+S940+U940+W940+Y940+AA940+AC940</f>
        <v>0</v>
      </c>
      <c r="AG940" s="153">
        <f>SUM(AE940-AF940)</f>
        <v>0</v>
      </c>
      <c r="AH940" s="96" t="s">
        <v>1686</v>
      </c>
      <c r="AI940" s="96">
        <v>4</v>
      </c>
    </row>
    <row r="941" spans="1:42" customHeight="1" ht="11.5" s="96" customFormat="1">
      <c r="A941" s="5">
        <v>933</v>
      </c>
      <c r="B941" s="173" t="s">
        <v>1398</v>
      </c>
      <c r="C941" s="167" t="s">
        <v>36</v>
      </c>
      <c r="D941" s="88" t="s">
        <v>37</v>
      </c>
      <c r="E941" s="174">
        <v>0</v>
      </c>
      <c r="F941" s="9">
        <v>0</v>
      </c>
      <c r="G941" s="10"/>
      <c r="H941" s="9">
        <v>0</v>
      </c>
      <c r="I941" s="10"/>
      <c r="J941" s="152">
        <v>0</v>
      </c>
      <c r="K941" s="10"/>
      <c r="L941" s="152">
        <v>0</v>
      </c>
      <c r="M941" s="10"/>
      <c r="N941" s="152">
        <v>0</v>
      </c>
      <c r="O941" s="10"/>
      <c r="P941" s="152">
        <v>29000</v>
      </c>
      <c r="Q941" s="10"/>
      <c r="R941" s="9">
        <v>0</v>
      </c>
      <c r="S941" s="10"/>
      <c r="T941" s="9">
        <v>0</v>
      </c>
      <c r="U941" s="10"/>
      <c r="V941" s="9">
        <v>0</v>
      </c>
      <c r="W941" s="10"/>
      <c r="X941" s="9">
        <v>0</v>
      </c>
      <c r="Y941" s="10"/>
      <c r="Z941" s="9">
        <v>0</v>
      </c>
      <c r="AA941" s="10"/>
      <c r="AB941" s="11">
        <v>0</v>
      </c>
      <c r="AC941" s="10"/>
      <c r="AD941" s="7">
        <f>SUM(F941+H941+J941+L941+N941+P941+R941+T941+V941+X941+Z941+AB941)</f>
        <v>29000</v>
      </c>
      <c r="AE941" s="7">
        <f>E941+AD941</f>
        <v>29000</v>
      </c>
      <c r="AF941" s="8">
        <f>G941+I941+K941+M941+O941+Q941+S941+U941+W941+Y941+AA941+AC941</f>
        <v>0</v>
      </c>
      <c r="AG941" s="153">
        <f>SUM(AE941-AF941)</f>
        <v>29000</v>
      </c>
      <c r="AH941" s="96" t="s">
        <v>1687</v>
      </c>
      <c r="AI941" s="96">
        <v>4</v>
      </c>
    </row>
    <row r="942" spans="1:42" customHeight="1" ht="11.5" s="96" customFormat="1">
      <c r="A942" s="5">
        <v>934</v>
      </c>
      <c r="B942" s="173" t="s">
        <v>1399</v>
      </c>
      <c r="C942" s="167" t="s">
        <v>36</v>
      </c>
      <c r="D942" s="88" t="s">
        <v>37</v>
      </c>
      <c r="E942" s="174">
        <v>0</v>
      </c>
      <c r="F942" s="9">
        <v>0</v>
      </c>
      <c r="G942" s="10"/>
      <c r="H942" s="9">
        <v>0</v>
      </c>
      <c r="I942" s="10"/>
      <c r="J942" s="152">
        <v>0</v>
      </c>
      <c r="K942" s="10"/>
      <c r="L942" s="152">
        <v>0</v>
      </c>
      <c r="M942" s="10"/>
      <c r="N942" s="152">
        <v>0</v>
      </c>
      <c r="O942" s="10"/>
      <c r="P942" s="152">
        <v>0</v>
      </c>
      <c r="Q942" s="10"/>
      <c r="R942" s="9">
        <v>0</v>
      </c>
      <c r="S942" s="10"/>
      <c r="T942" s="9">
        <v>0</v>
      </c>
      <c r="U942" s="10"/>
      <c r="V942" s="9">
        <v>0</v>
      </c>
      <c r="W942" s="10"/>
      <c r="X942" s="9">
        <v>0</v>
      </c>
      <c r="Y942" s="10"/>
      <c r="Z942" s="9">
        <v>0</v>
      </c>
      <c r="AA942" s="10"/>
      <c r="AB942" s="11">
        <v>0</v>
      </c>
      <c r="AC942" s="10"/>
      <c r="AD942" s="7">
        <f>SUM(F942+H942+J942+L942+N942+P942+R942+T942+V942+X942+Z942+AB942)</f>
        <v>0</v>
      </c>
      <c r="AE942" s="7">
        <f>E942+AD942</f>
        <v>0</v>
      </c>
      <c r="AF942" s="8">
        <f>G942+I942+K942+M942+O942+Q942+S942+U942+W942+Y942+AA942+AC942</f>
        <v>0</v>
      </c>
      <c r="AG942" s="153">
        <f>SUM(AE942-AF942)</f>
        <v>0</v>
      </c>
      <c r="AH942" s="96" t="s">
        <v>1688</v>
      </c>
      <c r="AI942" s="96">
        <v>3</v>
      </c>
    </row>
    <row r="943" spans="1:42" customHeight="1" ht="11.5" s="96" customFormat="1">
      <c r="A943" s="5">
        <v>935</v>
      </c>
      <c r="B943" s="173" t="s">
        <v>1400</v>
      </c>
      <c r="C943" s="167" t="s">
        <v>36</v>
      </c>
      <c r="D943" s="88" t="s">
        <v>37</v>
      </c>
      <c r="E943" s="174">
        <v>0</v>
      </c>
      <c r="F943" s="9">
        <v>0</v>
      </c>
      <c r="G943" s="10"/>
      <c r="H943" s="9">
        <v>0</v>
      </c>
      <c r="I943" s="10"/>
      <c r="J943" s="152">
        <v>0</v>
      </c>
      <c r="K943" s="10"/>
      <c r="L943" s="152">
        <v>0</v>
      </c>
      <c r="M943" s="10"/>
      <c r="N943" s="152">
        <v>0</v>
      </c>
      <c r="O943" s="10"/>
      <c r="P943" s="152">
        <v>4000</v>
      </c>
      <c r="Q943" s="10"/>
      <c r="R943" s="9">
        <v>0</v>
      </c>
      <c r="S943" s="10"/>
      <c r="T943" s="9">
        <v>0</v>
      </c>
      <c r="U943" s="10"/>
      <c r="V943" s="9">
        <v>0</v>
      </c>
      <c r="W943" s="10"/>
      <c r="X943" s="9">
        <v>0</v>
      </c>
      <c r="Y943" s="10"/>
      <c r="Z943" s="9">
        <v>0</v>
      </c>
      <c r="AA943" s="10"/>
      <c r="AB943" s="11">
        <v>0</v>
      </c>
      <c r="AC943" s="10"/>
      <c r="AD943" s="7">
        <f>SUM(F943+H943+J943+L943+N943+P943+R943+T943+V943+X943+Z943+AB943)</f>
        <v>4000</v>
      </c>
      <c r="AE943" s="7">
        <f>E943+AD943</f>
        <v>4000</v>
      </c>
      <c r="AF943" s="8">
        <f>G943+I943+K943+M943+O943+Q943+S943+U943+W943+Y943+AA943+AC943</f>
        <v>0</v>
      </c>
      <c r="AG943" s="153">
        <f>SUM(AE943-AF943)</f>
        <v>4000</v>
      </c>
      <c r="AH943" s="96" t="s">
        <v>1689</v>
      </c>
      <c r="AI943" s="96">
        <v>3</v>
      </c>
    </row>
    <row r="944" spans="1:42" customHeight="1" ht="11.5" s="96" customFormat="1">
      <c r="A944" s="5">
        <v>936</v>
      </c>
      <c r="B944" s="173" t="s">
        <v>1401</v>
      </c>
      <c r="C944" s="167" t="s">
        <v>132</v>
      </c>
      <c r="D944" s="88" t="s">
        <v>133</v>
      </c>
      <c r="E944" s="174">
        <v>0</v>
      </c>
      <c r="F944" s="9">
        <v>0</v>
      </c>
      <c r="G944" s="10"/>
      <c r="H944" s="9">
        <v>0</v>
      </c>
      <c r="I944" s="10"/>
      <c r="J944" s="152">
        <v>0</v>
      </c>
      <c r="K944" s="10"/>
      <c r="L944" s="152">
        <v>0</v>
      </c>
      <c r="M944" s="10"/>
      <c r="N944" s="152">
        <v>200</v>
      </c>
      <c r="O944" s="10"/>
      <c r="P944" s="152">
        <v>0</v>
      </c>
      <c r="Q944" s="10"/>
      <c r="R944" s="9">
        <v>0</v>
      </c>
      <c r="S944" s="10"/>
      <c r="T944" s="9">
        <v>0</v>
      </c>
      <c r="U944" s="10"/>
      <c r="V944" s="9">
        <v>0</v>
      </c>
      <c r="W944" s="10"/>
      <c r="X944" s="9">
        <v>0</v>
      </c>
      <c r="Y944" s="10"/>
      <c r="Z944" s="9">
        <v>0</v>
      </c>
      <c r="AA944" s="10"/>
      <c r="AB944" s="11">
        <v>0</v>
      </c>
      <c r="AC944" s="10"/>
      <c r="AD944" s="7">
        <f>SUM(F944+H944+J944+L944+N944+P944+R944+T944+V944+X944+Z944+AB944)</f>
        <v>200</v>
      </c>
      <c r="AE944" s="7">
        <f>E944+AD944</f>
        <v>200</v>
      </c>
      <c r="AF944" s="8">
        <f>G944+I944+K944+M944+O944+Q944+S944+U944+W944+Y944+AA944+AC944</f>
        <v>0</v>
      </c>
      <c r="AG944" s="153">
        <f>SUM(AE944-AF944)</f>
        <v>200</v>
      </c>
      <c r="AH944" s="96" t="s">
        <v>1690</v>
      </c>
      <c r="AI944" s="96">
        <v>3</v>
      </c>
    </row>
    <row r="945" spans="1:42" customHeight="1" ht="11.5" s="96" customFormat="1">
      <c r="A945" s="5">
        <v>937</v>
      </c>
      <c r="B945" s="173" t="s">
        <v>1402</v>
      </c>
      <c r="C945" s="167" t="s">
        <v>132</v>
      </c>
      <c r="D945" s="88" t="s">
        <v>133</v>
      </c>
      <c r="E945" s="174">
        <v>0</v>
      </c>
      <c r="F945" s="9">
        <v>0</v>
      </c>
      <c r="G945" s="10"/>
      <c r="H945" s="9">
        <v>0</v>
      </c>
      <c r="I945" s="10"/>
      <c r="J945" s="152">
        <v>0</v>
      </c>
      <c r="K945" s="10"/>
      <c r="L945" s="152">
        <v>0</v>
      </c>
      <c r="M945" s="10"/>
      <c r="N945" s="152">
        <v>200</v>
      </c>
      <c r="O945" s="10"/>
      <c r="P945" s="152">
        <v>0</v>
      </c>
      <c r="Q945" s="10"/>
      <c r="R945" s="9">
        <v>0</v>
      </c>
      <c r="S945" s="10"/>
      <c r="T945" s="9">
        <v>0</v>
      </c>
      <c r="U945" s="10"/>
      <c r="V945" s="9">
        <v>0</v>
      </c>
      <c r="W945" s="10"/>
      <c r="X945" s="9">
        <v>0</v>
      </c>
      <c r="Y945" s="10"/>
      <c r="Z945" s="9">
        <v>0</v>
      </c>
      <c r="AA945" s="10"/>
      <c r="AB945" s="11">
        <v>0</v>
      </c>
      <c r="AC945" s="10"/>
      <c r="AD945" s="7">
        <f>SUM(F945+H945+J945+L945+N945+P945+R945+T945+V945+X945+Z945+AB945)</f>
        <v>200</v>
      </c>
      <c r="AE945" s="7">
        <f>E945+AD945</f>
        <v>200</v>
      </c>
      <c r="AF945" s="8">
        <f>G945+I945+K945+M945+O945+Q945+S945+U945+W945+Y945+AA945+AC945</f>
        <v>0</v>
      </c>
      <c r="AG945" s="153">
        <f>SUM(AE945-AF945)</f>
        <v>200</v>
      </c>
      <c r="AH945" s="96" t="s">
        <v>1691</v>
      </c>
      <c r="AI945" s="96">
        <v>3</v>
      </c>
    </row>
    <row r="946" spans="1:42" customHeight="1" ht="11.5" s="96" customFormat="1">
      <c r="A946" s="5">
        <v>938</v>
      </c>
      <c r="B946" s="173" t="s">
        <v>1403</v>
      </c>
      <c r="C946" s="167" t="s">
        <v>36</v>
      </c>
      <c r="D946" s="88" t="s">
        <v>37</v>
      </c>
      <c r="E946" s="174">
        <v>0</v>
      </c>
      <c r="F946" s="9">
        <v>0</v>
      </c>
      <c r="G946" s="10"/>
      <c r="H946" s="9">
        <v>0</v>
      </c>
      <c r="I946" s="10"/>
      <c r="J946" s="152">
        <v>0</v>
      </c>
      <c r="K946" s="10"/>
      <c r="L946" s="152">
        <v>500</v>
      </c>
      <c r="M946" s="10"/>
      <c r="N946" s="152">
        <v>0</v>
      </c>
      <c r="O946" s="10">
        <v>500</v>
      </c>
      <c r="P946" s="152">
        <v>0</v>
      </c>
      <c r="Q946" s="10"/>
      <c r="R946" s="9">
        <v>0</v>
      </c>
      <c r="S946" s="10"/>
      <c r="T946" s="9">
        <v>0</v>
      </c>
      <c r="U946" s="10"/>
      <c r="V946" s="9">
        <v>0</v>
      </c>
      <c r="W946" s="10"/>
      <c r="X946" s="9">
        <v>0</v>
      </c>
      <c r="Y946" s="10"/>
      <c r="Z946" s="9">
        <v>0</v>
      </c>
      <c r="AA946" s="10"/>
      <c r="AB946" s="11">
        <v>0</v>
      </c>
      <c r="AC946" s="10"/>
      <c r="AD946" s="7">
        <f>SUM(F946+H946+J946+L946+N946+P946+R946+T946+V946+X946+Z946+AB946)</f>
        <v>500</v>
      </c>
      <c r="AE946" s="7">
        <f>E946+AD946</f>
        <v>500</v>
      </c>
      <c r="AF946" s="8">
        <f>G946+I946+K946+M946+O946+Q946+S946+U946+W946+Y946+AA946+AC946</f>
        <v>500</v>
      </c>
      <c r="AG946" s="153">
        <f>SUM(AE946-AF946)</f>
        <v>0</v>
      </c>
      <c r="AH946" s="96" t="s">
        <v>1692</v>
      </c>
      <c r="AI946" s="96">
        <v>3</v>
      </c>
    </row>
    <row r="947" spans="1:42" customHeight="1" ht="11.5" s="96" customFormat="1">
      <c r="A947" s="5">
        <v>939</v>
      </c>
      <c r="B947" s="173" t="s">
        <v>1404</v>
      </c>
      <c r="C947" s="167" t="s">
        <v>36</v>
      </c>
      <c r="D947" s="88" t="s">
        <v>37</v>
      </c>
      <c r="E947" s="174">
        <v>0</v>
      </c>
      <c r="F947" s="9">
        <v>0</v>
      </c>
      <c r="G947" s="10"/>
      <c r="H947" s="9">
        <v>0</v>
      </c>
      <c r="I947" s="10"/>
      <c r="J947" s="152">
        <v>0</v>
      </c>
      <c r="K947" s="10"/>
      <c r="L947" s="152">
        <v>0</v>
      </c>
      <c r="M947" s="10"/>
      <c r="N947" s="152">
        <v>0</v>
      </c>
      <c r="O947" s="10"/>
      <c r="P947" s="152">
        <v>1000</v>
      </c>
      <c r="Q947" s="10"/>
      <c r="R947" s="9">
        <v>0</v>
      </c>
      <c r="S947" s="10"/>
      <c r="T947" s="9">
        <v>0</v>
      </c>
      <c r="U947" s="10"/>
      <c r="V947" s="9">
        <v>0</v>
      </c>
      <c r="W947" s="10"/>
      <c r="X947" s="9">
        <v>0</v>
      </c>
      <c r="Y947" s="10"/>
      <c r="Z947" s="9">
        <v>0</v>
      </c>
      <c r="AA947" s="10"/>
      <c r="AB947" s="11">
        <v>0</v>
      </c>
      <c r="AC947" s="10"/>
      <c r="AD947" s="7">
        <f>SUM(F947+H947+J947+L947+N947+P947+R947+T947+V947+X947+Z947+AB947)</f>
        <v>1000</v>
      </c>
      <c r="AE947" s="7">
        <f>E947+AD947</f>
        <v>1000</v>
      </c>
      <c r="AF947" s="8">
        <f>G947+I947+K947+M947+O947+Q947+S947+U947+W947+Y947+AA947+AC947</f>
        <v>0</v>
      </c>
      <c r="AG947" s="153">
        <f>SUM(AE947-AF947)</f>
        <v>1000</v>
      </c>
      <c r="AH947" s="96" t="s">
        <v>1693</v>
      </c>
      <c r="AI947" s="96">
        <v>3</v>
      </c>
    </row>
    <row r="948" spans="1:42" customHeight="1" ht="11.5" s="96" customFormat="1">
      <c r="A948" s="5">
        <v>940</v>
      </c>
      <c r="B948" s="173" t="s">
        <v>1405</v>
      </c>
      <c r="C948" s="167" t="s">
        <v>36</v>
      </c>
      <c r="D948" s="175" t="s">
        <v>37</v>
      </c>
      <c r="E948" s="174">
        <v>0</v>
      </c>
      <c r="F948" s="9">
        <v>0</v>
      </c>
      <c r="G948" s="10"/>
      <c r="H948" s="9">
        <v>0</v>
      </c>
      <c r="I948" s="10"/>
      <c r="J948" s="152">
        <v>0</v>
      </c>
      <c r="K948" s="10"/>
      <c r="L948" s="152">
        <v>0</v>
      </c>
      <c r="M948" s="10"/>
      <c r="N948" s="152">
        <v>0</v>
      </c>
      <c r="O948" s="10"/>
      <c r="P948" s="152">
        <v>0</v>
      </c>
      <c r="Q948" s="10"/>
      <c r="R948" s="9">
        <v>29000</v>
      </c>
      <c r="S948" s="10"/>
      <c r="T948" s="9">
        <v>0</v>
      </c>
      <c r="U948" s="10"/>
      <c r="V948" s="9">
        <v>0</v>
      </c>
      <c r="W948" s="10"/>
      <c r="X948" s="9">
        <v>0</v>
      </c>
      <c r="Y948" s="10"/>
      <c r="Z948" s="9">
        <v>0</v>
      </c>
      <c r="AA948" s="10"/>
      <c r="AB948" s="11">
        <v>0</v>
      </c>
      <c r="AC948" s="10"/>
      <c r="AD948" s="7">
        <f>SUM(F948+H948+J948+L948+N948+P948+R948+T948+V948+X948+Z948+AB948)</f>
        <v>29000</v>
      </c>
      <c r="AE948" s="7">
        <f>E948+AD948</f>
        <v>29000</v>
      </c>
      <c r="AF948" s="8">
        <f>G948+I948+K948+M948+O948+Q948+S948+U948+W948+Y948+AA948+AC948</f>
        <v>0</v>
      </c>
      <c r="AG948" s="153">
        <f>SUM(AE948-AF948)</f>
        <v>29000</v>
      </c>
      <c r="AH948" s="96" t="s">
        <v>1694</v>
      </c>
      <c r="AI948" s="96">
        <v>3</v>
      </c>
    </row>
    <row r="949" spans="1:42" customHeight="1" ht="11.5" s="96" customFormat="1">
      <c r="A949" s="5">
        <v>941</v>
      </c>
      <c r="B949" s="173" t="s">
        <v>1406</v>
      </c>
      <c r="C949" s="167" t="s">
        <v>36</v>
      </c>
      <c r="D949" s="88" t="s">
        <v>37</v>
      </c>
      <c r="E949" s="174">
        <v>0</v>
      </c>
      <c r="F949" s="9">
        <v>0</v>
      </c>
      <c r="G949" s="10"/>
      <c r="H949" s="9">
        <v>0</v>
      </c>
      <c r="I949" s="10"/>
      <c r="J949" s="152">
        <v>0</v>
      </c>
      <c r="K949" s="10"/>
      <c r="L949" s="152">
        <v>0</v>
      </c>
      <c r="M949" s="10"/>
      <c r="N949" s="152">
        <v>0</v>
      </c>
      <c r="O949" s="10"/>
      <c r="P949" s="152">
        <v>0</v>
      </c>
      <c r="Q949" s="10"/>
      <c r="R949" s="9">
        <v>30000</v>
      </c>
      <c r="S949" s="10"/>
      <c r="T949" s="9">
        <v>0</v>
      </c>
      <c r="U949" s="10"/>
      <c r="V949" s="9">
        <v>0</v>
      </c>
      <c r="W949" s="10"/>
      <c r="X949" s="9">
        <v>0</v>
      </c>
      <c r="Y949" s="10"/>
      <c r="Z949" s="9">
        <v>0</v>
      </c>
      <c r="AA949" s="10"/>
      <c r="AB949" s="11">
        <v>0</v>
      </c>
      <c r="AC949" s="10"/>
      <c r="AD949" s="7">
        <f>SUM(F949+H949+J949+L949+N949+P949+R949+T949+V949+X949+Z949+AB949)</f>
        <v>30000</v>
      </c>
      <c r="AE949" s="7">
        <f>E949+AD949</f>
        <v>30000</v>
      </c>
      <c r="AF949" s="8">
        <f>G949+I949+K949+M949+O949+Q949+S949+U949+W949+Y949+AA949+AC949</f>
        <v>0</v>
      </c>
      <c r="AG949" s="153">
        <f>SUM(AE949-AF949)</f>
        <v>30000</v>
      </c>
      <c r="AH949" s="96" t="s">
        <v>1695</v>
      </c>
      <c r="AI949" s="96">
        <v>3</v>
      </c>
    </row>
    <row r="950" spans="1:42" customHeight="1" ht="11.5" s="96" customFormat="1">
      <c r="A950" s="5">
        <v>942</v>
      </c>
      <c r="B950" s="173" t="s">
        <v>1407</v>
      </c>
      <c r="C950" s="167" t="s">
        <v>36</v>
      </c>
      <c r="D950" s="88" t="s">
        <v>37</v>
      </c>
      <c r="E950" s="174">
        <v>0</v>
      </c>
      <c r="F950" s="9">
        <v>0</v>
      </c>
      <c r="G950" s="10"/>
      <c r="H950" s="9">
        <v>0</v>
      </c>
      <c r="I950" s="10"/>
      <c r="J950" s="152">
        <v>0</v>
      </c>
      <c r="K950" s="10"/>
      <c r="L950" s="152">
        <v>0</v>
      </c>
      <c r="M950" s="10"/>
      <c r="N950" s="152">
        <v>0</v>
      </c>
      <c r="O950" s="10"/>
      <c r="P950" s="152">
        <v>0</v>
      </c>
      <c r="Q950" s="10"/>
      <c r="R950" s="9">
        <v>30000</v>
      </c>
      <c r="S950" s="10"/>
      <c r="T950" s="9">
        <v>0</v>
      </c>
      <c r="U950" s="10"/>
      <c r="V950" s="9">
        <v>0</v>
      </c>
      <c r="W950" s="10"/>
      <c r="X950" s="9">
        <v>0</v>
      </c>
      <c r="Y950" s="10"/>
      <c r="Z950" s="9">
        <v>0</v>
      </c>
      <c r="AA950" s="10"/>
      <c r="AB950" s="11">
        <v>0</v>
      </c>
      <c r="AC950" s="10"/>
      <c r="AD950" s="7">
        <f>SUM(F950+H950+J950+L950+N950+P950+R950+T950+V950+X950+Z950+AB950)</f>
        <v>30000</v>
      </c>
      <c r="AE950" s="7">
        <f>E950+AD950</f>
        <v>30000</v>
      </c>
      <c r="AF950" s="8">
        <f>G950+I950+K950+M950+O950+Q950+S950+U950+W950+Y950+AA950+AC950</f>
        <v>0</v>
      </c>
      <c r="AG950" s="153">
        <f>SUM(AE950-AF950)</f>
        <v>30000</v>
      </c>
      <c r="AH950" s="96" t="s">
        <v>1696</v>
      </c>
      <c r="AI950" s="96">
        <v>3</v>
      </c>
    </row>
    <row r="951" spans="1:42" customHeight="1" ht="11.5" s="96" customFormat="1">
      <c r="A951" s="5">
        <v>943</v>
      </c>
      <c r="B951" s="173" t="s">
        <v>1408</v>
      </c>
      <c r="C951" s="167" t="s">
        <v>36</v>
      </c>
      <c r="D951" s="88" t="s">
        <v>37</v>
      </c>
      <c r="E951" s="174">
        <v>0</v>
      </c>
      <c r="F951" s="9">
        <v>0</v>
      </c>
      <c r="G951" s="10"/>
      <c r="H951" s="9">
        <v>0</v>
      </c>
      <c r="I951" s="10"/>
      <c r="J951" s="152">
        <v>0</v>
      </c>
      <c r="K951" s="10"/>
      <c r="L951" s="152">
        <v>0</v>
      </c>
      <c r="M951" s="10"/>
      <c r="N951" s="152">
        <v>0</v>
      </c>
      <c r="O951" s="10"/>
      <c r="P951" s="152">
        <v>30000</v>
      </c>
      <c r="Q951" s="10"/>
      <c r="R951" s="9">
        <v>0</v>
      </c>
      <c r="S951" s="10"/>
      <c r="T951" s="9">
        <v>0</v>
      </c>
      <c r="U951" s="10"/>
      <c r="V951" s="9">
        <v>0</v>
      </c>
      <c r="W951" s="10"/>
      <c r="X951" s="9">
        <v>0</v>
      </c>
      <c r="Y951" s="10"/>
      <c r="Z951" s="9">
        <v>0</v>
      </c>
      <c r="AA951" s="10"/>
      <c r="AB951" s="11">
        <v>0</v>
      </c>
      <c r="AC951" s="10"/>
      <c r="AD951" s="7">
        <f>SUM(F951+H951+J951+L951+N951+P951+R951+T951+V951+X951+Z951+AB951)</f>
        <v>30000</v>
      </c>
      <c r="AE951" s="7">
        <f>E951+AD951</f>
        <v>30000</v>
      </c>
      <c r="AF951" s="8">
        <f>G951+I951+K951+M951+O951+Q951+S951+U951+W951+Y951+AA951+AC951</f>
        <v>0</v>
      </c>
      <c r="AG951" s="153">
        <f>SUM(AE951-AF951)</f>
        <v>30000</v>
      </c>
      <c r="AH951" s="96" t="s">
        <v>1697</v>
      </c>
      <c r="AI951" s="96">
        <v>3</v>
      </c>
    </row>
    <row r="952" spans="1:42" customHeight="1" ht="11.5" s="96" customFormat="1">
      <c r="A952" s="5">
        <v>944</v>
      </c>
      <c r="B952" s="173" t="s">
        <v>1409</v>
      </c>
      <c r="C952" s="167" t="s">
        <v>36</v>
      </c>
      <c r="D952" s="88" t="s">
        <v>37</v>
      </c>
      <c r="E952" s="174">
        <v>0</v>
      </c>
      <c r="F952" s="9">
        <v>0</v>
      </c>
      <c r="G952" s="10"/>
      <c r="H952" s="9">
        <v>0</v>
      </c>
      <c r="I952" s="10"/>
      <c r="J952" s="152">
        <v>0</v>
      </c>
      <c r="K952" s="10"/>
      <c r="L952" s="152">
        <v>0</v>
      </c>
      <c r="M952" s="10"/>
      <c r="N952" s="152">
        <v>2000</v>
      </c>
      <c r="O952" s="10"/>
      <c r="P952" s="152">
        <v>0</v>
      </c>
      <c r="Q952" s="10">
        <v>2000</v>
      </c>
      <c r="R952" s="9">
        <v>0</v>
      </c>
      <c r="S952" s="10"/>
      <c r="T952" s="9">
        <v>0</v>
      </c>
      <c r="U952" s="10"/>
      <c r="V952" s="9">
        <v>0</v>
      </c>
      <c r="W952" s="10"/>
      <c r="X952" s="9">
        <v>0</v>
      </c>
      <c r="Y952" s="10"/>
      <c r="Z952" s="9">
        <v>0</v>
      </c>
      <c r="AA952" s="10"/>
      <c r="AB952" s="11">
        <v>0</v>
      </c>
      <c r="AC952" s="10"/>
      <c r="AD952" s="7">
        <f>SUM(F952+H952+J952+L952+N952+P952+R952+T952+V952+X952+Z952+AB952)</f>
        <v>2000</v>
      </c>
      <c r="AE952" s="7">
        <f>E952+AD952</f>
        <v>2000</v>
      </c>
      <c r="AF952" s="8">
        <f>G952+I952+K952+M952+O952+Q952+S952+U952+W952+Y952+AA952+AC952</f>
        <v>2000</v>
      </c>
      <c r="AG952" s="153">
        <f>SUM(AE952-AF952)</f>
        <v>0</v>
      </c>
      <c r="AH952" s="96" t="s">
        <v>1698</v>
      </c>
      <c r="AI952" s="96">
        <v>3</v>
      </c>
    </row>
    <row r="953" spans="1:42" customHeight="1" ht="11.5" s="96" customFormat="1">
      <c r="A953" s="5">
        <v>945</v>
      </c>
      <c r="B953" s="173" t="s">
        <v>1410</v>
      </c>
      <c r="C953" s="167" t="s">
        <v>36</v>
      </c>
      <c r="D953" s="88" t="s">
        <v>37</v>
      </c>
      <c r="E953" s="174">
        <v>0</v>
      </c>
      <c r="F953" s="9">
        <v>0</v>
      </c>
      <c r="G953" s="10"/>
      <c r="H953" s="9">
        <v>0</v>
      </c>
      <c r="I953" s="10"/>
      <c r="J953" s="152">
        <v>0</v>
      </c>
      <c r="K953" s="10"/>
      <c r="L953" s="152">
        <v>0</v>
      </c>
      <c r="M953" s="10"/>
      <c r="N953" s="152">
        <v>0</v>
      </c>
      <c r="O953" s="10"/>
      <c r="P953" s="152">
        <v>0</v>
      </c>
      <c r="Q953" s="10"/>
      <c r="R953" s="9">
        <v>30000</v>
      </c>
      <c r="S953" s="10"/>
      <c r="T953" s="9">
        <v>0</v>
      </c>
      <c r="U953" s="10"/>
      <c r="V953" s="9">
        <v>0</v>
      </c>
      <c r="W953" s="10"/>
      <c r="X953" s="9">
        <v>0</v>
      </c>
      <c r="Y953" s="10"/>
      <c r="Z953" s="9">
        <v>0</v>
      </c>
      <c r="AA953" s="10"/>
      <c r="AB953" s="11">
        <v>0</v>
      </c>
      <c r="AC953" s="10"/>
      <c r="AD953" s="7">
        <f>SUM(F953+H953+J953+L953+N953+P953+R953+T953+V953+X953+Z953+AB953)</f>
        <v>30000</v>
      </c>
      <c r="AE953" s="7">
        <f>E953+AD953</f>
        <v>30000</v>
      </c>
      <c r="AF953" s="8">
        <f>G953+I953+K953+M953+O953+Q953+S953+U953+W953+Y953+AA953+AC953</f>
        <v>0</v>
      </c>
      <c r="AG953" s="153">
        <f>SUM(AE953-AF953)</f>
        <v>30000</v>
      </c>
      <c r="AH953" s="96" t="s">
        <v>1699</v>
      </c>
      <c r="AI953" s="96">
        <v>3</v>
      </c>
    </row>
    <row r="954" spans="1:42" customHeight="1" ht="11.5" s="96" customFormat="1">
      <c r="A954" s="5">
        <v>946</v>
      </c>
      <c r="B954" s="173" t="s">
        <v>1411</v>
      </c>
      <c r="C954" s="167" t="s">
        <v>1167</v>
      </c>
      <c r="D954" s="88" t="s">
        <v>1168</v>
      </c>
      <c r="E954" s="174">
        <v>0</v>
      </c>
      <c r="F954" s="9">
        <v>0</v>
      </c>
      <c r="G954" s="10"/>
      <c r="H954" s="9">
        <v>0</v>
      </c>
      <c r="I954" s="10"/>
      <c r="J954" s="152">
        <v>0</v>
      </c>
      <c r="K954" s="10"/>
      <c r="L954" s="152">
        <v>0</v>
      </c>
      <c r="M954" s="10"/>
      <c r="N954" s="152">
        <v>0</v>
      </c>
      <c r="O954" s="10"/>
      <c r="P954" s="152">
        <v>5</v>
      </c>
      <c r="Q954" s="10"/>
      <c r="R954" s="9">
        <v>0</v>
      </c>
      <c r="S954" s="10"/>
      <c r="T954" s="9">
        <v>0</v>
      </c>
      <c r="U954" s="10"/>
      <c r="V954" s="9">
        <v>0</v>
      </c>
      <c r="W954" s="10"/>
      <c r="X954" s="9">
        <v>0</v>
      </c>
      <c r="Y954" s="10"/>
      <c r="Z954" s="9">
        <v>0</v>
      </c>
      <c r="AA954" s="10"/>
      <c r="AB954" s="11">
        <v>0</v>
      </c>
      <c r="AC954" s="10"/>
      <c r="AD954" s="7">
        <f>SUM(F954+H954+J954+L954+N954+P954+R954+T954+V954+X954+Z954+AB954)</f>
        <v>5</v>
      </c>
      <c r="AE954" s="7">
        <f>E954+AD954</f>
        <v>5</v>
      </c>
      <c r="AF954" s="8">
        <f>G954+I954+K954+M954+O954+Q954+S954+U954+W954+Y954+AA954+AC954</f>
        <v>0</v>
      </c>
      <c r="AG954" s="153">
        <f>SUM(AE954-AF954)</f>
        <v>5</v>
      </c>
      <c r="AH954" s="96" t="s">
        <v>1700</v>
      </c>
      <c r="AI954" s="96">
        <v>4</v>
      </c>
    </row>
    <row r="955" spans="1:42" customHeight="1" ht="11.5" s="96" customFormat="1">
      <c r="A955" s="5">
        <v>947</v>
      </c>
      <c r="B955" s="173" t="s">
        <v>1412</v>
      </c>
      <c r="C955" s="167" t="s">
        <v>1167</v>
      </c>
      <c r="D955" s="88" t="s">
        <v>1168</v>
      </c>
      <c r="E955" s="174">
        <v>0</v>
      </c>
      <c r="F955" s="9">
        <v>0</v>
      </c>
      <c r="G955" s="10"/>
      <c r="H955" s="9">
        <v>0</v>
      </c>
      <c r="I955" s="10"/>
      <c r="J955" s="152">
        <v>0</v>
      </c>
      <c r="K955" s="10"/>
      <c r="L955" s="152">
        <v>0</v>
      </c>
      <c r="M955" s="10"/>
      <c r="N955" s="152">
        <v>25</v>
      </c>
      <c r="O955" s="10"/>
      <c r="P955" s="152">
        <v>0</v>
      </c>
      <c r="Q955" s="10">
        <v>25</v>
      </c>
      <c r="R955" s="9">
        <v>0</v>
      </c>
      <c r="S955" s="10"/>
      <c r="T955" s="9">
        <v>0</v>
      </c>
      <c r="U955" s="10"/>
      <c r="V955" s="9">
        <v>0</v>
      </c>
      <c r="W955" s="10"/>
      <c r="X955" s="9">
        <v>0</v>
      </c>
      <c r="Y955" s="10"/>
      <c r="Z955" s="9">
        <v>0</v>
      </c>
      <c r="AA955" s="10"/>
      <c r="AB955" s="11">
        <v>0</v>
      </c>
      <c r="AC955" s="10"/>
      <c r="AD955" s="7">
        <f>SUM(F955+H955+J955+L955+N955+P955+R955+T955+V955+X955+Z955+AB955)</f>
        <v>25</v>
      </c>
      <c r="AE955" s="7">
        <f>E955+AD955</f>
        <v>25</v>
      </c>
      <c r="AF955" s="8">
        <f>G955+I955+K955+M955+O955+Q955+S955+U955+W955+Y955+AA955+AC955</f>
        <v>25</v>
      </c>
      <c r="AG955" s="153">
        <f>SUM(AE955-AF955)</f>
        <v>0</v>
      </c>
      <c r="AH955" s="96" t="s">
        <v>1701</v>
      </c>
      <c r="AI955" s="96">
        <v>4</v>
      </c>
    </row>
    <row r="956" spans="1:42" customHeight="1" ht="11.5" s="96" customFormat="1">
      <c r="A956" s="5">
        <v>948</v>
      </c>
      <c r="B956" s="173" t="s">
        <v>1413</v>
      </c>
      <c r="C956" s="167" t="s">
        <v>36</v>
      </c>
      <c r="D956" s="88" t="s">
        <v>37</v>
      </c>
      <c r="E956" s="174">
        <v>0</v>
      </c>
      <c r="F956" s="9">
        <v>0</v>
      </c>
      <c r="G956" s="10"/>
      <c r="H956" s="9">
        <v>0</v>
      </c>
      <c r="I956" s="10"/>
      <c r="J956" s="152">
        <v>0</v>
      </c>
      <c r="K956" s="10"/>
      <c r="L956" s="152">
        <v>0</v>
      </c>
      <c r="M956" s="10"/>
      <c r="N956" s="152">
        <v>0</v>
      </c>
      <c r="O956" s="10"/>
      <c r="P956" s="152">
        <v>0</v>
      </c>
      <c r="Q956" s="10"/>
      <c r="R956" s="9">
        <v>0</v>
      </c>
      <c r="S956" s="10"/>
      <c r="T956" s="9">
        <v>0</v>
      </c>
      <c r="U956" s="10"/>
      <c r="V956" s="9">
        <v>0</v>
      </c>
      <c r="W956" s="10"/>
      <c r="X956" s="9">
        <v>0</v>
      </c>
      <c r="Y956" s="10"/>
      <c r="Z956" s="9">
        <v>0</v>
      </c>
      <c r="AA956" s="10"/>
      <c r="AB956" s="11">
        <v>0</v>
      </c>
      <c r="AC956" s="10"/>
      <c r="AD956" s="7">
        <f>SUM(F956+H956+J956+L956+N956+P956+R956+T956+V956+X956+Z956+AB956)</f>
        <v>0</v>
      </c>
      <c r="AE956" s="7">
        <f>E956+AD956</f>
        <v>0</v>
      </c>
      <c r="AF956" s="8">
        <f>G956+I956+K956+M956+O956+Q956+S956+U956+W956+Y956+AA956+AC956</f>
        <v>0</v>
      </c>
      <c r="AG956" s="153">
        <f>SUM(AE956-AF956)</f>
        <v>0</v>
      </c>
      <c r="AH956" s="96" t="s">
        <v>1702</v>
      </c>
      <c r="AI956" s="96">
        <v>4</v>
      </c>
    </row>
    <row r="957" spans="1:42" customHeight="1" ht="11.5" s="96" customFormat="1">
      <c r="A957" s="5">
        <v>949</v>
      </c>
      <c r="B957" s="173" t="s">
        <v>1414</v>
      </c>
      <c r="C957" s="167" t="s">
        <v>36</v>
      </c>
      <c r="D957" s="88" t="s">
        <v>37</v>
      </c>
      <c r="E957" s="174">
        <v>0</v>
      </c>
      <c r="F957" s="9">
        <v>0</v>
      </c>
      <c r="G957" s="10"/>
      <c r="H957" s="9">
        <v>0</v>
      </c>
      <c r="I957" s="10"/>
      <c r="J957" s="152">
        <v>0</v>
      </c>
      <c r="K957" s="10"/>
      <c r="L957" s="152">
        <v>0</v>
      </c>
      <c r="M957" s="10"/>
      <c r="N957" s="152">
        <v>0</v>
      </c>
      <c r="O957" s="10"/>
      <c r="P957" s="152">
        <v>0</v>
      </c>
      <c r="Q957" s="10"/>
      <c r="R957" s="9">
        <v>0</v>
      </c>
      <c r="S957" s="10"/>
      <c r="T957" s="9">
        <v>0</v>
      </c>
      <c r="U957" s="10"/>
      <c r="V957" s="9">
        <v>0</v>
      </c>
      <c r="W957" s="10"/>
      <c r="X957" s="9">
        <v>0</v>
      </c>
      <c r="Y957" s="10"/>
      <c r="Z957" s="9">
        <v>0</v>
      </c>
      <c r="AA957" s="10"/>
      <c r="AB957" s="11">
        <v>0</v>
      </c>
      <c r="AC957" s="10"/>
      <c r="AD957" s="7">
        <f>SUM(F957+H957+J957+L957+N957+P957+R957+T957+V957+X957+Z957+AB957)</f>
        <v>0</v>
      </c>
      <c r="AE957" s="7">
        <f>E957+AD957</f>
        <v>0</v>
      </c>
      <c r="AF957" s="8">
        <f>G957+I957+K957+M957+O957+Q957+S957+U957+W957+Y957+AA957+AC957</f>
        <v>0</v>
      </c>
      <c r="AG957" s="153">
        <f>SUM(AE957-AF957)</f>
        <v>0</v>
      </c>
      <c r="AH957" s="96" t="s">
        <v>1703</v>
      </c>
      <c r="AI957" s="96">
        <v>4</v>
      </c>
    </row>
    <row r="958" spans="1:42" customHeight="1" ht="11.5" s="96" customFormat="1">
      <c r="A958" s="5">
        <v>950</v>
      </c>
      <c r="B958" s="173" t="s">
        <v>1415</v>
      </c>
      <c r="C958" s="167" t="s">
        <v>36</v>
      </c>
      <c r="D958" s="88" t="s">
        <v>37</v>
      </c>
      <c r="E958" s="174">
        <v>0</v>
      </c>
      <c r="F958" s="9">
        <v>0</v>
      </c>
      <c r="G958" s="10"/>
      <c r="H958" s="9">
        <v>0</v>
      </c>
      <c r="I958" s="10"/>
      <c r="J958" s="152">
        <v>0</v>
      </c>
      <c r="K958" s="10"/>
      <c r="L958" s="152">
        <v>0</v>
      </c>
      <c r="M958" s="10"/>
      <c r="N958" s="152">
        <v>0</v>
      </c>
      <c r="O958" s="10"/>
      <c r="P958" s="152">
        <v>1000</v>
      </c>
      <c r="Q958" s="10"/>
      <c r="R958" s="9">
        <v>0</v>
      </c>
      <c r="S958" s="10"/>
      <c r="T958" s="9">
        <v>0</v>
      </c>
      <c r="U958" s="10"/>
      <c r="V958" s="9">
        <v>0</v>
      </c>
      <c r="W958" s="10"/>
      <c r="X958" s="9">
        <v>0</v>
      </c>
      <c r="Y958" s="10"/>
      <c r="Z958" s="9">
        <v>0</v>
      </c>
      <c r="AA958" s="10"/>
      <c r="AB958" s="11">
        <v>0</v>
      </c>
      <c r="AC958" s="10"/>
      <c r="AD958" s="7">
        <f>SUM(F958+H958+J958+L958+N958+P958+R958+T958+V958+X958+Z958+AB958)</f>
        <v>1000</v>
      </c>
      <c r="AE958" s="7">
        <f>E958+AD958</f>
        <v>1000</v>
      </c>
      <c r="AF958" s="8">
        <f>G958+I958+K958+M958+O958+Q958+S958+U958+W958+Y958+AA958+AC958</f>
        <v>0</v>
      </c>
      <c r="AG958" s="153">
        <f>SUM(AE958-AF958)</f>
        <v>1000</v>
      </c>
      <c r="AH958" s="96" t="s">
        <v>1704</v>
      </c>
      <c r="AI958" s="96">
        <v>4</v>
      </c>
    </row>
    <row r="959" spans="1:42" customHeight="1" ht="11.5" s="96" customFormat="1">
      <c r="A959" s="5">
        <v>951</v>
      </c>
      <c r="B959" s="173" t="s">
        <v>1416</v>
      </c>
      <c r="C959" s="167" t="s">
        <v>36</v>
      </c>
      <c r="D959" s="88" t="s">
        <v>37</v>
      </c>
      <c r="E959" s="174">
        <v>0</v>
      </c>
      <c r="F959" s="9">
        <v>0</v>
      </c>
      <c r="G959" s="10"/>
      <c r="H959" s="9">
        <v>0</v>
      </c>
      <c r="I959" s="10"/>
      <c r="J959" s="152">
        <v>0</v>
      </c>
      <c r="K959" s="10"/>
      <c r="L959" s="152">
        <v>0</v>
      </c>
      <c r="M959" s="10"/>
      <c r="N959" s="152">
        <v>0</v>
      </c>
      <c r="O959" s="10"/>
      <c r="P959" s="152">
        <v>1000</v>
      </c>
      <c r="Q959" s="10"/>
      <c r="R959" s="9">
        <v>0</v>
      </c>
      <c r="S959" s="10"/>
      <c r="T959" s="9">
        <v>0</v>
      </c>
      <c r="U959" s="10"/>
      <c r="V959" s="9">
        <v>0</v>
      </c>
      <c r="W959" s="10"/>
      <c r="X959" s="9">
        <v>0</v>
      </c>
      <c r="Y959" s="10"/>
      <c r="Z959" s="9">
        <v>0</v>
      </c>
      <c r="AA959" s="10"/>
      <c r="AB959" s="11">
        <v>0</v>
      </c>
      <c r="AC959" s="10"/>
      <c r="AD959" s="7">
        <f>SUM(F959+H959+J959+L959+N959+P959+R959+T959+V959+X959+Z959+AB959)</f>
        <v>1000</v>
      </c>
      <c r="AE959" s="7">
        <f>E959+AD959</f>
        <v>1000</v>
      </c>
      <c r="AF959" s="8">
        <f>G959+I959+K959+M959+O959+Q959+S959+U959+W959+Y959+AA959+AC959</f>
        <v>0</v>
      </c>
      <c r="AG959" s="153">
        <f>SUM(AE959-AF959)</f>
        <v>1000</v>
      </c>
      <c r="AH959" s="96" t="s">
        <v>1705</v>
      </c>
      <c r="AI959" s="96">
        <v>3</v>
      </c>
    </row>
    <row r="960" spans="1:42" customHeight="1" ht="11.5" s="96" customFormat="1">
      <c r="A960" s="5">
        <v>952</v>
      </c>
      <c r="B960" s="173" t="s">
        <v>1417</v>
      </c>
      <c r="C960" s="167" t="s">
        <v>91</v>
      </c>
      <c r="D960" s="88" t="s">
        <v>92</v>
      </c>
      <c r="E960" s="174">
        <v>0</v>
      </c>
      <c r="F960" s="9">
        <v>0</v>
      </c>
      <c r="G960" s="10"/>
      <c r="H960" s="9">
        <v>0</v>
      </c>
      <c r="I960" s="10"/>
      <c r="J960" s="152">
        <v>0</v>
      </c>
      <c r="K960" s="10"/>
      <c r="L960" s="152">
        <v>0</v>
      </c>
      <c r="M960" s="10"/>
      <c r="N960" s="152">
        <v>0</v>
      </c>
      <c r="O960" s="10"/>
      <c r="P960" s="152">
        <v>0</v>
      </c>
      <c r="Q960" s="10"/>
      <c r="R960" s="9">
        <v>20000</v>
      </c>
      <c r="S960" s="10"/>
      <c r="T960" s="9">
        <v>0</v>
      </c>
      <c r="U960" s="10"/>
      <c r="V960" s="9">
        <v>0</v>
      </c>
      <c r="W960" s="10"/>
      <c r="X960" s="9">
        <v>0</v>
      </c>
      <c r="Y960" s="10"/>
      <c r="Z960" s="9">
        <v>0</v>
      </c>
      <c r="AA960" s="10"/>
      <c r="AB960" s="11">
        <v>0</v>
      </c>
      <c r="AC960" s="10"/>
      <c r="AD960" s="7">
        <f>SUM(F960+H960+J960+L960+N960+P960+R960+T960+V960+X960+Z960+AB960)</f>
        <v>20000</v>
      </c>
      <c r="AE960" s="7">
        <f>E960+AD960</f>
        <v>20000</v>
      </c>
      <c r="AF960" s="8">
        <f>G960+I960+K960+M960+O960+Q960+S960+U960+W960+Y960+AA960+AC960</f>
        <v>0</v>
      </c>
      <c r="AG960" s="153">
        <f>SUM(AE960-AF960)</f>
        <v>20000</v>
      </c>
      <c r="AH960" s="96" t="s">
        <v>1706</v>
      </c>
      <c r="AI960" s="96">
        <v>3</v>
      </c>
    </row>
    <row r="961" spans="1:42" customHeight="1" ht="11.5" s="96" customFormat="1">
      <c r="A961" s="5">
        <v>953</v>
      </c>
      <c r="B961" s="173" t="s">
        <v>1418</v>
      </c>
      <c r="C961" s="167" t="s">
        <v>36</v>
      </c>
      <c r="D961" s="88" t="s">
        <v>37</v>
      </c>
      <c r="E961" s="174">
        <v>0</v>
      </c>
      <c r="F961" s="9">
        <v>0</v>
      </c>
      <c r="G961" s="10"/>
      <c r="H961" s="9">
        <v>0</v>
      </c>
      <c r="I961" s="10"/>
      <c r="J961" s="152">
        <v>0</v>
      </c>
      <c r="K961" s="10"/>
      <c r="L961" s="152">
        <v>0</v>
      </c>
      <c r="M961" s="10"/>
      <c r="N961" s="152">
        <v>0</v>
      </c>
      <c r="O961" s="10"/>
      <c r="P961" s="152">
        <v>0</v>
      </c>
      <c r="Q961" s="10"/>
      <c r="R961" s="9">
        <v>30000</v>
      </c>
      <c r="S961" s="10"/>
      <c r="T961" s="9">
        <v>0</v>
      </c>
      <c r="U961" s="10"/>
      <c r="V961" s="9">
        <v>0</v>
      </c>
      <c r="W961" s="10"/>
      <c r="X961" s="9">
        <v>0</v>
      </c>
      <c r="Y961" s="10"/>
      <c r="Z961" s="9">
        <v>0</v>
      </c>
      <c r="AA961" s="10"/>
      <c r="AB961" s="11">
        <v>0</v>
      </c>
      <c r="AC961" s="10"/>
      <c r="AD961" s="7">
        <f>SUM(F961+H961+J961+L961+N961+P961+R961+T961+V961+X961+Z961+AB961)</f>
        <v>30000</v>
      </c>
      <c r="AE961" s="7">
        <f>E961+AD961</f>
        <v>30000</v>
      </c>
      <c r="AF961" s="8">
        <f>G961+I961+K961+M961+O961+Q961+S961+U961+W961+Y961+AA961+AC961</f>
        <v>0</v>
      </c>
      <c r="AG961" s="153">
        <f>SUM(AE961-AF961)</f>
        <v>30000</v>
      </c>
      <c r="AH961" s="96" t="s">
        <v>1707</v>
      </c>
      <c r="AI961" s="96">
        <v>3</v>
      </c>
    </row>
    <row r="962" spans="1:42" customHeight="1" ht="11.5" s="96" customFormat="1">
      <c r="A962" s="5">
        <v>954</v>
      </c>
      <c r="B962" s="173" t="s">
        <v>1419</v>
      </c>
      <c r="C962" s="167" t="s">
        <v>36</v>
      </c>
      <c r="D962" s="88" t="s">
        <v>37</v>
      </c>
      <c r="E962" s="174">
        <v>0</v>
      </c>
      <c r="F962" s="9">
        <v>0</v>
      </c>
      <c r="G962" s="10"/>
      <c r="H962" s="9">
        <v>0</v>
      </c>
      <c r="I962" s="10"/>
      <c r="J962" s="152">
        <v>0</v>
      </c>
      <c r="K962" s="10"/>
      <c r="L962" s="152">
        <v>0</v>
      </c>
      <c r="M962" s="10"/>
      <c r="N962" s="152">
        <v>0</v>
      </c>
      <c r="O962" s="10"/>
      <c r="P962" s="152">
        <v>2000</v>
      </c>
      <c r="Q962" s="10"/>
      <c r="R962" s="9">
        <v>0</v>
      </c>
      <c r="S962" s="10"/>
      <c r="T962" s="9">
        <v>0</v>
      </c>
      <c r="U962" s="10"/>
      <c r="V962" s="9">
        <v>0</v>
      </c>
      <c r="W962" s="10"/>
      <c r="X962" s="9">
        <v>0</v>
      </c>
      <c r="Y962" s="10"/>
      <c r="Z962" s="9">
        <v>0</v>
      </c>
      <c r="AA962" s="10"/>
      <c r="AB962" s="11">
        <v>0</v>
      </c>
      <c r="AC962" s="10"/>
      <c r="AD962" s="7">
        <f>SUM(F962+H962+J962+L962+N962+P962+R962+T962+V962+X962+Z962+AB962)</f>
        <v>2000</v>
      </c>
      <c r="AE962" s="7">
        <f>E962+AD962</f>
        <v>2000</v>
      </c>
      <c r="AF962" s="8">
        <f>G962+I962+K962+M962+O962+Q962+S962+U962+W962+Y962+AA962+AC962</f>
        <v>0</v>
      </c>
      <c r="AG962" s="153">
        <f>SUM(AE962-AF962)</f>
        <v>2000</v>
      </c>
      <c r="AH962" s="96" t="s">
        <v>1708</v>
      </c>
      <c r="AI962" s="96">
        <v>3</v>
      </c>
    </row>
    <row r="963" spans="1:42" customHeight="1" ht="11.5" s="96" customFormat="1">
      <c r="A963" s="5">
        <v>955</v>
      </c>
      <c r="B963" s="173" t="s">
        <v>1420</v>
      </c>
      <c r="C963" s="167" t="s">
        <v>36</v>
      </c>
      <c r="D963" s="88" t="s">
        <v>37</v>
      </c>
      <c r="E963" s="174">
        <v>0</v>
      </c>
      <c r="F963" s="9">
        <v>0</v>
      </c>
      <c r="G963" s="10"/>
      <c r="H963" s="9">
        <v>0</v>
      </c>
      <c r="I963" s="10"/>
      <c r="J963" s="152">
        <v>0</v>
      </c>
      <c r="K963" s="10"/>
      <c r="L963" s="152">
        <v>0</v>
      </c>
      <c r="M963" s="10"/>
      <c r="N963" s="152">
        <v>0</v>
      </c>
      <c r="O963" s="10"/>
      <c r="P963" s="152">
        <v>0</v>
      </c>
      <c r="Q963" s="10"/>
      <c r="R963" s="9">
        <v>0</v>
      </c>
      <c r="S963" s="10"/>
      <c r="T963" s="9">
        <v>0</v>
      </c>
      <c r="U963" s="10"/>
      <c r="V963" s="9">
        <v>0</v>
      </c>
      <c r="W963" s="10"/>
      <c r="X963" s="9">
        <v>0</v>
      </c>
      <c r="Y963" s="10"/>
      <c r="Z963" s="9">
        <v>0</v>
      </c>
      <c r="AA963" s="10"/>
      <c r="AB963" s="11">
        <v>0</v>
      </c>
      <c r="AC963" s="10"/>
      <c r="AD963" s="7">
        <f>SUM(F963+H963+J963+L963+N963+P963+R963+T963+V963+X963+Z963+AB963)</f>
        <v>0</v>
      </c>
      <c r="AE963" s="7">
        <f>E963+AD963</f>
        <v>0</v>
      </c>
      <c r="AF963" s="8">
        <f>G963+I963+K963+M963+O963+Q963+S963+U963+W963+Y963+AA963+AC963</f>
        <v>0</v>
      </c>
      <c r="AG963" s="153">
        <f>SUM(AE963-AF963)</f>
        <v>0</v>
      </c>
      <c r="AH963" s="96" t="s">
        <v>1709</v>
      </c>
      <c r="AI963" s="96">
        <v>3</v>
      </c>
    </row>
    <row r="964" spans="1:42" customHeight="1" ht="11.5" s="96" customFormat="1">
      <c r="A964" s="5">
        <v>956</v>
      </c>
      <c r="B964" s="173" t="s">
        <v>1421</v>
      </c>
      <c r="C964" s="167" t="s">
        <v>36</v>
      </c>
      <c r="D964" s="88" t="s">
        <v>37</v>
      </c>
      <c r="E964" s="174">
        <v>0</v>
      </c>
      <c r="F964" s="9">
        <v>0</v>
      </c>
      <c r="G964" s="10"/>
      <c r="H964" s="9">
        <v>0</v>
      </c>
      <c r="I964" s="10"/>
      <c r="J964" s="152">
        <v>0</v>
      </c>
      <c r="K964" s="10"/>
      <c r="L964" s="152">
        <v>0</v>
      </c>
      <c r="M964" s="10"/>
      <c r="N964" s="152">
        <v>0</v>
      </c>
      <c r="O964" s="10"/>
      <c r="P964" s="152">
        <v>0</v>
      </c>
      <c r="Q964" s="10"/>
      <c r="R964" s="9">
        <v>0</v>
      </c>
      <c r="S964" s="10"/>
      <c r="T964" s="9">
        <v>0</v>
      </c>
      <c r="U964" s="10"/>
      <c r="V964" s="9">
        <v>0</v>
      </c>
      <c r="W964" s="10"/>
      <c r="X964" s="9">
        <v>0</v>
      </c>
      <c r="Y964" s="10"/>
      <c r="Z964" s="9">
        <v>0</v>
      </c>
      <c r="AA964" s="10"/>
      <c r="AB964" s="11">
        <v>0</v>
      </c>
      <c r="AC964" s="10"/>
      <c r="AD964" s="7">
        <f>SUM(F964+H964+J964+L964+N964+P964+R964+T964+V964+X964+Z964+AB964)</f>
        <v>0</v>
      </c>
      <c r="AE964" s="7">
        <f>E964+AD964</f>
        <v>0</v>
      </c>
      <c r="AF964" s="8">
        <f>G964+I964+K964+M964+O964+Q964+S964+U964+W964+Y964+AA964+AC964</f>
        <v>0</v>
      </c>
      <c r="AG964" s="153">
        <f>SUM(AE964-AF964)</f>
        <v>0</v>
      </c>
      <c r="AH964" s="96" t="s">
        <v>1710</v>
      </c>
      <c r="AI964" s="96">
        <v>3</v>
      </c>
    </row>
    <row r="965" spans="1:42" customHeight="1" ht="11.5" s="96" customFormat="1">
      <c r="A965" s="5">
        <v>957</v>
      </c>
      <c r="B965" s="173" t="s">
        <v>1422</v>
      </c>
      <c r="C965" s="167" t="s">
        <v>36</v>
      </c>
      <c r="D965" s="88" t="s">
        <v>37</v>
      </c>
      <c r="E965" s="174">
        <v>0</v>
      </c>
      <c r="F965" s="9">
        <v>0</v>
      </c>
      <c r="G965" s="10"/>
      <c r="H965" s="9">
        <v>0</v>
      </c>
      <c r="I965" s="10"/>
      <c r="J965" s="152">
        <v>0</v>
      </c>
      <c r="K965" s="10"/>
      <c r="L965" s="152">
        <v>0</v>
      </c>
      <c r="M965" s="10"/>
      <c r="N965" s="152">
        <v>0</v>
      </c>
      <c r="O965" s="10"/>
      <c r="P965" s="152">
        <v>0</v>
      </c>
      <c r="Q965" s="10"/>
      <c r="R965" s="9">
        <v>1000</v>
      </c>
      <c r="S965" s="10"/>
      <c r="T965" s="9">
        <v>0</v>
      </c>
      <c r="U965" s="10"/>
      <c r="V965" s="9">
        <v>0</v>
      </c>
      <c r="W965" s="10"/>
      <c r="X965" s="9">
        <v>0</v>
      </c>
      <c r="Y965" s="10"/>
      <c r="Z965" s="9">
        <v>0</v>
      </c>
      <c r="AA965" s="10"/>
      <c r="AB965" s="11">
        <v>0</v>
      </c>
      <c r="AC965" s="10"/>
      <c r="AD965" s="7">
        <f>SUM(F965+H965+J965+L965+N965+P965+R965+T965+V965+X965+Z965+AB965)</f>
        <v>1000</v>
      </c>
      <c r="AE965" s="7">
        <f>E965+AD965</f>
        <v>1000</v>
      </c>
      <c r="AF965" s="8">
        <f>G965+I965+K965+M965+O965+Q965+S965+U965+W965+Y965+AA965+AC965</f>
        <v>0</v>
      </c>
      <c r="AG965" s="153">
        <f>SUM(AE965-AF965)</f>
        <v>1000</v>
      </c>
      <c r="AH965" s="96" t="s">
        <v>1711</v>
      </c>
      <c r="AI965" s="96">
        <v>3</v>
      </c>
    </row>
    <row r="966" spans="1:42" customHeight="1" ht="11.5" s="96" customFormat="1">
      <c r="A966" s="5">
        <v>958</v>
      </c>
      <c r="B966" s="173" t="s">
        <v>1423</v>
      </c>
      <c r="C966" s="167" t="s">
        <v>36</v>
      </c>
      <c r="D966" s="88" t="s">
        <v>37</v>
      </c>
      <c r="E966" s="174">
        <v>0</v>
      </c>
      <c r="F966" s="9">
        <v>0</v>
      </c>
      <c r="G966" s="10"/>
      <c r="H966" s="9">
        <v>0</v>
      </c>
      <c r="I966" s="10"/>
      <c r="J966" s="152">
        <v>0</v>
      </c>
      <c r="K966" s="10"/>
      <c r="L966" s="152">
        <v>0</v>
      </c>
      <c r="M966" s="10"/>
      <c r="N966" s="152">
        <v>0</v>
      </c>
      <c r="O966" s="10"/>
      <c r="P966" s="152">
        <v>0</v>
      </c>
      <c r="Q966" s="10"/>
      <c r="R966" s="9">
        <v>1000</v>
      </c>
      <c r="S966" s="10"/>
      <c r="T966" s="9">
        <v>0</v>
      </c>
      <c r="U966" s="10"/>
      <c r="V966" s="9">
        <v>0</v>
      </c>
      <c r="W966" s="10"/>
      <c r="X966" s="9">
        <v>0</v>
      </c>
      <c r="Y966" s="10"/>
      <c r="Z966" s="9">
        <v>0</v>
      </c>
      <c r="AA966" s="10"/>
      <c r="AB966" s="11">
        <v>0</v>
      </c>
      <c r="AC966" s="10"/>
      <c r="AD966" s="7">
        <f>SUM(F966+H966+J966+L966+N966+P966+R966+T966+V966+X966+Z966+AB966)</f>
        <v>1000</v>
      </c>
      <c r="AE966" s="7">
        <f>E966+AD966</f>
        <v>1000</v>
      </c>
      <c r="AF966" s="8">
        <f>G966+I966+K966+M966+O966+Q966+S966+U966+W966+Y966+AA966+AC966</f>
        <v>0</v>
      </c>
      <c r="AG966" s="153">
        <f>SUM(AE966-AF966)</f>
        <v>1000</v>
      </c>
      <c r="AH966" s="96" t="s">
        <v>1712</v>
      </c>
      <c r="AI966" s="96">
        <v>3</v>
      </c>
    </row>
    <row r="967" spans="1:42" customHeight="1" ht="11.5" s="96" customFormat="1">
      <c r="A967" s="5">
        <v>959</v>
      </c>
      <c r="B967" s="173" t="s">
        <v>1424</v>
      </c>
      <c r="C967" s="167" t="s">
        <v>36</v>
      </c>
      <c r="D967" s="88" t="s">
        <v>37</v>
      </c>
      <c r="E967" s="174">
        <v>0</v>
      </c>
      <c r="F967" s="9">
        <v>0</v>
      </c>
      <c r="G967" s="10"/>
      <c r="H967" s="9">
        <v>0</v>
      </c>
      <c r="I967" s="10"/>
      <c r="J967" s="152">
        <v>0</v>
      </c>
      <c r="K967" s="10"/>
      <c r="L967" s="152">
        <v>0</v>
      </c>
      <c r="M967" s="10"/>
      <c r="N967" s="152">
        <v>0</v>
      </c>
      <c r="O967" s="10"/>
      <c r="P967" s="152">
        <v>0</v>
      </c>
      <c r="Q967" s="10"/>
      <c r="R967" s="9">
        <v>2000</v>
      </c>
      <c r="S967" s="10"/>
      <c r="T967" s="9">
        <v>0</v>
      </c>
      <c r="U967" s="10"/>
      <c r="V967" s="9">
        <v>0</v>
      </c>
      <c r="W967" s="10"/>
      <c r="X967" s="9">
        <v>0</v>
      </c>
      <c r="Y967" s="10"/>
      <c r="Z967" s="9">
        <v>0</v>
      </c>
      <c r="AA967" s="10"/>
      <c r="AB967" s="11">
        <v>0</v>
      </c>
      <c r="AC967" s="10"/>
      <c r="AD967" s="7">
        <f>SUM(F967+H967+J967+L967+N967+P967+R967+T967+V967+X967+Z967+AB967)</f>
        <v>2000</v>
      </c>
      <c r="AE967" s="7">
        <f>E967+AD967</f>
        <v>2000</v>
      </c>
      <c r="AF967" s="8">
        <f>G967+I967+K967+M967+O967+Q967+S967+U967+W967+Y967+AA967+AC967</f>
        <v>0</v>
      </c>
      <c r="AG967" s="153">
        <f>SUM(AE967-AF967)</f>
        <v>2000</v>
      </c>
      <c r="AH967" s="96" t="s">
        <v>1713</v>
      </c>
      <c r="AI967" s="96">
        <v>3</v>
      </c>
    </row>
    <row r="968" spans="1:42" customHeight="1" ht="11.5" s="96" customFormat="1">
      <c r="A968" s="5">
        <v>960</v>
      </c>
      <c r="B968" s="173" t="s">
        <v>1425</v>
      </c>
      <c r="C968" s="167" t="s">
        <v>36</v>
      </c>
      <c r="D968" s="88" t="s">
        <v>37</v>
      </c>
      <c r="E968" s="174">
        <v>0</v>
      </c>
      <c r="F968" s="9">
        <v>0</v>
      </c>
      <c r="G968" s="10"/>
      <c r="H968" s="9">
        <v>0</v>
      </c>
      <c r="I968" s="10"/>
      <c r="J968" s="152">
        <v>0</v>
      </c>
      <c r="K968" s="10"/>
      <c r="L968" s="152">
        <v>0</v>
      </c>
      <c r="M968" s="10"/>
      <c r="N968" s="152">
        <v>0</v>
      </c>
      <c r="O968" s="10"/>
      <c r="P968" s="152">
        <v>0</v>
      </c>
      <c r="Q968" s="10"/>
      <c r="R968" s="9">
        <v>30000</v>
      </c>
      <c r="S968" s="10"/>
      <c r="T968" s="9">
        <v>0</v>
      </c>
      <c r="U968" s="10"/>
      <c r="V968" s="9">
        <v>0</v>
      </c>
      <c r="W968" s="10"/>
      <c r="X968" s="9">
        <v>0</v>
      </c>
      <c r="Y968" s="10"/>
      <c r="Z968" s="9">
        <v>0</v>
      </c>
      <c r="AA968" s="10"/>
      <c r="AB968" s="11">
        <v>0</v>
      </c>
      <c r="AC968" s="10"/>
      <c r="AD968" s="7">
        <f>SUM(F968+H968+J968+L968+N968+P968+R968+T968+V968+X968+Z968+AB968)</f>
        <v>30000</v>
      </c>
      <c r="AE968" s="7">
        <f>E968+AD968</f>
        <v>30000</v>
      </c>
      <c r="AF968" s="8">
        <f>G968+I968+K968+M968+O968+Q968+S968+U968+W968+Y968+AA968+AC968</f>
        <v>0</v>
      </c>
      <c r="AG968" s="153">
        <f>SUM(AE968-AF968)</f>
        <v>30000</v>
      </c>
      <c r="AH968" s="96" t="s">
        <v>1714</v>
      </c>
      <c r="AI968" s="96">
        <v>3</v>
      </c>
    </row>
    <row r="969" spans="1:42" customHeight="1" ht="11.5" s="96" customFormat="1">
      <c r="A969" s="5">
        <v>961</v>
      </c>
      <c r="B969" s="173" t="s">
        <v>1426</v>
      </c>
      <c r="C969" s="167" t="s">
        <v>36</v>
      </c>
      <c r="D969" s="88" t="s">
        <v>37</v>
      </c>
      <c r="E969" s="174">
        <v>0</v>
      </c>
      <c r="F969" s="9">
        <v>0</v>
      </c>
      <c r="G969" s="10"/>
      <c r="H969" s="9">
        <v>0</v>
      </c>
      <c r="I969" s="10"/>
      <c r="J969" s="152">
        <v>0</v>
      </c>
      <c r="K969" s="10"/>
      <c r="L969" s="152">
        <v>0</v>
      </c>
      <c r="M969" s="10"/>
      <c r="N969" s="152">
        <v>0</v>
      </c>
      <c r="O969" s="10"/>
      <c r="P969" s="152">
        <v>0</v>
      </c>
      <c r="Q969" s="10"/>
      <c r="R969" s="9">
        <v>30000</v>
      </c>
      <c r="S969" s="10"/>
      <c r="T969" s="9">
        <v>0</v>
      </c>
      <c r="U969" s="10"/>
      <c r="V969" s="9">
        <v>0</v>
      </c>
      <c r="W969" s="10"/>
      <c r="X969" s="9">
        <v>0</v>
      </c>
      <c r="Y969" s="10"/>
      <c r="Z969" s="9">
        <v>0</v>
      </c>
      <c r="AA969" s="10"/>
      <c r="AB969" s="11">
        <v>0</v>
      </c>
      <c r="AC969" s="10"/>
      <c r="AD969" s="7">
        <f>SUM(F969+H969+J969+L969+N969+P969+R969+T969+V969+X969+Z969+AB969)</f>
        <v>30000</v>
      </c>
      <c r="AE969" s="7">
        <f>E969+AD969</f>
        <v>30000</v>
      </c>
      <c r="AF969" s="8">
        <f>G969+I969+K969+M969+O969+Q969+S969+U969+W969+Y969+AA969+AC969</f>
        <v>0</v>
      </c>
      <c r="AG969" s="153">
        <f>SUM(AE969-AF969)</f>
        <v>30000</v>
      </c>
      <c r="AH969" s="96" t="s">
        <v>1715</v>
      </c>
      <c r="AI969" s="96">
        <v>3</v>
      </c>
    </row>
    <row r="970" spans="1:42" customHeight="1" ht="12" s="96" customFormat="1">
      <c r="A970" s="5">
        <v>962</v>
      </c>
      <c r="B970" s="173" t="s">
        <v>1427</v>
      </c>
      <c r="C970" s="167" t="s">
        <v>36</v>
      </c>
      <c r="D970" s="88" t="s">
        <v>37</v>
      </c>
      <c r="E970" s="174">
        <v>0</v>
      </c>
      <c r="F970" s="9">
        <v>0</v>
      </c>
      <c r="G970" s="10"/>
      <c r="H970" s="9">
        <v>0</v>
      </c>
      <c r="I970" s="10"/>
      <c r="J970" s="152">
        <v>0</v>
      </c>
      <c r="K970" s="10"/>
      <c r="L970" s="152">
        <v>0</v>
      </c>
      <c r="M970" s="10"/>
      <c r="N970" s="152">
        <v>0</v>
      </c>
      <c r="O970" s="10"/>
      <c r="P970" s="152">
        <v>0</v>
      </c>
      <c r="Q970" s="10"/>
      <c r="R970" s="9">
        <v>30000</v>
      </c>
      <c r="S970" s="10"/>
      <c r="T970" s="9">
        <v>0</v>
      </c>
      <c r="U970" s="10"/>
      <c r="V970" s="9">
        <v>0</v>
      </c>
      <c r="W970" s="10"/>
      <c r="X970" s="9">
        <v>0</v>
      </c>
      <c r="Y970" s="10"/>
      <c r="Z970" s="9">
        <v>0</v>
      </c>
      <c r="AA970" s="10"/>
      <c r="AB970" s="11">
        <v>0</v>
      </c>
      <c r="AC970" s="10"/>
      <c r="AD970" s="7">
        <f>SUM(F970+H970+J970+L970+N970+P970+R970+T970+V970+X970+Z970+AB970)</f>
        <v>30000</v>
      </c>
      <c r="AE970" s="7">
        <f>E970+AD970</f>
        <v>30000</v>
      </c>
      <c r="AF970" s="8">
        <f>G970+I970+K970+M970+O970+Q970+S970+U970+W970+Y970+AA970+AC970</f>
        <v>0</v>
      </c>
      <c r="AG970" s="153">
        <f>SUM(AE970-AF970)</f>
        <v>30000</v>
      </c>
      <c r="AH970" s="96" t="s">
        <v>1716</v>
      </c>
      <c r="AI970" s="96">
        <v>3</v>
      </c>
    </row>
    <row r="971" spans="1:42" customHeight="1" ht="11.5" s="96" customFormat="1">
      <c r="A971" s="5">
        <v>963</v>
      </c>
      <c r="B971" s="173" t="s">
        <v>1428</v>
      </c>
      <c r="C971" s="167" t="s">
        <v>36</v>
      </c>
      <c r="D971" s="88" t="s">
        <v>37</v>
      </c>
      <c r="E971" s="174">
        <v>0</v>
      </c>
      <c r="F971" s="9">
        <v>0</v>
      </c>
      <c r="G971" s="10"/>
      <c r="H971" s="9">
        <v>0</v>
      </c>
      <c r="I971" s="10"/>
      <c r="J971" s="152">
        <v>0</v>
      </c>
      <c r="K971" s="10"/>
      <c r="L971" s="152">
        <v>0</v>
      </c>
      <c r="M971" s="10"/>
      <c r="N971" s="152">
        <v>0</v>
      </c>
      <c r="O971" s="10"/>
      <c r="P971" s="152">
        <v>0</v>
      </c>
      <c r="Q971" s="10"/>
      <c r="R971" s="9">
        <v>30000</v>
      </c>
      <c r="S971" s="10"/>
      <c r="T971" s="9">
        <v>0</v>
      </c>
      <c r="U971" s="10"/>
      <c r="V971" s="9">
        <v>0</v>
      </c>
      <c r="W971" s="10"/>
      <c r="X971" s="9">
        <v>0</v>
      </c>
      <c r="Y971" s="10"/>
      <c r="Z971" s="9">
        <v>0</v>
      </c>
      <c r="AA971" s="10"/>
      <c r="AB971" s="11">
        <v>0</v>
      </c>
      <c r="AC971" s="10"/>
      <c r="AD971" s="7">
        <f>SUM(F971+H971+J971+L971+N971+P971+R971+T971+V971+X971+Z971+AB971)</f>
        <v>30000</v>
      </c>
      <c r="AE971" s="7">
        <f>E971+AD971</f>
        <v>30000</v>
      </c>
      <c r="AF971" s="8">
        <f>G971+I971+K971+M971+O971+Q971+S971+U971+W971+Y971+AA971+AC971</f>
        <v>0</v>
      </c>
      <c r="AG971" s="153">
        <f>SUM(AE971-AF971)</f>
        <v>30000</v>
      </c>
      <c r="AH971" s="96" t="s">
        <v>1717</v>
      </c>
      <c r="AI971" s="96">
        <v>3</v>
      </c>
    </row>
    <row r="972" spans="1:42" customHeight="1" ht="11.5" s="96" customFormat="1">
      <c r="A972" s="5">
        <v>964</v>
      </c>
      <c r="B972" s="173" t="s">
        <v>1429</v>
      </c>
      <c r="C972" s="167" t="s">
        <v>36</v>
      </c>
      <c r="D972" s="88" t="s">
        <v>37</v>
      </c>
      <c r="E972" s="174">
        <v>0</v>
      </c>
      <c r="F972" s="9">
        <v>0</v>
      </c>
      <c r="G972" s="10"/>
      <c r="H972" s="9">
        <v>0</v>
      </c>
      <c r="I972" s="10"/>
      <c r="J972" s="152">
        <v>0</v>
      </c>
      <c r="K972" s="10"/>
      <c r="L972" s="152">
        <v>0</v>
      </c>
      <c r="M972" s="10"/>
      <c r="N972" s="152">
        <v>0</v>
      </c>
      <c r="O972" s="10"/>
      <c r="P972" s="152">
        <v>0</v>
      </c>
      <c r="Q972" s="10"/>
      <c r="R972" s="9">
        <v>30000</v>
      </c>
      <c r="S972" s="10"/>
      <c r="T972" s="9">
        <v>0</v>
      </c>
      <c r="U972" s="10"/>
      <c r="V972" s="9">
        <v>0</v>
      </c>
      <c r="W972" s="10"/>
      <c r="X972" s="9">
        <v>0</v>
      </c>
      <c r="Y972" s="10"/>
      <c r="Z972" s="9">
        <v>0</v>
      </c>
      <c r="AA972" s="10"/>
      <c r="AB972" s="11">
        <v>0</v>
      </c>
      <c r="AC972" s="10"/>
      <c r="AD972" s="7">
        <f>SUM(F972+H972+J972+L972+N972+P972+R972+T972+V972+X972+Z972+AB972)</f>
        <v>30000</v>
      </c>
      <c r="AE972" s="7">
        <f>E972+AD972</f>
        <v>30000</v>
      </c>
      <c r="AF972" s="8">
        <f>G972+I972+K972+M972+O972+Q972+S972+U972+W972+Y972+AA972+AC972</f>
        <v>0</v>
      </c>
      <c r="AG972" s="153">
        <f>SUM(AE972-AF972)</f>
        <v>30000</v>
      </c>
      <c r="AH972" s="96" t="s">
        <v>1718</v>
      </c>
      <c r="AI972" s="96">
        <v>3</v>
      </c>
    </row>
    <row r="973" spans="1:42" customHeight="1" ht="11.5" s="92" customFormat="1">
      <c r="A973" s="5">
        <v>965</v>
      </c>
      <c r="B973" s="173" t="s">
        <v>1430</v>
      </c>
      <c r="C973" s="167" t="s">
        <v>36</v>
      </c>
      <c r="D973" s="88" t="s">
        <v>37</v>
      </c>
      <c r="E973" s="174">
        <v>0</v>
      </c>
      <c r="F973" s="9">
        <v>0</v>
      </c>
      <c r="G973" s="10"/>
      <c r="H973" s="9">
        <v>0</v>
      </c>
      <c r="I973" s="10"/>
      <c r="J973" s="152">
        <v>0</v>
      </c>
      <c r="K973" s="10"/>
      <c r="L973" s="152">
        <v>0</v>
      </c>
      <c r="M973" s="10"/>
      <c r="N973" s="152">
        <v>0</v>
      </c>
      <c r="O973" s="10"/>
      <c r="P973" s="152">
        <v>0</v>
      </c>
      <c r="Q973" s="10"/>
      <c r="R973" s="9">
        <v>0</v>
      </c>
      <c r="S973" s="10"/>
      <c r="T973" s="9">
        <v>0</v>
      </c>
      <c r="U973" s="10"/>
      <c r="V973" s="9">
        <v>0</v>
      </c>
      <c r="W973" s="10"/>
      <c r="X973" s="9">
        <v>0</v>
      </c>
      <c r="Y973" s="10"/>
      <c r="Z973" s="9">
        <v>0</v>
      </c>
      <c r="AA973" s="10"/>
      <c r="AB973" s="11">
        <v>0</v>
      </c>
      <c r="AC973" s="10"/>
      <c r="AD973" s="7">
        <f>SUM(F973+H973+J973+L973+N973+P973+R973+T973+V973+X973+Z973+AB973)</f>
        <v>0</v>
      </c>
      <c r="AE973" s="7">
        <f>E973+AD973</f>
        <v>0</v>
      </c>
      <c r="AF973" s="8">
        <f>G973+I973+K973+M973+O973+Q973+S973+U973+W973+Y973+AA973+AC973</f>
        <v>0</v>
      </c>
      <c r="AG973" s="153">
        <f>SUM(AE973-AF973)</f>
        <v>0</v>
      </c>
      <c r="AH973" s="92" t="s">
        <v>1719</v>
      </c>
      <c r="AI973" s="92">
        <v>4</v>
      </c>
    </row>
    <row r="974" spans="1:42" customHeight="1" ht="11.5" s="92" customFormat="1">
      <c r="A974" s="5">
        <v>966</v>
      </c>
      <c r="B974" s="173" t="s">
        <v>1431</v>
      </c>
      <c r="C974" s="167" t="s">
        <v>36</v>
      </c>
      <c r="D974" s="88" t="s">
        <v>37</v>
      </c>
      <c r="E974" s="174">
        <v>0</v>
      </c>
      <c r="F974" s="9">
        <v>0</v>
      </c>
      <c r="G974" s="10"/>
      <c r="H974" s="9">
        <v>0</v>
      </c>
      <c r="I974" s="10"/>
      <c r="J974" s="152">
        <v>0</v>
      </c>
      <c r="K974" s="10"/>
      <c r="L974" s="152">
        <v>0</v>
      </c>
      <c r="M974" s="10"/>
      <c r="N974" s="152">
        <v>0</v>
      </c>
      <c r="O974" s="10"/>
      <c r="P974" s="152">
        <v>0</v>
      </c>
      <c r="Q974" s="10"/>
      <c r="R974" s="9">
        <v>1000</v>
      </c>
      <c r="S974" s="10"/>
      <c r="T974" s="9">
        <v>0</v>
      </c>
      <c r="U974" s="10"/>
      <c r="V974" s="9">
        <v>0</v>
      </c>
      <c r="W974" s="10"/>
      <c r="X974" s="9">
        <v>0</v>
      </c>
      <c r="Y974" s="10"/>
      <c r="Z974" s="9">
        <v>0</v>
      </c>
      <c r="AA974" s="10"/>
      <c r="AB974" s="11">
        <v>0</v>
      </c>
      <c r="AC974" s="10"/>
      <c r="AD974" s="7">
        <f>SUM(F974+H974+J974+L974+N974+P974+R974+T974+V974+X974+Z974+AB974)</f>
        <v>1000</v>
      </c>
      <c r="AE974" s="7">
        <f>E974+AD974</f>
        <v>1000</v>
      </c>
      <c r="AF974" s="8">
        <f>G974+I974+K974+M974+O974+Q974+S974+U974+W974+Y974+AA974+AC974</f>
        <v>0</v>
      </c>
      <c r="AG974" s="153">
        <f>SUM(AE974-AF974)</f>
        <v>1000</v>
      </c>
      <c r="AH974" s="92" t="s">
        <v>1720</v>
      </c>
      <c r="AI974" s="92">
        <v>3</v>
      </c>
    </row>
    <row r="975" spans="1:42" customHeight="1" ht="11.5" s="92" customFormat="1">
      <c r="A975" s="5">
        <v>967</v>
      </c>
      <c r="B975" s="173" t="s">
        <v>1432</v>
      </c>
      <c r="C975" s="167" t="s">
        <v>36</v>
      </c>
      <c r="D975" s="88" t="s">
        <v>37</v>
      </c>
      <c r="E975" s="174">
        <v>0</v>
      </c>
      <c r="F975" s="9">
        <v>0</v>
      </c>
      <c r="G975" s="10"/>
      <c r="H975" s="9">
        <v>0</v>
      </c>
      <c r="I975" s="10"/>
      <c r="J975" s="152">
        <v>0</v>
      </c>
      <c r="K975" s="10"/>
      <c r="L975" s="152">
        <v>0</v>
      </c>
      <c r="M975" s="10"/>
      <c r="N975" s="152">
        <v>0</v>
      </c>
      <c r="O975" s="10"/>
      <c r="P975" s="152">
        <v>0</v>
      </c>
      <c r="Q975" s="10"/>
      <c r="R975" s="9">
        <v>1000</v>
      </c>
      <c r="S975" s="10"/>
      <c r="T975" s="9">
        <v>0</v>
      </c>
      <c r="U975" s="10"/>
      <c r="V975" s="9">
        <v>0</v>
      </c>
      <c r="W975" s="10"/>
      <c r="X975" s="9">
        <v>0</v>
      </c>
      <c r="Y975" s="10"/>
      <c r="Z975" s="9">
        <v>0</v>
      </c>
      <c r="AA975" s="10"/>
      <c r="AB975" s="11">
        <v>0</v>
      </c>
      <c r="AC975" s="10"/>
      <c r="AD975" s="7">
        <f>SUM(F975+H975+J975+L975+N975+P975+R975+T975+V975+X975+Z975+AB975)</f>
        <v>1000</v>
      </c>
      <c r="AE975" s="7">
        <f>E975+AD975</f>
        <v>1000</v>
      </c>
      <c r="AF975" s="8">
        <f>G975+I975+K975+M975+O975+Q975+S975+U975+W975+Y975+AA975+AC975</f>
        <v>0</v>
      </c>
      <c r="AG975" s="153">
        <f>SUM(AE975-AF975)</f>
        <v>1000</v>
      </c>
      <c r="AH975" s="92" t="s">
        <v>1721</v>
      </c>
      <c r="AI975" s="92">
        <v>3</v>
      </c>
    </row>
    <row r="976" spans="1:42" customHeight="1" ht="11.5" s="92" customFormat="1">
      <c r="A976" s="5">
        <v>968</v>
      </c>
      <c r="B976" s="173" t="s">
        <v>1433</v>
      </c>
      <c r="C976" s="167" t="s">
        <v>36</v>
      </c>
      <c r="D976" s="88" t="s">
        <v>37</v>
      </c>
      <c r="E976" s="174">
        <v>0</v>
      </c>
      <c r="F976" s="9">
        <v>0</v>
      </c>
      <c r="G976" s="10"/>
      <c r="H976" s="9">
        <v>0</v>
      </c>
      <c r="I976" s="10"/>
      <c r="J976" s="152">
        <v>0</v>
      </c>
      <c r="K976" s="10"/>
      <c r="L976" s="152">
        <v>0</v>
      </c>
      <c r="M976" s="10"/>
      <c r="N976" s="152">
        <v>0</v>
      </c>
      <c r="O976" s="10"/>
      <c r="P976" s="152">
        <v>0</v>
      </c>
      <c r="Q976" s="10"/>
      <c r="R976" s="9">
        <v>0</v>
      </c>
      <c r="S976" s="10"/>
      <c r="T976" s="9">
        <v>0</v>
      </c>
      <c r="U976" s="10"/>
      <c r="V976" s="9">
        <v>0</v>
      </c>
      <c r="W976" s="10"/>
      <c r="X976" s="9">
        <v>0</v>
      </c>
      <c r="Y976" s="10"/>
      <c r="Z976" s="9">
        <v>0</v>
      </c>
      <c r="AA976" s="10"/>
      <c r="AB976" s="11">
        <v>0</v>
      </c>
      <c r="AC976" s="10"/>
      <c r="AD976" s="7">
        <f>SUM(F976+H976+J976+L976+N976+P976+R976+T976+V976+X976+Z976+AB976)</f>
        <v>0</v>
      </c>
      <c r="AE976" s="7">
        <f>E976+AD976</f>
        <v>0</v>
      </c>
      <c r="AF976" s="8">
        <f>G976+I976+K976+M976+O976+Q976+S976+U976+W976+Y976+AA976+AC976</f>
        <v>0</v>
      </c>
      <c r="AG976" s="153">
        <f>SUM(AE976-AF976)</f>
        <v>0</v>
      </c>
      <c r="AH976" s="92" t="s">
        <v>1722</v>
      </c>
      <c r="AI976" s="92">
        <v>4</v>
      </c>
    </row>
    <row r="977" spans="1:42" customHeight="1" ht="11.5">
      <c r="A977" s="5">
        <v>969</v>
      </c>
      <c r="B977" s="173" t="s">
        <v>1434</v>
      </c>
      <c r="C977" s="167" t="s">
        <v>36</v>
      </c>
      <c r="D977" s="88" t="s">
        <v>37</v>
      </c>
      <c r="E977" s="174">
        <v>0</v>
      </c>
      <c r="F977" s="9">
        <v>0</v>
      </c>
      <c r="G977" s="10"/>
      <c r="H977" s="9">
        <v>0</v>
      </c>
      <c r="I977" s="10"/>
      <c r="J977" s="152">
        <v>0</v>
      </c>
      <c r="K977" s="10"/>
      <c r="L977" s="152">
        <v>0</v>
      </c>
      <c r="M977" s="10"/>
      <c r="N977" s="152">
        <v>0</v>
      </c>
      <c r="O977" s="10"/>
      <c r="P977" s="152">
        <v>0</v>
      </c>
      <c r="Q977" s="10"/>
      <c r="R977" s="9">
        <v>0</v>
      </c>
      <c r="S977" s="10"/>
      <c r="T977" s="9">
        <v>0</v>
      </c>
      <c r="U977" s="10"/>
      <c r="V977" s="9">
        <v>0</v>
      </c>
      <c r="W977" s="10"/>
      <c r="X977" s="9">
        <v>0</v>
      </c>
      <c r="Y977" s="10"/>
      <c r="Z977" s="9">
        <v>0</v>
      </c>
      <c r="AA977" s="10"/>
      <c r="AB977" s="11">
        <v>0</v>
      </c>
      <c r="AC977" s="10"/>
      <c r="AD977" s="7">
        <f>SUM(F977+H977+J977+L977+N977+P977+R977+T977+V977+X977+Z977+AB977)</f>
        <v>0</v>
      </c>
      <c r="AE977" s="7">
        <f>E977+AD977</f>
        <v>0</v>
      </c>
      <c r="AF977" s="8">
        <f>G977+I977+K977+M977+O977+Q977+S977+U977+W977+Y977+AA977+AC977</f>
        <v>0</v>
      </c>
      <c r="AG977" s="153">
        <f>SUM(AE977-AF977)</f>
        <v>0</v>
      </c>
      <c r="AH977" s="82" t="s">
        <v>1723</v>
      </c>
      <c r="AI977">
        <v>4</v>
      </c>
    </row>
    <row r="978" spans="1:42" customHeight="1" ht="11.5">
      <c r="A978" s="5">
        <v>970</v>
      </c>
      <c r="B978" s="173" t="s">
        <v>1435</v>
      </c>
      <c r="C978" s="167" t="s">
        <v>36</v>
      </c>
      <c r="D978" s="88" t="s">
        <v>37</v>
      </c>
      <c r="E978" s="174">
        <v>0</v>
      </c>
      <c r="F978" s="9">
        <v>0</v>
      </c>
      <c r="G978" s="10"/>
      <c r="H978" s="9">
        <v>0</v>
      </c>
      <c r="I978" s="10"/>
      <c r="J978" s="152">
        <v>0</v>
      </c>
      <c r="K978" s="10"/>
      <c r="L978" s="152">
        <v>0</v>
      </c>
      <c r="M978" s="10"/>
      <c r="N978" s="152">
        <v>0</v>
      </c>
      <c r="O978" s="10"/>
      <c r="P978" s="152">
        <v>5000</v>
      </c>
      <c r="Q978" s="10"/>
      <c r="R978" s="9">
        <v>0</v>
      </c>
      <c r="S978" s="10"/>
      <c r="T978" s="9">
        <v>0</v>
      </c>
      <c r="U978" s="10"/>
      <c r="V978" s="9">
        <v>0</v>
      </c>
      <c r="W978" s="10"/>
      <c r="X978" s="9">
        <v>0</v>
      </c>
      <c r="Y978" s="10"/>
      <c r="Z978" s="9">
        <v>0</v>
      </c>
      <c r="AA978" s="10"/>
      <c r="AB978" s="11">
        <v>0</v>
      </c>
      <c r="AC978" s="10"/>
      <c r="AD978" s="7">
        <f>SUM(F978+H978+J978+L978+N978+P978+R978+T978+V978+X978+Z978+AB978)</f>
        <v>5000</v>
      </c>
      <c r="AE978" s="7">
        <f>E978+AD978</f>
        <v>5000</v>
      </c>
      <c r="AF978" s="8">
        <f>G978+I978+K978+M978+O978+Q978+S978+U978+W978+Y978+AA978+AC978</f>
        <v>0</v>
      </c>
      <c r="AG978" s="153">
        <f>SUM(AE978-AF978)</f>
        <v>5000</v>
      </c>
      <c r="AH978" s="82" t="s">
        <v>1724</v>
      </c>
      <c r="AI978">
        <v>4</v>
      </c>
    </row>
    <row r="979" spans="1:42" customHeight="1" ht="11.5">
      <c r="A979" s="5">
        <v>971</v>
      </c>
      <c r="B979" s="173" t="s">
        <v>1436</v>
      </c>
      <c r="C979" s="167" t="s">
        <v>36</v>
      </c>
      <c r="D979" s="88" t="s">
        <v>37</v>
      </c>
      <c r="E979" s="174">
        <v>0</v>
      </c>
      <c r="F979" s="9">
        <v>0</v>
      </c>
      <c r="G979" s="10"/>
      <c r="H979" s="9">
        <v>0</v>
      </c>
      <c r="I979" s="10"/>
      <c r="J979" s="152">
        <v>0</v>
      </c>
      <c r="K979" s="10"/>
      <c r="L979" s="152">
        <v>0</v>
      </c>
      <c r="M979" s="10"/>
      <c r="N979" s="152">
        <v>0</v>
      </c>
      <c r="O979" s="10"/>
      <c r="P979" s="152">
        <v>0</v>
      </c>
      <c r="Q979" s="10"/>
      <c r="R979" s="9">
        <v>0</v>
      </c>
      <c r="S979" s="10"/>
      <c r="T979" s="9">
        <v>0</v>
      </c>
      <c r="U979" s="10"/>
      <c r="V979" s="9">
        <v>0</v>
      </c>
      <c r="W979" s="10"/>
      <c r="X979" s="9">
        <v>0</v>
      </c>
      <c r="Y979" s="10"/>
      <c r="Z979" s="9">
        <v>0</v>
      </c>
      <c r="AA979" s="10"/>
      <c r="AB979" s="11">
        <v>0</v>
      </c>
      <c r="AC979" s="10"/>
      <c r="AD979" s="7">
        <f>SUM(F979+H979+J979+L979+N979+P979+R979+T979+V979+X979+Z979+AB979)</f>
        <v>0</v>
      </c>
      <c r="AE979" s="7">
        <f>E979+AD979</f>
        <v>0</v>
      </c>
      <c r="AF979" s="8">
        <f>G979+I979+K979+M979+O979+Q979+S979+U979+W979+Y979+AA979+AC979</f>
        <v>0</v>
      </c>
      <c r="AG979" s="153">
        <f>SUM(AE979-AF979)</f>
        <v>0</v>
      </c>
      <c r="AH979" s="82" t="s">
        <v>1725</v>
      </c>
      <c r="AI979">
        <v>3</v>
      </c>
    </row>
    <row r="980" spans="1:42" customHeight="1" ht="11.5">
      <c r="A980" s="5">
        <v>972</v>
      </c>
      <c r="B980" s="173" t="s">
        <v>1437</v>
      </c>
      <c r="C980" s="167" t="s">
        <v>36</v>
      </c>
      <c r="D980" s="88" t="s">
        <v>37</v>
      </c>
      <c r="E980" s="174">
        <v>0</v>
      </c>
      <c r="F980" s="9">
        <v>0</v>
      </c>
      <c r="G980" s="10"/>
      <c r="H980" s="9">
        <v>0</v>
      </c>
      <c r="I980" s="10"/>
      <c r="J980" s="152">
        <v>0</v>
      </c>
      <c r="K980" s="10"/>
      <c r="L980" s="152">
        <v>0</v>
      </c>
      <c r="M980" s="10"/>
      <c r="N980" s="152">
        <v>0</v>
      </c>
      <c r="O980" s="10"/>
      <c r="P980" s="152">
        <v>0</v>
      </c>
      <c r="Q980" s="10"/>
      <c r="R980" s="9">
        <v>1000</v>
      </c>
      <c r="S980" s="10"/>
      <c r="T980" s="9">
        <v>0</v>
      </c>
      <c r="U980" s="10"/>
      <c r="V980" s="9">
        <v>0</v>
      </c>
      <c r="W980" s="10"/>
      <c r="X980" s="9">
        <v>0</v>
      </c>
      <c r="Y980" s="10"/>
      <c r="Z980" s="9">
        <v>0</v>
      </c>
      <c r="AA980" s="10"/>
      <c r="AB980" s="11">
        <v>0</v>
      </c>
      <c r="AC980" s="10"/>
      <c r="AD980" s="7">
        <f>SUM(F980+H980+J980+L980+N980+P980+R980+T980+V980+X980+Z980+AB980)</f>
        <v>1000</v>
      </c>
      <c r="AE980" s="7">
        <f>E980+AD980</f>
        <v>1000</v>
      </c>
      <c r="AF980" s="8">
        <f>G980+I980+K980+M980+O980+Q980+S980+U980+W980+Y980+AA980+AC980</f>
        <v>0</v>
      </c>
      <c r="AG980" s="153">
        <f>SUM(AE980-AF980)</f>
        <v>1000</v>
      </c>
      <c r="AH980" s="82" t="s">
        <v>1726</v>
      </c>
      <c r="AI980">
        <v>3</v>
      </c>
    </row>
    <row r="981" spans="1:42" customHeight="1" ht="11.5">
      <c r="A981" s="5">
        <v>973</v>
      </c>
      <c r="B981" s="173" t="s">
        <v>1438</v>
      </c>
      <c r="C981" s="167" t="s">
        <v>36</v>
      </c>
      <c r="D981" s="88" t="s">
        <v>37</v>
      </c>
      <c r="E981" s="174">
        <v>0</v>
      </c>
      <c r="F981" s="9">
        <v>0</v>
      </c>
      <c r="G981" s="10"/>
      <c r="H981" s="9">
        <v>0</v>
      </c>
      <c r="I981" s="10"/>
      <c r="J981" s="152">
        <v>0</v>
      </c>
      <c r="K981" s="10"/>
      <c r="L981" s="152">
        <v>0</v>
      </c>
      <c r="M981" s="10"/>
      <c r="N981" s="152">
        <v>0</v>
      </c>
      <c r="O981" s="10"/>
      <c r="P981" s="152">
        <v>0</v>
      </c>
      <c r="Q981" s="10"/>
      <c r="R981" s="9">
        <v>0</v>
      </c>
      <c r="S981" s="10"/>
      <c r="T981" s="9">
        <v>0</v>
      </c>
      <c r="U981" s="10"/>
      <c r="V981" s="9">
        <v>0</v>
      </c>
      <c r="W981" s="10"/>
      <c r="X981" s="9">
        <v>0</v>
      </c>
      <c r="Y981" s="10"/>
      <c r="Z981" s="9">
        <v>0</v>
      </c>
      <c r="AA981" s="10"/>
      <c r="AB981" s="11">
        <v>0</v>
      </c>
      <c r="AC981" s="10"/>
      <c r="AD981" s="7">
        <f>SUM(F981+H981+J981+L981+N981+P981+R981+T981+V981+X981+Z981+AB981)</f>
        <v>0</v>
      </c>
      <c r="AE981" s="7">
        <f>E981+AD981</f>
        <v>0</v>
      </c>
      <c r="AF981" s="8">
        <f>G981+I981+K981+M981+O981+Q981+S981+U981+W981+Y981+AA981+AC981</f>
        <v>0</v>
      </c>
      <c r="AG981" s="153">
        <f>SUM(AE981-AF981)</f>
        <v>0</v>
      </c>
      <c r="AH981" s="82" t="s">
        <v>1727</v>
      </c>
      <c r="AI981">
        <v>4</v>
      </c>
    </row>
    <row r="982" spans="1:42" customHeight="1" ht="11.5">
      <c r="A982" s="5">
        <v>974</v>
      </c>
      <c r="B982" s="173" t="s">
        <v>1439</v>
      </c>
      <c r="C982" s="167" t="s">
        <v>36</v>
      </c>
      <c r="D982" s="88" t="s">
        <v>37</v>
      </c>
      <c r="E982" s="174">
        <v>0</v>
      </c>
      <c r="F982" s="9">
        <v>0</v>
      </c>
      <c r="G982" s="10"/>
      <c r="H982" s="9">
        <v>0</v>
      </c>
      <c r="I982" s="10"/>
      <c r="J982" s="152">
        <v>0</v>
      </c>
      <c r="K982" s="10"/>
      <c r="L982" s="152">
        <v>0</v>
      </c>
      <c r="M982" s="10"/>
      <c r="N982" s="152">
        <v>0</v>
      </c>
      <c r="O982" s="10"/>
      <c r="P982" s="152">
        <v>0</v>
      </c>
      <c r="Q982" s="10"/>
      <c r="R982" s="9">
        <v>0</v>
      </c>
      <c r="S982" s="10"/>
      <c r="T982" s="9">
        <v>0</v>
      </c>
      <c r="U982" s="10"/>
      <c r="V982" s="9">
        <v>0</v>
      </c>
      <c r="W982" s="10"/>
      <c r="X982" s="9">
        <v>0</v>
      </c>
      <c r="Y982" s="10"/>
      <c r="Z982" s="9">
        <v>0</v>
      </c>
      <c r="AA982" s="10"/>
      <c r="AB982" s="11">
        <v>0</v>
      </c>
      <c r="AC982" s="10"/>
      <c r="AD982" s="7">
        <f>SUM(F982+H982+J982+L982+N982+P982+R982+T982+V982+X982+Z982+AB982)</f>
        <v>0</v>
      </c>
      <c r="AE982" s="7">
        <f>E982+AD982</f>
        <v>0</v>
      </c>
      <c r="AF982" s="8">
        <f>G982+I982+K982+M982+O982+Q982+S982+U982+W982+Y982+AA982+AC982</f>
        <v>0</v>
      </c>
      <c r="AG982" s="153">
        <f>SUM(AE982-AF982)</f>
        <v>0</v>
      </c>
      <c r="AH982" s="82" t="s">
        <v>1728</v>
      </c>
      <c r="AI982">
        <v>4</v>
      </c>
    </row>
    <row r="983" spans="1:42" customHeight="1" ht="11.5">
      <c r="A983" s="5">
        <v>975</v>
      </c>
      <c r="B983" s="173" t="s">
        <v>1440</v>
      </c>
      <c r="C983" s="167" t="s">
        <v>36</v>
      </c>
      <c r="D983" s="88" t="s">
        <v>37</v>
      </c>
      <c r="E983" s="174">
        <v>0</v>
      </c>
      <c r="F983" s="9">
        <v>0</v>
      </c>
      <c r="G983" s="10"/>
      <c r="H983" s="9">
        <v>0</v>
      </c>
      <c r="I983" s="10"/>
      <c r="J983" s="152">
        <v>0</v>
      </c>
      <c r="K983" s="10"/>
      <c r="L983" s="152">
        <v>0</v>
      </c>
      <c r="M983" s="10"/>
      <c r="N983" s="152">
        <v>0</v>
      </c>
      <c r="O983" s="10"/>
      <c r="P983" s="152">
        <v>0</v>
      </c>
      <c r="Q983" s="10"/>
      <c r="R983" s="9">
        <v>0</v>
      </c>
      <c r="S983" s="10"/>
      <c r="T983" s="9">
        <v>0</v>
      </c>
      <c r="U983" s="10"/>
      <c r="V983" s="9">
        <v>0</v>
      </c>
      <c r="W983" s="10"/>
      <c r="X983" s="9">
        <v>0</v>
      </c>
      <c r="Y983" s="10"/>
      <c r="Z983" s="9">
        <v>0</v>
      </c>
      <c r="AA983" s="10"/>
      <c r="AB983" s="11">
        <v>0</v>
      </c>
      <c r="AC983" s="10"/>
      <c r="AD983" s="7">
        <f>SUM(F983+H983+J983+L983+N983+P983+R983+T983+V983+X983+Z983+AB983)</f>
        <v>0</v>
      </c>
      <c r="AE983" s="7">
        <f>E983+AD983</f>
        <v>0</v>
      </c>
      <c r="AF983" s="8">
        <f>G983+I983+K983+M983+O983+Q983+S983+U983+W983+Y983+AA983+AC983</f>
        <v>0</v>
      </c>
      <c r="AG983" s="153">
        <f>SUM(AE983-AF983)</f>
        <v>0</v>
      </c>
      <c r="AH983" s="82" t="s">
        <v>1729</v>
      </c>
      <c r="AI983">
        <v>3</v>
      </c>
    </row>
    <row r="984" spans="1:42" customHeight="1" ht="11.5">
      <c r="A984" s="5">
        <v>976</v>
      </c>
      <c r="B984" s="173" t="s">
        <v>1441</v>
      </c>
      <c r="C984" s="167" t="s">
        <v>36</v>
      </c>
      <c r="D984" s="88" t="s">
        <v>37</v>
      </c>
      <c r="E984" s="174">
        <v>0</v>
      </c>
      <c r="F984" s="9">
        <v>0</v>
      </c>
      <c r="G984" s="10"/>
      <c r="H984" s="9">
        <v>0</v>
      </c>
      <c r="I984" s="10"/>
      <c r="J984" s="152">
        <v>0</v>
      </c>
      <c r="K984" s="10"/>
      <c r="L984" s="152">
        <v>0</v>
      </c>
      <c r="M984" s="10"/>
      <c r="N984" s="152">
        <v>0</v>
      </c>
      <c r="O984" s="10"/>
      <c r="P984" s="152">
        <v>0</v>
      </c>
      <c r="Q984" s="10"/>
      <c r="R984" s="9">
        <v>0</v>
      </c>
      <c r="S984" s="10"/>
      <c r="T984" s="9">
        <v>0</v>
      </c>
      <c r="U984" s="10"/>
      <c r="V984" s="9">
        <v>0</v>
      </c>
      <c r="W984" s="10"/>
      <c r="X984" s="9">
        <v>0</v>
      </c>
      <c r="Y984" s="10"/>
      <c r="Z984" s="9">
        <v>0</v>
      </c>
      <c r="AA984" s="10"/>
      <c r="AB984" s="11">
        <v>0</v>
      </c>
      <c r="AC984" s="10"/>
      <c r="AD984" s="7">
        <f>SUM(F984+H984+J984+L984+N984+P984+R984+T984+V984+X984+Z984+AB984)</f>
        <v>0</v>
      </c>
      <c r="AE984" s="7">
        <f>E984+AD984</f>
        <v>0</v>
      </c>
      <c r="AF984" s="8">
        <f>G984+I984+K984+M984+O984+Q984+S984+U984+W984+Y984+AA984+AC984</f>
        <v>0</v>
      </c>
      <c r="AG984" s="153">
        <f>SUM(AE984-AF984)</f>
        <v>0</v>
      </c>
      <c r="AH984" s="82" t="s">
        <v>1730</v>
      </c>
      <c r="AI984">
        <v>3</v>
      </c>
    </row>
    <row r="985" spans="1:42" customHeight="1" ht="11.5">
      <c r="A985" s="5">
        <v>977</v>
      </c>
      <c r="B985" s="173" t="s">
        <v>1442</v>
      </c>
      <c r="C985" s="167" t="s">
        <v>36</v>
      </c>
      <c r="D985" s="88" t="s">
        <v>37</v>
      </c>
      <c r="E985" s="174">
        <v>0</v>
      </c>
      <c r="F985" s="9">
        <v>0</v>
      </c>
      <c r="G985" s="10"/>
      <c r="H985" s="9">
        <v>0</v>
      </c>
      <c r="I985" s="10"/>
      <c r="J985" s="152">
        <v>0</v>
      </c>
      <c r="K985" s="10"/>
      <c r="L985" s="152">
        <v>0</v>
      </c>
      <c r="M985" s="10"/>
      <c r="N985" s="152">
        <v>0</v>
      </c>
      <c r="O985" s="10"/>
      <c r="P985" s="152">
        <v>0</v>
      </c>
      <c r="Q985" s="10"/>
      <c r="R985" s="9">
        <v>0</v>
      </c>
      <c r="S985" s="10"/>
      <c r="T985" s="9">
        <v>0</v>
      </c>
      <c r="U985" s="10"/>
      <c r="V985" s="9">
        <v>0</v>
      </c>
      <c r="W985" s="10"/>
      <c r="X985" s="9">
        <v>0</v>
      </c>
      <c r="Y985" s="10"/>
      <c r="Z985" s="9">
        <v>0</v>
      </c>
      <c r="AA985" s="10"/>
      <c r="AB985" s="11">
        <v>0</v>
      </c>
      <c r="AC985" s="10"/>
      <c r="AD985" s="7">
        <f>SUM(F985+H985+J985+L985+N985+P985+R985+T985+V985+X985+Z985+AB985)</f>
        <v>0</v>
      </c>
      <c r="AE985" s="7">
        <f>E985+AD985</f>
        <v>0</v>
      </c>
      <c r="AF985" s="8">
        <f>G985+I985+K985+M985+O985+Q985+S985+U985+W985+Y985+AA985+AC985</f>
        <v>0</v>
      </c>
      <c r="AG985" s="153">
        <f>SUM(AE985-AF985)</f>
        <v>0</v>
      </c>
      <c r="AH985" s="82" t="s">
        <v>1731</v>
      </c>
      <c r="AI985">
        <v>3</v>
      </c>
    </row>
    <row r="986" spans="1:42" customHeight="1" ht="11.5">
      <c r="A986" s="5">
        <v>978</v>
      </c>
      <c r="B986" s="173" t="s">
        <v>1443</v>
      </c>
      <c r="C986" s="167" t="s">
        <v>36</v>
      </c>
      <c r="D986" s="88" t="s">
        <v>37</v>
      </c>
      <c r="E986" s="174">
        <v>0</v>
      </c>
      <c r="F986" s="9">
        <v>0</v>
      </c>
      <c r="G986" s="10"/>
      <c r="H986" s="9">
        <v>0</v>
      </c>
      <c r="I986" s="10"/>
      <c r="J986" s="152">
        <v>0</v>
      </c>
      <c r="K986" s="10"/>
      <c r="L986" s="152">
        <v>0</v>
      </c>
      <c r="M986" s="10"/>
      <c r="N986" s="152">
        <v>0</v>
      </c>
      <c r="O986" s="10"/>
      <c r="P986" s="152">
        <v>0</v>
      </c>
      <c r="Q986" s="10"/>
      <c r="R986" s="9">
        <v>0</v>
      </c>
      <c r="S986" s="10"/>
      <c r="T986" s="9">
        <v>0</v>
      </c>
      <c r="U986" s="10"/>
      <c r="V986" s="9">
        <v>0</v>
      </c>
      <c r="W986" s="10"/>
      <c r="X986" s="9">
        <v>0</v>
      </c>
      <c r="Y986" s="10"/>
      <c r="Z986" s="9">
        <v>0</v>
      </c>
      <c r="AA986" s="10"/>
      <c r="AB986" s="11">
        <v>0</v>
      </c>
      <c r="AC986" s="10"/>
      <c r="AD986" s="7">
        <f>SUM(F986+H986+J986+L986+N986+P986+R986+T986+V986+X986+Z986+AB986)</f>
        <v>0</v>
      </c>
      <c r="AE986" s="7">
        <f>E986+AD986</f>
        <v>0</v>
      </c>
      <c r="AF986" s="8">
        <f>G986+I986+K986+M986+O986+Q986+S986+U986+W986+Y986+AA986+AC986</f>
        <v>0</v>
      </c>
      <c r="AG986" s="153">
        <f>SUM(AE986-AF986)</f>
        <v>0</v>
      </c>
      <c r="AH986" s="82" t="s">
        <v>1732</v>
      </c>
      <c r="AI986">
        <v>3</v>
      </c>
    </row>
    <row r="987" spans="1:42" customHeight="1" ht="11.5">
      <c r="A987" s="5">
        <v>979</v>
      </c>
      <c r="B987" s="173" t="s">
        <v>1444</v>
      </c>
      <c r="C987" s="167" t="s">
        <v>36</v>
      </c>
      <c r="D987" s="88" t="s">
        <v>37</v>
      </c>
      <c r="E987" s="174">
        <v>0</v>
      </c>
      <c r="F987" s="9">
        <v>0</v>
      </c>
      <c r="G987" s="10"/>
      <c r="H987" s="9">
        <v>0</v>
      </c>
      <c r="I987" s="10"/>
      <c r="J987" s="152">
        <v>0</v>
      </c>
      <c r="K987" s="10"/>
      <c r="L987" s="152">
        <v>0</v>
      </c>
      <c r="M987" s="10"/>
      <c r="N987" s="152">
        <v>0</v>
      </c>
      <c r="O987" s="10"/>
      <c r="P987" s="152">
        <v>0</v>
      </c>
      <c r="Q987" s="10"/>
      <c r="R987" s="9">
        <v>0</v>
      </c>
      <c r="S987" s="10"/>
      <c r="T987" s="9">
        <v>0</v>
      </c>
      <c r="U987" s="10"/>
      <c r="V987" s="9">
        <v>0</v>
      </c>
      <c r="W987" s="10"/>
      <c r="X987" s="9">
        <v>0</v>
      </c>
      <c r="Y987" s="10"/>
      <c r="Z987" s="9">
        <v>0</v>
      </c>
      <c r="AA987" s="10"/>
      <c r="AB987" s="11">
        <v>0</v>
      </c>
      <c r="AC987" s="10"/>
      <c r="AD987" s="7">
        <f>SUM(F987+H987+J987+L987+N987+P987+R987+T987+V987+X987+Z987+AB987)</f>
        <v>0</v>
      </c>
      <c r="AE987" s="7">
        <f>E987+AD987</f>
        <v>0</v>
      </c>
      <c r="AF987" s="8">
        <f>G987+I987+K987+M987+O987+Q987+S987+U987+W987+Y987+AA987+AC987</f>
        <v>0</v>
      </c>
      <c r="AG987" s="153">
        <f>SUM(AE987-AF987)</f>
        <v>0</v>
      </c>
      <c r="AH987" s="82" t="s">
        <v>1733</v>
      </c>
      <c r="AI987">
        <v>3</v>
      </c>
    </row>
    <row r="988" spans="1:42" customHeight="1" ht="11.5">
      <c r="A988" s="5">
        <v>980</v>
      </c>
      <c r="B988" s="173" t="s">
        <v>1445</v>
      </c>
      <c r="C988" s="167" t="s">
        <v>36</v>
      </c>
      <c r="D988" s="88" t="s">
        <v>37</v>
      </c>
      <c r="E988" s="174">
        <v>0</v>
      </c>
      <c r="F988" s="9">
        <v>0</v>
      </c>
      <c r="G988" s="10"/>
      <c r="H988" s="9">
        <v>0</v>
      </c>
      <c r="I988" s="10"/>
      <c r="J988" s="152">
        <v>0</v>
      </c>
      <c r="K988" s="10"/>
      <c r="L988" s="152">
        <v>0</v>
      </c>
      <c r="M988" s="10"/>
      <c r="N988" s="152">
        <v>0</v>
      </c>
      <c r="O988" s="10"/>
      <c r="P988" s="152">
        <v>0</v>
      </c>
      <c r="Q988" s="10"/>
      <c r="R988" s="9">
        <v>0</v>
      </c>
      <c r="S988" s="10"/>
      <c r="T988" s="9">
        <v>0</v>
      </c>
      <c r="U988" s="10"/>
      <c r="V988" s="9">
        <v>0</v>
      </c>
      <c r="W988" s="10"/>
      <c r="X988" s="9">
        <v>0</v>
      </c>
      <c r="Y988" s="10"/>
      <c r="Z988" s="9">
        <v>0</v>
      </c>
      <c r="AA988" s="10"/>
      <c r="AB988" s="11">
        <v>0</v>
      </c>
      <c r="AC988" s="10"/>
      <c r="AD988" s="7">
        <f>SUM(F988+H988+J988+L988+N988+P988+R988+T988+V988+X988+Z988+AB988)</f>
        <v>0</v>
      </c>
      <c r="AE988" s="7">
        <f>E988+AD988</f>
        <v>0</v>
      </c>
      <c r="AF988" s="8">
        <f>G988+I988+K988+M988+O988+Q988+S988+U988+W988+Y988+AA988+AC988</f>
        <v>0</v>
      </c>
      <c r="AG988" s="153">
        <f>SUM(AE988-AF988)</f>
        <v>0</v>
      </c>
      <c r="AH988" s="82" t="s">
        <v>1734</v>
      </c>
      <c r="AI988">
        <v>3</v>
      </c>
    </row>
    <row r="989" spans="1:42" customHeight="1" ht="11.5">
      <c r="A989" s="5">
        <v>981</v>
      </c>
      <c r="B989" s="173" t="s">
        <v>1446</v>
      </c>
      <c r="C989" s="167" t="s">
        <v>36</v>
      </c>
      <c r="D989" s="88" t="s">
        <v>37</v>
      </c>
      <c r="E989" s="174">
        <v>0</v>
      </c>
      <c r="F989" s="9">
        <v>0</v>
      </c>
      <c r="G989" s="10"/>
      <c r="H989" s="9">
        <v>0</v>
      </c>
      <c r="I989" s="10"/>
      <c r="J989" s="152">
        <v>0</v>
      </c>
      <c r="K989" s="10"/>
      <c r="L989" s="152">
        <v>0</v>
      </c>
      <c r="M989" s="10"/>
      <c r="N989" s="152">
        <v>0</v>
      </c>
      <c r="O989" s="10"/>
      <c r="P989" s="152">
        <v>0</v>
      </c>
      <c r="Q989" s="10"/>
      <c r="R989" s="9">
        <v>0</v>
      </c>
      <c r="S989" s="10"/>
      <c r="T989" s="9">
        <v>0</v>
      </c>
      <c r="U989" s="10"/>
      <c r="V989" s="9">
        <v>0</v>
      </c>
      <c r="W989" s="10"/>
      <c r="X989" s="9">
        <v>0</v>
      </c>
      <c r="Y989" s="10"/>
      <c r="Z989" s="9">
        <v>0</v>
      </c>
      <c r="AA989" s="10"/>
      <c r="AB989" s="11">
        <v>0</v>
      </c>
      <c r="AC989" s="10"/>
      <c r="AD989" s="7">
        <f>SUM(F989+H989+J989+L989+N989+P989+R989+T989+V989+X989+Z989+AB989)</f>
        <v>0</v>
      </c>
      <c r="AE989" s="7">
        <f>E989+AD989</f>
        <v>0</v>
      </c>
      <c r="AF989" s="8">
        <f>G989+I989+K989+M989+O989+Q989+S989+U989+W989+Y989+AA989+AC989</f>
        <v>0</v>
      </c>
      <c r="AG989" s="153">
        <f>SUM(AE989-AF989)</f>
        <v>0</v>
      </c>
      <c r="AH989" s="82" t="s">
        <v>1735</v>
      </c>
      <c r="AI989">
        <v>3</v>
      </c>
    </row>
    <row r="990" spans="1:42" customHeight="1" ht="11.5">
      <c r="A990" s="5">
        <v>982</v>
      </c>
      <c r="B990" s="173" t="s">
        <v>1447</v>
      </c>
      <c r="C990" s="167" t="s">
        <v>36</v>
      </c>
      <c r="D990" s="88" t="s">
        <v>37</v>
      </c>
      <c r="E990" s="174">
        <v>0</v>
      </c>
      <c r="F990" s="9">
        <v>0</v>
      </c>
      <c r="G990" s="10"/>
      <c r="H990" s="9">
        <v>0</v>
      </c>
      <c r="I990" s="10"/>
      <c r="J990" s="152">
        <v>0</v>
      </c>
      <c r="K990" s="10"/>
      <c r="L990" s="152">
        <v>0</v>
      </c>
      <c r="M990" s="10"/>
      <c r="N990" s="152">
        <v>0</v>
      </c>
      <c r="O990" s="10"/>
      <c r="P990" s="152">
        <v>0</v>
      </c>
      <c r="Q990" s="10"/>
      <c r="R990" s="9">
        <v>0</v>
      </c>
      <c r="S990" s="10"/>
      <c r="T990" s="9">
        <v>0</v>
      </c>
      <c r="U990" s="10"/>
      <c r="V990" s="9">
        <v>0</v>
      </c>
      <c r="W990" s="10"/>
      <c r="X990" s="9">
        <v>0</v>
      </c>
      <c r="Y990" s="10"/>
      <c r="Z990" s="9">
        <v>0</v>
      </c>
      <c r="AA990" s="10"/>
      <c r="AB990" s="11">
        <v>0</v>
      </c>
      <c r="AC990" s="10"/>
      <c r="AD990" s="7">
        <f>SUM(F990+H990+J990+L990+N990+P990+R990+T990+V990+X990+Z990+AB990)</f>
        <v>0</v>
      </c>
      <c r="AE990" s="7">
        <f>E990+AD990</f>
        <v>0</v>
      </c>
      <c r="AF990" s="8">
        <f>G990+I990+K990+M990+O990+Q990+S990+U990+W990+Y990+AA990+AC990</f>
        <v>0</v>
      </c>
      <c r="AG990" s="153">
        <f>SUM(AE990-AF990)</f>
        <v>0</v>
      </c>
      <c r="AH990" s="82" t="s">
        <v>1736</v>
      </c>
      <c r="AI990">
        <v>3</v>
      </c>
    </row>
    <row r="991" spans="1:42" customHeight="1" ht="11.5">
      <c r="A991" s="5">
        <v>983</v>
      </c>
      <c r="B991" s="173" t="s">
        <v>1448</v>
      </c>
      <c r="C991" s="167" t="s">
        <v>36</v>
      </c>
      <c r="D991" s="88" t="s">
        <v>37</v>
      </c>
      <c r="E991" s="174">
        <v>0</v>
      </c>
      <c r="F991" s="9">
        <v>0</v>
      </c>
      <c r="G991" s="10"/>
      <c r="H991" s="9">
        <v>0</v>
      </c>
      <c r="I991" s="10"/>
      <c r="J991" s="152">
        <v>0</v>
      </c>
      <c r="K991" s="10"/>
      <c r="L991" s="152">
        <v>0</v>
      </c>
      <c r="M991" s="10"/>
      <c r="N991" s="152">
        <v>0</v>
      </c>
      <c r="O991" s="10"/>
      <c r="P991" s="152">
        <v>0</v>
      </c>
      <c r="Q991" s="10"/>
      <c r="R991" s="9">
        <v>0</v>
      </c>
      <c r="S991" s="10"/>
      <c r="T991" s="9">
        <v>0</v>
      </c>
      <c r="U991" s="10"/>
      <c r="V991" s="9">
        <v>0</v>
      </c>
      <c r="W991" s="10"/>
      <c r="X991" s="9">
        <v>0</v>
      </c>
      <c r="Y991" s="10"/>
      <c r="Z991" s="9">
        <v>0</v>
      </c>
      <c r="AA991" s="10"/>
      <c r="AB991" s="11">
        <v>0</v>
      </c>
      <c r="AC991" s="10"/>
      <c r="AD991" s="7">
        <f>SUM(F991+H991+J991+L991+N991+P991+R991+T991+V991+X991+Z991+AB991)</f>
        <v>0</v>
      </c>
      <c r="AE991" s="7">
        <f>E991+AD991</f>
        <v>0</v>
      </c>
      <c r="AF991" s="8">
        <f>G991+I991+K991+M991+O991+Q991+S991+U991+W991+Y991+AA991+AC991</f>
        <v>0</v>
      </c>
      <c r="AG991" s="153">
        <f>SUM(AE991-AF991)</f>
        <v>0</v>
      </c>
      <c r="AH991" s="82" t="s">
        <v>1737</v>
      </c>
      <c r="AI991">
        <v>3</v>
      </c>
    </row>
    <row r="992" spans="1:42" customHeight="1" ht="11.5">
      <c r="A992" s="5">
        <v>984</v>
      </c>
      <c r="B992" s="173" t="s">
        <v>1449</v>
      </c>
      <c r="C992" s="167" t="s">
        <v>36</v>
      </c>
      <c r="D992" s="88" t="s">
        <v>37</v>
      </c>
      <c r="E992" s="174">
        <v>0</v>
      </c>
      <c r="F992" s="9">
        <v>0</v>
      </c>
      <c r="G992" s="10"/>
      <c r="H992" s="9">
        <v>0</v>
      </c>
      <c r="I992" s="10"/>
      <c r="J992" s="152">
        <v>0</v>
      </c>
      <c r="K992" s="10"/>
      <c r="L992" s="152">
        <v>0</v>
      </c>
      <c r="M992" s="10"/>
      <c r="N992" s="152">
        <v>0</v>
      </c>
      <c r="O992" s="10"/>
      <c r="P992" s="152">
        <v>0</v>
      </c>
      <c r="Q992" s="10"/>
      <c r="R992" s="9">
        <v>0</v>
      </c>
      <c r="S992" s="10"/>
      <c r="T992" s="9">
        <v>0</v>
      </c>
      <c r="U992" s="10"/>
      <c r="V992" s="9">
        <v>0</v>
      </c>
      <c r="W992" s="10"/>
      <c r="X992" s="9">
        <v>0</v>
      </c>
      <c r="Y992" s="10"/>
      <c r="Z992" s="9">
        <v>0</v>
      </c>
      <c r="AA992" s="10"/>
      <c r="AB992" s="11">
        <v>0</v>
      </c>
      <c r="AC992" s="10"/>
      <c r="AD992" s="7">
        <f>SUM(F992+H992+J992+L992+N992+P992+R992+T992+V992+X992+Z992+AB992)</f>
        <v>0</v>
      </c>
      <c r="AE992" s="7">
        <f>E992+AD992</f>
        <v>0</v>
      </c>
      <c r="AF992" s="8">
        <f>G992+I992+K992+M992+O992+Q992+S992+U992+W992+Y992+AA992+AC992</f>
        <v>0</v>
      </c>
      <c r="AG992" s="153">
        <f>SUM(AE992-AF992)</f>
        <v>0</v>
      </c>
      <c r="AH992" s="82" t="s">
        <v>1738</v>
      </c>
      <c r="AI992">
        <v>3</v>
      </c>
    </row>
    <row r="993" spans="1:42" customHeight="1" ht="11.5">
      <c r="A993" s="5">
        <v>985</v>
      </c>
      <c r="B993" s="173" t="s">
        <v>1450</v>
      </c>
      <c r="C993" s="167" t="s">
        <v>36</v>
      </c>
      <c r="D993" s="88" t="s">
        <v>37</v>
      </c>
      <c r="E993" s="174">
        <v>0</v>
      </c>
      <c r="F993" s="9">
        <v>0</v>
      </c>
      <c r="G993" s="10"/>
      <c r="H993" s="9">
        <v>0</v>
      </c>
      <c r="I993" s="10"/>
      <c r="J993" s="152">
        <v>0</v>
      </c>
      <c r="K993" s="10"/>
      <c r="L993" s="152">
        <v>0</v>
      </c>
      <c r="M993" s="10"/>
      <c r="N993" s="152">
        <v>0</v>
      </c>
      <c r="O993" s="10"/>
      <c r="P993" s="152">
        <v>0</v>
      </c>
      <c r="Q993" s="10"/>
      <c r="R993" s="9">
        <v>0</v>
      </c>
      <c r="S993" s="10"/>
      <c r="T993" s="9">
        <v>0</v>
      </c>
      <c r="U993" s="10"/>
      <c r="V993" s="9">
        <v>0</v>
      </c>
      <c r="W993" s="10"/>
      <c r="X993" s="9">
        <v>0</v>
      </c>
      <c r="Y993" s="10"/>
      <c r="Z993" s="9">
        <v>0</v>
      </c>
      <c r="AA993" s="10"/>
      <c r="AB993" s="11">
        <v>0</v>
      </c>
      <c r="AC993" s="10"/>
      <c r="AD993" s="7">
        <f>SUM(F993+H993+J993+L993+N993+P993+R993+T993+V993+X993+Z993+AB993)</f>
        <v>0</v>
      </c>
      <c r="AE993" s="7">
        <f>E993+AD993</f>
        <v>0</v>
      </c>
      <c r="AF993" s="8">
        <f>G993+I993+K993+M993+O993+Q993+S993+U993+W993+Y993+AA993+AC993</f>
        <v>0</v>
      </c>
      <c r="AG993" s="153">
        <f>SUM(AE993-AF993)</f>
        <v>0</v>
      </c>
      <c r="AH993" s="82" t="s">
        <v>1739</v>
      </c>
      <c r="AI993">
        <v>3</v>
      </c>
    </row>
    <row r="994" spans="1:42" customHeight="1" ht="11.5">
      <c r="A994" s="5">
        <v>986</v>
      </c>
      <c r="B994" s="173" t="s">
        <v>1451</v>
      </c>
      <c r="C994" s="167" t="s">
        <v>36</v>
      </c>
      <c r="D994" s="88" t="s">
        <v>37</v>
      </c>
      <c r="E994" s="174">
        <v>0</v>
      </c>
      <c r="F994" s="9">
        <v>0</v>
      </c>
      <c r="G994" s="10"/>
      <c r="H994" s="9">
        <v>0</v>
      </c>
      <c r="I994" s="10"/>
      <c r="J994" s="152">
        <v>0</v>
      </c>
      <c r="K994" s="10"/>
      <c r="L994" s="152">
        <v>0</v>
      </c>
      <c r="M994" s="10"/>
      <c r="N994" s="152">
        <v>0</v>
      </c>
      <c r="O994" s="10"/>
      <c r="P994" s="152">
        <v>0</v>
      </c>
      <c r="Q994" s="10"/>
      <c r="R994" s="9">
        <v>0</v>
      </c>
      <c r="S994" s="10"/>
      <c r="T994" s="9">
        <v>0</v>
      </c>
      <c r="U994" s="10"/>
      <c r="V994" s="9">
        <v>0</v>
      </c>
      <c r="W994" s="10"/>
      <c r="X994" s="9">
        <v>0</v>
      </c>
      <c r="Y994" s="10"/>
      <c r="Z994" s="9">
        <v>0</v>
      </c>
      <c r="AA994" s="10"/>
      <c r="AB994" s="11">
        <v>0</v>
      </c>
      <c r="AC994" s="10"/>
      <c r="AD994" s="7">
        <f>SUM(F994+H994+J994+L994+N994+P994+R994+T994+V994+X994+Z994+AB994)</f>
        <v>0</v>
      </c>
      <c r="AE994" s="7">
        <f>E994+AD994</f>
        <v>0</v>
      </c>
      <c r="AF994" s="8">
        <f>G994+I994+K994+M994+O994+Q994+S994+U994+W994+Y994+AA994+AC994</f>
        <v>0</v>
      </c>
      <c r="AG994" s="153">
        <f>SUM(AE994-AF994)</f>
        <v>0</v>
      </c>
      <c r="AH994" s="82" t="s">
        <v>1740</v>
      </c>
      <c r="AI994">
        <v>4</v>
      </c>
    </row>
    <row r="995" spans="1:42" customHeight="1" ht="11.5">
      <c r="A995" s="5">
        <v>987</v>
      </c>
      <c r="B995" s="173" t="s">
        <v>1452</v>
      </c>
      <c r="C995" s="167" t="s">
        <v>36</v>
      </c>
      <c r="D995" s="88" t="s">
        <v>37</v>
      </c>
      <c r="E995" s="174">
        <v>0</v>
      </c>
      <c r="F995" s="9">
        <v>0</v>
      </c>
      <c r="G995" s="10"/>
      <c r="H995" s="9">
        <v>0</v>
      </c>
      <c r="I995" s="10"/>
      <c r="J995" s="152">
        <v>0</v>
      </c>
      <c r="K995" s="10"/>
      <c r="L995" s="152">
        <v>0</v>
      </c>
      <c r="M995" s="10"/>
      <c r="N995" s="152">
        <v>0</v>
      </c>
      <c r="O995" s="10"/>
      <c r="P995" s="152">
        <v>0</v>
      </c>
      <c r="Q995" s="10"/>
      <c r="R995" s="9">
        <v>0</v>
      </c>
      <c r="S995" s="10"/>
      <c r="T995" s="9">
        <v>0</v>
      </c>
      <c r="U995" s="10"/>
      <c r="V995" s="9">
        <v>0</v>
      </c>
      <c r="W995" s="10"/>
      <c r="X995" s="9">
        <v>0</v>
      </c>
      <c r="Y995" s="10"/>
      <c r="Z995" s="9">
        <v>0</v>
      </c>
      <c r="AA995" s="10"/>
      <c r="AB995" s="11">
        <v>0</v>
      </c>
      <c r="AC995" s="10"/>
      <c r="AD995" s="7">
        <f>SUM(F995+H995+J995+L995+N995+P995+R995+T995+V995+X995+Z995+AB995)</f>
        <v>0</v>
      </c>
      <c r="AE995" s="7">
        <f>E995+AD995</f>
        <v>0</v>
      </c>
      <c r="AF995" s="8">
        <f>G995+I995+K995+M995+O995+Q995+S995+U995+W995+Y995+AA995+AC995</f>
        <v>0</v>
      </c>
      <c r="AG995" s="153">
        <f>SUM(AE995-AF995)</f>
        <v>0</v>
      </c>
      <c r="AH995" s="82" t="s">
        <v>1741</v>
      </c>
      <c r="AI995">
        <v>4</v>
      </c>
    </row>
    <row r="996" spans="1:42" customHeight="1" ht="11.5">
      <c r="A996" s="5">
        <v>988</v>
      </c>
      <c r="B996" s="173" t="s">
        <v>1453</v>
      </c>
      <c r="C996" s="167" t="s">
        <v>36</v>
      </c>
      <c r="D996" s="88" t="s">
        <v>37</v>
      </c>
      <c r="E996" s="174">
        <v>0</v>
      </c>
      <c r="F996" s="9">
        <v>0</v>
      </c>
      <c r="G996" s="10"/>
      <c r="H996" s="9">
        <v>0</v>
      </c>
      <c r="I996" s="10"/>
      <c r="J996" s="152">
        <v>0</v>
      </c>
      <c r="K996" s="10"/>
      <c r="L996" s="152">
        <v>0</v>
      </c>
      <c r="M996" s="10"/>
      <c r="N996" s="152">
        <v>0</v>
      </c>
      <c r="O996" s="10"/>
      <c r="P996" s="152">
        <v>0</v>
      </c>
      <c r="Q996" s="10"/>
      <c r="R996" s="9">
        <v>0</v>
      </c>
      <c r="S996" s="10"/>
      <c r="T996" s="9">
        <v>0</v>
      </c>
      <c r="U996" s="10"/>
      <c r="V996" s="9">
        <v>0</v>
      </c>
      <c r="W996" s="10"/>
      <c r="X996" s="9">
        <v>0</v>
      </c>
      <c r="Y996" s="10"/>
      <c r="Z996" s="9">
        <v>0</v>
      </c>
      <c r="AA996" s="10"/>
      <c r="AB996" s="11">
        <v>0</v>
      </c>
      <c r="AC996" s="10"/>
      <c r="AD996" s="7">
        <f>SUM(F996+H996+J996+L996+N996+P996+R996+T996+V996+X996+Z996+AB996)</f>
        <v>0</v>
      </c>
      <c r="AE996" s="7">
        <f>E996+AD996</f>
        <v>0</v>
      </c>
      <c r="AF996" s="8">
        <f>G996+I996+K996+M996+O996+Q996+S996+U996+W996+Y996+AA996+AC996</f>
        <v>0</v>
      </c>
      <c r="AG996" s="153">
        <f>SUM(AE996-AF996)</f>
        <v>0</v>
      </c>
      <c r="AH996" s="82" t="s">
        <v>1742</v>
      </c>
      <c r="AI996">
        <v>4</v>
      </c>
    </row>
    <row r="997" spans="1:42" customHeight="1" ht="11.5">
      <c r="A997" s="5">
        <v>989</v>
      </c>
      <c r="B997" s="173" t="s">
        <v>1454</v>
      </c>
      <c r="C997" s="167" t="s">
        <v>91</v>
      </c>
      <c r="D997" s="88" t="s">
        <v>92</v>
      </c>
      <c r="E997" s="174">
        <v>0</v>
      </c>
      <c r="F997" s="9">
        <v>0</v>
      </c>
      <c r="G997" s="10"/>
      <c r="H997" s="9">
        <v>0</v>
      </c>
      <c r="I997" s="10"/>
      <c r="J997" s="152">
        <v>0</v>
      </c>
      <c r="K997" s="10"/>
      <c r="L997" s="152">
        <v>0</v>
      </c>
      <c r="M997" s="10"/>
      <c r="N997" s="152">
        <v>0</v>
      </c>
      <c r="O997" s="10"/>
      <c r="P997" s="152">
        <v>0</v>
      </c>
      <c r="Q997" s="10"/>
      <c r="R997" s="9">
        <v>0</v>
      </c>
      <c r="S997" s="10"/>
      <c r="T997" s="9">
        <v>0</v>
      </c>
      <c r="U997" s="10"/>
      <c r="V997" s="9">
        <v>0</v>
      </c>
      <c r="W997" s="10"/>
      <c r="X997" s="9">
        <v>0</v>
      </c>
      <c r="Y997" s="10"/>
      <c r="Z997" s="9">
        <v>0</v>
      </c>
      <c r="AA997" s="10"/>
      <c r="AB997" s="11">
        <v>0</v>
      </c>
      <c r="AC997" s="10"/>
      <c r="AD997" s="7">
        <f>SUM(F997+H997+J997+L997+N997+P997+R997+T997+V997+X997+Z997+AB997)</f>
        <v>0</v>
      </c>
      <c r="AE997" s="7">
        <f>E997+AD997</f>
        <v>0</v>
      </c>
      <c r="AF997" s="8">
        <f>G997+I997+K997+M997+O997+Q997+S997+U997+W997+Y997+AA997+AC997</f>
        <v>0</v>
      </c>
      <c r="AG997" s="153">
        <f>SUM(AE997-AF997)</f>
        <v>0</v>
      </c>
      <c r="AH997" s="82" t="s">
        <v>1743</v>
      </c>
      <c r="AI997">
        <v>4</v>
      </c>
    </row>
    <row r="998" spans="1:42" customHeight="1" ht="11.5">
      <c r="A998" s="5">
        <v>990</v>
      </c>
      <c r="B998" s="173" t="s">
        <v>1455</v>
      </c>
      <c r="C998" s="167" t="s">
        <v>36</v>
      </c>
      <c r="D998" s="88" t="s">
        <v>37</v>
      </c>
      <c r="E998" s="174">
        <v>0</v>
      </c>
      <c r="F998" s="9">
        <v>0</v>
      </c>
      <c r="G998" s="10"/>
      <c r="H998" s="9">
        <v>0</v>
      </c>
      <c r="I998" s="10"/>
      <c r="J998" s="152">
        <v>0</v>
      </c>
      <c r="K998" s="10"/>
      <c r="L998" s="152">
        <v>0</v>
      </c>
      <c r="M998" s="10"/>
      <c r="N998" s="152">
        <v>0</v>
      </c>
      <c r="O998" s="10"/>
      <c r="P998" s="152">
        <v>0</v>
      </c>
      <c r="Q998" s="10"/>
      <c r="R998" s="9">
        <v>0</v>
      </c>
      <c r="S998" s="10"/>
      <c r="T998" s="9">
        <v>0</v>
      </c>
      <c r="U998" s="10"/>
      <c r="V998" s="9">
        <v>0</v>
      </c>
      <c r="W998" s="10"/>
      <c r="X998" s="9">
        <v>0</v>
      </c>
      <c r="Y998" s="10"/>
      <c r="Z998" s="9">
        <v>0</v>
      </c>
      <c r="AA998" s="10"/>
      <c r="AB998" s="11">
        <v>0</v>
      </c>
      <c r="AC998" s="10"/>
      <c r="AD998" s="7">
        <f>SUM(F998+H998+J998+L998+N998+P998+R998+T998+V998+X998+Z998+AB998)</f>
        <v>0</v>
      </c>
      <c r="AE998" s="7">
        <f>E998+AD998</f>
        <v>0</v>
      </c>
      <c r="AF998" s="8">
        <f>G998+I998+K998+M998+O998+Q998+S998+U998+W998+Y998+AA998+AC998</f>
        <v>0</v>
      </c>
      <c r="AG998" s="153">
        <f>SUM(AE998-AF998)</f>
        <v>0</v>
      </c>
      <c r="AH998" s="82" t="s">
        <v>1744</v>
      </c>
      <c r="AI998">
        <v>4</v>
      </c>
    </row>
    <row r="999" spans="1:42" customHeight="1" ht="11.5">
      <c r="A999" s="5">
        <v>991</v>
      </c>
      <c r="B999" s="173" t="s">
        <v>1456</v>
      </c>
      <c r="C999" s="167" t="s">
        <v>36</v>
      </c>
      <c r="D999" s="88" t="s">
        <v>37</v>
      </c>
      <c r="E999" s="174">
        <v>5000</v>
      </c>
      <c r="F999" s="9">
        <v>0</v>
      </c>
      <c r="G999" s="10">
        <v>5000</v>
      </c>
      <c r="H999" s="9">
        <v>0</v>
      </c>
      <c r="I999" s="10"/>
      <c r="J999" s="152">
        <v>0</v>
      </c>
      <c r="K999" s="10"/>
      <c r="L999" s="152">
        <v>0</v>
      </c>
      <c r="M999" s="10"/>
      <c r="N999" s="152">
        <v>0</v>
      </c>
      <c r="O999" s="10"/>
      <c r="P999" s="152">
        <v>0</v>
      </c>
      <c r="Q999" s="10"/>
      <c r="R999" s="9">
        <v>0</v>
      </c>
      <c r="S999" s="10"/>
      <c r="T999" s="9">
        <v>0</v>
      </c>
      <c r="U999" s="10"/>
      <c r="V999" s="9">
        <v>0</v>
      </c>
      <c r="W999" s="10"/>
      <c r="X999" s="9">
        <v>0</v>
      </c>
      <c r="Y999" s="10"/>
      <c r="Z999" s="9">
        <v>0</v>
      </c>
      <c r="AA999" s="10"/>
      <c r="AB999" s="11">
        <v>0</v>
      </c>
      <c r="AC999" s="10"/>
      <c r="AD999" s="7">
        <f>SUM(F999+H999+J999+L999+N999+P999+R999+T999+V999+X999+Z999+AB999)</f>
        <v>0</v>
      </c>
      <c r="AE999" s="7">
        <f>E999+AD999</f>
        <v>5000</v>
      </c>
      <c r="AF999" s="8">
        <f>G999+I999+K999+M999+O999+Q999+S999+U999+W999+Y999+AA999+AC999</f>
        <v>5000</v>
      </c>
      <c r="AG999" s="153">
        <f>SUM(AE999-AF999)</f>
        <v>0</v>
      </c>
      <c r="AH999" s="82" t="s">
        <v>1745</v>
      </c>
      <c r="AI999">
        <v>5</v>
      </c>
    </row>
    <row r="1000" spans="1:42" customHeight="1" ht="11.5">
      <c r="A1000" s="5">
        <v>992</v>
      </c>
      <c r="B1000" s="173" t="s">
        <v>1457</v>
      </c>
      <c r="C1000" s="167" t="s">
        <v>36</v>
      </c>
      <c r="D1000" s="88" t="s">
        <v>37</v>
      </c>
      <c r="E1000" s="174">
        <v>200</v>
      </c>
      <c r="F1000" s="9">
        <v>0</v>
      </c>
      <c r="G1000" s="10"/>
      <c r="H1000" s="9">
        <v>0</v>
      </c>
      <c r="I1000" s="10">
        <v>200</v>
      </c>
      <c r="J1000" s="152">
        <v>0</v>
      </c>
      <c r="K1000" s="10"/>
      <c r="L1000" s="152">
        <v>0</v>
      </c>
      <c r="M1000" s="10"/>
      <c r="N1000" s="152">
        <v>0</v>
      </c>
      <c r="O1000" s="10"/>
      <c r="P1000" s="152">
        <v>0</v>
      </c>
      <c r="Q1000" s="10"/>
      <c r="R1000" s="9">
        <v>0</v>
      </c>
      <c r="S1000" s="10"/>
      <c r="T1000" s="9">
        <v>0</v>
      </c>
      <c r="U1000" s="10"/>
      <c r="V1000" s="9">
        <v>0</v>
      </c>
      <c r="W1000" s="10"/>
      <c r="X1000" s="9">
        <v>0</v>
      </c>
      <c r="Y1000" s="10"/>
      <c r="Z1000" s="9">
        <v>0</v>
      </c>
      <c r="AA1000" s="10"/>
      <c r="AB1000" s="11">
        <v>0</v>
      </c>
      <c r="AC1000" s="10"/>
      <c r="AD1000" s="7">
        <f>SUM(F1000+H1000+J1000+L1000+N1000+P1000+R1000+T1000+V1000+X1000+Z1000+AB1000)</f>
        <v>0</v>
      </c>
      <c r="AE1000" s="7">
        <f>E1000+AD1000</f>
        <v>200</v>
      </c>
      <c r="AF1000" s="8">
        <f>G1000+I1000+K1000+M1000+O1000+Q1000+S1000+U1000+W1000+Y1000+AA1000+AC1000</f>
        <v>200</v>
      </c>
      <c r="AG1000" s="153">
        <f>SUM(AE1000-AF1000)</f>
        <v>0</v>
      </c>
      <c r="AH1000" s="82" t="s">
        <v>1746</v>
      </c>
      <c r="AI1000">
        <v>5</v>
      </c>
    </row>
    <row r="1001" spans="1:42" customHeight="1" ht="11.5">
      <c r="A1001" s="5">
        <v>993</v>
      </c>
      <c r="B1001" s="173" t="s">
        <v>1458</v>
      </c>
      <c r="C1001" s="167" t="s">
        <v>132</v>
      </c>
      <c r="D1001" s="88" t="s">
        <v>133</v>
      </c>
      <c r="E1001" s="174">
        <v>40000</v>
      </c>
      <c r="F1001" s="9">
        <v>0</v>
      </c>
      <c r="G1001" s="10"/>
      <c r="H1001" s="9">
        <v>0</v>
      </c>
      <c r="I1001" s="10"/>
      <c r="J1001" s="152">
        <v>0</v>
      </c>
      <c r="K1001" s="10">
        <v>40000</v>
      </c>
      <c r="L1001" s="152">
        <v>0</v>
      </c>
      <c r="M1001" s="10"/>
      <c r="N1001" s="152">
        <v>0</v>
      </c>
      <c r="O1001" s="10"/>
      <c r="P1001" s="152">
        <v>0</v>
      </c>
      <c r="Q1001" s="10"/>
      <c r="R1001" s="9">
        <v>0</v>
      </c>
      <c r="S1001" s="10"/>
      <c r="T1001" s="9">
        <v>0</v>
      </c>
      <c r="U1001" s="10"/>
      <c r="V1001" s="9">
        <v>0</v>
      </c>
      <c r="W1001" s="10"/>
      <c r="X1001" s="9">
        <v>0</v>
      </c>
      <c r="Y1001" s="10"/>
      <c r="Z1001" s="9">
        <v>0</v>
      </c>
      <c r="AA1001" s="10"/>
      <c r="AB1001" s="11">
        <v>0</v>
      </c>
      <c r="AC1001" s="10"/>
      <c r="AD1001" s="7">
        <f>SUM(F1001+H1001+J1001+L1001+N1001+P1001+R1001+T1001+V1001+X1001+Z1001+AB1001)</f>
        <v>0</v>
      </c>
      <c r="AE1001" s="7">
        <f>E1001+AD1001</f>
        <v>40000</v>
      </c>
      <c r="AF1001" s="8">
        <f>G1001+I1001+K1001+M1001+O1001+Q1001+S1001+U1001+W1001+Y1001+AA1001+AC1001</f>
        <v>40000</v>
      </c>
      <c r="AG1001" s="153">
        <f>SUM(AE1001-AF1001)</f>
        <v>0</v>
      </c>
      <c r="AH1001" s="82" t="s">
        <v>1747</v>
      </c>
      <c r="AI1001">
        <v>5</v>
      </c>
    </row>
    <row r="1002" spans="1:42" customHeight="1" ht="11.5">
      <c r="A1002" s="5"/>
      <c r="B1002" s="173"/>
      <c r="C1002" s="167"/>
      <c r="D1002" s="88"/>
      <c r="E1002" s="174"/>
      <c r="F1002" s="9"/>
      <c r="G1002" s="10"/>
      <c r="H1002" s="9"/>
      <c r="I1002" s="10"/>
      <c r="J1002" s="152"/>
      <c r="K1002" s="10"/>
      <c r="L1002" s="152"/>
      <c r="M1002" s="10"/>
      <c r="N1002" s="152"/>
      <c r="O1002" s="10"/>
      <c r="P1002" s="152"/>
      <c r="Q1002" s="10"/>
      <c r="R1002" s="9"/>
      <c r="S1002" s="10"/>
      <c r="T1002" s="9"/>
      <c r="U1002" s="10"/>
      <c r="V1002" s="9"/>
      <c r="W1002" s="10"/>
      <c r="X1002" s="9"/>
      <c r="Y1002" s="10"/>
      <c r="Z1002" s="9"/>
      <c r="AA1002" s="10"/>
      <c r="AB1002" s="11"/>
      <c r="AC1002" s="10"/>
      <c r="AD1002" s="7">
        <f>SUM(F1002+H1002+J1002+L1002+N1002+P1002+R1002+T1002+V1002+X1002+Z1002+AB1002)</f>
        <v>0</v>
      </c>
      <c r="AE1002" s="7">
        <f>E1002+AD1002</f>
        <v>0</v>
      </c>
      <c r="AF1002" s="8">
        <f>G1002+I1002+K1002+M1002+O1002+Q1002+S1002+U1002+W1002+Y1002+AA1002+AC1002</f>
        <v>0</v>
      </c>
      <c r="AG1002" s="153">
        <f>SUM(AE1002-AF1002)</f>
        <v>0</v>
      </c>
    </row>
    <row r="1003" spans="1:42" customHeight="1" ht="11.5">
      <c r="A1003" s="5"/>
      <c r="B1003" s="173"/>
      <c r="C1003" s="167"/>
      <c r="D1003" s="88"/>
      <c r="E1003" s="174"/>
      <c r="F1003" s="9"/>
      <c r="G1003" s="10"/>
      <c r="H1003" s="9"/>
      <c r="I1003" s="10"/>
      <c r="J1003" s="152"/>
      <c r="K1003" s="10"/>
      <c r="L1003" s="152"/>
      <c r="M1003" s="10"/>
      <c r="N1003" s="152"/>
      <c r="O1003" s="10"/>
      <c r="P1003" s="152"/>
      <c r="Q1003" s="10"/>
      <c r="R1003" s="9"/>
      <c r="S1003" s="10"/>
      <c r="T1003" s="9"/>
      <c r="U1003" s="10"/>
      <c r="V1003" s="9"/>
      <c r="W1003" s="10"/>
      <c r="X1003" s="9"/>
      <c r="Y1003" s="10"/>
      <c r="Z1003" s="9"/>
      <c r="AA1003" s="10"/>
      <c r="AB1003" s="11"/>
      <c r="AC1003" s="10"/>
      <c r="AD1003" s="7">
        <f>SUM(F1003+H1003+J1003+L1003+N1003+P1003+R1003+T1003+V1003+X1003+Z1003+AB1003)</f>
        <v>0</v>
      </c>
      <c r="AE1003" s="7">
        <f>E1003+AD1003</f>
        <v>0</v>
      </c>
      <c r="AF1003" s="8">
        <f>G1003+I1003+K1003+M1003+O1003+Q1003+S1003+U1003+W1003+Y1003+AA1003+AC1003</f>
        <v>0</v>
      </c>
      <c r="AG1003" s="153">
        <f>SUM(AE1003-AF1003)</f>
        <v>0</v>
      </c>
    </row>
    <row r="1004" spans="1:42" customHeight="1" ht="11.5">
      <c r="A1004" s="5"/>
      <c r="B1004" s="173"/>
      <c r="C1004" s="167"/>
      <c r="D1004" s="88"/>
      <c r="E1004" s="174"/>
      <c r="F1004" s="9"/>
      <c r="G1004" s="10"/>
      <c r="H1004" s="9"/>
      <c r="I1004" s="10"/>
      <c r="J1004" s="152"/>
      <c r="K1004" s="10"/>
      <c r="L1004" s="152"/>
      <c r="M1004" s="10"/>
      <c r="N1004" s="152"/>
      <c r="O1004" s="10"/>
      <c r="P1004" s="152"/>
      <c r="Q1004" s="10"/>
      <c r="R1004" s="9"/>
      <c r="S1004" s="10"/>
      <c r="T1004" s="9"/>
      <c r="U1004" s="10"/>
      <c r="V1004" s="9"/>
      <c r="W1004" s="10"/>
      <c r="X1004" s="9"/>
      <c r="Y1004" s="10"/>
      <c r="Z1004" s="9"/>
      <c r="AA1004" s="10"/>
      <c r="AB1004" s="11"/>
      <c r="AC1004" s="10"/>
      <c r="AD1004" s="7">
        <f>SUM(F1004+H1004+J1004+L1004+N1004+P1004+R1004+T1004+V1004+X1004+Z1004+AB1004)</f>
        <v>0</v>
      </c>
      <c r="AE1004" s="7">
        <f>E1004+AD1004</f>
        <v>0</v>
      </c>
      <c r="AF1004" s="8">
        <f>G1004+I1004+K1004+M1004+O1004+Q1004+S1004+U1004+W1004+Y1004+AA1004+AC1004</f>
        <v>0</v>
      </c>
      <c r="AG1004" s="153">
        <f>SUM(AE1004-AF1004)</f>
        <v>0</v>
      </c>
    </row>
    <row r="1005" spans="1:42" customHeight="1" ht="11.5">
      <c r="A1005" s="5"/>
      <c r="B1005" s="173"/>
      <c r="C1005" s="167"/>
      <c r="D1005" s="88"/>
      <c r="E1005" s="174"/>
      <c r="F1005" s="9"/>
      <c r="G1005" s="10"/>
      <c r="H1005" s="9"/>
      <c r="I1005" s="10"/>
      <c r="J1005" s="152"/>
      <c r="K1005" s="10"/>
      <c r="L1005" s="152"/>
      <c r="M1005" s="10"/>
      <c r="N1005" s="152"/>
      <c r="O1005" s="10"/>
      <c r="P1005" s="152"/>
      <c r="Q1005" s="10"/>
      <c r="R1005" s="9"/>
      <c r="S1005" s="10"/>
      <c r="T1005" s="9"/>
      <c r="U1005" s="10"/>
      <c r="V1005" s="9"/>
      <c r="W1005" s="10"/>
      <c r="X1005" s="9"/>
      <c r="Y1005" s="10"/>
      <c r="Z1005" s="9"/>
      <c r="AA1005" s="10"/>
      <c r="AB1005" s="11"/>
      <c r="AC1005" s="10"/>
      <c r="AD1005" s="7">
        <f>SUM(F1005+H1005+J1005+L1005+N1005+P1005+R1005+T1005+V1005+X1005+Z1005+AB1005)</f>
        <v>0</v>
      </c>
      <c r="AE1005" s="7">
        <f>E1005+AD1005</f>
        <v>0</v>
      </c>
      <c r="AF1005" s="8">
        <f>G1005+I1005+K1005+M1005+O1005+Q1005+S1005+U1005+W1005+Y1005+AA1005+AC1005</f>
        <v>0</v>
      </c>
      <c r="AG1005" s="153">
        <f>SUM(AE1005-AF1005)</f>
        <v>0</v>
      </c>
    </row>
    <row r="1006" spans="1:42" customHeight="1" ht="11.5">
      <c r="A1006" s="5"/>
      <c r="B1006" s="173"/>
      <c r="C1006" s="167"/>
      <c r="D1006" s="88"/>
      <c r="E1006" s="174"/>
      <c r="F1006" s="9"/>
      <c r="G1006" s="10"/>
      <c r="H1006" s="9"/>
      <c r="I1006" s="10"/>
      <c r="J1006" s="152"/>
      <c r="K1006" s="10"/>
      <c r="L1006" s="152"/>
      <c r="M1006" s="10"/>
      <c r="N1006" s="152"/>
      <c r="O1006" s="10"/>
      <c r="P1006" s="152"/>
      <c r="Q1006" s="10"/>
      <c r="R1006" s="9"/>
      <c r="S1006" s="10"/>
      <c r="T1006" s="9"/>
      <c r="U1006" s="10"/>
      <c r="V1006" s="9"/>
      <c r="W1006" s="10"/>
      <c r="X1006" s="9"/>
      <c r="Y1006" s="10"/>
      <c r="Z1006" s="9"/>
      <c r="AA1006" s="10"/>
      <c r="AB1006" s="11"/>
      <c r="AC1006" s="10"/>
      <c r="AD1006" s="7">
        <f>SUM(F1006+H1006+J1006+L1006+N1006+P1006+R1006+T1006+V1006+X1006+Z1006+AB1006)</f>
        <v>0</v>
      </c>
      <c r="AE1006" s="7">
        <f>E1006+AD1006</f>
        <v>0</v>
      </c>
      <c r="AF1006" s="8">
        <f>G1006+I1006+K1006+M1006+O1006+Q1006+S1006+U1006+W1006+Y1006+AA1006+AC1006</f>
        <v>0</v>
      </c>
      <c r="AG1006" s="153">
        <f>SUM(AE1006-AF1006)</f>
        <v>0</v>
      </c>
    </row>
    <row r="1007" spans="1:42" customHeight="1" ht="11.5">
      <c r="A1007" s="5"/>
      <c r="B1007" s="173"/>
      <c r="C1007" s="167"/>
      <c r="D1007" s="88"/>
      <c r="E1007" s="174"/>
      <c r="F1007" s="9"/>
      <c r="G1007" s="10"/>
      <c r="H1007" s="9"/>
      <c r="I1007" s="10"/>
      <c r="J1007" s="152"/>
      <c r="K1007" s="10"/>
      <c r="L1007" s="152"/>
      <c r="M1007" s="10"/>
      <c r="N1007" s="152"/>
      <c r="O1007" s="10"/>
      <c r="P1007" s="152"/>
      <c r="Q1007" s="10"/>
      <c r="R1007" s="9"/>
      <c r="S1007" s="10"/>
      <c r="T1007" s="9"/>
      <c r="U1007" s="10"/>
      <c r="V1007" s="9"/>
      <c r="W1007" s="10"/>
      <c r="X1007" s="9"/>
      <c r="Y1007" s="10"/>
      <c r="Z1007" s="9"/>
      <c r="AA1007" s="10"/>
      <c r="AB1007" s="11"/>
      <c r="AC1007" s="10"/>
      <c r="AD1007" s="7">
        <f>SUM(F1007+H1007+J1007+L1007+N1007+P1007+R1007+T1007+V1007+X1007+Z1007+AB1007)</f>
        <v>0</v>
      </c>
      <c r="AE1007" s="7">
        <f>E1007+AD1007</f>
        <v>0</v>
      </c>
      <c r="AF1007" s="8">
        <f>G1007+I1007+K1007+M1007+O1007+Q1007+S1007+U1007+W1007+Y1007+AA1007+AC1007</f>
        <v>0</v>
      </c>
      <c r="AG1007" s="153">
        <f>SUM(AE1007-AF1007)</f>
        <v>0</v>
      </c>
    </row>
    <row r="1008" spans="1:42" customHeight="1" ht="11.5">
      <c r="A1008" s="5"/>
      <c r="B1008" s="173"/>
      <c r="C1008" s="167"/>
      <c r="D1008" s="88"/>
      <c r="E1008" s="174"/>
      <c r="F1008" s="9"/>
      <c r="G1008" s="10"/>
      <c r="H1008" s="9"/>
      <c r="I1008" s="10"/>
      <c r="J1008" s="152"/>
      <c r="K1008" s="10"/>
      <c r="L1008" s="152"/>
      <c r="M1008" s="10"/>
      <c r="N1008" s="152"/>
      <c r="O1008" s="10"/>
      <c r="P1008" s="152"/>
      <c r="Q1008" s="10"/>
      <c r="R1008" s="9"/>
      <c r="S1008" s="10"/>
      <c r="T1008" s="9"/>
      <c r="U1008" s="10"/>
      <c r="V1008" s="9"/>
      <c r="W1008" s="10"/>
      <c r="X1008" s="9"/>
      <c r="Y1008" s="10"/>
      <c r="Z1008" s="9"/>
      <c r="AA1008" s="10"/>
      <c r="AB1008" s="11"/>
      <c r="AC1008" s="10"/>
      <c r="AD1008" s="7">
        <f>SUM(F1008+H1008+J1008+L1008+N1008+P1008+R1008+T1008+V1008+X1008+Z1008+AB1008)</f>
        <v>0</v>
      </c>
      <c r="AE1008" s="7">
        <f>E1008+AD1008</f>
        <v>0</v>
      </c>
      <c r="AF1008" s="8">
        <f>G1008+I1008+K1008+M1008+O1008+Q1008+S1008+U1008+W1008+Y1008+AA1008+AC1008</f>
        <v>0</v>
      </c>
      <c r="AG1008" s="153">
        <f>SUM(AE1008-AF1008)</f>
        <v>0</v>
      </c>
    </row>
    <row r="1009" spans="1:42" customHeight="1" ht="11.5">
      <c r="A1009" s="5"/>
      <c r="B1009" s="173"/>
      <c r="C1009" s="167"/>
      <c r="D1009" s="88"/>
      <c r="E1009" s="174"/>
      <c r="F1009" s="9"/>
      <c r="G1009" s="10"/>
      <c r="H1009" s="9"/>
      <c r="I1009" s="10"/>
      <c r="J1009" s="152"/>
      <c r="K1009" s="10"/>
      <c r="L1009" s="152"/>
      <c r="M1009" s="10"/>
      <c r="N1009" s="152"/>
      <c r="O1009" s="10"/>
      <c r="P1009" s="152"/>
      <c r="Q1009" s="10"/>
      <c r="R1009" s="9"/>
      <c r="S1009" s="10"/>
      <c r="T1009" s="9"/>
      <c r="U1009" s="10"/>
      <c r="V1009" s="9"/>
      <c r="W1009" s="10"/>
      <c r="X1009" s="9"/>
      <c r="Y1009" s="10"/>
      <c r="Z1009" s="9"/>
      <c r="AA1009" s="10"/>
      <c r="AB1009" s="11"/>
      <c r="AC1009" s="10"/>
      <c r="AD1009" s="7">
        <f>SUM(F1009+H1009+J1009+L1009+N1009+P1009+R1009+T1009+V1009+X1009+Z1009+AB1009)</f>
        <v>0</v>
      </c>
      <c r="AE1009" s="7">
        <f>E1009+AD1009</f>
        <v>0</v>
      </c>
      <c r="AF1009" s="8">
        <f>G1009+I1009+K1009+M1009+O1009+Q1009+S1009+U1009+W1009+Y1009+AA1009+AC1009</f>
        <v>0</v>
      </c>
      <c r="AG1009" s="153">
        <f>SUM(AE1009-AF1009)</f>
        <v>0</v>
      </c>
    </row>
    <row r="1010" spans="1:42" customHeight="1" ht="11.5">
      <c r="A1010" s="5"/>
      <c r="B1010" s="173"/>
      <c r="C1010" s="167"/>
      <c r="D1010" s="88"/>
      <c r="E1010" s="174"/>
      <c r="F1010" s="9"/>
      <c r="G1010" s="10"/>
      <c r="H1010" s="9"/>
      <c r="I1010" s="10"/>
      <c r="J1010" s="152"/>
      <c r="K1010" s="10"/>
      <c r="L1010" s="152"/>
      <c r="M1010" s="10"/>
      <c r="N1010" s="152"/>
      <c r="O1010" s="10"/>
      <c r="P1010" s="152"/>
      <c r="Q1010" s="10"/>
      <c r="R1010" s="9"/>
      <c r="S1010" s="10"/>
      <c r="T1010" s="9"/>
      <c r="U1010" s="10"/>
      <c r="V1010" s="9"/>
      <c r="W1010" s="10"/>
      <c r="X1010" s="9"/>
      <c r="Y1010" s="10"/>
      <c r="Z1010" s="9"/>
      <c r="AA1010" s="10"/>
      <c r="AB1010" s="11"/>
      <c r="AC1010" s="10"/>
      <c r="AD1010" s="7">
        <f>SUM(F1010+H1010+J1010+L1010+N1010+P1010+R1010+T1010+V1010+X1010+Z1010+AB1010)</f>
        <v>0</v>
      </c>
      <c r="AE1010" s="7">
        <f>E1010+AD1010</f>
        <v>0</v>
      </c>
      <c r="AF1010" s="8">
        <f>G1010+I1010+K1010+M1010+O1010+Q1010+S1010+U1010+W1010+Y1010+AA1010+AC1010</f>
        <v>0</v>
      </c>
      <c r="AG1010" s="153">
        <f>SUM(AE1010-AF1010)</f>
        <v>0</v>
      </c>
    </row>
    <row r="1011" spans="1:42" customHeight="1" ht="11.5">
      <c r="A1011" s="5"/>
      <c r="B1011" s="173"/>
      <c r="C1011" s="167"/>
      <c r="D1011" s="88"/>
      <c r="E1011" s="174"/>
      <c r="F1011" s="9"/>
      <c r="G1011" s="10"/>
      <c r="H1011" s="9"/>
      <c r="I1011" s="10"/>
      <c r="J1011" s="152"/>
      <c r="K1011" s="10"/>
      <c r="L1011" s="152"/>
      <c r="M1011" s="10"/>
      <c r="N1011" s="152"/>
      <c r="O1011" s="10"/>
      <c r="P1011" s="152"/>
      <c r="Q1011" s="10"/>
      <c r="R1011" s="9"/>
      <c r="S1011" s="10"/>
      <c r="T1011" s="9"/>
      <c r="U1011" s="10"/>
      <c r="V1011" s="9"/>
      <c r="W1011" s="10"/>
      <c r="X1011" s="9"/>
      <c r="Y1011" s="10"/>
      <c r="Z1011" s="9"/>
      <c r="AA1011" s="10"/>
      <c r="AB1011" s="11"/>
      <c r="AC1011" s="10"/>
      <c r="AD1011" s="7">
        <f>SUM(F1011+H1011+J1011+L1011+N1011+P1011+R1011+T1011+V1011+X1011+Z1011+AB1011)</f>
        <v>0</v>
      </c>
      <c r="AE1011" s="7">
        <f>E1011+AD1011</f>
        <v>0</v>
      </c>
      <c r="AF1011" s="8">
        <f>G1011+I1011+K1011+M1011+O1011+Q1011+S1011+U1011+W1011+Y1011+AA1011+AC1011</f>
        <v>0</v>
      </c>
      <c r="AG1011" s="153">
        <f>SUM(AE1011-AF1011)</f>
        <v>0</v>
      </c>
    </row>
    <row r="1012" spans="1:42" customHeight="1" ht="11.5">
      <c r="A1012" s="5"/>
      <c r="B1012" s="173"/>
      <c r="C1012" s="167"/>
      <c r="D1012" s="88"/>
      <c r="E1012" s="174"/>
      <c r="F1012" s="9"/>
      <c r="G1012" s="10"/>
      <c r="H1012" s="9"/>
      <c r="I1012" s="10"/>
      <c r="J1012" s="152"/>
      <c r="K1012" s="10"/>
      <c r="L1012" s="152"/>
      <c r="M1012" s="10"/>
      <c r="N1012" s="152"/>
      <c r="O1012" s="10"/>
      <c r="P1012" s="152"/>
      <c r="Q1012" s="10"/>
      <c r="R1012" s="9"/>
      <c r="S1012" s="10"/>
      <c r="T1012" s="9"/>
      <c r="U1012" s="10"/>
      <c r="V1012" s="9"/>
      <c r="W1012" s="10"/>
      <c r="X1012" s="9"/>
      <c r="Y1012" s="10"/>
      <c r="Z1012" s="9"/>
      <c r="AA1012" s="10"/>
      <c r="AB1012" s="11"/>
      <c r="AC1012" s="10"/>
      <c r="AD1012" s="7">
        <f>SUM(F1012+H1012+J1012+L1012+N1012+P1012+R1012+T1012+V1012+X1012+Z1012+AB1012)</f>
        <v>0</v>
      </c>
      <c r="AE1012" s="7">
        <f>E1012+AD1012</f>
        <v>0</v>
      </c>
      <c r="AF1012" s="8">
        <f>G1012+I1012+K1012+M1012+O1012+Q1012+S1012+U1012+W1012+Y1012+AA1012+AC1012</f>
        <v>0</v>
      </c>
      <c r="AG1012" s="153">
        <f>SUM(AE1012-AF1012)</f>
        <v>0</v>
      </c>
    </row>
    <row r="1013" spans="1:42" customHeight="1" ht="11.5">
      <c r="A1013" s="5"/>
      <c r="B1013" s="173"/>
      <c r="C1013" s="167"/>
      <c r="D1013" s="88"/>
      <c r="E1013" s="174"/>
      <c r="F1013" s="9"/>
      <c r="G1013" s="10"/>
      <c r="H1013" s="9"/>
      <c r="I1013" s="10"/>
      <c r="J1013" s="152"/>
      <c r="K1013" s="10"/>
      <c r="L1013" s="152"/>
      <c r="M1013" s="10"/>
      <c r="N1013" s="152"/>
      <c r="O1013" s="10"/>
      <c r="P1013" s="152"/>
      <c r="Q1013" s="10"/>
      <c r="R1013" s="9"/>
      <c r="S1013" s="10"/>
      <c r="T1013" s="9"/>
      <c r="U1013" s="10"/>
      <c r="V1013" s="9"/>
      <c r="W1013" s="10"/>
      <c r="X1013" s="9"/>
      <c r="Y1013" s="10"/>
      <c r="Z1013" s="9"/>
      <c r="AA1013" s="10"/>
      <c r="AB1013" s="11"/>
      <c r="AC1013" s="10"/>
      <c r="AD1013" s="7">
        <f>SUM(F1013+H1013+J1013+L1013+N1013+P1013+R1013+T1013+V1013+X1013+Z1013+AB1013)</f>
        <v>0</v>
      </c>
      <c r="AE1013" s="7">
        <f>E1013+AD1013</f>
        <v>0</v>
      </c>
      <c r="AF1013" s="8">
        <f>G1013+I1013+K1013+M1013+O1013+Q1013+S1013+U1013+W1013+Y1013+AA1013+AC1013</f>
        <v>0</v>
      </c>
      <c r="AG1013" s="153">
        <f>SUM(AE1013-AF1013)</f>
        <v>0</v>
      </c>
    </row>
    <row r="1014" spans="1:42" customHeight="1" ht="11.5">
      <c r="A1014" s="5"/>
      <c r="B1014" s="173"/>
      <c r="C1014" s="167"/>
      <c r="D1014" s="88"/>
      <c r="E1014" s="174"/>
      <c r="F1014" s="9"/>
      <c r="G1014" s="10"/>
      <c r="H1014" s="9"/>
      <c r="I1014" s="10"/>
      <c r="J1014" s="152"/>
      <c r="K1014" s="10"/>
      <c r="L1014" s="152"/>
      <c r="M1014" s="10"/>
      <c r="N1014" s="152"/>
      <c r="O1014" s="10"/>
      <c r="P1014" s="152"/>
      <c r="Q1014" s="10"/>
      <c r="R1014" s="9"/>
      <c r="S1014" s="10"/>
      <c r="T1014" s="9"/>
      <c r="U1014" s="10"/>
      <c r="V1014" s="9"/>
      <c r="W1014" s="10"/>
      <c r="X1014" s="9"/>
      <c r="Y1014" s="10"/>
      <c r="Z1014" s="9"/>
      <c r="AA1014" s="10"/>
      <c r="AB1014" s="11"/>
      <c r="AC1014" s="10"/>
      <c r="AD1014" s="7">
        <f>SUM(F1014+H1014+J1014+L1014+N1014+P1014+R1014+T1014+V1014+X1014+Z1014+AB1014)</f>
        <v>0</v>
      </c>
      <c r="AE1014" s="7">
        <f>E1014+AD1014</f>
        <v>0</v>
      </c>
      <c r="AF1014" s="8">
        <f>G1014+I1014+K1014+M1014+O1014+Q1014+S1014+U1014+W1014+Y1014+AA1014+AC1014</f>
        <v>0</v>
      </c>
      <c r="AG1014" s="153">
        <f>SUM(AE1014-AF1014)</f>
        <v>0</v>
      </c>
    </row>
    <row r="1015" spans="1:42" customHeight="1" ht="11.5">
      <c r="A1015" s="5"/>
      <c r="B1015" s="173"/>
      <c r="C1015" s="167"/>
      <c r="D1015" s="88"/>
      <c r="E1015" s="174"/>
      <c r="F1015" s="9"/>
      <c r="G1015" s="10"/>
      <c r="H1015" s="9"/>
      <c r="I1015" s="10"/>
      <c r="J1015" s="152"/>
      <c r="K1015" s="10"/>
      <c r="L1015" s="152"/>
      <c r="M1015" s="10"/>
      <c r="N1015" s="152"/>
      <c r="O1015" s="10"/>
      <c r="P1015" s="152"/>
      <c r="Q1015" s="10"/>
      <c r="R1015" s="9"/>
      <c r="S1015" s="10"/>
      <c r="T1015" s="9"/>
      <c r="U1015" s="10"/>
      <c r="V1015" s="9"/>
      <c r="W1015" s="10"/>
      <c r="X1015" s="9"/>
      <c r="Y1015" s="10"/>
      <c r="Z1015" s="9"/>
      <c r="AA1015" s="10"/>
      <c r="AB1015" s="11"/>
      <c r="AC1015" s="10"/>
      <c r="AD1015" s="7">
        <f>SUM(F1015+H1015+J1015+L1015+N1015+P1015+R1015+T1015+V1015+X1015+Z1015+AB1015)</f>
        <v>0</v>
      </c>
      <c r="AE1015" s="7">
        <f>E1015+AD1015</f>
        <v>0</v>
      </c>
      <c r="AF1015" s="8">
        <f>G1015+I1015+K1015+M1015+O1015+Q1015+S1015+U1015+W1015+Y1015+AA1015+AC1015</f>
        <v>0</v>
      </c>
      <c r="AG1015" s="153">
        <f>SUM(AE1015-AF1015)</f>
        <v>0</v>
      </c>
    </row>
    <row r="1016" spans="1:42" customHeight="1" ht="11.5">
      <c r="A1016" s="5"/>
      <c r="B1016" s="173"/>
      <c r="C1016" s="167"/>
      <c r="D1016" s="88"/>
      <c r="E1016" s="174"/>
      <c r="F1016" s="9"/>
      <c r="G1016" s="10"/>
      <c r="H1016" s="9"/>
      <c r="I1016" s="10"/>
      <c r="J1016" s="152"/>
      <c r="K1016" s="10"/>
      <c r="L1016" s="152"/>
      <c r="M1016" s="10"/>
      <c r="N1016" s="152"/>
      <c r="O1016" s="10"/>
      <c r="P1016" s="152"/>
      <c r="Q1016" s="10"/>
      <c r="R1016" s="9"/>
      <c r="S1016" s="10"/>
      <c r="T1016" s="9"/>
      <c r="U1016" s="10"/>
      <c r="V1016" s="9"/>
      <c r="W1016" s="10"/>
      <c r="X1016" s="9"/>
      <c r="Y1016" s="10"/>
      <c r="Z1016" s="9"/>
      <c r="AA1016" s="10"/>
      <c r="AB1016" s="11"/>
      <c r="AC1016" s="10"/>
      <c r="AD1016" s="7">
        <f>SUM(F1016+H1016+J1016+L1016+N1016+P1016+R1016+T1016+V1016+X1016+Z1016+AB1016)</f>
        <v>0</v>
      </c>
      <c r="AE1016" s="7">
        <f>E1016+AD1016</f>
        <v>0</v>
      </c>
      <c r="AF1016" s="8">
        <f>G1016+I1016+K1016+M1016+O1016+Q1016+S1016+U1016+W1016+Y1016+AA1016+AC1016</f>
        <v>0</v>
      </c>
      <c r="AG1016" s="153">
        <f>SUM(AE1016-AF1016)</f>
        <v>0</v>
      </c>
    </row>
    <row r="1017" spans="1:42" customHeight="1" ht="11.5">
      <c r="A1017" s="5"/>
      <c r="B1017" s="173"/>
      <c r="C1017" s="167"/>
      <c r="D1017" s="88"/>
      <c r="E1017" s="174"/>
      <c r="F1017" s="9"/>
      <c r="G1017" s="10"/>
      <c r="H1017" s="9"/>
      <c r="I1017" s="10"/>
      <c r="J1017" s="152"/>
      <c r="K1017" s="10"/>
      <c r="L1017" s="152"/>
      <c r="M1017" s="10"/>
      <c r="N1017" s="152"/>
      <c r="O1017" s="10"/>
      <c r="P1017" s="152"/>
      <c r="Q1017" s="10"/>
      <c r="R1017" s="9"/>
      <c r="S1017" s="10"/>
      <c r="T1017" s="9"/>
      <c r="U1017" s="10"/>
      <c r="V1017" s="9"/>
      <c r="W1017" s="10"/>
      <c r="X1017" s="9"/>
      <c r="Y1017" s="10"/>
      <c r="Z1017" s="9"/>
      <c r="AA1017" s="10"/>
      <c r="AB1017" s="11"/>
      <c r="AC1017" s="10"/>
      <c r="AD1017" s="7">
        <f>SUM(F1017+H1017+J1017+L1017+N1017+P1017+R1017+T1017+V1017+X1017+Z1017+AB1017)</f>
        <v>0</v>
      </c>
      <c r="AE1017" s="7">
        <f>E1017+AD1017</f>
        <v>0</v>
      </c>
      <c r="AF1017" s="8">
        <f>G1017+I1017+K1017+M1017+O1017+Q1017+S1017+U1017+W1017+Y1017+AA1017+AC1017</f>
        <v>0</v>
      </c>
      <c r="AG1017" s="153">
        <f>SUM(AE1017-AF1017)</f>
        <v>0</v>
      </c>
    </row>
    <row r="1018" spans="1:42" customHeight="1" ht="11.5">
      <c r="A1018" s="5"/>
      <c r="B1018" s="173"/>
      <c r="C1018" s="167"/>
      <c r="D1018" s="88"/>
      <c r="E1018" s="174"/>
      <c r="F1018" s="9"/>
      <c r="G1018" s="10"/>
      <c r="H1018" s="9"/>
      <c r="I1018" s="10"/>
      <c r="J1018" s="152"/>
      <c r="K1018" s="10"/>
      <c r="L1018" s="152"/>
      <c r="M1018" s="10"/>
      <c r="N1018" s="152"/>
      <c r="O1018" s="10"/>
      <c r="P1018" s="152"/>
      <c r="Q1018" s="10"/>
      <c r="R1018" s="9"/>
      <c r="S1018" s="10"/>
      <c r="T1018" s="9"/>
      <c r="U1018" s="10"/>
      <c r="V1018" s="9"/>
      <c r="W1018" s="10"/>
      <c r="X1018" s="9"/>
      <c r="Y1018" s="10"/>
      <c r="Z1018" s="9"/>
      <c r="AA1018" s="10"/>
      <c r="AB1018" s="11"/>
      <c r="AC1018" s="10"/>
      <c r="AD1018" s="7">
        <f>SUM(F1018+H1018+J1018+L1018+N1018+P1018+R1018+T1018+V1018+X1018+Z1018+AB1018)</f>
        <v>0</v>
      </c>
      <c r="AE1018" s="7">
        <f>E1018+AD1018</f>
        <v>0</v>
      </c>
      <c r="AF1018" s="8">
        <f>G1018+I1018+K1018+M1018+O1018+Q1018+S1018+U1018+W1018+Y1018+AA1018+AC1018</f>
        <v>0</v>
      </c>
      <c r="AG1018" s="153">
        <f>SUM(AE1018-AF1018)</f>
        <v>0</v>
      </c>
    </row>
    <row r="1019" spans="1:42" customHeight="1" ht="11.5">
      <c r="A1019" s="5"/>
      <c r="B1019" s="173"/>
      <c r="C1019" s="167"/>
      <c r="D1019" s="88"/>
      <c r="E1019" s="174"/>
      <c r="F1019" s="9"/>
      <c r="G1019" s="10"/>
      <c r="H1019" s="9"/>
      <c r="I1019" s="10"/>
      <c r="J1019" s="152"/>
      <c r="K1019" s="10"/>
      <c r="L1019" s="152"/>
      <c r="M1019" s="10"/>
      <c r="N1019" s="152"/>
      <c r="O1019" s="10"/>
      <c r="P1019" s="152"/>
      <c r="Q1019" s="10"/>
      <c r="R1019" s="9"/>
      <c r="S1019" s="10"/>
      <c r="T1019" s="9"/>
      <c r="U1019" s="10"/>
      <c r="V1019" s="9"/>
      <c r="W1019" s="10"/>
      <c r="X1019" s="9"/>
      <c r="Y1019" s="10"/>
      <c r="Z1019" s="9"/>
      <c r="AA1019" s="10"/>
      <c r="AB1019" s="11"/>
      <c r="AC1019" s="10"/>
      <c r="AD1019" s="7">
        <f>SUM(F1019+H1019+J1019+L1019+N1019+P1019+R1019+T1019+V1019+X1019+Z1019+AB1019)</f>
        <v>0</v>
      </c>
      <c r="AE1019" s="7">
        <f>E1019+AD1019</f>
        <v>0</v>
      </c>
      <c r="AF1019" s="8">
        <f>G1019+I1019+K1019+M1019+O1019+Q1019+S1019+U1019+W1019+Y1019+AA1019+AC1019</f>
        <v>0</v>
      </c>
      <c r="AG1019" s="153">
        <f>SUM(AE1019-AF1019)</f>
        <v>0</v>
      </c>
    </row>
    <row r="1020" spans="1:42" customHeight="1" ht="11.5">
      <c r="A1020" s="5"/>
      <c r="B1020" s="173"/>
      <c r="C1020" s="167"/>
      <c r="D1020" s="88"/>
      <c r="E1020" s="174"/>
      <c r="F1020" s="9"/>
      <c r="G1020" s="10"/>
      <c r="H1020" s="9"/>
      <c r="I1020" s="10"/>
      <c r="J1020" s="152"/>
      <c r="K1020" s="10"/>
      <c r="L1020" s="152"/>
      <c r="M1020" s="10"/>
      <c r="N1020" s="152"/>
      <c r="O1020" s="10"/>
      <c r="P1020" s="152"/>
      <c r="Q1020" s="10"/>
      <c r="R1020" s="9"/>
      <c r="S1020" s="10"/>
      <c r="T1020" s="9"/>
      <c r="U1020" s="10"/>
      <c r="V1020" s="9"/>
      <c r="W1020" s="10"/>
      <c r="X1020" s="9"/>
      <c r="Y1020" s="10"/>
      <c r="Z1020" s="9"/>
      <c r="AA1020" s="10"/>
      <c r="AB1020" s="11"/>
      <c r="AC1020" s="10"/>
      <c r="AD1020" s="7">
        <f>SUM(F1020+H1020+J1020+L1020+N1020+P1020+R1020+T1020+V1020+X1020+Z1020+AB1020)</f>
        <v>0</v>
      </c>
      <c r="AE1020" s="7">
        <f>E1020+AD1020</f>
        <v>0</v>
      </c>
      <c r="AF1020" s="8">
        <f>G1020+I1020+K1020+M1020+O1020+Q1020+S1020+U1020+W1020+Y1020+AA1020+AC1020</f>
        <v>0</v>
      </c>
      <c r="AG1020" s="153">
        <f>SUM(AE1020-AF1020)</f>
        <v>0</v>
      </c>
    </row>
    <row r="1021" spans="1:42" customHeight="1" ht="11.5">
      <c r="A1021" s="5"/>
      <c r="B1021" s="173"/>
      <c r="C1021" s="167"/>
      <c r="D1021" s="88"/>
      <c r="E1021" s="174"/>
      <c r="F1021" s="9"/>
      <c r="G1021" s="10"/>
      <c r="H1021" s="9"/>
      <c r="I1021" s="10"/>
      <c r="J1021" s="152"/>
      <c r="K1021" s="10"/>
      <c r="L1021" s="152"/>
      <c r="M1021" s="10"/>
      <c r="N1021" s="152"/>
      <c r="O1021" s="10"/>
      <c r="P1021" s="152"/>
      <c r="Q1021" s="10"/>
      <c r="R1021" s="9"/>
      <c r="S1021" s="10"/>
      <c r="T1021" s="9"/>
      <c r="U1021" s="10"/>
      <c r="V1021" s="9"/>
      <c r="W1021" s="10"/>
      <c r="X1021" s="9"/>
      <c r="Y1021" s="10"/>
      <c r="Z1021" s="9"/>
      <c r="AA1021" s="10"/>
      <c r="AB1021" s="11"/>
      <c r="AC1021" s="10"/>
      <c r="AD1021" s="7">
        <f>SUM(F1021+H1021+J1021+L1021+N1021+P1021+R1021+T1021+V1021+X1021+Z1021+AB1021)</f>
        <v>0</v>
      </c>
      <c r="AE1021" s="7">
        <f>E1021+AD1021</f>
        <v>0</v>
      </c>
      <c r="AF1021" s="8">
        <f>G1021+I1021+K1021+M1021+O1021+Q1021+S1021+U1021+W1021+Y1021+AA1021+AC1021</f>
        <v>0</v>
      </c>
      <c r="AG1021" s="153">
        <f>SUM(AE1021-AF1021)</f>
        <v>0</v>
      </c>
    </row>
    <row r="1022" spans="1:42" customHeight="1" ht="11.5">
      <c r="A1022" s="5"/>
      <c r="B1022" s="173"/>
      <c r="C1022" s="167"/>
      <c r="D1022" s="88"/>
      <c r="E1022" s="174"/>
      <c r="F1022" s="9"/>
      <c r="G1022" s="10"/>
      <c r="H1022" s="9"/>
      <c r="I1022" s="10"/>
      <c r="J1022" s="152"/>
      <c r="K1022" s="10"/>
      <c r="L1022" s="152"/>
      <c r="M1022" s="10"/>
      <c r="N1022" s="152"/>
      <c r="O1022" s="10"/>
      <c r="P1022" s="152"/>
      <c r="Q1022" s="10"/>
      <c r="R1022" s="9"/>
      <c r="S1022" s="10"/>
      <c r="T1022" s="9"/>
      <c r="U1022" s="10"/>
      <c r="V1022" s="9"/>
      <c r="W1022" s="10"/>
      <c r="X1022" s="9"/>
      <c r="Y1022" s="10"/>
      <c r="Z1022" s="9"/>
      <c r="AA1022" s="10"/>
      <c r="AB1022" s="11"/>
      <c r="AC1022" s="10"/>
      <c r="AD1022" s="7">
        <f>SUM(F1022+H1022+J1022+L1022+N1022+P1022+R1022+T1022+V1022+X1022+Z1022+AB1022)</f>
        <v>0</v>
      </c>
      <c r="AE1022" s="7">
        <f>E1022+AD1022</f>
        <v>0</v>
      </c>
      <c r="AF1022" s="8">
        <f>G1022+I1022+K1022+M1022+O1022+Q1022+S1022+U1022+W1022+Y1022+AA1022+AC1022</f>
        <v>0</v>
      </c>
      <c r="AG1022" s="153">
        <f>SUM(AE1022-AF1022)</f>
        <v>0</v>
      </c>
    </row>
    <row r="1023" spans="1:42" customHeight="1" ht="11.5">
      <c r="A1023" s="5"/>
      <c r="B1023" s="173"/>
      <c r="C1023" s="167"/>
      <c r="D1023" s="88"/>
      <c r="E1023" s="174"/>
      <c r="F1023" s="9"/>
      <c r="G1023" s="10"/>
      <c r="H1023" s="9"/>
      <c r="I1023" s="10"/>
      <c r="J1023" s="152"/>
      <c r="K1023" s="10"/>
      <c r="L1023" s="152"/>
      <c r="M1023" s="10"/>
      <c r="N1023" s="152"/>
      <c r="O1023" s="10"/>
      <c r="P1023" s="152"/>
      <c r="Q1023" s="10"/>
      <c r="R1023" s="9"/>
      <c r="S1023" s="10"/>
      <c r="T1023" s="9"/>
      <c r="U1023" s="10"/>
      <c r="V1023" s="9"/>
      <c r="W1023" s="10"/>
      <c r="X1023" s="9"/>
      <c r="Y1023" s="10"/>
      <c r="Z1023" s="9"/>
      <c r="AA1023" s="10"/>
      <c r="AB1023" s="11"/>
      <c r="AC1023" s="10"/>
      <c r="AD1023" s="7">
        <f>SUM(F1023+H1023+J1023+L1023+N1023+P1023+R1023+T1023+V1023+X1023+Z1023+AB1023)</f>
        <v>0</v>
      </c>
      <c r="AE1023" s="7">
        <f>E1023+AD1023</f>
        <v>0</v>
      </c>
      <c r="AF1023" s="8">
        <f>G1023+I1023+K1023+M1023+O1023+Q1023+S1023+U1023+W1023+Y1023+AA1023+AC1023</f>
        <v>0</v>
      </c>
      <c r="AG1023" s="153">
        <f>SUM(AE1023-AF1023)</f>
        <v>0</v>
      </c>
    </row>
    <row r="1024" spans="1:42" customHeight="1" ht="11.5">
      <c r="A1024" s="5"/>
      <c r="B1024" s="173"/>
      <c r="C1024" s="167"/>
      <c r="D1024" s="88"/>
      <c r="E1024" s="174"/>
      <c r="F1024" s="9"/>
      <c r="G1024" s="10"/>
      <c r="H1024" s="9"/>
      <c r="I1024" s="10"/>
      <c r="J1024" s="152"/>
      <c r="K1024" s="10"/>
      <c r="L1024" s="152"/>
      <c r="M1024" s="10"/>
      <c r="N1024" s="152"/>
      <c r="O1024" s="10"/>
      <c r="P1024" s="152"/>
      <c r="Q1024" s="10"/>
      <c r="R1024" s="9"/>
      <c r="S1024" s="10"/>
      <c r="T1024" s="9"/>
      <c r="U1024" s="10"/>
      <c r="V1024" s="9"/>
      <c r="W1024" s="10"/>
      <c r="X1024" s="9"/>
      <c r="Y1024" s="10"/>
      <c r="Z1024" s="9"/>
      <c r="AA1024" s="10"/>
      <c r="AB1024" s="11"/>
      <c r="AC1024" s="10"/>
      <c r="AD1024" s="7">
        <f>SUM(F1024+H1024+J1024+L1024+N1024+P1024+R1024+T1024+V1024+X1024+Z1024+AB1024)</f>
        <v>0</v>
      </c>
      <c r="AE1024" s="7">
        <f>E1024+AD1024</f>
        <v>0</v>
      </c>
      <c r="AF1024" s="8">
        <f>G1024+I1024+K1024+M1024+O1024+Q1024+S1024+U1024+W1024+Y1024+AA1024+AC1024</f>
        <v>0</v>
      </c>
      <c r="AG1024" s="153">
        <f>SUM(AE1024-AF1024)</f>
        <v>0</v>
      </c>
    </row>
    <row r="1025" spans="1:42" customHeight="1" ht="11.5">
      <c r="A1025" s="5"/>
      <c r="B1025" s="173"/>
      <c r="C1025" s="167"/>
      <c r="D1025" s="88"/>
      <c r="E1025" s="174"/>
      <c r="F1025" s="9"/>
      <c r="G1025" s="10"/>
      <c r="H1025" s="9"/>
      <c r="I1025" s="10"/>
      <c r="J1025" s="152"/>
      <c r="K1025" s="10"/>
      <c r="L1025" s="152"/>
      <c r="M1025" s="10"/>
      <c r="N1025" s="152"/>
      <c r="O1025" s="10"/>
      <c r="P1025" s="152"/>
      <c r="Q1025" s="10"/>
      <c r="R1025" s="9"/>
      <c r="S1025" s="10"/>
      <c r="T1025" s="9"/>
      <c r="U1025" s="10"/>
      <c r="V1025" s="9"/>
      <c r="W1025" s="10"/>
      <c r="X1025" s="9"/>
      <c r="Y1025" s="10"/>
      <c r="Z1025" s="9"/>
      <c r="AA1025" s="10"/>
      <c r="AB1025" s="11"/>
      <c r="AC1025" s="10"/>
      <c r="AD1025" s="7">
        <f>SUM(F1025+H1025+J1025+L1025+N1025+P1025+R1025+T1025+V1025+X1025+Z1025+AB1025)</f>
        <v>0</v>
      </c>
      <c r="AE1025" s="7">
        <f>E1025+AD1025</f>
        <v>0</v>
      </c>
      <c r="AF1025" s="8">
        <f>G1025+I1025+K1025+M1025+O1025+Q1025+S1025+U1025+W1025+Y1025+AA1025+AC1025</f>
        <v>0</v>
      </c>
      <c r="AG1025" s="153">
        <f>SUM(AE1025-AF1025)</f>
        <v>0</v>
      </c>
    </row>
    <row r="1026" spans="1:42" customHeight="1" ht="11.5">
      <c r="A1026" s="5"/>
      <c r="B1026" s="173"/>
      <c r="C1026" s="167"/>
      <c r="D1026" s="88"/>
      <c r="E1026" s="174"/>
      <c r="F1026" s="9"/>
      <c r="G1026" s="10"/>
      <c r="H1026" s="9"/>
      <c r="I1026" s="10"/>
      <c r="J1026" s="152"/>
      <c r="K1026" s="10"/>
      <c r="L1026" s="152"/>
      <c r="M1026" s="10"/>
      <c r="N1026" s="152"/>
      <c r="O1026" s="10"/>
      <c r="P1026" s="152"/>
      <c r="Q1026" s="10"/>
      <c r="R1026" s="9"/>
      <c r="S1026" s="10"/>
      <c r="T1026" s="9"/>
      <c r="U1026" s="10"/>
      <c r="V1026" s="9"/>
      <c r="W1026" s="10"/>
      <c r="X1026" s="9"/>
      <c r="Y1026" s="10"/>
      <c r="Z1026" s="9"/>
      <c r="AA1026" s="10"/>
      <c r="AB1026" s="11"/>
      <c r="AC1026" s="10"/>
      <c r="AD1026" s="7">
        <f>SUM(F1026+H1026+J1026+L1026+N1026+P1026+R1026+T1026+V1026+X1026+Z1026+AB1026)</f>
        <v>0</v>
      </c>
      <c r="AE1026" s="7">
        <f>E1026+AD1026</f>
        <v>0</v>
      </c>
      <c r="AF1026" s="8">
        <f>G1026+I1026+K1026+M1026+O1026+Q1026+S1026+U1026+W1026+Y1026+AA1026+AC1026</f>
        <v>0</v>
      </c>
      <c r="AG1026" s="153">
        <f>SUM(AE1026-AF1026)</f>
        <v>0</v>
      </c>
    </row>
    <row r="1027" spans="1:42" customHeight="1" ht="11.5">
      <c r="A1027" s="5"/>
      <c r="B1027" s="173"/>
      <c r="C1027" s="167"/>
      <c r="D1027" s="88"/>
      <c r="E1027" s="174"/>
      <c r="F1027" s="9"/>
      <c r="G1027" s="10"/>
      <c r="H1027" s="9"/>
      <c r="I1027" s="10"/>
      <c r="J1027" s="152"/>
      <c r="K1027" s="10"/>
      <c r="L1027" s="152"/>
      <c r="M1027" s="10"/>
      <c r="N1027" s="152"/>
      <c r="O1027" s="10"/>
      <c r="P1027" s="152"/>
      <c r="Q1027" s="10"/>
      <c r="R1027" s="9"/>
      <c r="S1027" s="10"/>
      <c r="T1027" s="9"/>
      <c r="U1027" s="10"/>
      <c r="V1027" s="9"/>
      <c r="W1027" s="10"/>
      <c r="X1027" s="9"/>
      <c r="Y1027" s="10"/>
      <c r="Z1027" s="9"/>
      <c r="AA1027" s="10"/>
      <c r="AB1027" s="11"/>
      <c r="AC1027" s="10"/>
      <c r="AD1027" s="7">
        <f>SUM(F1027+H1027+J1027+L1027+N1027+P1027+R1027+T1027+V1027+X1027+Z1027+AB1027)</f>
        <v>0</v>
      </c>
      <c r="AE1027" s="7">
        <f>E1027+AD1027</f>
        <v>0</v>
      </c>
      <c r="AF1027" s="8">
        <f>G1027+I1027+K1027+M1027+O1027+Q1027+S1027+U1027+W1027+Y1027+AA1027+AC1027</f>
        <v>0</v>
      </c>
      <c r="AG1027" s="153">
        <f>SUM(AE1027-AF1027)</f>
        <v>0</v>
      </c>
    </row>
    <row r="1028" spans="1:42" customHeight="1" ht="11.5">
      <c r="A1028" s="5"/>
      <c r="B1028" s="173"/>
      <c r="C1028" s="167"/>
      <c r="D1028" s="88"/>
      <c r="E1028" s="174"/>
      <c r="F1028" s="9"/>
      <c r="G1028" s="10"/>
      <c r="H1028" s="9"/>
      <c r="I1028" s="10"/>
      <c r="J1028" s="152"/>
      <c r="K1028" s="10"/>
      <c r="L1028" s="152"/>
      <c r="M1028" s="10"/>
      <c r="N1028" s="152"/>
      <c r="O1028" s="10"/>
      <c r="P1028" s="152"/>
      <c r="Q1028" s="10"/>
      <c r="R1028" s="9"/>
      <c r="S1028" s="10"/>
      <c r="T1028" s="9"/>
      <c r="U1028" s="10"/>
      <c r="V1028" s="9"/>
      <c r="W1028" s="10"/>
      <c r="X1028" s="9"/>
      <c r="Y1028" s="10"/>
      <c r="Z1028" s="9"/>
      <c r="AA1028" s="10"/>
      <c r="AB1028" s="11"/>
      <c r="AC1028" s="10"/>
      <c r="AD1028" s="7">
        <f>SUM(F1028+H1028+J1028+L1028+N1028+P1028+R1028+T1028+V1028+X1028+Z1028+AB1028)</f>
        <v>0</v>
      </c>
      <c r="AE1028" s="7">
        <f>E1028+AD1028</f>
        <v>0</v>
      </c>
      <c r="AF1028" s="8">
        <f>G1028+I1028+K1028+M1028+O1028+Q1028+S1028+U1028+W1028+Y1028+AA1028+AC1028</f>
        <v>0</v>
      </c>
      <c r="AG1028" s="153">
        <f>SUM(AE1028-AF1028)</f>
        <v>0</v>
      </c>
    </row>
    <row r="1029" spans="1:42" customHeight="1" ht="11.5">
      <c r="A1029" s="5"/>
      <c r="B1029" s="173"/>
      <c r="C1029" s="167"/>
      <c r="D1029" s="88"/>
      <c r="E1029" s="174"/>
      <c r="F1029" s="9"/>
      <c r="G1029" s="10"/>
      <c r="H1029" s="9"/>
      <c r="I1029" s="10"/>
      <c r="J1029" s="152"/>
      <c r="K1029" s="10"/>
      <c r="L1029" s="152"/>
      <c r="M1029" s="10"/>
      <c r="N1029" s="152"/>
      <c r="O1029" s="10"/>
      <c r="P1029" s="152"/>
      <c r="Q1029" s="10"/>
      <c r="R1029" s="9"/>
      <c r="S1029" s="10"/>
      <c r="T1029" s="9"/>
      <c r="U1029" s="10"/>
      <c r="V1029" s="9"/>
      <c r="W1029" s="10"/>
      <c r="X1029" s="9"/>
      <c r="Y1029" s="10"/>
      <c r="Z1029" s="9"/>
      <c r="AA1029" s="10"/>
      <c r="AB1029" s="11"/>
      <c r="AC1029" s="10"/>
      <c r="AD1029" s="7">
        <f>SUM(F1029+H1029+J1029+L1029+N1029+P1029+R1029+T1029+V1029+X1029+Z1029+AB1029)</f>
        <v>0</v>
      </c>
      <c r="AE1029" s="7">
        <f>E1029+AD1029</f>
        <v>0</v>
      </c>
      <c r="AF1029" s="8">
        <f>G1029+I1029+K1029+M1029+O1029+Q1029+S1029+U1029+W1029+Y1029+AA1029+AC1029</f>
        <v>0</v>
      </c>
      <c r="AG1029" s="153">
        <f>SUM(AE1029-AF1029)</f>
        <v>0</v>
      </c>
    </row>
    <row r="1030" spans="1:42" customHeight="1" ht="11.5">
      <c r="A1030" s="5"/>
      <c r="B1030" s="173"/>
      <c r="C1030" s="167"/>
      <c r="D1030" s="88"/>
      <c r="E1030" s="174"/>
      <c r="F1030" s="9"/>
      <c r="G1030" s="10"/>
      <c r="H1030" s="9"/>
      <c r="I1030" s="10"/>
      <c r="J1030" s="152"/>
      <c r="K1030" s="10"/>
      <c r="L1030" s="152"/>
      <c r="M1030" s="10"/>
      <c r="N1030" s="152"/>
      <c r="O1030" s="10"/>
      <c r="P1030" s="152"/>
      <c r="Q1030" s="10"/>
      <c r="R1030" s="9"/>
      <c r="S1030" s="10"/>
      <c r="T1030" s="9"/>
      <c r="U1030" s="10"/>
      <c r="V1030" s="9"/>
      <c r="W1030" s="10"/>
      <c r="X1030" s="9"/>
      <c r="Y1030" s="10"/>
      <c r="Z1030" s="9"/>
      <c r="AA1030" s="10"/>
      <c r="AB1030" s="11"/>
      <c r="AC1030" s="10"/>
      <c r="AD1030" s="7">
        <f>SUM(F1030+H1030+J1030+L1030+N1030+P1030+R1030+T1030+V1030+X1030+Z1030+AB1030)</f>
        <v>0</v>
      </c>
      <c r="AE1030" s="7">
        <f>E1030+AD1030</f>
        <v>0</v>
      </c>
      <c r="AF1030" s="8">
        <f>G1030+I1030+K1030+M1030+O1030+Q1030+S1030+U1030+W1030+Y1030+AA1030+AC1030</f>
        <v>0</v>
      </c>
      <c r="AG1030" s="153">
        <f>SUM(AE1030-AF1030)</f>
        <v>0</v>
      </c>
    </row>
    <row r="1031" spans="1:42" customHeight="1" ht="11.5">
      <c r="A1031" s="5"/>
      <c r="B1031" s="173"/>
      <c r="C1031" s="167"/>
      <c r="D1031" s="88"/>
      <c r="E1031" s="174"/>
      <c r="F1031" s="9"/>
      <c r="G1031" s="10"/>
      <c r="H1031" s="9"/>
      <c r="I1031" s="10"/>
      <c r="J1031" s="152"/>
      <c r="K1031" s="10"/>
      <c r="L1031" s="152"/>
      <c r="M1031" s="10"/>
      <c r="N1031" s="152"/>
      <c r="O1031" s="10"/>
      <c r="P1031" s="152"/>
      <c r="Q1031" s="10"/>
      <c r="R1031" s="9"/>
      <c r="S1031" s="10"/>
      <c r="T1031" s="9"/>
      <c r="U1031" s="10"/>
      <c r="V1031" s="9"/>
      <c r="W1031" s="10"/>
      <c r="X1031" s="9"/>
      <c r="Y1031" s="10"/>
      <c r="Z1031" s="9"/>
      <c r="AA1031" s="10"/>
      <c r="AB1031" s="11"/>
      <c r="AC1031" s="10"/>
      <c r="AD1031" s="7">
        <f>SUM(F1031+H1031+J1031+L1031+N1031+P1031+R1031+T1031+V1031+X1031+Z1031+AB1031)</f>
        <v>0</v>
      </c>
      <c r="AE1031" s="7">
        <f>E1031+AD1031</f>
        <v>0</v>
      </c>
      <c r="AF1031" s="8">
        <f>G1031+I1031+K1031+M1031+O1031+Q1031+S1031+U1031+W1031+Y1031+AA1031+AC1031</f>
        <v>0</v>
      </c>
      <c r="AG1031" s="153">
        <f>SUM(AE1031-AF1031)</f>
        <v>0</v>
      </c>
    </row>
    <row r="1032" spans="1:42" customHeight="1" ht="11.5">
      <c r="A1032" s="5"/>
      <c r="B1032" s="173"/>
      <c r="C1032" s="167"/>
      <c r="D1032" s="88"/>
      <c r="E1032" s="174"/>
      <c r="F1032" s="9"/>
      <c r="G1032" s="10"/>
      <c r="H1032" s="9"/>
      <c r="I1032" s="10"/>
      <c r="J1032" s="152"/>
      <c r="K1032" s="10"/>
      <c r="L1032" s="152"/>
      <c r="M1032" s="10"/>
      <c r="N1032" s="152"/>
      <c r="O1032" s="10"/>
      <c r="P1032" s="152"/>
      <c r="Q1032" s="10"/>
      <c r="R1032" s="9"/>
      <c r="S1032" s="10"/>
      <c r="T1032" s="9"/>
      <c r="U1032" s="10"/>
      <c r="V1032" s="9"/>
      <c r="W1032" s="10"/>
      <c r="X1032" s="9"/>
      <c r="Y1032" s="10"/>
      <c r="Z1032" s="9"/>
      <c r="AA1032" s="10"/>
      <c r="AB1032" s="11"/>
      <c r="AC1032" s="10"/>
      <c r="AD1032" s="7">
        <f>SUM(F1032+H1032+J1032+L1032+N1032+P1032+R1032+T1032+V1032+X1032+Z1032+AB1032)</f>
        <v>0</v>
      </c>
      <c r="AE1032" s="7">
        <f>E1032+AD1032</f>
        <v>0</v>
      </c>
      <c r="AF1032" s="8">
        <f>G1032+I1032+K1032+M1032+O1032+Q1032+S1032+U1032+W1032+Y1032+AA1032+AC1032</f>
        <v>0</v>
      </c>
      <c r="AG1032" s="153">
        <f>SUM(AE1032-AF1032)</f>
        <v>0</v>
      </c>
    </row>
    <row r="1033" spans="1:42" customHeight="1" ht="11.5">
      <c r="A1033" s="5"/>
      <c r="B1033" s="173"/>
      <c r="C1033" s="167"/>
      <c r="D1033" s="88"/>
      <c r="E1033" s="174"/>
      <c r="F1033" s="9"/>
      <c r="G1033" s="10"/>
      <c r="H1033" s="9"/>
      <c r="I1033" s="10"/>
      <c r="J1033" s="152"/>
      <c r="K1033" s="10"/>
      <c r="L1033" s="152"/>
      <c r="M1033" s="10"/>
      <c r="N1033" s="152"/>
      <c r="O1033" s="10"/>
      <c r="P1033" s="152"/>
      <c r="Q1033" s="10"/>
      <c r="R1033" s="9"/>
      <c r="S1033" s="10"/>
      <c r="T1033" s="9"/>
      <c r="U1033" s="10"/>
      <c r="V1033" s="9"/>
      <c r="W1033" s="10"/>
      <c r="X1033" s="9"/>
      <c r="Y1033" s="10"/>
      <c r="Z1033" s="9"/>
      <c r="AA1033" s="10"/>
      <c r="AB1033" s="11"/>
      <c r="AC1033" s="10"/>
      <c r="AD1033" s="7">
        <f>SUM(F1033+H1033+J1033+L1033+N1033+P1033+R1033+T1033+V1033+X1033+Z1033+AB1033)</f>
        <v>0</v>
      </c>
      <c r="AE1033" s="7">
        <f>E1033+AD1033</f>
        <v>0</v>
      </c>
      <c r="AF1033" s="8">
        <f>G1033+I1033+K1033+M1033+O1033+Q1033+S1033+U1033+W1033+Y1033+AA1033+AC1033</f>
        <v>0</v>
      </c>
      <c r="AG1033" s="153">
        <f>SUM(AE1033-AF1033)</f>
        <v>0</v>
      </c>
    </row>
    <row r="1034" spans="1:42" customHeight="1" ht="11.5">
      <c r="A1034" s="5"/>
      <c r="B1034" s="173"/>
      <c r="C1034" s="167"/>
      <c r="D1034" s="88"/>
      <c r="E1034" s="174"/>
      <c r="F1034" s="9"/>
      <c r="G1034" s="10"/>
      <c r="H1034" s="9"/>
      <c r="I1034" s="10"/>
      <c r="J1034" s="152"/>
      <c r="K1034" s="10"/>
      <c r="L1034" s="152"/>
      <c r="M1034" s="10"/>
      <c r="N1034" s="152"/>
      <c r="O1034" s="10"/>
      <c r="P1034" s="152"/>
      <c r="Q1034" s="10"/>
      <c r="R1034" s="9"/>
      <c r="S1034" s="10"/>
      <c r="T1034" s="9"/>
      <c r="U1034" s="10"/>
      <c r="V1034" s="9"/>
      <c r="W1034" s="10"/>
      <c r="X1034" s="9"/>
      <c r="Y1034" s="10"/>
      <c r="Z1034" s="9"/>
      <c r="AA1034" s="10"/>
      <c r="AB1034" s="11"/>
      <c r="AC1034" s="10"/>
      <c r="AD1034" s="7">
        <f>SUM(F1034+H1034+J1034+L1034+N1034+P1034+R1034+T1034+V1034+X1034+Z1034+AB1034)</f>
        <v>0</v>
      </c>
      <c r="AE1034" s="7">
        <f>E1034+AD1034</f>
        <v>0</v>
      </c>
      <c r="AF1034" s="8">
        <f>G1034+I1034+K1034+M1034+O1034+Q1034+S1034+U1034+W1034+Y1034+AA1034+AC1034</f>
        <v>0</v>
      </c>
      <c r="AG1034" s="153">
        <f>SUM(AE1034-AF1034)</f>
        <v>0</v>
      </c>
    </row>
    <row r="1035" spans="1:42" customHeight="1" ht="11.5">
      <c r="A1035" s="5"/>
      <c r="B1035" s="173"/>
      <c r="C1035" s="167"/>
      <c r="D1035" s="88"/>
      <c r="E1035" s="174"/>
      <c r="F1035" s="9"/>
      <c r="G1035" s="10"/>
      <c r="H1035" s="9"/>
      <c r="I1035" s="10"/>
      <c r="J1035" s="152"/>
      <c r="K1035" s="10"/>
      <c r="L1035" s="152"/>
      <c r="M1035" s="10"/>
      <c r="N1035" s="152"/>
      <c r="O1035" s="10"/>
      <c r="P1035" s="152"/>
      <c r="Q1035" s="10"/>
      <c r="R1035" s="9"/>
      <c r="S1035" s="10"/>
      <c r="T1035" s="9"/>
      <c r="U1035" s="10"/>
      <c r="V1035" s="9"/>
      <c r="W1035" s="10"/>
      <c r="X1035" s="9"/>
      <c r="Y1035" s="10"/>
      <c r="Z1035" s="9"/>
      <c r="AA1035" s="10"/>
      <c r="AB1035" s="11"/>
      <c r="AC1035" s="10"/>
      <c r="AD1035" s="7">
        <f>SUM(F1035+H1035+J1035+L1035+N1035+P1035+R1035+T1035+V1035+X1035+Z1035+AB1035)</f>
        <v>0</v>
      </c>
      <c r="AE1035" s="7">
        <f>E1035+AD1035</f>
        <v>0</v>
      </c>
      <c r="AF1035" s="8">
        <f>G1035+I1035+K1035+M1035+O1035+Q1035+S1035+U1035+W1035+Y1035+AA1035+AC1035</f>
        <v>0</v>
      </c>
      <c r="AG1035" s="153">
        <f>SUM(AE1035-AF1035)</f>
        <v>0</v>
      </c>
    </row>
    <row r="1036" spans="1:42" customHeight="1" ht="11.5">
      <c r="A1036" s="5"/>
      <c r="B1036" s="173"/>
      <c r="C1036" s="167"/>
      <c r="D1036" s="88"/>
      <c r="E1036" s="174"/>
      <c r="F1036" s="9"/>
      <c r="G1036" s="10"/>
      <c r="H1036" s="9"/>
      <c r="I1036" s="10"/>
      <c r="J1036" s="152"/>
      <c r="K1036" s="10"/>
      <c r="L1036" s="152"/>
      <c r="M1036" s="10"/>
      <c r="N1036" s="152"/>
      <c r="O1036" s="10"/>
      <c r="P1036" s="152"/>
      <c r="Q1036" s="10"/>
      <c r="R1036" s="9"/>
      <c r="S1036" s="10"/>
      <c r="T1036" s="9"/>
      <c r="U1036" s="10"/>
      <c r="V1036" s="9"/>
      <c r="W1036" s="10"/>
      <c r="X1036" s="9"/>
      <c r="Y1036" s="10"/>
      <c r="Z1036" s="9"/>
      <c r="AA1036" s="10"/>
      <c r="AB1036" s="11"/>
      <c r="AC1036" s="10"/>
      <c r="AD1036" s="7">
        <f>SUM(F1036+H1036+J1036+L1036+N1036+P1036+R1036+T1036+V1036+X1036+Z1036+AB1036)</f>
        <v>0</v>
      </c>
      <c r="AE1036" s="7">
        <f>E1036+AD1036</f>
        <v>0</v>
      </c>
      <c r="AF1036" s="8">
        <f>G1036+I1036+K1036+M1036+O1036+Q1036+S1036+U1036+W1036+Y1036+AA1036+AC1036</f>
        <v>0</v>
      </c>
      <c r="AG1036" s="153">
        <f>SUM(AE1036-AF1036)</f>
        <v>0</v>
      </c>
    </row>
    <row r="1037" spans="1:42" customHeight="1" ht="11.5">
      <c r="A1037" s="5"/>
      <c r="B1037" s="173"/>
      <c r="C1037" s="167"/>
      <c r="D1037" s="88"/>
      <c r="E1037" s="174"/>
      <c r="F1037" s="9"/>
      <c r="G1037" s="10"/>
      <c r="H1037" s="9"/>
      <c r="I1037" s="10"/>
      <c r="J1037" s="152"/>
      <c r="K1037" s="10"/>
      <c r="L1037" s="152"/>
      <c r="M1037" s="10"/>
      <c r="N1037" s="152"/>
      <c r="O1037" s="10"/>
      <c r="P1037" s="152"/>
      <c r="Q1037" s="10"/>
      <c r="R1037" s="9"/>
      <c r="S1037" s="10"/>
      <c r="T1037" s="9"/>
      <c r="U1037" s="10"/>
      <c r="V1037" s="9"/>
      <c r="W1037" s="10"/>
      <c r="X1037" s="9"/>
      <c r="Y1037" s="10"/>
      <c r="Z1037" s="9"/>
      <c r="AA1037" s="10"/>
      <c r="AB1037" s="11"/>
      <c r="AC1037" s="10"/>
      <c r="AD1037" s="7">
        <f>SUM(F1037+H1037+J1037+L1037+N1037+P1037+R1037+T1037+V1037+X1037+Z1037+AB1037)</f>
        <v>0</v>
      </c>
      <c r="AE1037" s="7">
        <f>E1037+AD1037</f>
        <v>0</v>
      </c>
      <c r="AF1037" s="8">
        <f>G1037+I1037+K1037+M1037+O1037+Q1037+S1037+U1037+W1037+Y1037+AA1037+AC1037</f>
        <v>0</v>
      </c>
      <c r="AG1037" s="153">
        <f>SUM(AE1037-AF1037)</f>
        <v>0</v>
      </c>
    </row>
    <row r="1038" spans="1:42" customHeight="1" ht="11.5">
      <c r="A1038" s="5"/>
      <c r="B1038" s="173"/>
      <c r="C1038" s="167"/>
      <c r="D1038" s="88"/>
      <c r="E1038" s="174"/>
      <c r="F1038" s="9"/>
      <c r="G1038" s="10"/>
      <c r="H1038" s="9"/>
      <c r="I1038" s="10"/>
      <c r="J1038" s="152"/>
      <c r="K1038" s="10"/>
      <c r="L1038" s="152"/>
      <c r="M1038" s="10"/>
      <c r="N1038" s="152"/>
      <c r="O1038" s="10"/>
      <c r="P1038" s="152"/>
      <c r="Q1038" s="10"/>
      <c r="R1038" s="9"/>
      <c r="S1038" s="10"/>
      <c r="T1038" s="9"/>
      <c r="U1038" s="10"/>
      <c r="V1038" s="9"/>
      <c r="W1038" s="10"/>
      <c r="X1038" s="9"/>
      <c r="Y1038" s="10"/>
      <c r="Z1038" s="9"/>
      <c r="AA1038" s="10"/>
      <c r="AB1038" s="11"/>
      <c r="AC1038" s="10"/>
      <c r="AD1038" s="7">
        <f>SUM(F1038+H1038+J1038+L1038+N1038+P1038+R1038+T1038+V1038+X1038+Z1038+AB1038)</f>
        <v>0</v>
      </c>
      <c r="AE1038" s="7">
        <f>E1038+AD1038</f>
        <v>0</v>
      </c>
      <c r="AF1038" s="8">
        <f>G1038+I1038+K1038+M1038+O1038+Q1038+S1038+U1038+W1038+Y1038+AA1038+AC1038</f>
        <v>0</v>
      </c>
      <c r="AG1038" s="153">
        <f>SUM(AE1038-AF1038)</f>
        <v>0</v>
      </c>
    </row>
    <row r="1039" spans="1:42" customHeight="1" ht="11.5">
      <c r="A1039" s="5"/>
      <c r="B1039" s="173"/>
      <c r="C1039" s="167"/>
      <c r="D1039" s="88"/>
      <c r="E1039" s="174"/>
      <c r="F1039" s="9"/>
      <c r="G1039" s="10"/>
      <c r="H1039" s="9"/>
      <c r="I1039" s="10"/>
      <c r="J1039" s="152"/>
      <c r="K1039" s="10"/>
      <c r="L1039" s="152"/>
      <c r="M1039" s="10"/>
      <c r="N1039" s="152"/>
      <c r="O1039" s="10"/>
      <c r="P1039" s="152"/>
      <c r="Q1039" s="10"/>
      <c r="R1039" s="9"/>
      <c r="S1039" s="10"/>
      <c r="T1039" s="9"/>
      <c r="U1039" s="10"/>
      <c r="V1039" s="9"/>
      <c r="W1039" s="10"/>
      <c r="X1039" s="9"/>
      <c r="Y1039" s="10"/>
      <c r="Z1039" s="9"/>
      <c r="AA1039" s="10"/>
      <c r="AB1039" s="11"/>
      <c r="AC1039" s="10"/>
      <c r="AD1039" s="7">
        <f>SUM(F1039+H1039+J1039+L1039+N1039+P1039+R1039+T1039+V1039+X1039+Z1039+AB1039)</f>
        <v>0</v>
      </c>
      <c r="AE1039" s="7">
        <f>E1039+AD1039</f>
        <v>0</v>
      </c>
      <c r="AF1039" s="8">
        <f>G1039+I1039+K1039+M1039+O1039+Q1039+S1039+U1039+W1039+Y1039+AA1039+AC1039</f>
        <v>0</v>
      </c>
      <c r="AG1039" s="153">
        <f>SUM(AE1039-AF1039)</f>
        <v>0</v>
      </c>
    </row>
    <row r="1040" spans="1:42" customHeight="1" ht="11.5">
      <c r="A1040" s="5"/>
      <c r="B1040" s="173"/>
      <c r="C1040" s="167"/>
      <c r="D1040" s="88"/>
      <c r="E1040" s="174"/>
      <c r="F1040" s="9"/>
      <c r="G1040" s="10"/>
      <c r="H1040" s="9"/>
      <c r="I1040" s="10"/>
      <c r="J1040" s="152"/>
      <c r="K1040" s="10"/>
      <c r="L1040" s="152"/>
      <c r="M1040" s="10"/>
      <c r="N1040" s="152"/>
      <c r="O1040" s="10"/>
      <c r="P1040" s="152"/>
      <c r="Q1040" s="10"/>
      <c r="R1040" s="9"/>
      <c r="S1040" s="10"/>
      <c r="T1040" s="9"/>
      <c r="U1040" s="10"/>
      <c r="V1040" s="9"/>
      <c r="W1040" s="10"/>
      <c r="X1040" s="9"/>
      <c r="Y1040" s="10"/>
      <c r="Z1040" s="9"/>
      <c r="AA1040" s="10"/>
      <c r="AB1040" s="11"/>
      <c r="AC1040" s="10"/>
      <c r="AD1040" s="7">
        <f>SUM(F1040+H1040+J1040+L1040+N1040+P1040+R1040+T1040+V1040+X1040+Z1040+AB1040)</f>
        <v>0</v>
      </c>
      <c r="AE1040" s="7">
        <f>E1040+AD1040</f>
        <v>0</v>
      </c>
      <c r="AF1040" s="8">
        <f>G1040+I1040+K1040+M1040+O1040+Q1040+S1040+U1040+W1040+Y1040+AA1040+AC1040</f>
        <v>0</v>
      </c>
      <c r="AG1040" s="153">
        <f>SUM(AE1040-AF1040)</f>
        <v>0</v>
      </c>
    </row>
    <row r="1041" spans="1:42" customHeight="1" ht="11.5">
      <c r="A1041" s="5"/>
      <c r="B1041" s="173"/>
      <c r="C1041" s="167"/>
      <c r="D1041" s="88"/>
      <c r="E1041" s="174"/>
      <c r="F1041" s="9"/>
      <c r="G1041" s="10"/>
      <c r="H1041" s="9"/>
      <c r="I1041" s="10"/>
      <c r="J1041" s="152"/>
      <c r="K1041" s="10"/>
      <c r="L1041" s="152"/>
      <c r="M1041" s="10"/>
      <c r="N1041" s="152"/>
      <c r="O1041" s="10"/>
      <c r="P1041" s="152"/>
      <c r="Q1041" s="10"/>
      <c r="R1041" s="9"/>
      <c r="S1041" s="10"/>
      <c r="T1041" s="9"/>
      <c r="U1041" s="10"/>
      <c r="V1041" s="9"/>
      <c r="W1041" s="10"/>
      <c r="X1041" s="9"/>
      <c r="Y1041" s="10"/>
      <c r="Z1041" s="9"/>
      <c r="AA1041" s="10"/>
      <c r="AB1041" s="11"/>
      <c r="AC1041" s="10"/>
      <c r="AD1041" s="7">
        <f>SUM(F1041+H1041+J1041+L1041+N1041+P1041+R1041+T1041+V1041+X1041+Z1041+AB1041)</f>
        <v>0</v>
      </c>
      <c r="AE1041" s="7">
        <f>E1041+AD1041</f>
        <v>0</v>
      </c>
      <c r="AF1041" s="8">
        <f>G1041+I1041+K1041+M1041+O1041+Q1041+S1041+U1041+W1041+Y1041+AA1041+AC1041</f>
        <v>0</v>
      </c>
      <c r="AG1041" s="153">
        <f>SUM(AE1041-AF1041)</f>
        <v>0</v>
      </c>
    </row>
    <row r="1042" spans="1:42" customHeight="1" ht="11.5">
      <c r="A1042" s="5"/>
      <c r="B1042" s="173"/>
      <c r="C1042" s="167"/>
      <c r="D1042" s="88"/>
      <c r="E1042" s="174"/>
      <c r="F1042" s="9"/>
      <c r="G1042" s="10"/>
      <c r="H1042" s="9"/>
      <c r="I1042" s="10"/>
      <c r="J1042" s="152"/>
      <c r="K1042" s="10"/>
      <c r="L1042" s="152"/>
      <c r="M1042" s="10"/>
      <c r="N1042" s="152"/>
      <c r="O1042" s="10"/>
      <c r="P1042" s="152"/>
      <c r="Q1042" s="10"/>
      <c r="R1042" s="9"/>
      <c r="S1042" s="10"/>
      <c r="T1042" s="9"/>
      <c r="U1042" s="10"/>
      <c r="V1042" s="9"/>
      <c r="W1042" s="10"/>
      <c r="X1042" s="9"/>
      <c r="Y1042" s="10"/>
      <c r="Z1042" s="9"/>
      <c r="AA1042" s="10"/>
      <c r="AB1042" s="11"/>
      <c r="AC1042" s="10"/>
      <c r="AD1042" s="7">
        <f>SUM(F1042+H1042+J1042+L1042+N1042+P1042+R1042+T1042+V1042+X1042+Z1042+AB1042)</f>
        <v>0</v>
      </c>
      <c r="AE1042" s="7">
        <f>E1042+AD1042</f>
        <v>0</v>
      </c>
      <c r="AF1042" s="8">
        <f>G1042+I1042+K1042+M1042+O1042+Q1042+S1042+U1042+W1042+Y1042+AA1042+AC1042</f>
        <v>0</v>
      </c>
      <c r="AG1042" s="153">
        <f>SUM(AE1042-AF1042)</f>
        <v>0</v>
      </c>
    </row>
    <row r="1043" spans="1:42" customHeight="1" ht="11.5">
      <c r="A1043" s="5"/>
      <c r="B1043" s="173"/>
      <c r="C1043" s="167"/>
      <c r="D1043" s="88"/>
      <c r="E1043" s="174"/>
      <c r="F1043" s="9"/>
      <c r="G1043" s="10"/>
      <c r="H1043" s="9"/>
      <c r="I1043" s="10"/>
      <c r="J1043" s="152"/>
      <c r="K1043" s="10"/>
      <c r="L1043" s="152"/>
      <c r="M1043" s="10"/>
      <c r="N1043" s="152"/>
      <c r="O1043" s="10"/>
      <c r="P1043" s="152"/>
      <c r="Q1043" s="10"/>
      <c r="R1043" s="9"/>
      <c r="S1043" s="10"/>
      <c r="T1043" s="9"/>
      <c r="U1043" s="10"/>
      <c r="V1043" s="9"/>
      <c r="W1043" s="10"/>
      <c r="X1043" s="9"/>
      <c r="Y1043" s="10"/>
      <c r="Z1043" s="9"/>
      <c r="AA1043" s="10"/>
      <c r="AB1043" s="11"/>
      <c r="AC1043" s="10"/>
      <c r="AD1043" s="7">
        <f>SUM(F1043+H1043+J1043+L1043+N1043+P1043+R1043+T1043+V1043+X1043+Z1043+AB1043)</f>
        <v>0</v>
      </c>
      <c r="AE1043" s="7">
        <f>E1043+AD1043</f>
        <v>0</v>
      </c>
      <c r="AF1043" s="8">
        <f>G1043+I1043+K1043+M1043+O1043+Q1043+S1043+U1043+W1043+Y1043+AA1043+AC1043</f>
        <v>0</v>
      </c>
      <c r="AG1043" s="153">
        <f>SUM(AE1043-AF1043)</f>
        <v>0</v>
      </c>
    </row>
    <row r="1044" spans="1:42" customHeight="1" ht="11.5">
      <c r="A1044" s="5"/>
      <c r="B1044" s="173"/>
      <c r="C1044" s="167"/>
      <c r="D1044" s="88"/>
      <c r="E1044" s="174"/>
      <c r="F1044" s="9"/>
      <c r="G1044" s="10"/>
      <c r="H1044" s="9"/>
      <c r="I1044" s="10"/>
      <c r="J1044" s="152"/>
      <c r="K1044" s="10"/>
      <c r="L1044" s="152"/>
      <c r="M1044" s="10"/>
      <c r="N1044" s="152"/>
      <c r="O1044" s="10"/>
      <c r="P1044" s="152"/>
      <c r="Q1044" s="10"/>
      <c r="R1044" s="9"/>
      <c r="S1044" s="10"/>
      <c r="T1044" s="9"/>
      <c r="U1044" s="10"/>
      <c r="V1044" s="9"/>
      <c r="W1044" s="10"/>
      <c r="X1044" s="9"/>
      <c r="Y1044" s="10"/>
      <c r="Z1044" s="9"/>
      <c r="AA1044" s="10"/>
      <c r="AB1044" s="11"/>
      <c r="AC1044" s="10"/>
      <c r="AD1044" s="7">
        <f>SUM(F1044+H1044+J1044+L1044+N1044+P1044+R1044+T1044+V1044+X1044+Z1044+AB1044)</f>
        <v>0</v>
      </c>
      <c r="AE1044" s="7">
        <f>E1044+AD1044</f>
        <v>0</v>
      </c>
      <c r="AF1044" s="8">
        <f>G1044+I1044+K1044+M1044+O1044+Q1044+S1044+U1044+W1044+Y1044+AA1044+AC1044</f>
        <v>0</v>
      </c>
      <c r="AG1044" s="153">
        <f>SUM(AE1044-AF1044)</f>
        <v>0</v>
      </c>
    </row>
    <row r="1045" spans="1:42" customHeight="1" ht="11.5">
      <c r="A1045" s="5"/>
      <c r="B1045" s="173"/>
      <c r="C1045" s="167"/>
      <c r="D1045" s="88"/>
      <c r="E1045" s="174"/>
      <c r="F1045" s="9"/>
      <c r="G1045" s="10"/>
      <c r="H1045" s="9"/>
      <c r="I1045" s="10"/>
      <c r="J1045" s="152"/>
      <c r="K1045" s="10"/>
      <c r="L1045" s="152"/>
      <c r="M1045" s="10"/>
      <c r="N1045" s="152"/>
      <c r="O1045" s="10"/>
      <c r="P1045" s="152"/>
      <c r="Q1045" s="10"/>
      <c r="R1045" s="9"/>
      <c r="S1045" s="10"/>
      <c r="T1045" s="9"/>
      <c r="U1045" s="10"/>
      <c r="V1045" s="9"/>
      <c r="W1045" s="10"/>
      <c r="X1045" s="9"/>
      <c r="Y1045" s="10"/>
      <c r="Z1045" s="9"/>
      <c r="AA1045" s="10"/>
      <c r="AB1045" s="11"/>
      <c r="AC1045" s="10"/>
      <c r="AD1045" s="7">
        <f>SUM(F1045+H1045+J1045+L1045+N1045+P1045+R1045+T1045+V1045+X1045+Z1045+AB1045)</f>
        <v>0</v>
      </c>
      <c r="AE1045" s="7">
        <f>E1045+AD1045</f>
        <v>0</v>
      </c>
      <c r="AF1045" s="8">
        <f>G1045+I1045+K1045+M1045+O1045+Q1045+S1045+U1045+W1045+Y1045+AA1045+AC1045</f>
        <v>0</v>
      </c>
      <c r="AG1045" s="153">
        <f>SUM(AE1045-AF1045)</f>
        <v>0</v>
      </c>
    </row>
    <row r="1046" spans="1:42" customHeight="1" ht="11.5">
      <c r="A1046" s="5"/>
      <c r="B1046" s="173"/>
      <c r="C1046" s="167"/>
      <c r="D1046" s="88"/>
      <c r="E1046" s="174"/>
      <c r="F1046" s="9"/>
      <c r="G1046" s="10"/>
      <c r="H1046" s="9"/>
      <c r="I1046" s="10"/>
      <c r="J1046" s="152"/>
      <c r="K1046" s="10"/>
      <c r="L1046" s="152"/>
      <c r="M1046" s="10"/>
      <c r="N1046" s="152"/>
      <c r="O1046" s="10"/>
      <c r="P1046" s="152"/>
      <c r="Q1046" s="10"/>
      <c r="R1046" s="9"/>
      <c r="S1046" s="10"/>
      <c r="T1046" s="9"/>
      <c r="U1046" s="10"/>
      <c r="V1046" s="9"/>
      <c r="W1046" s="10"/>
      <c r="X1046" s="9"/>
      <c r="Y1046" s="10"/>
      <c r="Z1046" s="9"/>
      <c r="AA1046" s="10"/>
      <c r="AB1046" s="11"/>
      <c r="AC1046" s="10"/>
      <c r="AD1046" s="7">
        <f>SUM(F1046+H1046+J1046+L1046+N1046+P1046+R1046+T1046+V1046+X1046+Z1046+AB1046)</f>
        <v>0</v>
      </c>
      <c r="AE1046" s="7">
        <f>E1046+AD1046</f>
        <v>0</v>
      </c>
      <c r="AF1046" s="8">
        <f>G1046+I1046+K1046+M1046+O1046+Q1046+S1046+U1046+W1046+Y1046+AA1046+AC1046</f>
        <v>0</v>
      </c>
      <c r="AG1046" s="153">
        <f>SUM(AE1046-AF1046)</f>
        <v>0</v>
      </c>
    </row>
    <row r="1047" spans="1:42" customHeight="1" ht="11.5">
      <c r="A1047" s="5"/>
      <c r="B1047" s="173"/>
      <c r="C1047" s="167"/>
      <c r="D1047" s="88"/>
      <c r="E1047" s="174"/>
      <c r="F1047" s="9"/>
      <c r="G1047" s="10"/>
      <c r="H1047" s="9"/>
      <c r="I1047" s="10"/>
      <c r="J1047" s="152"/>
      <c r="K1047" s="10"/>
      <c r="L1047" s="152"/>
      <c r="M1047" s="10"/>
      <c r="N1047" s="152"/>
      <c r="O1047" s="10"/>
      <c r="P1047" s="152"/>
      <c r="Q1047" s="10"/>
      <c r="R1047" s="9"/>
      <c r="S1047" s="10"/>
      <c r="T1047" s="9"/>
      <c r="U1047" s="10"/>
      <c r="V1047" s="9"/>
      <c r="W1047" s="10"/>
      <c r="X1047" s="9"/>
      <c r="Y1047" s="10"/>
      <c r="Z1047" s="9"/>
      <c r="AA1047" s="10"/>
      <c r="AB1047" s="11"/>
      <c r="AC1047" s="10"/>
      <c r="AD1047" s="7">
        <f>SUM(F1047+H1047+J1047+L1047+N1047+P1047+R1047+T1047+V1047+X1047+Z1047+AB1047)</f>
        <v>0</v>
      </c>
      <c r="AE1047" s="7">
        <f>E1047+AD1047</f>
        <v>0</v>
      </c>
      <c r="AF1047" s="8">
        <f>G1047+I1047+K1047+M1047+O1047+Q1047+S1047+U1047+W1047+Y1047+AA1047+AC1047</f>
        <v>0</v>
      </c>
      <c r="AG1047" s="153">
        <f>SUM(AE1047-AF1047)</f>
        <v>0</v>
      </c>
    </row>
    <row r="1048" spans="1:42" customHeight="1" ht="11.5">
      <c r="A1048" s="5"/>
      <c r="B1048" s="173"/>
      <c r="C1048" s="167"/>
      <c r="D1048" s="88"/>
      <c r="E1048" s="174"/>
      <c r="F1048" s="9"/>
      <c r="G1048" s="10"/>
      <c r="H1048" s="9"/>
      <c r="I1048" s="10"/>
      <c r="J1048" s="152"/>
      <c r="K1048" s="10"/>
      <c r="L1048" s="152"/>
      <c r="M1048" s="10"/>
      <c r="N1048" s="152"/>
      <c r="O1048" s="10"/>
      <c r="P1048" s="152"/>
      <c r="Q1048" s="10"/>
      <c r="R1048" s="9"/>
      <c r="S1048" s="10"/>
      <c r="T1048" s="9"/>
      <c r="U1048" s="10"/>
      <c r="V1048" s="9"/>
      <c r="W1048" s="10"/>
      <c r="X1048" s="9"/>
      <c r="Y1048" s="10"/>
      <c r="Z1048" s="9"/>
      <c r="AA1048" s="10"/>
      <c r="AB1048" s="11"/>
      <c r="AC1048" s="10"/>
      <c r="AD1048" s="7">
        <f>SUM(F1048+H1048+J1048+L1048+N1048+P1048+R1048+T1048+V1048+X1048+Z1048+AB1048)</f>
        <v>0</v>
      </c>
      <c r="AE1048" s="7">
        <f>E1048+AD1048</f>
        <v>0</v>
      </c>
      <c r="AF1048" s="8">
        <f>G1048+I1048+K1048+M1048+O1048+Q1048+S1048+U1048+W1048+Y1048+AA1048+AC1048</f>
        <v>0</v>
      </c>
      <c r="AG1048" s="153">
        <f>SUM(AE1048-AF1048)</f>
        <v>0</v>
      </c>
    </row>
    <row r="1049" spans="1:42" customHeight="1" ht="11.5">
      <c r="A1049" s="5"/>
      <c r="B1049" s="173"/>
      <c r="C1049" s="167"/>
      <c r="D1049" s="88"/>
      <c r="E1049" s="174"/>
      <c r="F1049" s="9"/>
      <c r="G1049" s="10"/>
      <c r="H1049" s="9"/>
      <c r="I1049" s="10"/>
      <c r="J1049" s="152"/>
      <c r="K1049" s="10"/>
      <c r="L1049" s="152"/>
      <c r="M1049" s="10"/>
      <c r="N1049" s="152"/>
      <c r="O1049" s="10"/>
      <c r="P1049" s="152"/>
      <c r="Q1049" s="10"/>
      <c r="R1049" s="9"/>
      <c r="S1049" s="10"/>
      <c r="T1049" s="9"/>
      <c r="U1049" s="10"/>
      <c r="V1049" s="9"/>
      <c r="W1049" s="10"/>
      <c r="X1049" s="9"/>
      <c r="Y1049" s="10"/>
      <c r="Z1049" s="9"/>
      <c r="AA1049" s="10"/>
      <c r="AB1049" s="11"/>
      <c r="AC1049" s="10"/>
      <c r="AD1049" s="7">
        <f>SUM(F1049+H1049+J1049+L1049+N1049+P1049+R1049+T1049+V1049+X1049+Z1049+AB1049)</f>
        <v>0</v>
      </c>
      <c r="AE1049" s="7">
        <f>E1049+AD1049</f>
        <v>0</v>
      </c>
      <c r="AF1049" s="8">
        <f>G1049+I1049+K1049+M1049+O1049+Q1049+S1049+U1049+W1049+Y1049+AA1049+AC1049</f>
        <v>0</v>
      </c>
      <c r="AG1049" s="153">
        <f>SUM(AE1049-AF1049)</f>
        <v>0</v>
      </c>
    </row>
    <row r="1050" spans="1:42" customHeight="1" ht="11.5">
      <c r="A1050" s="5"/>
      <c r="B1050" s="173"/>
      <c r="C1050" s="167"/>
      <c r="D1050" s="88"/>
      <c r="E1050" s="174"/>
      <c r="F1050" s="9"/>
      <c r="G1050" s="10"/>
      <c r="H1050" s="9"/>
      <c r="I1050" s="10"/>
      <c r="J1050" s="152"/>
      <c r="K1050" s="10"/>
      <c r="L1050" s="152"/>
      <c r="M1050" s="10"/>
      <c r="N1050" s="152"/>
      <c r="O1050" s="10"/>
      <c r="P1050" s="152"/>
      <c r="Q1050" s="10"/>
      <c r="R1050" s="9"/>
      <c r="S1050" s="10"/>
      <c r="T1050" s="9"/>
      <c r="U1050" s="10"/>
      <c r="V1050" s="9"/>
      <c r="W1050" s="10"/>
      <c r="X1050" s="9"/>
      <c r="Y1050" s="10"/>
      <c r="Z1050" s="9"/>
      <c r="AA1050" s="10"/>
      <c r="AB1050" s="11"/>
      <c r="AC1050" s="10"/>
      <c r="AD1050" s="7">
        <f>SUM(F1050+H1050+J1050+L1050+N1050+P1050+R1050+T1050+V1050+X1050+Z1050+AB1050)</f>
        <v>0</v>
      </c>
      <c r="AE1050" s="7">
        <f>E1050+AD1050</f>
        <v>0</v>
      </c>
      <c r="AF1050" s="8">
        <f>G1050+I1050+K1050+M1050+O1050+Q1050+S1050+U1050+W1050+Y1050+AA1050+AC1050</f>
        <v>0</v>
      </c>
      <c r="AG1050" s="153">
        <f>SUM(AE1050-AF1050)</f>
        <v>0</v>
      </c>
    </row>
    <row r="1051" spans="1:42" customHeight="1" ht="11.5">
      <c r="A1051" s="5"/>
      <c r="B1051" s="173"/>
      <c r="C1051" s="167"/>
      <c r="D1051" s="88"/>
      <c r="E1051" s="174"/>
      <c r="F1051" s="9"/>
      <c r="G1051" s="10"/>
      <c r="H1051" s="9"/>
      <c r="I1051" s="10"/>
      <c r="J1051" s="152"/>
      <c r="K1051" s="10"/>
      <c r="L1051" s="152"/>
      <c r="M1051" s="10"/>
      <c r="N1051" s="152"/>
      <c r="O1051" s="10"/>
      <c r="P1051" s="152"/>
      <c r="Q1051" s="10"/>
      <c r="R1051" s="9"/>
      <c r="S1051" s="10"/>
      <c r="T1051" s="9"/>
      <c r="U1051" s="10"/>
      <c r="V1051" s="9"/>
      <c r="W1051" s="10"/>
      <c r="X1051" s="9"/>
      <c r="Y1051" s="10"/>
      <c r="Z1051" s="9"/>
      <c r="AA1051" s="10"/>
      <c r="AB1051" s="11"/>
      <c r="AC1051" s="10"/>
      <c r="AD1051" s="7">
        <f>SUM(F1051+H1051+J1051+L1051+N1051+P1051+R1051+T1051+V1051+X1051+Z1051+AB1051)</f>
        <v>0</v>
      </c>
      <c r="AE1051" s="7">
        <f>E1051+AD1051</f>
        <v>0</v>
      </c>
      <c r="AF1051" s="8">
        <f>G1051+I1051+K1051+M1051+O1051+Q1051+S1051+U1051+W1051+Y1051+AA1051+AC1051</f>
        <v>0</v>
      </c>
      <c r="AG1051" s="153">
        <f>SUM(AE1051-AF1051)</f>
        <v>0</v>
      </c>
    </row>
    <row r="1052" spans="1:42" customHeight="1" ht="11.5">
      <c r="A1052" s="5"/>
      <c r="B1052" s="173"/>
      <c r="C1052" s="167"/>
      <c r="D1052" s="88"/>
      <c r="E1052" s="174"/>
      <c r="F1052" s="9"/>
      <c r="G1052" s="10"/>
      <c r="H1052" s="9"/>
      <c r="I1052" s="10"/>
      <c r="J1052" s="152"/>
      <c r="K1052" s="10"/>
      <c r="L1052" s="152"/>
      <c r="M1052" s="10"/>
      <c r="N1052" s="152"/>
      <c r="O1052" s="10"/>
      <c r="P1052" s="152"/>
      <c r="Q1052" s="10"/>
      <c r="R1052" s="9"/>
      <c r="S1052" s="10"/>
      <c r="T1052" s="9"/>
      <c r="U1052" s="10"/>
      <c r="V1052" s="9"/>
      <c r="W1052" s="10"/>
      <c r="X1052" s="9"/>
      <c r="Y1052" s="10"/>
      <c r="Z1052" s="9"/>
      <c r="AA1052" s="10"/>
      <c r="AB1052" s="11"/>
      <c r="AC1052" s="10"/>
      <c r="AD1052" s="7">
        <f>SUM(F1052+H1052+J1052+L1052+N1052+P1052+R1052+T1052+V1052+X1052+Z1052+AB1052)</f>
        <v>0</v>
      </c>
      <c r="AE1052" s="7">
        <f>E1052+AD1052</f>
        <v>0</v>
      </c>
      <c r="AF1052" s="8">
        <f>G1052+I1052+K1052+M1052+O1052+Q1052+S1052+U1052+W1052+Y1052+AA1052+AC1052</f>
        <v>0</v>
      </c>
      <c r="AG1052" s="153">
        <f>SUM(AE1052-AF1052)</f>
        <v>0</v>
      </c>
    </row>
    <row r="1053" spans="1:42" customHeight="1" ht="11.5">
      <c r="A1053" s="5"/>
      <c r="B1053" s="173"/>
      <c r="C1053" s="167"/>
      <c r="D1053" s="88"/>
      <c r="E1053" s="174"/>
      <c r="F1053" s="9"/>
      <c r="G1053" s="10"/>
      <c r="H1053" s="9"/>
      <c r="I1053" s="10"/>
      <c r="J1053" s="152"/>
      <c r="K1053" s="10"/>
      <c r="L1053" s="152"/>
      <c r="M1053" s="10"/>
      <c r="N1053" s="152"/>
      <c r="O1053" s="10"/>
      <c r="P1053" s="152"/>
      <c r="Q1053" s="10"/>
      <c r="R1053" s="9"/>
      <c r="S1053" s="10"/>
      <c r="T1053" s="9"/>
      <c r="U1053" s="10"/>
      <c r="V1053" s="9"/>
      <c r="W1053" s="10"/>
      <c r="X1053" s="9"/>
      <c r="Y1053" s="10"/>
      <c r="Z1053" s="9"/>
      <c r="AA1053" s="10"/>
      <c r="AB1053" s="11"/>
      <c r="AC1053" s="10"/>
      <c r="AD1053" s="7">
        <f>SUM(F1053+H1053+J1053+L1053+N1053+P1053+R1053+T1053+V1053+X1053+Z1053+AB1053)</f>
        <v>0</v>
      </c>
      <c r="AE1053" s="7">
        <f>E1053+AD1053</f>
        <v>0</v>
      </c>
      <c r="AF1053" s="8">
        <f>G1053+I1053+K1053+M1053+O1053+Q1053+S1053+U1053+W1053+Y1053+AA1053+AC1053</f>
        <v>0</v>
      </c>
      <c r="AG1053" s="153">
        <f>SUM(AE1053-AF1053)</f>
        <v>0</v>
      </c>
    </row>
    <row r="1054" spans="1:42" customHeight="1" ht="11.5">
      <c r="A1054" s="5"/>
      <c r="B1054" s="173"/>
      <c r="C1054" s="167"/>
      <c r="D1054" s="88"/>
      <c r="E1054" s="174"/>
      <c r="F1054" s="9"/>
      <c r="G1054" s="10"/>
      <c r="H1054" s="9"/>
      <c r="I1054" s="10"/>
      <c r="J1054" s="152"/>
      <c r="K1054" s="10"/>
      <c r="L1054" s="152"/>
      <c r="M1054" s="10"/>
      <c r="N1054" s="152"/>
      <c r="O1054" s="10"/>
      <c r="P1054" s="152"/>
      <c r="Q1054" s="10"/>
      <c r="R1054" s="9"/>
      <c r="S1054" s="10"/>
      <c r="T1054" s="9"/>
      <c r="U1054" s="10"/>
      <c r="V1054" s="9"/>
      <c r="W1054" s="10"/>
      <c r="X1054" s="9"/>
      <c r="Y1054" s="10"/>
      <c r="Z1054" s="9"/>
      <c r="AA1054" s="10"/>
      <c r="AB1054" s="11"/>
      <c r="AC1054" s="10"/>
      <c r="AD1054" s="7">
        <f>SUM(F1054+H1054+J1054+L1054+N1054+P1054+R1054+T1054+V1054+X1054+Z1054+AB1054)</f>
        <v>0</v>
      </c>
      <c r="AE1054" s="7">
        <f>E1054+AD1054</f>
        <v>0</v>
      </c>
      <c r="AF1054" s="8">
        <f>G1054+I1054+K1054+M1054+O1054+Q1054+S1054+U1054+W1054+Y1054+AA1054+AC1054</f>
        <v>0</v>
      </c>
      <c r="AG1054" s="153">
        <f>SUM(AE1054-AF1054)</f>
        <v>0</v>
      </c>
    </row>
    <row r="1055" spans="1:42" customHeight="1" ht="11.5">
      <c r="A1055" s="5"/>
      <c r="B1055" s="173"/>
      <c r="C1055" s="167"/>
      <c r="D1055" s="88"/>
      <c r="E1055" s="174"/>
      <c r="F1055" s="9"/>
      <c r="G1055" s="10"/>
      <c r="H1055" s="9"/>
      <c r="I1055" s="10"/>
      <c r="J1055" s="152"/>
      <c r="K1055" s="10"/>
      <c r="L1055" s="152"/>
      <c r="M1055" s="10"/>
      <c r="N1055" s="152"/>
      <c r="O1055" s="10"/>
      <c r="P1055" s="152"/>
      <c r="Q1055" s="10"/>
      <c r="R1055" s="9"/>
      <c r="S1055" s="10"/>
      <c r="T1055" s="9"/>
      <c r="U1055" s="10"/>
      <c r="V1055" s="9"/>
      <c r="W1055" s="10"/>
      <c r="X1055" s="9"/>
      <c r="Y1055" s="10"/>
      <c r="Z1055" s="9"/>
      <c r="AA1055" s="10"/>
      <c r="AB1055" s="11"/>
      <c r="AC1055" s="10"/>
      <c r="AD1055" s="7">
        <f>SUM(F1055+H1055+J1055+L1055+N1055+P1055+R1055+T1055+V1055+X1055+Z1055+AB1055)</f>
        <v>0</v>
      </c>
      <c r="AE1055" s="7">
        <f>E1055+AD1055</f>
        <v>0</v>
      </c>
      <c r="AF1055" s="8">
        <f>G1055+I1055+K1055+M1055+O1055+Q1055+S1055+U1055+W1055+Y1055+AA1055+AC1055</f>
        <v>0</v>
      </c>
      <c r="AG1055" s="153">
        <f>SUM(AE1055-AF1055)</f>
        <v>0</v>
      </c>
    </row>
    <row r="1056" spans="1:42" customHeight="1" ht="11.5">
      <c r="A1056" s="5"/>
      <c r="B1056" s="173"/>
      <c r="C1056" s="167"/>
      <c r="D1056" s="88"/>
      <c r="E1056" s="174"/>
      <c r="F1056" s="9"/>
      <c r="G1056" s="10"/>
      <c r="H1056" s="9"/>
      <c r="I1056" s="10"/>
      <c r="J1056" s="152"/>
      <c r="K1056" s="10"/>
      <c r="L1056" s="152"/>
      <c r="M1056" s="10"/>
      <c r="N1056" s="152"/>
      <c r="O1056" s="10"/>
      <c r="P1056" s="152"/>
      <c r="Q1056" s="10"/>
      <c r="R1056" s="9"/>
      <c r="S1056" s="10"/>
      <c r="T1056" s="9"/>
      <c r="U1056" s="10"/>
      <c r="V1056" s="9"/>
      <c r="W1056" s="10"/>
      <c r="X1056" s="9"/>
      <c r="Y1056" s="10"/>
      <c r="Z1056" s="9"/>
      <c r="AA1056" s="10"/>
      <c r="AB1056" s="11"/>
      <c r="AC1056" s="10"/>
      <c r="AD1056" s="7">
        <f>SUM(F1056+H1056+J1056+L1056+N1056+P1056+R1056+T1056+V1056+X1056+Z1056+AB1056)</f>
        <v>0</v>
      </c>
      <c r="AE1056" s="7">
        <f>E1056+AD1056</f>
        <v>0</v>
      </c>
      <c r="AF1056" s="8">
        <f>G1056+I1056+K1056+M1056+O1056+Q1056+S1056+U1056+W1056+Y1056+AA1056+AC1056</f>
        <v>0</v>
      </c>
      <c r="AG1056" s="153">
        <f>SUM(AE1056-AF1056)</f>
        <v>0</v>
      </c>
    </row>
    <row r="1057" spans="1:42" customHeight="1" ht="11.5">
      <c r="A1057" s="5"/>
      <c r="B1057" s="173"/>
      <c r="C1057" s="167"/>
      <c r="D1057" s="88"/>
      <c r="E1057" s="174"/>
      <c r="F1057" s="9"/>
      <c r="G1057" s="10"/>
      <c r="H1057" s="9"/>
      <c r="I1057" s="10"/>
      <c r="J1057" s="152"/>
      <c r="K1057" s="10"/>
      <c r="L1057" s="152"/>
      <c r="M1057" s="10"/>
      <c r="N1057" s="152"/>
      <c r="O1057" s="10"/>
      <c r="P1057" s="152"/>
      <c r="Q1057" s="10"/>
      <c r="R1057" s="9"/>
      <c r="S1057" s="10"/>
      <c r="T1057" s="9"/>
      <c r="U1057" s="10"/>
      <c r="V1057" s="9"/>
      <c r="W1057" s="10"/>
      <c r="X1057" s="9"/>
      <c r="Y1057" s="10"/>
      <c r="Z1057" s="9"/>
      <c r="AA1057" s="10"/>
      <c r="AB1057" s="11"/>
      <c r="AC1057" s="10"/>
      <c r="AD1057" s="7">
        <f>SUM(F1057+H1057+J1057+L1057+N1057+P1057+R1057+T1057+V1057+X1057+Z1057+AB1057)</f>
        <v>0</v>
      </c>
      <c r="AE1057" s="7">
        <f>E1057+AD1057</f>
        <v>0</v>
      </c>
      <c r="AF1057" s="8">
        <f>G1057+I1057+K1057+M1057+O1057+Q1057+S1057+U1057+W1057+Y1057+AA1057+AC1057</f>
        <v>0</v>
      </c>
      <c r="AG1057" s="153">
        <f>SUM(AE1057-AF1057)</f>
        <v>0</v>
      </c>
    </row>
    <row r="1058" spans="1:42" customHeight="1" ht="11.5">
      <c r="A1058" s="5"/>
      <c r="B1058" s="173"/>
      <c r="C1058" s="167"/>
      <c r="D1058" s="88"/>
      <c r="E1058" s="174"/>
      <c r="F1058" s="9"/>
      <c r="G1058" s="10"/>
      <c r="H1058" s="9"/>
      <c r="I1058" s="10"/>
      <c r="J1058" s="152"/>
      <c r="K1058" s="10"/>
      <c r="L1058" s="152"/>
      <c r="M1058" s="10"/>
      <c r="N1058" s="152"/>
      <c r="O1058" s="10"/>
      <c r="P1058" s="152"/>
      <c r="Q1058" s="10"/>
      <c r="R1058" s="9"/>
      <c r="S1058" s="10"/>
      <c r="T1058" s="9"/>
      <c r="U1058" s="10"/>
      <c r="V1058" s="9"/>
      <c r="W1058" s="10"/>
      <c r="X1058" s="9"/>
      <c r="Y1058" s="10"/>
      <c r="Z1058" s="9"/>
      <c r="AA1058" s="10"/>
      <c r="AB1058" s="11"/>
      <c r="AC1058" s="10"/>
      <c r="AD1058" s="7">
        <f>SUM(F1058+H1058+J1058+L1058+N1058+P1058+R1058+T1058+V1058+X1058+Z1058+AB1058)</f>
        <v>0</v>
      </c>
      <c r="AE1058" s="7">
        <f>E1058+AD1058</f>
        <v>0</v>
      </c>
      <c r="AF1058" s="8">
        <f>G1058+I1058+K1058+M1058+O1058+Q1058+S1058+U1058+W1058+Y1058+AA1058+AC1058</f>
        <v>0</v>
      </c>
      <c r="AG1058" s="153">
        <f>SUM(AE1058-AF1058)</f>
        <v>0</v>
      </c>
    </row>
    <row r="1059" spans="1:42" customHeight="1" ht="11.5">
      <c r="A1059" s="5"/>
      <c r="B1059" s="173"/>
      <c r="C1059" s="167"/>
      <c r="D1059" s="88"/>
      <c r="E1059" s="174"/>
      <c r="F1059" s="9"/>
      <c r="G1059" s="10"/>
      <c r="H1059" s="9"/>
      <c r="I1059" s="10"/>
      <c r="J1059" s="152"/>
      <c r="K1059" s="10"/>
      <c r="L1059" s="152"/>
      <c r="M1059" s="10"/>
      <c r="N1059" s="152"/>
      <c r="O1059" s="10"/>
      <c r="P1059" s="152"/>
      <c r="Q1059" s="10"/>
      <c r="R1059" s="9"/>
      <c r="S1059" s="10"/>
      <c r="T1059" s="9"/>
      <c r="U1059" s="10"/>
      <c r="V1059" s="9"/>
      <c r="W1059" s="10"/>
      <c r="X1059" s="9"/>
      <c r="Y1059" s="10"/>
      <c r="Z1059" s="9"/>
      <c r="AA1059" s="10"/>
      <c r="AB1059" s="11"/>
      <c r="AC1059" s="10"/>
      <c r="AD1059" s="7">
        <f>SUM(F1059+H1059+J1059+L1059+N1059+P1059+R1059+T1059+V1059+X1059+Z1059+AB1059)</f>
        <v>0</v>
      </c>
      <c r="AE1059" s="7">
        <f>E1059+AD1059</f>
        <v>0</v>
      </c>
      <c r="AF1059" s="8">
        <f>G1059+I1059+K1059+M1059+O1059+Q1059+S1059+U1059+W1059+Y1059+AA1059+AC1059</f>
        <v>0</v>
      </c>
      <c r="AG1059" s="153">
        <f>SUM(AE1059-AF1059)</f>
        <v>0</v>
      </c>
    </row>
    <row r="1060" spans="1:42" customHeight="1" ht="11.5">
      <c r="A1060" s="5"/>
      <c r="B1060" s="173"/>
      <c r="C1060" s="167"/>
      <c r="D1060" s="88"/>
      <c r="E1060" s="174"/>
      <c r="F1060" s="9"/>
      <c r="G1060" s="10"/>
      <c r="H1060" s="9"/>
      <c r="I1060" s="10"/>
      <c r="J1060" s="152"/>
      <c r="K1060" s="10"/>
      <c r="L1060" s="152"/>
      <c r="M1060" s="10"/>
      <c r="N1060" s="152"/>
      <c r="O1060" s="10"/>
      <c r="P1060" s="152"/>
      <c r="Q1060" s="10"/>
      <c r="R1060" s="9"/>
      <c r="S1060" s="10"/>
      <c r="T1060" s="9"/>
      <c r="U1060" s="10"/>
      <c r="V1060" s="9"/>
      <c r="W1060" s="10"/>
      <c r="X1060" s="9"/>
      <c r="Y1060" s="10"/>
      <c r="Z1060" s="9"/>
      <c r="AA1060" s="10"/>
      <c r="AB1060" s="11"/>
      <c r="AC1060" s="10"/>
      <c r="AD1060" s="7">
        <f>SUM(F1060+H1060+J1060+L1060+N1060+P1060+R1060+T1060+V1060+X1060+Z1060+AB1060)</f>
        <v>0</v>
      </c>
      <c r="AE1060" s="7">
        <f>E1060+AD1060</f>
        <v>0</v>
      </c>
      <c r="AF1060" s="8">
        <f>G1060+I1060+K1060+M1060+O1060+Q1060+S1060+U1060+W1060+Y1060+AA1060+AC1060</f>
        <v>0</v>
      </c>
      <c r="AG1060" s="153">
        <f>SUM(AE1060-AF1060)</f>
        <v>0</v>
      </c>
    </row>
    <row r="1061" spans="1:42" customHeight="1" ht="11.5">
      <c r="A1061" s="5"/>
      <c r="B1061" s="173"/>
      <c r="C1061" s="167"/>
      <c r="D1061" s="88"/>
      <c r="E1061" s="174"/>
      <c r="F1061" s="9"/>
      <c r="G1061" s="10"/>
      <c r="H1061" s="9"/>
      <c r="I1061" s="10"/>
      <c r="J1061" s="152"/>
      <c r="K1061" s="10"/>
      <c r="L1061" s="152"/>
      <c r="M1061" s="10"/>
      <c r="N1061" s="152"/>
      <c r="O1061" s="10"/>
      <c r="P1061" s="152"/>
      <c r="Q1061" s="10"/>
      <c r="R1061" s="9"/>
      <c r="S1061" s="10"/>
      <c r="T1061" s="9"/>
      <c r="U1061" s="10"/>
      <c r="V1061" s="9"/>
      <c r="W1061" s="10"/>
      <c r="X1061" s="9"/>
      <c r="Y1061" s="10"/>
      <c r="Z1061" s="9"/>
      <c r="AA1061" s="10"/>
      <c r="AB1061" s="11"/>
      <c r="AC1061" s="10"/>
      <c r="AD1061" s="7">
        <f>SUM(F1061+H1061+J1061+L1061+N1061+P1061+R1061+T1061+V1061+X1061+Z1061+AB1061)</f>
        <v>0</v>
      </c>
      <c r="AE1061" s="7">
        <f>E1061+AD1061</f>
        <v>0</v>
      </c>
      <c r="AF1061" s="8">
        <f>G1061+I1061+K1061+M1061+O1061+Q1061+S1061+U1061+W1061+Y1061+AA1061+AC1061</f>
        <v>0</v>
      </c>
      <c r="AG1061" s="153">
        <f>SUM(AE1061-AF1061)</f>
        <v>0</v>
      </c>
    </row>
    <row r="1062" spans="1:42" customHeight="1" ht="11.5">
      <c r="A1062" s="5"/>
      <c r="B1062" s="173"/>
      <c r="C1062" s="167"/>
      <c r="D1062" s="88"/>
      <c r="E1062" s="174"/>
      <c r="F1062" s="9"/>
      <c r="G1062" s="10"/>
      <c r="H1062" s="9"/>
      <c r="I1062" s="10"/>
      <c r="J1062" s="152"/>
      <c r="K1062" s="10"/>
      <c r="L1062" s="152"/>
      <c r="M1062" s="10"/>
      <c r="N1062" s="152"/>
      <c r="O1062" s="10"/>
      <c r="P1062" s="152"/>
      <c r="Q1062" s="10"/>
      <c r="R1062" s="9"/>
      <c r="S1062" s="10"/>
      <c r="T1062" s="9"/>
      <c r="U1062" s="10"/>
      <c r="V1062" s="9"/>
      <c r="W1062" s="10"/>
      <c r="X1062" s="9"/>
      <c r="Y1062" s="10"/>
      <c r="Z1062" s="9"/>
      <c r="AA1062" s="10"/>
      <c r="AB1062" s="11"/>
      <c r="AC1062" s="10"/>
      <c r="AD1062" s="7">
        <f>SUM(F1062+H1062+J1062+L1062+N1062+P1062+R1062+T1062+V1062+X1062+Z1062+AB1062)</f>
        <v>0</v>
      </c>
      <c r="AE1062" s="7">
        <f>E1062+AD1062</f>
        <v>0</v>
      </c>
      <c r="AF1062" s="8">
        <f>G1062+I1062+K1062+M1062+O1062+Q1062+S1062+U1062+W1062+Y1062+AA1062+AC1062</f>
        <v>0</v>
      </c>
      <c r="AG1062" s="153">
        <f>SUM(AE1062-AF1062)</f>
        <v>0</v>
      </c>
    </row>
    <row r="1063" spans="1:42" customHeight="1" ht="11.5">
      <c r="A1063" s="5"/>
      <c r="B1063" s="173"/>
      <c r="C1063" s="167"/>
      <c r="D1063" s="88"/>
      <c r="E1063" s="174"/>
      <c r="F1063" s="9"/>
      <c r="G1063" s="10"/>
      <c r="H1063" s="9"/>
      <c r="I1063" s="10"/>
      <c r="J1063" s="152"/>
      <c r="K1063" s="10"/>
      <c r="L1063" s="152"/>
      <c r="M1063" s="10"/>
      <c r="N1063" s="152"/>
      <c r="O1063" s="10"/>
      <c r="P1063" s="152"/>
      <c r="Q1063" s="10"/>
      <c r="R1063" s="9"/>
      <c r="S1063" s="10"/>
      <c r="T1063" s="9"/>
      <c r="U1063" s="10"/>
      <c r="V1063" s="9"/>
      <c r="W1063" s="10"/>
      <c r="X1063" s="9"/>
      <c r="Y1063" s="10"/>
      <c r="Z1063" s="9"/>
      <c r="AA1063" s="10"/>
      <c r="AB1063" s="11"/>
      <c r="AC1063" s="10"/>
      <c r="AD1063" s="7">
        <f>SUM(F1063+H1063+J1063+L1063+N1063+P1063+R1063+T1063+V1063+X1063+Z1063+AB1063)</f>
        <v>0</v>
      </c>
      <c r="AE1063" s="7">
        <f>E1063+AD1063</f>
        <v>0</v>
      </c>
      <c r="AF1063" s="8">
        <f>G1063+I1063+K1063+M1063+O1063+Q1063+S1063+U1063+W1063+Y1063+AA1063+AC1063</f>
        <v>0</v>
      </c>
      <c r="AG1063" s="153">
        <f>SUM(AE1063-AF1063)</f>
        <v>0</v>
      </c>
    </row>
    <row r="1064" spans="1:42" customHeight="1" ht="11.5">
      <c r="A1064" s="5"/>
      <c r="B1064" s="173"/>
      <c r="C1064" s="167"/>
      <c r="D1064" s="88"/>
      <c r="E1064" s="174"/>
      <c r="F1064" s="9"/>
      <c r="G1064" s="10"/>
      <c r="H1064" s="9"/>
      <c r="I1064" s="10"/>
      <c r="J1064" s="152"/>
      <c r="K1064" s="10"/>
      <c r="L1064" s="152"/>
      <c r="M1064" s="10"/>
      <c r="N1064" s="152"/>
      <c r="O1064" s="10"/>
      <c r="P1064" s="152"/>
      <c r="Q1064" s="10"/>
      <c r="R1064" s="9"/>
      <c r="S1064" s="10"/>
      <c r="T1064" s="9"/>
      <c r="U1064" s="10"/>
      <c r="V1064" s="9"/>
      <c r="W1064" s="10"/>
      <c r="X1064" s="9"/>
      <c r="Y1064" s="10"/>
      <c r="Z1064" s="9"/>
      <c r="AA1064" s="10"/>
      <c r="AB1064" s="11"/>
      <c r="AC1064" s="10"/>
      <c r="AD1064" s="7">
        <f>SUM(F1064+H1064+J1064+L1064+N1064+P1064+R1064+T1064+V1064+X1064+Z1064+AB1064)</f>
        <v>0</v>
      </c>
      <c r="AE1064" s="7">
        <f>E1064+AD1064</f>
        <v>0</v>
      </c>
      <c r="AF1064" s="8">
        <f>G1064+I1064+K1064+M1064+O1064+Q1064+S1064+U1064+W1064+Y1064+AA1064+AC1064</f>
        <v>0</v>
      </c>
      <c r="AG1064" s="153">
        <f>SUM(AE1064-AF1064)</f>
        <v>0</v>
      </c>
    </row>
    <row r="1065" spans="1:42" customHeight="1" ht="11.5">
      <c r="A1065" s="5"/>
      <c r="B1065" s="173"/>
      <c r="C1065" s="167"/>
      <c r="D1065" s="88"/>
      <c r="E1065" s="174"/>
      <c r="F1065" s="9"/>
      <c r="G1065" s="10"/>
      <c r="H1065" s="9"/>
      <c r="I1065" s="10"/>
      <c r="J1065" s="152"/>
      <c r="K1065" s="10"/>
      <c r="L1065" s="152"/>
      <c r="M1065" s="10"/>
      <c r="N1065" s="152"/>
      <c r="O1065" s="10"/>
      <c r="P1065" s="152"/>
      <c r="Q1065" s="10"/>
      <c r="R1065" s="9"/>
      <c r="S1065" s="10"/>
      <c r="T1065" s="9"/>
      <c r="U1065" s="10"/>
      <c r="V1065" s="9"/>
      <c r="W1065" s="10"/>
      <c r="X1065" s="9"/>
      <c r="Y1065" s="10"/>
      <c r="Z1065" s="9"/>
      <c r="AA1065" s="10"/>
      <c r="AB1065" s="11"/>
      <c r="AC1065" s="10"/>
      <c r="AD1065" s="7">
        <f>SUM(F1065+H1065+J1065+L1065+N1065+P1065+R1065+T1065+V1065+X1065+Z1065+AB1065)</f>
        <v>0</v>
      </c>
      <c r="AE1065" s="7">
        <f>E1065+AD1065</f>
        <v>0</v>
      </c>
      <c r="AF1065" s="8">
        <f>G1065+I1065+K1065+M1065+O1065+Q1065+S1065+U1065+W1065+Y1065+AA1065+AC1065</f>
        <v>0</v>
      </c>
      <c r="AG1065" s="153">
        <f>SUM(AE1065-AF1065)</f>
        <v>0</v>
      </c>
    </row>
    <row r="1066" spans="1:42" customHeight="1" ht="11.5">
      <c r="A1066" s="5"/>
      <c r="B1066" s="173"/>
      <c r="C1066" s="167"/>
      <c r="D1066" s="88"/>
      <c r="E1066" s="174"/>
      <c r="F1066" s="9"/>
      <c r="G1066" s="10"/>
      <c r="H1066" s="9"/>
      <c r="I1066" s="10"/>
      <c r="J1066" s="152"/>
      <c r="K1066" s="10"/>
      <c r="L1066" s="152"/>
      <c r="M1066" s="10"/>
      <c r="N1066" s="152"/>
      <c r="O1066" s="10"/>
      <c r="P1066" s="152"/>
      <c r="Q1066" s="10"/>
      <c r="R1066" s="9"/>
      <c r="S1066" s="10"/>
      <c r="T1066" s="9"/>
      <c r="U1066" s="10"/>
      <c r="V1066" s="9"/>
      <c r="W1066" s="10"/>
      <c r="X1066" s="9"/>
      <c r="Y1066" s="10"/>
      <c r="Z1066" s="9"/>
      <c r="AA1066" s="10"/>
      <c r="AB1066" s="11"/>
      <c r="AC1066" s="10"/>
      <c r="AD1066" s="7">
        <f>SUM(F1066+H1066+J1066+L1066+N1066+P1066+R1066+T1066+V1066+X1066+Z1066+AB1066)</f>
        <v>0</v>
      </c>
      <c r="AE1066" s="7">
        <f>E1066+AD1066</f>
        <v>0</v>
      </c>
      <c r="AF1066" s="8">
        <f>G1066+I1066+K1066+M1066+O1066+Q1066+S1066+U1066+W1066+Y1066+AA1066+AC1066</f>
        <v>0</v>
      </c>
      <c r="AG1066" s="153">
        <f>SUM(AE1066-AF1066)</f>
        <v>0</v>
      </c>
    </row>
    <row r="1067" spans="1:42" customHeight="1" ht="11.5">
      <c r="A1067" s="5"/>
      <c r="B1067" s="173"/>
      <c r="C1067" s="167"/>
      <c r="D1067" s="88"/>
      <c r="E1067" s="174"/>
      <c r="F1067" s="9"/>
      <c r="G1067" s="10"/>
      <c r="H1067" s="9"/>
      <c r="I1067" s="10"/>
      <c r="J1067" s="152"/>
      <c r="K1067" s="10"/>
      <c r="L1067" s="152"/>
      <c r="M1067" s="10"/>
      <c r="N1067" s="152"/>
      <c r="O1067" s="10"/>
      <c r="P1067" s="152"/>
      <c r="Q1067" s="10"/>
      <c r="R1067" s="9"/>
      <c r="S1067" s="10"/>
      <c r="T1067" s="9"/>
      <c r="U1067" s="10"/>
      <c r="V1067" s="9"/>
      <c r="W1067" s="10"/>
      <c r="X1067" s="9"/>
      <c r="Y1067" s="10"/>
      <c r="Z1067" s="9"/>
      <c r="AA1067" s="10"/>
      <c r="AB1067" s="11"/>
      <c r="AC1067" s="10"/>
      <c r="AD1067" s="7">
        <f>SUM(F1067+H1067+J1067+L1067+N1067+P1067+R1067+T1067+V1067+X1067+Z1067+AB1067)</f>
        <v>0</v>
      </c>
      <c r="AE1067" s="7">
        <f>E1067+AD1067</f>
        <v>0</v>
      </c>
      <c r="AF1067" s="8">
        <f>G1067+I1067+K1067+M1067+O1067+Q1067+S1067+U1067+W1067+Y1067+AA1067+AC1067</f>
        <v>0</v>
      </c>
      <c r="AG1067" s="153">
        <f>SUM(AE1067-AF1067)</f>
        <v>0</v>
      </c>
    </row>
    <row r="1068" spans="1:42" customHeight="1" ht="11.5">
      <c r="A1068" s="5"/>
      <c r="B1068" s="173"/>
      <c r="C1068" s="167"/>
      <c r="D1068" s="88"/>
      <c r="E1068" s="174"/>
      <c r="F1068" s="9"/>
      <c r="G1068" s="10"/>
      <c r="H1068" s="9"/>
      <c r="I1068" s="10"/>
      <c r="J1068" s="152"/>
      <c r="K1068" s="10"/>
      <c r="L1068" s="152"/>
      <c r="M1068" s="10"/>
      <c r="N1068" s="152"/>
      <c r="O1068" s="10"/>
      <c r="P1068" s="152"/>
      <c r="Q1068" s="10"/>
      <c r="R1068" s="9"/>
      <c r="S1068" s="10"/>
      <c r="T1068" s="9"/>
      <c r="U1068" s="10"/>
      <c r="V1068" s="9"/>
      <c r="W1068" s="10"/>
      <c r="X1068" s="9"/>
      <c r="Y1068" s="10"/>
      <c r="Z1068" s="9"/>
      <c r="AA1068" s="10"/>
      <c r="AB1068" s="11"/>
      <c r="AC1068" s="10"/>
      <c r="AD1068" s="7">
        <f>SUM(F1068+H1068+J1068+L1068+N1068+P1068+R1068+T1068+V1068+X1068+Z1068+AB1068)</f>
        <v>0</v>
      </c>
      <c r="AE1068" s="7">
        <f>E1068+AD1068</f>
        <v>0</v>
      </c>
      <c r="AF1068" s="8">
        <f>G1068+I1068+K1068+M1068+O1068+Q1068+S1068+U1068+W1068+Y1068+AA1068+AC1068</f>
        <v>0</v>
      </c>
      <c r="AG1068" s="153">
        <f>SUM(AE1068-AF1068)</f>
        <v>0</v>
      </c>
    </row>
    <row r="1069" spans="1:42" customHeight="1" ht="11.5">
      <c r="A1069" s="5"/>
      <c r="B1069" s="173"/>
      <c r="C1069" s="167"/>
      <c r="D1069" s="88"/>
      <c r="E1069" s="174"/>
      <c r="F1069" s="9"/>
      <c r="G1069" s="10"/>
      <c r="H1069" s="9"/>
      <c r="I1069" s="10"/>
      <c r="J1069" s="152"/>
      <c r="K1069" s="10"/>
      <c r="L1069" s="152"/>
      <c r="M1069" s="10"/>
      <c r="N1069" s="152"/>
      <c r="O1069" s="10"/>
      <c r="P1069" s="152"/>
      <c r="Q1069" s="10"/>
      <c r="R1069" s="9"/>
      <c r="S1069" s="10"/>
      <c r="T1069" s="9"/>
      <c r="U1069" s="10"/>
      <c r="V1069" s="9"/>
      <c r="W1069" s="10"/>
      <c r="X1069" s="9"/>
      <c r="Y1069" s="10"/>
      <c r="Z1069" s="9"/>
      <c r="AA1069" s="10"/>
      <c r="AB1069" s="11"/>
      <c r="AC1069" s="10"/>
      <c r="AD1069" s="7">
        <f>SUM(F1069+H1069+J1069+L1069+N1069+P1069+R1069+T1069+V1069+X1069+Z1069+AB1069)</f>
        <v>0</v>
      </c>
      <c r="AE1069" s="7">
        <f>E1069+AD1069</f>
        <v>0</v>
      </c>
      <c r="AF1069" s="8">
        <f>G1069+I1069+K1069+M1069+O1069+Q1069+S1069+U1069+W1069+Y1069+AA1069+AC1069</f>
        <v>0</v>
      </c>
      <c r="AG1069" s="153">
        <f>SUM(AE1069-AF1069)</f>
        <v>0</v>
      </c>
    </row>
    <row r="1070" spans="1:42" customHeight="1" ht="11.5">
      <c r="A1070" s="5"/>
      <c r="B1070" s="173"/>
      <c r="C1070" s="167"/>
      <c r="D1070" s="88"/>
      <c r="E1070" s="174"/>
      <c r="F1070" s="9"/>
      <c r="G1070" s="10"/>
      <c r="H1070" s="9"/>
      <c r="I1070" s="10"/>
      <c r="J1070" s="152"/>
      <c r="K1070" s="10"/>
      <c r="L1070" s="152"/>
      <c r="M1070" s="10"/>
      <c r="N1070" s="152"/>
      <c r="O1070" s="10"/>
      <c r="P1070" s="152"/>
      <c r="Q1070" s="10"/>
      <c r="R1070" s="9"/>
      <c r="S1070" s="10"/>
      <c r="T1070" s="9"/>
      <c r="U1070" s="10"/>
      <c r="V1070" s="9"/>
      <c r="W1070" s="10"/>
      <c r="X1070" s="9"/>
      <c r="Y1070" s="10"/>
      <c r="Z1070" s="9"/>
      <c r="AA1070" s="10"/>
      <c r="AB1070" s="11"/>
      <c r="AC1070" s="10"/>
      <c r="AD1070" s="7">
        <f>SUM(F1070+H1070+J1070+L1070+N1070+P1070+R1070+T1070+V1070+X1070+Z1070+AB1070)</f>
        <v>0</v>
      </c>
      <c r="AE1070" s="7">
        <f>E1070+AD1070</f>
        <v>0</v>
      </c>
      <c r="AF1070" s="8">
        <f>G1070+I1070+K1070+M1070+O1070+Q1070+S1070+U1070+W1070+Y1070+AA1070+AC1070</f>
        <v>0</v>
      </c>
      <c r="AG1070" s="153">
        <f>SUM(AE1070-AF1070)</f>
        <v>0</v>
      </c>
    </row>
    <row r="1071" spans="1:42" customHeight="1" ht="11.5">
      <c r="A1071" s="5"/>
      <c r="B1071" s="173"/>
      <c r="C1071" s="167"/>
      <c r="D1071" s="88"/>
      <c r="E1071" s="174"/>
      <c r="F1071" s="9"/>
      <c r="G1071" s="10"/>
      <c r="H1071" s="9"/>
      <c r="I1071" s="10"/>
      <c r="J1071" s="152"/>
      <c r="K1071" s="10"/>
      <c r="L1071" s="152"/>
      <c r="M1071" s="10"/>
      <c r="N1071" s="152"/>
      <c r="O1071" s="10"/>
      <c r="P1071" s="152"/>
      <c r="Q1071" s="10"/>
      <c r="R1071" s="9"/>
      <c r="S1071" s="10"/>
      <c r="T1071" s="9"/>
      <c r="U1071" s="10"/>
      <c r="V1071" s="9"/>
      <c r="W1071" s="10"/>
      <c r="X1071" s="9"/>
      <c r="Y1071" s="10"/>
      <c r="Z1071" s="9"/>
      <c r="AA1071" s="10"/>
      <c r="AB1071" s="11"/>
      <c r="AC1071" s="10"/>
      <c r="AD1071" s="7">
        <f>SUM(F1071+H1071+J1071+L1071+N1071+P1071+R1071+T1071+V1071+X1071+Z1071+AB1071)</f>
        <v>0</v>
      </c>
      <c r="AE1071" s="7">
        <f>E1071+AD1071</f>
        <v>0</v>
      </c>
      <c r="AF1071" s="8">
        <f>G1071+I1071+K1071+M1071+O1071+Q1071+S1071+U1071+W1071+Y1071+AA1071+AC1071</f>
        <v>0</v>
      </c>
      <c r="AG1071" s="153">
        <f>SUM(AE1071-AF1071)</f>
        <v>0</v>
      </c>
    </row>
    <row r="1072" spans="1:42" customHeight="1" ht="11.5">
      <c r="A1072" s="5"/>
      <c r="B1072" s="173"/>
      <c r="C1072" s="167"/>
      <c r="D1072" s="88"/>
      <c r="E1072" s="174"/>
      <c r="F1072" s="9"/>
      <c r="G1072" s="10"/>
      <c r="H1072" s="9"/>
      <c r="I1072" s="10"/>
      <c r="J1072" s="152"/>
      <c r="K1072" s="10"/>
      <c r="L1072" s="152"/>
      <c r="M1072" s="10"/>
      <c r="N1072" s="152"/>
      <c r="O1072" s="10"/>
      <c r="P1072" s="152"/>
      <c r="Q1072" s="10"/>
      <c r="R1072" s="9"/>
      <c r="S1072" s="10"/>
      <c r="T1072" s="9"/>
      <c r="U1072" s="10"/>
      <c r="V1072" s="9"/>
      <c r="W1072" s="10"/>
      <c r="X1072" s="9"/>
      <c r="Y1072" s="10"/>
      <c r="Z1072" s="9"/>
      <c r="AA1072" s="10"/>
      <c r="AB1072" s="11"/>
      <c r="AC1072" s="10"/>
      <c r="AD1072" s="7">
        <f>SUM(F1072+H1072+J1072+L1072+N1072+P1072+R1072+T1072+V1072+X1072+Z1072+AB1072)</f>
        <v>0</v>
      </c>
      <c r="AE1072" s="7">
        <f>E1072+AD1072</f>
        <v>0</v>
      </c>
      <c r="AF1072" s="8">
        <f>G1072+I1072+K1072+M1072+O1072+Q1072+S1072+U1072+W1072+Y1072+AA1072+AC1072</f>
        <v>0</v>
      </c>
      <c r="AG1072" s="153">
        <f>SUM(AE1072-AF1072)</f>
        <v>0</v>
      </c>
    </row>
    <row r="1073" spans="1:42" customHeight="1" ht="11.5">
      <c r="A1073" s="5"/>
      <c r="B1073" s="173"/>
      <c r="C1073" s="167"/>
      <c r="D1073" s="88"/>
      <c r="E1073" s="174"/>
      <c r="F1073" s="9"/>
      <c r="G1073" s="10"/>
      <c r="H1073" s="9"/>
      <c r="I1073" s="10"/>
      <c r="J1073" s="152"/>
      <c r="K1073" s="10"/>
      <c r="L1073" s="152"/>
      <c r="M1073" s="10"/>
      <c r="N1073" s="152"/>
      <c r="O1073" s="10"/>
      <c r="P1073" s="152"/>
      <c r="Q1073" s="10"/>
      <c r="R1073" s="9"/>
      <c r="S1073" s="10"/>
      <c r="T1073" s="9"/>
      <c r="U1073" s="10"/>
      <c r="V1073" s="9"/>
      <c r="W1073" s="10"/>
      <c r="X1073" s="9"/>
      <c r="Y1073" s="10"/>
      <c r="Z1073" s="9"/>
      <c r="AA1073" s="10"/>
      <c r="AB1073" s="11"/>
      <c r="AC1073" s="10"/>
      <c r="AD1073" s="7">
        <f>SUM(F1073+H1073+J1073+L1073+N1073+P1073+R1073+T1073+V1073+X1073+Z1073+AB1073)</f>
        <v>0</v>
      </c>
      <c r="AE1073" s="7">
        <f>E1073+AD1073</f>
        <v>0</v>
      </c>
      <c r="AF1073" s="8">
        <f>G1073+I1073+K1073+M1073+O1073+Q1073+S1073+U1073+W1073+Y1073+AA1073+AC1073</f>
        <v>0</v>
      </c>
      <c r="AG1073" s="153">
        <f>SUM(AE1073-AF1073)</f>
        <v>0</v>
      </c>
    </row>
    <row r="1074" spans="1:42" customHeight="1" ht="11.5">
      <c r="A1074" s="5"/>
      <c r="B1074" s="173"/>
      <c r="C1074" s="167"/>
      <c r="D1074" s="88"/>
      <c r="E1074" s="174"/>
      <c r="F1074" s="9"/>
      <c r="G1074" s="10"/>
      <c r="H1074" s="9"/>
      <c r="I1074" s="10"/>
      <c r="J1074" s="152"/>
      <c r="K1074" s="10"/>
      <c r="L1074" s="152"/>
      <c r="M1074" s="10"/>
      <c r="N1074" s="152"/>
      <c r="O1074" s="10"/>
      <c r="P1074" s="152"/>
      <c r="Q1074" s="10"/>
      <c r="R1074" s="9"/>
      <c r="S1074" s="10"/>
      <c r="T1074" s="9"/>
      <c r="U1074" s="10"/>
      <c r="V1074" s="9"/>
      <c r="W1074" s="10"/>
      <c r="X1074" s="9"/>
      <c r="Y1074" s="10"/>
      <c r="Z1074" s="9"/>
      <c r="AA1074" s="10"/>
      <c r="AB1074" s="11"/>
      <c r="AC1074" s="10"/>
      <c r="AD1074" s="7">
        <f>SUM(F1074+H1074+J1074+L1074+N1074+P1074+R1074+T1074+V1074+X1074+Z1074+AB1074)</f>
        <v>0</v>
      </c>
      <c r="AE1074" s="7">
        <f>E1074+AD1074</f>
        <v>0</v>
      </c>
      <c r="AF1074" s="8">
        <f>G1074+I1074+K1074+M1074+O1074+Q1074+S1074+U1074+W1074+Y1074+AA1074+AC1074</f>
        <v>0</v>
      </c>
      <c r="AG1074" s="153">
        <f>SUM(AE1074-AF1074)</f>
        <v>0</v>
      </c>
    </row>
    <row r="1075" spans="1:42" customHeight="1" ht="11.5">
      <c r="A1075" s="5"/>
      <c r="B1075" s="173"/>
      <c r="C1075" s="167"/>
      <c r="D1075" s="88"/>
      <c r="E1075" s="174"/>
      <c r="F1075" s="9"/>
      <c r="G1075" s="10"/>
      <c r="H1075" s="9"/>
      <c r="I1075" s="10"/>
      <c r="J1075" s="152"/>
      <c r="K1075" s="10"/>
      <c r="L1075" s="152"/>
      <c r="M1075" s="10"/>
      <c r="N1075" s="152"/>
      <c r="O1075" s="10"/>
      <c r="P1075" s="152"/>
      <c r="Q1075" s="10"/>
      <c r="R1075" s="9"/>
      <c r="S1075" s="10"/>
      <c r="T1075" s="9"/>
      <c r="U1075" s="10"/>
      <c r="V1075" s="9"/>
      <c r="W1075" s="10"/>
      <c r="X1075" s="9"/>
      <c r="Y1075" s="10"/>
      <c r="Z1075" s="9"/>
      <c r="AA1075" s="10"/>
      <c r="AB1075" s="11"/>
      <c r="AC1075" s="10"/>
      <c r="AD1075" s="7">
        <f>SUM(F1075+H1075+J1075+L1075+N1075+P1075+R1075+T1075+V1075+X1075+Z1075+AB1075)</f>
        <v>0</v>
      </c>
      <c r="AE1075" s="7">
        <f>E1075+AD1075</f>
        <v>0</v>
      </c>
      <c r="AF1075" s="8">
        <f>G1075+I1075+K1075+M1075+O1075+Q1075+S1075+U1075+W1075+Y1075+AA1075+AC1075</f>
        <v>0</v>
      </c>
      <c r="AG1075" s="153">
        <f>SUM(AE1075-AF1075)</f>
        <v>0</v>
      </c>
    </row>
    <row r="1076" spans="1:42" customHeight="1" ht="11.5">
      <c r="A1076" s="5"/>
      <c r="B1076" s="173"/>
      <c r="C1076" s="167"/>
      <c r="D1076" s="88"/>
      <c r="E1076" s="174"/>
      <c r="F1076" s="9"/>
      <c r="G1076" s="10"/>
      <c r="H1076" s="9"/>
      <c r="I1076" s="10"/>
      <c r="J1076" s="152"/>
      <c r="K1076" s="10"/>
      <c r="L1076" s="152"/>
      <c r="M1076" s="10"/>
      <c r="N1076" s="152"/>
      <c r="O1076" s="10"/>
      <c r="P1076" s="152"/>
      <c r="Q1076" s="10"/>
      <c r="R1076" s="9"/>
      <c r="S1076" s="10"/>
      <c r="T1076" s="9"/>
      <c r="U1076" s="10"/>
      <c r="V1076" s="9"/>
      <c r="W1076" s="10"/>
      <c r="X1076" s="9"/>
      <c r="Y1076" s="10"/>
      <c r="Z1076" s="9"/>
      <c r="AA1076" s="10"/>
      <c r="AB1076" s="11"/>
      <c r="AC1076" s="10"/>
      <c r="AD1076" s="7">
        <f>SUM(F1076+H1076+J1076+L1076+N1076+P1076+R1076+T1076+V1076+X1076+Z1076+AB1076)</f>
        <v>0</v>
      </c>
      <c r="AE1076" s="7">
        <f>E1076+AD1076</f>
        <v>0</v>
      </c>
      <c r="AF1076" s="8">
        <f>G1076+I1076+K1076+M1076+O1076+Q1076+S1076+U1076+W1076+Y1076+AA1076+AC1076</f>
        <v>0</v>
      </c>
      <c r="AG1076" s="153">
        <f>SUM(AE1076-AF1076)</f>
        <v>0</v>
      </c>
    </row>
    <row r="1077" spans="1:42" customHeight="1" ht="11.5">
      <c r="A1077" s="5"/>
      <c r="B1077" s="173"/>
      <c r="C1077" s="167"/>
      <c r="D1077" s="88"/>
      <c r="E1077" s="174"/>
      <c r="F1077" s="9"/>
      <c r="G1077" s="10"/>
      <c r="H1077" s="9"/>
      <c r="I1077" s="10"/>
      <c r="J1077" s="152"/>
      <c r="K1077" s="10"/>
      <c r="L1077" s="152"/>
      <c r="M1077" s="10"/>
      <c r="N1077" s="152"/>
      <c r="O1077" s="10"/>
      <c r="P1077" s="152"/>
      <c r="Q1077" s="10"/>
      <c r="R1077" s="9"/>
      <c r="S1077" s="10"/>
      <c r="T1077" s="9"/>
      <c r="U1077" s="10"/>
      <c r="V1077" s="9"/>
      <c r="W1077" s="10"/>
      <c r="X1077" s="9"/>
      <c r="Y1077" s="10"/>
      <c r="Z1077" s="9"/>
      <c r="AA1077" s="10"/>
      <c r="AB1077" s="11"/>
      <c r="AC1077" s="10"/>
      <c r="AD1077" s="7">
        <f>SUM(F1077+H1077+J1077+L1077+N1077+P1077+R1077+T1077+V1077+X1077+Z1077+AB1077)</f>
        <v>0</v>
      </c>
      <c r="AE1077" s="7">
        <f>E1077+AD1077</f>
        <v>0</v>
      </c>
      <c r="AF1077" s="8">
        <f>G1077+I1077+K1077+M1077+O1077+Q1077+S1077+U1077+W1077+Y1077+AA1077+AC1077</f>
        <v>0</v>
      </c>
      <c r="AG1077" s="153">
        <f>SUM(AE1077-AF1077)</f>
        <v>0</v>
      </c>
    </row>
    <row r="1078" spans="1:42" customHeight="1" ht="11.5">
      <c r="A1078" s="5"/>
      <c r="B1078" s="173"/>
      <c r="C1078" s="167"/>
      <c r="D1078" s="88"/>
      <c r="E1078" s="174"/>
      <c r="F1078" s="9"/>
      <c r="G1078" s="10"/>
      <c r="H1078" s="9"/>
      <c r="I1078" s="10"/>
      <c r="J1078" s="152"/>
      <c r="K1078" s="10"/>
      <c r="L1078" s="152"/>
      <c r="M1078" s="10"/>
      <c r="N1078" s="152"/>
      <c r="O1078" s="10"/>
      <c r="P1078" s="152"/>
      <c r="Q1078" s="10"/>
      <c r="R1078" s="9"/>
      <c r="S1078" s="10"/>
      <c r="T1078" s="9"/>
      <c r="U1078" s="10"/>
      <c r="V1078" s="9"/>
      <c r="W1078" s="10"/>
      <c r="X1078" s="9"/>
      <c r="Y1078" s="10"/>
      <c r="Z1078" s="9"/>
      <c r="AA1078" s="10"/>
      <c r="AB1078" s="11"/>
      <c r="AC1078" s="10"/>
      <c r="AD1078" s="7">
        <f>SUM(F1078+H1078+J1078+L1078+N1078+P1078+R1078+T1078+V1078+X1078+Z1078+AB1078)</f>
        <v>0</v>
      </c>
      <c r="AE1078" s="7">
        <f>E1078+AD1078</f>
        <v>0</v>
      </c>
      <c r="AF1078" s="8">
        <f>G1078+I1078+K1078+M1078+O1078+Q1078+S1078+U1078+W1078+Y1078+AA1078+AC1078</f>
        <v>0</v>
      </c>
      <c r="AG1078" s="153">
        <f>SUM(AE1078-AF1078)</f>
        <v>0</v>
      </c>
    </row>
    <row r="1079" spans="1:42" customHeight="1" ht="11.5">
      <c r="A1079" s="5"/>
      <c r="B1079" s="173"/>
      <c r="C1079" s="167"/>
      <c r="D1079" s="88"/>
      <c r="E1079" s="174"/>
      <c r="F1079" s="9"/>
      <c r="G1079" s="10"/>
      <c r="H1079" s="9"/>
      <c r="I1079" s="10"/>
      <c r="J1079" s="152"/>
      <c r="K1079" s="10"/>
      <c r="L1079" s="152"/>
      <c r="M1079" s="10"/>
      <c r="N1079" s="152"/>
      <c r="O1079" s="10"/>
      <c r="P1079" s="152"/>
      <c r="Q1079" s="10"/>
      <c r="R1079" s="9"/>
      <c r="S1079" s="10"/>
      <c r="T1079" s="9"/>
      <c r="U1079" s="10"/>
      <c r="V1079" s="9"/>
      <c r="W1079" s="10"/>
      <c r="X1079" s="9"/>
      <c r="Y1079" s="10"/>
      <c r="Z1079" s="9"/>
      <c r="AA1079" s="10"/>
      <c r="AB1079" s="11"/>
      <c r="AC1079" s="10"/>
      <c r="AD1079" s="7">
        <f>SUM(F1079+H1079+J1079+L1079+N1079+P1079+R1079+T1079+V1079+X1079+Z1079+AB1079)</f>
        <v>0</v>
      </c>
      <c r="AE1079" s="7">
        <f>E1079+AD1079</f>
        <v>0</v>
      </c>
      <c r="AF1079" s="8">
        <f>G1079+I1079+K1079+M1079+O1079+Q1079+S1079+U1079+W1079+Y1079+AA1079+AC1079</f>
        <v>0</v>
      </c>
      <c r="AG1079" s="153">
        <f>SUM(AE1079-AF1079)</f>
        <v>0</v>
      </c>
    </row>
    <row r="1080" spans="1:42" customHeight="1" ht="11.5">
      <c r="A1080" s="5"/>
      <c r="B1080" s="173"/>
      <c r="C1080" s="167"/>
      <c r="D1080" s="88"/>
      <c r="E1080" s="174"/>
      <c r="F1080" s="9"/>
      <c r="G1080" s="10"/>
      <c r="H1080" s="9"/>
      <c r="I1080" s="10"/>
      <c r="J1080" s="152"/>
      <c r="K1080" s="10"/>
      <c r="L1080" s="152"/>
      <c r="M1080" s="10"/>
      <c r="N1080" s="152"/>
      <c r="O1080" s="10"/>
      <c r="P1080" s="152"/>
      <c r="Q1080" s="10"/>
      <c r="R1080" s="9"/>
      <c r="S1080" s="10"/>
      <c r="T1080" s="9"/>
      <c r="U1080" s="10"/>
      <c r="V1080" s="9"/>
      <c r="W1080" s="10"/>
      <c r="X1080" s="9"/>
      <c r="Y1080" s="10"/>
      <c r="Z1080" s="9"/>
      <c r="AA1080" s="10"/>
      <c r="AB1080" s="11"/>
      <c r="AC1080" s="10"/>
      <c r="AD1080" s="7">
        <f>SUM(F1080+H1080+J1080+L1080+N1080+P1080+R1080+T1080+V1080+X1080+Z1080+AB1080)</f>
        <v>0</v>
      </c>
      <c r="AE1080" s="7">
        <f>E1080+AD1080</f>
        <v>0</v>
      </c>
      <c r="AF1080" s="8">
        <f>G1080+I1080+K1080+M1080+O1080+Q1080+S1080+U1080+W1080+Y1080+AA1080+AC1080</f>
        <v>0</v>
      </c>
      <c r="AG1080" s="153">
        <f>SUM(AE1080-AF1080)</f>
        <v>0</v>
      </c>
    </row>
    <row r="1081" spans="1:42" customHeight="1" ht="11.5">
      <c r="A1081" s="5"/>
      <c r="B1081" s="173"/>
      <c r="C1081" s="167"/>
      <c r="D1081" s="88"/>
      <c r="E1081" s="174"/>
      <c r="F1081" s="9"/>
      <c r="G1081" s="10"/>
      <c r="H1081" s="9"/>
      <c r="I1081" s="10"/>
      <c r="J1081" s="152"/>
      <c r="K1081" s="10"/>
      <c r="L1081" s="152"/>
      <c r="M1081" s="10"/>
      <c r="N1081" s="152"/>
      <c r="O1081" s="10"/>
      <c r="P1081" s="152"/>
      <c r="Q1081" s="10"/>
      <c r="R1081" s="9"/>
      <c r="S1081" s="10"/>
      <c r="T1081" s="9"/>
      <c r="U1081" s="10"/>
      <c r="V1081" s="9"/>
      <c r="W1081" s="10"/>
      <c r="X1081" s="9"/>
      <c r="Y1081" s="10"/>
      <c r="Z1081" s="9"/>
      <c r="AA1081" s="10"/>
      <c r="AB1081" s="11"/>
      <c r="AC1081" s="10"/>
      <c r="AD1081" s="7">
        <f>SUM(F1081+H1081+J1081+L1081+N1081+P1081+R1081+T1081+V1081+X1081+Z1081+AB1081)</f>
        <v>0</v>
      </c>
      <c r="AE1081" s="7">
        <f>E1081+AD1081</f>
        <v>0</v>
      </c>
      <c r="AF1081" s="8">
        <f>G1081+I1081+K1081+M1081+O1081+Q1081+S1081+U1081+W1081+Y1081+AA1081+AC1081</f>
        <v>0</v>
      </c>
      <c r="AG1081" s="153">
        <f>SUM(AE1081-AF1081)</f>
        <v>0</v>
      </c>
    </row>
    <row r="1082" spans="1:42" customHeight="1" ht="11.5">
      <c r="A1082" s="5"/>
      <c r="B1082" s="173"/>
      <c r="C1082" s="167"/>
      <c r="D1082" s="88"/>
      <c r="E1082" s="174"/>
      <c r="F1082" s="9"/>
      <c r="G1082" s="10"/>
      <c r="H1082" s="9"/>
      <c r="I1082" s="10"/>
      <c r="J1082" s="152"/>
      <c r="K1082" s="10"/>
      <c r="L1082" s="152"/>
      <c r="M1082" s="10"/>
      <c r="N1082" s="152"/>
      <c r="O1082" s="10"/>
      <c r="P1082" s="152"/>
      <c r="Q1082" s="10"/>
      <c r="R1082" s="9"/>
      <c r="S1082" s="10"/>
      <c r="T1082" s="9"/>
      <c r="U1082" s="10"/>
      <c r="V1082" s="9"/>
      <c r="W1082" s="10"/>
      <c r="X1082" s="9"/>
      <c r="Y1082" s="10"/>
      <c r="Z1082" s="9"/>
      <c r="AA1082" s="10"/>
      <c r="AB1082" s="11"/>
      <c r="AC1082" s="10"/>
      <c r="AD1082" s="7">
        <f>SUM(F1082+H1082+J1082+L1082+N1082+P1082+R1082+T1082+V1082+X1082+Z1082+AB1082)</f>
        <v>0</v>
      </c>
      <c r="AE1082" s="7">
        <f>E1082+AD1082</f>
        <v>0</v>
      </c>
      <c r="AF1082" s="8">
        <f>G1082+I1082+K1082+M1082+O1082+Q1082+S1082+U1082+W1082+Y1082+AA1082+AC1082</f>
        <v>0</v>
      </c>
      <c r="AG1082" s="153">
        <f>SUM(AE1082-AF1082)</f>
        <v>0</v>
      </c>
    </row>
    <row r="1083" spans="1:42" customHeight="1" ht="11.5">
      <c r="A1083" s="5"/>
      <c r="B1083" s="173"/>
      <c r="C1083" s="167"/>
      <c r="D1083" s="88"/>
      <c r="E1083" s="174"/>
      <c r="F1083" s="9"/>
      <c r="G1083" s="10"/>
      <c r="H1083" s="9"/>
      <c r="I1083" s="10"/>
      <c r="J1083" s="152"/>
      <c r="K1083" s="10"/>
      <c r="L1083" s="152"/>
      <c r="M1083" s="10"/>
      <c r="N1083" s="152"/>
      <c r="O1083" s="10"/>
      <c r="P1083" s="152"/>
      <c r="Q1083" s="10"/>
      <c r="R1083" s="9"/>
      <c r="S1083" s="10"/>
      <c r="T1083" s="9"/>
      <c r="U1083" s="10"/>
      <c r="V1083" s="9"/>
      <c r="W1083" s="10"/>
      <c r="X1083" s="9"/>
      <c r="Y1083" s="10"/>
      <c r="Z1083" s="9"/>
      <c r="AA1083" s="10"/>
      <c r="AB1083" s="11"/>
      <c r="AC1083" s="10"/>
      <c r="AD1083" s="7">
        <f>SUM(F1083+H1083+J1083+L1083+N1083+P1083+R1083+T1083+V1083+X1083+Z1083+AB1083)</f>
        <v>0</v>
      </c>
      <c r="AE1083" s="7">
        <f>E1083+AD1083</f>
        <v>0</v>
      </c>
      <c r="AF1083" s="8">
        <f>G1083+I1083+K1083+M1083+O1083+Q1083+S1083+U1083+W1083+Y1083+AA1083+AC1083</f>
        <v>0</v>
      </c>
      <c r="AG1083" s="153">
        <f>SUM(AE1083-AF1083)</f>
        <v>0</v>
      </c>
    </row>
    <row r="1084" spans="1:42" customHeight="1" ht="11.5">
      <c r="A1084" s="5"/>
      <c r="B1084" s="173"/>
      <c r="C1084" s="167"/>
      <c r="D1084" s="88"/>
      <c r="E1084" s="174"/>
      <c r="F1084" s="9"/>
      <c r="G1084" s="10"/>
      <c r="H1084" s="9"/>
      <c r="I1084" s="10"/>
      <c r="J1084" s="152"/>
      <c r="K1084" s="10"/>
      <c r="L1084" s="152"/>
      <c r="M1084" s="10"/>
      <c r="N1084" s="152"/>
      <c r="O1084" s="10"/>
      <c r="P1084" s="152"/>
      <c r="Q1084" s="10"/>
      <c r="R1084" s="9"/>
      <c r="S1084" s="10"/>
      <c r="T1084" s="9"/>
      <c r="U1084" s="10"/>
      <c r="V1084" s="9"/>
      <c r="W1084" s="10"/>
      <c r="X1084" s="9"/>
      <c r="Y1084" s="10"/>
      <c r="Z1084" s="9"/>
      <c r="AA1084" s="10"/>
      <c r="AB1084" s="11"/>
      <c r="AC1084" s="10"/>
      <c r="AD1084" s="7">
        <f>SUM(F1084+H1084+J1084+L1084+N1084+P1084+R1084+T1084+V1084+X1084+Z1084+AB1084)</f>
        <v>0</v>
      </c>
      <c r="AE1084" s="7">
        <f>E1084+AD1084</f>
        <v>0</v>
      </c>
      <c r="AF1084" s="8">
        <f>G1084+I1084+K1084+M1084+O1084+Q1084+S1084+U1084+W1084+Y1084+AA1084+AC1084</f>
        <v>0</v>
      </c>
      <c r="AG1084" s="153">
        <f>SUM(AE1084-AF1084)</f>
        <v>0</v>
      </c>
    </row>
    <row r="1085" spans="1:42" customHeight="1" ht="11.5">
      <c r="A1085" s="5"/>
      <c r="B1085" s="173"/>
      <c r="C1085" s="167"/>
      <c r="D1085" s="88"/>
      <c r="E1085" s="174"/>
      <c r="F1085" s="9"/>
      <c r="G1085" s="10"/>
      <c r="H1085" s="9"/>
      <c r="I1085" s="10"/>
      <c r="J1085" s="152"/>
      <c r="K1085" s="10"/>
      <c r="L1085" s="152"/>
      <c r="M1085" s="10"/>
      <c r="N1085" s="152"/>
      <c r="O1085" s="10"/>
      <c r="P1085" s="152"/>
      <c r="Q1085" s="10"/>
      <c r="R1085" s="9"/>
      <c r="S1085" s="10"/>
      <c r="T1085" s="9"/>
      <c r="U1085" s="10"/>
      <c r="V1085" s="9"/>
      <c r="W1085" s="10"/>
      <c r="X1085" s="9"/>
      <c r="Y1085" s="10"/>
      <c r="Z1085" s="9"/>
      <c r="AA1085" s="10"/>
      <c r="AB1085" s="11"/>
      <c r="AC1085" s="10"/>
      <c r="AD1085" s="7">
        <f>SUM(F1085+H1085+J1085+L1085+N1085+P1085+R1085+T1085+V1085+X1085+Z1085+AB1085)</f>
        <v>0</v>
      </c>
      <c r="AE1085" s="7">
        <f>E1085+AD1085</f>
        <v>0</v>
      </c>
      <c r="AF1085" s="8">
        <f>G1085+I1085+K1085+M1085+O1085+Q1085+S1085+U1085+W1085+Y1085+AA1085+AC1085</f>
        <v>0</v>
      </c>
      <c r="AG1085" s="153">
        <f>SUM(AE1085-AF1085)</f>
        <v>0</v>
      </c>
    </row>
    <row r="1086" spans="1:42" customHeight="1" ht="11.5">
      <c r="A1086" s="5"/>
      <c r="B1086" s="173"/>
      <c r="C1086" s="167"/>
      <c r="D1086" s="88"/>
      <c r="E1086" s="174"/>
      <c r="F1086" s="9"/>
      <c r="G1086" s="10"/>
      <c r="H1086" s="9"/>
      <c r="I1086" s="10"/>
      <c r="J1086" s="152"/>
      <c r="K1086" s="10"/>
      <c r="L1086" s="152"/>
      <c r="M1086" s="10"/>
      <c r="N1086" s="152"/>
      <c r="O1086" s="10"/>
      <c r="P1086" s="152"/>
      <c r="Q1086" s="10"/>
      <c r="R1086" s="9"/>
      <c r="S1086" s="10"/>
      <c r="T1086" s="9"/>
      <c r="U1086" s="10"/>
      <c r="V1086" s="9"/>
      <c r="W1086" s="10"/>
      <c r="X1086" s="9"/>
      <c r="Y1086" s="10"/>
      <c r="Z1086" s="9"/>
      <c r="AA1086" s="10"/>
      <c r="AB1086" s="11"/>
      <c r="AC1086" s="10"/>
      <c r="AD1086" s="7">
        <f>SUM(F1086+H1086+J1086+L1086+N1086+P1086+R1086+T1086+V1086+X1086+Z1086+AB1086)</f>
        <v>0</v>
      </c>
      <c r="AE1086" s="7">
        <f>E1086+AD1086</f>
        <v>0</v>
      </c>
      <c r="AF1086" s="8">
        <f>G1086+I1086+K1086+M1086+O1086+Q1086+S1086+U1086+W1086+Y1086+AA1086+AC1086</f>
        <v>0</v>
      </c>
      <c r="AG1086" s="153">
        <f>SUM(AE1086-AF1086)</f>
        <v>0</v>
      </c>
    </row>
    <row r="1087" spans="1:42" customHeight="1" ht="11.5">
      <c r="A1087" s="5"/>
      <c r="B1087" s="173"/>
      <c r="C1087" s="167"/>
      <c r="D1087" s="88"/>
      <c r="E1087" s="174"/>
      <c r="F1087" s="9"/>
      <c r="G1087" s="10"/>
      <c r="H1087" s="9"/>
      <c r="I1087" s="10"/>
      <c r="J1087" s="152"/>
      <c r="K1087" s="10"/>
      <c r="L1087" s="152"/>
      <c r="M1087" s="10"/>
      <c r="N1087" s="152"/>
      <c r="O1087" s="10"/>
      <c r="P1087" s="152"/>
      <c r="Q1087" s="10"/>
      <c r="R1087" s="9"/>
      <c r="S1087" s="10"/>
      <c r="T1087" s="9"/>
      <c r="U1087" s="10"/>
      <c r="V1087" s="9"/>
      <c r="W1087" s="10"/>
      <c r="X1087" s="9"/>
      <c r="Y1087" s="10"/>
      <c r="Z1087" s="9"/>
      <c r="AA1087" s="10"/>
      <c r="AB1087" s="11"/>
      <c r="AC1087" s="10"/>
      <c r="AD1087" s="7">
        <f>SUM(F1087+H1087+J1087+L1087+N1087+P1087+R1087+T1087+V1087+X1087+Z1087+AB1087)</f>
        <v>0</v>
      </c>
      <c r="AE1087" s="7">
        <f>E1087+AD1087</f>
        <v>0</v>
      </c>
      <c r="AF1087" s="8">
        <f>G1087+I1087+K1087+M1087+O1087+Q1087+S1087+U1087+W1087+Y1087+AA1087+AC1087</f>
        <v>0</v>
      </c>
      <c r="AG1087" s="153">
        <f>SUM(AE1087-AF1087)</f>
        <v>0</v>
      </c>
    </row>
    <row r="1088" spans="1:42" customHeight="1" ht="11.5">
      <c r="A1088" s="5"/>
      <c r="B1088" s="173"/>
      <c r="C1088" s="167"/>
      <c r="D1088" s="88"/>
      <c r="E1088" s="174"/>
      <c r="F1088" s="9"/>
      <c r="G1088" s="10"/>
      <c r="H1088" s="9"/>
      <c r="I1088" s="10"/>
      <c r="J1088" s="152"/>
      <c r="K1088" s="10"/>
      <c r="L1088" s="152"/>
      <c r="M1088" s="10"/>
      <c r="N1088" s="152"/>
      <c r="O1088" s="10"/>
      <c r="P1088" s="152"/>
      <c r="Q1088" s="10"/>
      <c r="R1088" s="9"/>
      <c r="S1088" s="10"/>
      <c r="T1088" s="9"/>
      <c r="U1088" s="10"/>
      <c r="V1088" s="9"/>
      <c r="W1088" s="10"/>
      <c r="X1088" s="9"/>
      <c r="Y1088" s="10"/>
      <c r="Z1088" s="9"/>
      <c r="AA1088" s="10"/>
      <c r="AB1088" s="11"/>
      <c r="AC1088" s="10"/>
      <c r="AD1088" s="7">
        <f>SUM(F1088+H1088+J1088+L1088+N1088+P1088+R1088+T1088+V1088+X1088+Z1088+AB1088)</f>
        <v>0</v>
      </c>
      <c r="AE1088" s="7">
        <f>E1088+AD1088</f>
        <v>0</v>
      </c>
      <c r="AF1088" s="8">
        <f>G1088+I1088+K1088+M1088+O1088+Q1088+S1088+U1088+W1088+Y1088+AA1088+AC1088</f>
        <v>0</v>
      </c>
      <c r="AG1088" s="153">
        <f>SUM(AE1088-AF1088)</f>
        <v>0</v>
      </c>
    </row>
    <row r="1089" spans="1:42" customHeight="1" ht="11.5">
      <c r="A1089" s="5"/>
      <c r="B1089" s="173"/>
      <c r="C1089" s="167"/>
      <c r="D1089" s="88"/>
      <c r="E1089" s="174"/>
      <c r="F1089" s="9"/>
      <c r="G1089" s="10"/>
      <c r="H1089" s="9"/>
      <c r="I1089" s="10"/>
      <c r="J1089" s="152"/>
      <c r="K1089" s="10"/>
      <c r="L1089" s="152"/>
      <c r="M1089" s="10"/>
      <c r="N1089" s="152"/>
      <c r="O1089" s="10"/>
      <c r="P1089" s="152"/>
      <c r="Q1089" s="10"/>
      <c r="R1089" s="9"/>
      <c r="S1089" s="10"/>
      <c r="T1089" s="9"/>
      <c r="U1089" s="10"/>
      <c r="V1089" s="9"/>
      <c r="W1089" s="10"/>
      <c r="X1089" s="9"/>
      <c r="Y1089" s="10"/>
      <c r="Z1089" s="9"/>
      <c r="AA1089" s="10"/>
      <c r="AB1089" s="11"/>
      <c r="AC1089" s="10"/>
      <c r="AD1089" s="7">
        <f>SUM(F1089+H1089+J1089+L1089+N1089+P1089+R1089+T1089+V1089+X1089+Z1089+AB1089)</f>
        <v>0</v>
      </c>
      <c r="AE1089" s="7">
        <f>E1089+AD1089</f>
        <v>0</v>
      </c>
      <c r="AF1089" s="8">
        <f>G1089+I1089+K1089+M1089+O1089+Q1089+S1089+U1089+W1089+Y1089+AA1089+AC1089</f>
        <v>0</v>
      </c>
      <c r="AG1089" s="153">
        <f>SUM(AE1089-AF1089)</f>
        <v>0</v>
      </c>
    </row>
    <row r="1090" spans="1:42" customHeight="1" ht="11.5">
      <c r="A1090" s="5"/>
      <c r="B1090" s="173"/>
      <c r="C1090" s="167"/>
      <c r="D1090" s="88"/>
      <c r="E1090" s="174"/>
      <c r="F1090" s="9"/>
      <c r="G1090" s="10"/>
      <c r="H1090" s="9"/>
      <c r="I1090" s="10"/>
      <c r="J1090" s="152"/>
      <c r="K1090" s="10"/>
      <c r="L1090" s="152"/>
      <c r="M1090" s="10"/>
      <c r="N1090" s="152"/>
      <c r="O1090" s="10"/>
      <c r="P1090" s="152"/>
      <c r="Q1090" s="10"/>
      <c r="R1090" s="9"/>
      <c r="S1090" s="10"/>
      <c r="T1090" s="9"/>
      <c r="U1090" s="10"/>
      <c r="V1090" s="9"/>
      <c r="W1090" s="10"/>
      <c r="X1090" s="9"/>
      <c r="Y1090" s="10"/>
      <c r="Z1090" s="9"/>
      <c r="AA1090" s="10"/>
      <c r="AB1090" s="11"/>
      <c r="AC1090" s="10"/>
      <c r="AD1090" s="7">
        <f>SUM(F1090+H1090+J1090+L1090+N1090+P1090+R1090+T1090+V1090+X1090+Z1090+AB1090)</f>
        <v>0</v>
      </c>
      <c r="AE1090" s="7">
        <f>E1090+AD1090</f>
        <v>0</v>
      </c>
      <c r="AF1090" s="8">
        <f>G1090+I1090+K1090+M1090+O1090+Q1090+S1090+U1090+W1090+Y1090+AA1090+AC1090</f>
        <v>0</v>
      </c>
      <c r="AG1090" s="153">
        <f>SUM(AE1090-AF1090)</f>
        <v>0</v>
      </c>
    </row>
    <row r="1091" spans="1:42" customHeight="1" ht="11.5">
      <c r="A1091" s="5"/>
      <c r="B1091" s="173"/>
      <c r="C1091" s="167"/>
      <c r="D1091" s="88"/>
      <c r="E1091" s="174"/>
      <c r="F1091" s="9"/>
      <c r="G1091" s="10"/>
      <c r="H1091" s="9"/>
      <c r="I1091" s="10"/>
      <c r="J1091" s="152"/>
      <c r="K1091" s="10"/>
      <c r="L1091" s="152"/>
      <c r="M1091" s="10"/>
      <c r="N1091" s="152"/>
      <c r="O1091" s="10"/>
      <c r="P1091" s="152"/>
      <c r="Q1091" s="10"/>
      <c r="R1091" s="9"/>
      <c r="S1091" s="10"/>
      <c r="T1091" s="9"/>
      <c r="U1091" s="10"/>
      <c r="V1091" s="9"/>
      <c r="W1091" s="10"/>
      <c r="X1091" s="9"/>
      <c r="Y1091" s="10"/>
      <c r="Z1091" s="9"/>
      <c r="AA1091" s="10"/>
      <c r="AB1091" s="11"/>
      <c r="AC1091" s="10"/>
      <c r="AD1091" s="7">
        <f>SUM(F1091+H1091+J1091+L1091+N1091+P1091+R1091+T1091+V1091+X1091+Z1091+AB1091)</f>
        <v>0</v>
      </c>
      <c r="AE1091" s="7">
        <f>E1091+AD1091</f>
        <v>0</v>
      </c>
      <c r="AF1091" s="8">
        <f>G1091+I1091+K1091+M1091+O1091+Q1091+S1091+U1091+W1091+Y1091+AA1091+AC1091</f>
        <v>0</v>
      </c>
      <c r="AG1091" s="153">
        <f>SUM(AE1091-AF1091)</f>
        <v>0</v>
      </c>
    </row>
    <row r="1092" spans="1:42" customHeight="1" ht="11.5">
      <c r="A1092" s="5"/>
      <c r="B1092" s="173"/>
      <c r="C1092" s="167"/>
      <c r="D1092" s="88"/>
      <c r="E1092" s="174"/>
      <c r="F1092" s="9"/>
      <c r="G1092" s="10"/>
      <c r="H1092" s="9"/>
      <c r="I1092" s="10"/>
      <c r="J1092" s="152"/>
      <c r="K1092" s="10"/>
      <c r="L1092" s="152"/>
      <c r="M1092" s="10"/>
      <c r="N1092" s="152"/>
      <c r="O1092" s="10"/>
      <c r="P1092" s="152"/>
      <c r="Q1092" s="10"/>
      <c r="R1092" s="9"/>
      <c r="S1092" s="10"/>
      <c r="T1092" s="9"/>
      <c r="U1092" s="10"/>
      <c r="V1092" s="9"/>
      <c r="W1092" s="10"/>
      <c r="X1092" s="9"/>
      <c r="Y1092" s="10"/>
      <c r="Z1092" s="9"/>
      <c r="AA1092" s="10"/>
      <c r="AB1092" s="11"/>
      <c r="AC1092" s="10"/>
      <c r="AD1092" s="7">
        <f>SUM(F1092+H1092+J1092+L1092+N1092+P1092+R1092+T1092+V1092+X1092+Z1092+AB1092)</f>
        <v>0</v>
      </c>
      <c r="AE1092" s="7">
        <f>E1092+AD1092</f>
        <v>0</v>
      </c>
      <c r="AF1092" s="8">
        <f>G1092+I1092+K1092+M1092+O1092+Q1092+S1092+U1092+W1092+Y1092+AA1092+AC1092</f>
        <v>0</v>
      </c>
      <c r="AG1092" s="153">
        <f>SUM(AE1092-AF1092)</f>
        <v>0</v>
      </c>
    </row>
    <row r="1093" spans="1:42" customHeight="1" ht="11.5">
      <c r="A1093" s="5"/>
      <c r="B1093" s="173"/>
      <c r="C1093" s="167"/>
      <c r="D1093" s="88"/>
      <c r="E1093" s="174"/>
      <c r="F1093" s="9"/>
      <c r="G1093" s="10"/>
      <c r="H1093" s="9"/>
      <c r="I1093" s="10"/>
      <c r="J1093" s="152"/>
      <c r="K1093" s="10"/>
      <c r="L1093" s="152"/>
      <c r="M1093" s="10"/>
      <c r="N1093" s="152"/>
      <c r="O1093" s="10"/>
      <c r="P1093" s="152"/>
      <c r="Q1093" s="10"/>
      <c r="R1093" s="9"/>
      <c r="S1093" s="10"/>
      <c r="T1093" s="9"/>
      <c r="U1093" s="10"/>
      <c r="V1093" s="9"/>
      <c r="W1093" s="10"/>
      <c r="X1093" s="9"/>
      <c r="Y1093" s="10"/>
      <c r="Z1093" s="9"/>
      <c r="AA1093" s="10"/>
      <c r="AB1093" s="11"/>
      <c r="AC1093" s="10"/>
      <c r="AD1093" s="7">
        <f>SUM(F1093+H1093+J1093+L1093+N1093+P1093+R1093+T1093+V1093+X1093+Z1093+AB1093)</f>
        <v>0</v>
      </c>
      <c r="AE1093" s="7">
        <f>E1093+AD1093</f>
        <v>0</v>
      </c>
      <c r="AF1093" s="8">
        <f>G1093+I1093+K1093+M1093+O1093+Q1093+S1093+U1093+W1093+Y1093+AA1093+AC1093</f>
        <v>0</v>
      </c>
      <c r="AG1093" s="153">
        <f>SUM(AE1093-AF1093)</f>
        <v>0</v>
      </c>
    </row>
    <row r="1094" spans="1:42" customHeight="1" ht="11.5">
      <c r="A1094" s="5"/>
      <c r="B1094" s="173"/>
      <c r="C1094" s="167"/>
      <c r="D1094" s="88"/>
      <c r="E1094" s="174"/>
      <c r="F1094" s="9"/>
      <c r="G1094" s="10"/>
      <c r="H1094" s="9"/>
      <c r="I1094" s="10"/>
      <c r="J1094" s="152"/>
      <c r="K1094" s="10"/>
      <c r="L1094" s="152"/>
      <c r="M1094" s="10"/>
      <c r="N1094" s="152"/>
      <c r="O1094" s="10"/>
      <c r="P1094" s="152"/>
      <c r="Q1094" s="10"/>
      <c r="R1094" s="9"/>
      <c r="S1094" s="10"/>
      <c r="T1094" s="9"/>
      <c r="U1094" s="10"/>
      <c r="V1094" s="9"/>
      <c r="W1094" s="10"/>
      <c r="X1094" s="9"/>
      <c r="Y1094" s="10"/>
      <c r="Z1094" s="9"/>
      <c r="AA1094" s="10"/>
      <c r="AB1094" s="11"/>
      <c r="AC1094" s="10"/>
      <c r="AD1094" s="7">
        <f>SUM(F1094+H1094+J1094+L1094+N1094+P1094+R1094+T1094+V1094+X1094+Z1094+AB1094)</f>
        <v>0</v>
      </c>
      <c r="AE1094" s="7">
        <f>E1094+AD1094</f>
        <v>0</v>
      </c>
      <c r="AF1094" s="8">
        <f>G1094+I1094+K1094+M1094+O1094+Q1094+S1094+U1094+W1094+Y1094+AA1094+AC1094</f>
        <v>0</v>
      </c>
      <c r="AG1094" s="153">
        <f>SUM(AE1094-AF1094)</f>
        <v>0</v>
      </c>
    </row>
    <row r="1095" spans="1:42" customHeight="1" ht="11.5">
      <c r="A1095" s="5"/>
      <c r="B1095" s="173"/>
      <c r="C1095" s="167"/>
      <c r="D1095" s="88"/>
      <c r="E1095" s="174"/>
      <c r="F1095" s="9"/>
      <c r="G1095" s="10"/>
      <c r="H1095" s="9"/>
      <c r="I1095" s="10"/>
      <c r="J1095" s="152"/>
      <c r="K1095" s="10"/>
      <c r="L1095" s="152"/>
      <c r="M1095" s="10"/>
      <c r="N1095" s="152"/>
      <c r="O1095" s="10"/>
      <c r="P1095" s="152"/>
      <c r="Q1095" s="10"/>
      <c r="R1095" s="9"/>
      <c r="S1095" s="10"/>
      <c r="T1095" s="9"/>
      <c r="U1095" s="10"/>
      <c r="V1095" s="9"/>
      <c r="W1095" s="10"/>
      <c r="X1095" s="9"/>
      <c r="Y1095" s="10"/>
      <c r="Z1095" s="9"/>
      <c r="AA1095" s="10"/>
      <c r="AB1095" s="11"/>
      <c r="AC1095" s="10"/>
      <c r="AD1095" s="7">
        <f>SUM(F1095+H1095+J1095+L1095+N1095+P1095+R1095+T1095+V1095+X1095+Z1095+AB1095)</f>
        <v>0</v>
      </c>
      <c r="AE1095" s="7">
        <f>E1095+AD1095</f>
        <v>0</v>
      </c>
      <c r="AF1095" s="8">
        <f>G1095+I1095+K1095+M1095+O1095+Q1095+S1095+U1095+W1095+Y1095+AA1095+AC1095</f>
        <v>0</v>
      </c>
      <c r="AG1095" s="153">
        <f>SUM(AE1095-AF1095)</f>
        <v>0</v>
      </c>
    </row>
    <row r="1096" spans="1:42" customHeight="1" ht="11.5">
      <c r="A1096" s="5"/>
      <c r="B1096" s="173"/>
      <c r="C1096" s="167"/>
      <c r="D1096" s="88"/>
      <c r="E1096" s="174"/>
      <c r="F1096" s="9"/>
      <c r="G1096" s="10"/>
      <c r="H1096" s="9"/>
      <c r="I1096" s="10"/>
      <c r="J1096" s="152"/>
      <c r="K1096" s="10"/>
      <c r="L1096" s="152"/>
      <c r="M1096" s="10"/>
      <c r="N1096" s="152"/>
      <c r="O1096" s="10"/>
      <c r="P1096" s="152"/>
      <c r="Q1096" s="10"/>
      <c r="R1096" s="9"/>
      <c r="S1096" s="10"/>
      <c r="T1096" s="9"/>
      <c r="U1096" s="10"/>
      <c r="V1096" s="9"/>
      <c r="W1096" s="10"/>
      <c r="X1096" s="9"/>
      <c r="Y1096" s="10"/>
      <c r="Z1096" s="9"/>
      <c r="AA1096" s="10"/>
      <c r="AB1096" s="11"/>
      <c r="AC1096" s="10"/>
      <c r="AD1096" s="7">
        <f>SUM(F1096+H1096+J1096+L1096+N1096+P1096+R1096+T1096+V1096+X1096+Z1096+AB1096)</f>
        <v>0</v>
      </c>
      <c r="AE1096" s="7">
        <f>E1096+AD1096</f>
        <v>0</v>
      </c>
      <c r="AF1096" s="8">
        <f>G1096+I1096+K1096+M1096+O1096+Q1096+S1096+U1096+W1096+Y1096+AA1096+AC1096</f>
        <v>0</v>
      </c>
      <c r="AG1096" s="153">
        <f>SUM(AE1096-AF1096)</f>
        <v>0</v>
      </c>
    </row>
    <row r="1097" spans="1:42" customHeight="1" ht="11.5">
      <c r="A1097" s="5"/>
      <c r="B1097" s="173"/>
      <c r="C1097" s="167"/>
      <c r="D1097" s="88"/>
      <c r="E1097" s="174"/>
      <c r="F1097" s="9"/>
      <c r="G1097" s="10"/>
      <c r="H1097" s="9"/>
      <c r="I1097" s="10"/>
      <c r="J1097" s="152"/>
      <c r="K1097" s="10"/>
      <c r="L1097" s="152"/>
      <c r="M1097" s="10"/>
      <c r="N1097" s="152"/>
      <c r="O1097" s="10"/>
      <c r="P1097" s="152"/>
      <c r="Q1097" s="10"/>
      <c r="R1097" s="9"/>
      <c r="S1097" s="10"/>
      <c r="T1097" s="9"/>
      <c r="U1097" s="10"/>
      <c r="V1097" s="9"/>
      <c r="W1097" s="10"/>
      <c r="X1097" s="9"/>
      <c r="Y1097" s="10"/>
      <c r="Z1097" s="9"/>
      <c r="AA1097" s="10"/>
      <c r="AB1097" s="11"/>
      <c r="AC1097" s="10"/>
      <c r="AD1097" s="7">
        <f>SUM(F1097+H1097+J1097+L1097+N1097+P1097+R1097+T1097+V1097+X1097+Z1097+AB1097)</f>
        <v>0</v>
      </c>
      <c r="AE1097" s="7">
        <f>E1097+AD1097</f>
        <v>0</v>
      </c>
      <c r="AF1097" s="8">
        <f>G1097+I1097+K1097+M1097+O1097+Q1097+S1097+U1097+W1097+Y1097+AA1097+AC1097</f>
        <v>0</v>
      </c>
      <c r="AG1097" s="153">
        <f>SUM(AE1097-AF1097)</f>
        <v>0</v>
      </c>
    </row>
    <row r="1098" spans="1:42" customHeight="1" ht="11.5">
      <c r="A1098" s="5"/>
      <c r="B1098" s="173"/>
      <c r="C1098" s="167"/>
      <c r="D1098" s="88"/>
      <c r="E1098" s="174"/>
      <c r="F1098" s="9"/>
      <c r="G1098" s="10"/>
      <c r="H1098" s="9"/>
      <c r="I1098" s="10"/>
      <c r="J1098" s="152"/>
      <c r="K1098" s="10"/>
      <c r="L1098" s="152"/>
      <c r="M1098" s="10"/>
      <c r="N1098" s="152"/>
      <c r="O1098" s="10"/>
      <c r="P1098" s="152"/>
      <c r="Q1098" s="10"/>
      <c r="R1098" s="9"/>
      <c r="S1098" s="10"/>
      <c r="T1098" s="9"/>
      <c r="U1098" s="10"/>
      <c r="V1098" s="9"/>
      <c r="W1098" s="10"/>
      <c r="X1098" s="9"/>
      <c r="Y1098" s="10"/>
      <c r="Z1098" s="9"/>
      <c r="AA1098" s="10"/>
      <c r="AB1098" s="11"/>
      <c r="AC1098" s="10"/>
      <c r="AD1098" s="7">
        <f>SUM(F1098+H1098+J1098+L1098+N1098+P1098+R1098+T1098+V1098+X1098+Z1098+AB1098)</f>
        <v>0</v>
      </c>
      <c r="AE1098" s="7">
        <f>E1098+AD1098</f>
        <v>0</v>
      </c>
      <c r="AF1098" s="8">
        <f>G1098+I1098+K1098+M1098+O1098+Q1098+S1098+U1098+W1098+Y1098+AA1098+AC1098</f>
        <v>0</v>
      </c>
      <c r="AG1098" s="153">
        <f>SUM(AE1098-AF1098)</f>
        <v>0</v>
      </c>
    </row>
    <row r="1099" spans="1:42" customHeight="1" ht="11.5">
      <c r="A1099" s="5"/>
      <c r="B1099" s="173"/>
      <c r="C1099" s="167"/>
      <c r="D1099" s="88"/>
      <c r="E1099" s="174"/>
      <c r="F1099" s="9"/>
      <c r="G1099" s="10"/>
      <c r="H1099" s="9"/>
      <c r="I1099" s="10"/>
      <c r="J1099" s="152"/>
      <c r="K1099" s="10"/>
      <c r="L1099" s="152"/>
      <c r="M1099" s="10"/>
      <c r="N1099" s="152"/>
      <c r="O1099" s="10"/>
      <c r="P1099" s="152"/>
      <c r="Q1099" s="10"/>
      <c r="R1099" s="9"/>
      <c r="S1099" s="10"/>
      <c r="T1099" s="9"/>
      <c r="U1099" s="10"/>
      <c r="V1099" s="9"/>
      <c r="W1099" s="10"/>
      <c r="X1099" s="9"/>
      <c r="Y1099" s="10"/>
      <c r="Z1099" s="9"/>
      <c r="AA1099" s="10"/>
      <c r="AB1099" s="11"/>
      <c r="AC1099" s="10"/>
      <c r="AD1099" s="7">
        <f>SUM(F1099+H1099+J1099+L1099+N1099+P1099+R1099+T1099+V1099+X1099+Z1099+AB1099)</f>
        <v>0</v>
      </c>
      <c r="AE1099" s="7">
        <f>E1099+AD1099</f>
        <v>0</v>
      </c>
      <c r="AF1099" s="8">
        <f>G1099+I1099+K1099+M1099+O1099+Q1099+S1099+U1099+W1099+Y1099+AA1099+AC1099</f>
        <v>0</v>
      </c>
      <c r="AG1099" s="153">
        <f>SUM(AE1099-AF1099)</f>
        <v>0</v>
      </c>
    </row>
    <row r="1100" spans="1:42" customHeight="1" ht="11.5">
      <c r="A1100" s="5"/>
      <c r="B1100" s="173"/>
      <c r="C1100" s="167"/>
      <c r="D1100" s="88"/>
      <c r="E1100" s="174"/>
      <c r="F1100" s="9"/>
      <c r="G1100" s="10"/>
      <c r="H1100" s="9"/>
      <c r="I1100" s="10"/>
      <c r="J1100" s="152"/>
      <c r="K1100" s="10"/>
      <c r="L1100" s="152"/>
      <c r="M1100" s="10"/>
      <c r="N1100" s="152"/>
      <c r="O1100" s="10"/>
      <c r="P1100" s="152"/>
      <c r="Q1100" s="10"/>
      <c r="R1100" s="9"/>
      <c r="S1100" s="10"/>
      <c r="T1100" s="9"/>
      <c r="U1100" s="10"/>
      <c r="V1100" s="9"/>
      <c r="W1100" s="10"/>
      <c r="X1100" s="9"/>
      <c r="Y1100" s="10"/>
      <c r="Z1100" s="9"/>
      <c r="AA1100" s="10"/>
      <c r="AB1100" s="11"/>
      <c r="AC1100" s="10"/>
      <c r="AD1100" s="7">
        <f>SUM(F1100+H1100+J1100+L1100+N1100+P1100+R1100+T1100+V1100+X1100+Z1100+AB1100)</f>
        <v>0</v>
      </c>
      <c r="AE1100" s="7">
        <f>E1100+AD1100</f>
        <v>0</v>
      </c>
      <c r="AF1100" s="8">
        <f>G1100+I1100+K1100+M1100+O1100+Q1100+S1100+U1100+W1100+Y1100+AA1100+AC1100</f>
        <v>0</v>
      </c>
      <c r="AG1100" s="153">
        <f>SUM(AE1100-AF1100)</f>
        <v>0</v>
      </c>
    </row>
    <row r="1101" spans="1:42" customHeight="1" ht="11.5">
      <c r="A1101" s="5"/>
      <c r="B1101" s="173"/>
      <c r="C1101" s="167"/>
      <c r="D1101" s="88"/>
      <c r="E1101" s="174"/>
      <c r="F1101" s="9"/>
      <c r="G1101" s="10"/>
      <c r="H1101" s="9"/>
      <c r="I1101" s="10"/>
      <c r="J1101" s="152"/>
      <c r="K1101" s="10"/>
      <c r="L1101" s="152"/>
      <c r="M1101" s="10"/>
      <c r="N1101" s="152"/>
      <c r="O1101" s="10"/>
      <c r="P1101" s="152"/>
      <c r="Q1101" s="10"/>
      <c r="R1101" s="9"/>
      <c r="S1101" s="10"/>
      <c r="T1101" s="9"/>
      <c r="U1101" s="10"/>
      <c r="V1101" s="9"/>
      <c r="W1101" s="10"/>
      <c r="X1101" s="9"/>
      <c r="Y1101" s="10"/>
      <c r="Z1101" s="9"/>
      <c r="AA1101" s="10"/>
      <c r="AB1101" s="11"/>
      <c r="AC1101" s="10"/>
      <c r="AD1101" s="7">
        <f>SUM(F1101+H1101+J1101+L1101+N1101+P1101+R1101+T1101+V1101+X1101+Z1101+AB1101)</f>
        <v>0</v>
      </c>
      <c r="AE1101" s="7">
        <f>E1101+AD1101</f>
        <v>0</v>
      </c>
      <c r="AF1101" s="8">
        <f>G1101+I1101+K1101+M1101+O1101+Q1101+S1101+U1101+W1101+Y1101+AA1101+AC1101</f>
        <v>0</v>
      </c>
      <c r="AG1101" s="153">
        <f>SUM(AE1101-AF1101)</f>
        <v>0</v>
      </c>
    </row>
    <row r="1102" spans="1:42" customHeight="1" ht="11.5">
      <c r="A1102" s="5"/>
      <c r="B1102" s="173"/>
      <c r="C1102" s="167"/>
      <c r="D1102" s="88"/>
      <c r="E1102" s="174"/>
      <c r="F1102" s="9"/>
      <c r="G1102" s="10"/>
      <c r="H1102" s="9"/>
      <c r="I1102" s="10"/>
      <c r="J1102" s="152"/>
      <c r="K1102" s="10"/>
      <c r="L1102" s="152"/>
      <c r="M1102" s="10"/>
      <c r="N1102" s="152"/>
      <c r="O1102" s="10"/>
      <c r="P1102" s="152"/>
      <c r="Q1102" s="10"/>
      <c r="R1102" s="9"/>
      <c r="S1102" s="10"/>
      <c r="T1102" s="9"/>
      <c r="U1102" s="10"/>
      <c r="V1102" s="9"/>
      <c r="W1102" s="10"/>
      <c r="X1102" s="9"/>
      <c r="Y1102" s="10"/>
      <c r="Z1102" s="9"/>
      <c r="AA1102" s="10"/>
      <c r="AB1102" s="11"/>
      <c r="AC1102" s="10"/>
      <c r="AD1102" s="7">
        <f>SUM(F1102+H1102+J1102+L1102+N1102+P1102+R1102+T1102+V1102+X1102+Z1102+AB1102)</f>
        <v>0</v>
      </c>
      <c r="AE1102" s="7">
        <f>E1102+AD1102</f>
        <v>0</v>
      </c>
      <c r="AF1102" s="8">
        <f>G1102+I1102+K1102+M1102+O1102+Q1102+S1102+U1102+W1102+Y1102+AA1102+AC1102</f>
        <v>0</v>
      </c>
      <c r="AG1102" s="153">
        <f>SUM(AE1102-AF1102)</f>
        <v>0</v>
      </c>
    </row>
    <row r="1103" spans="1:42" customHeight="1" ht="11.5">
      <c r="A1103" s="5"/>
      <c r="B1103" s="173"/>
      <c r="C1103" s="167"/>
      <c r="D1103" s="88"/>
      <c r="E1103" s="174"/>
      <c r="F1103" s="9"/>
      <c r="G1103" s="10"/>
      <c r="H1103" s="9"/>
      <c r="I1103" s="10"/>
      <c r="J1103" s="152"/>
      <c r="K1103" s="10"/>
      <c r="L1103" s="152"/>
      <c r="M1103" s="10"/>
      <c r="N1103" s="152"/>
      <c r="O1103" s="10"/>
      <c r="P1103" s="152"/>
      <c r="Q1103" s="10"/>
      <c r="R1103" s="9"/>
      <c r="S1103" s="10"/>
      <c r="T1103" s="9"/>
      <c r="U1103" s="10"/>
      <c r="V1103" s="9"/>
      <c r="W1103" s="10"/>
      <c r="X1103" s="9"/>
      <c r="Y1103" s="10"/>
      <c r="Z1103" s="9"/>
      <c r="AA1103" s="10"/>
      <c r="AB1103" s="11"/>
      <c r="AC1103" s="10"/>
      <c r="AD1103" s="7">
        <f>SUM(F1103+H1103+J1103+L1103+N1103+P1103+R1103+T1103+V1103+X1103+Z1103+AB1103)</f>
        <v>0</v>
      </c>
      <c r="AE1103" s="7">
        <f>E1103+AD1103</f>
        <v>0</v>
      </c>
      <c r="AF1103" s="8">
        <f>G1103+I1103+K1103+M1103+O1103+Q1103+S1103+U1103+W1103+Y1103+AA1103+AC1103</f>
        <v>0</v>
      </c>
      <c r="AG1103" s="153">
        <f>SUM(AE1103-AF1103)</f>
        <v>0</v>
      </c>
    </row>
    <row r="1104" spans="1:42" customHeight="1" ht="11.5">
      <c r="A1104" s="5"/>
      <c r="B1104" s="173"/>
      <c r="C1104" s="167"/>
      <c r="D1104" s="88"/>
      <c r="E1104" s="174"/>
      <c r="F1104" s="9"/>
      <c r="G1104" s="10"/>
      <c r="H1104" s="9"/>
      <c r="I1104" s="10"/>
      <c r="J1104" s="152"/>
      <c r="K1104" s="10"/>
      <c r="L1104" s="152"/>
      <c r="M1104" s="10"/>
      <c r="N1104" s="152"/>
      <c r="O1104" s="10"/>
      <c r="P1104" s="152"/>
      <c r="Q1104" s="10"/>
      <c r="R1104" s="9"/>
      <c r="S1104" s="10"/>
      <c r="T1104" s="9"/>
      <c r="U1104" s="10"/>
      <c r="V1104" s="9"/>
      <c r="W1104" s="10"/>
      <c r="X1104" s="9"/>
      <c r="Y1104" s="10"/>
      <c r="Z1104" s="9"/>
      <c r="AA1104" s="10"/>
      <c r="AB1104" s="11"/>
      <c r="AC1104" s="10"/>
      <c r="AD1104" s="7">
        <f>SUM(F1104+H1104+J1104+L1104+N1104+P1104+R1104+T1104+V1104+X1104+Z1104+AB1104)</f>
        <v>0</v>
      </c>
      <c r="AE1104" s="7">
        <f>E1104+AD1104</f>
        <v>0</v>
      </c>
      <c r="AF1104" s="8">
        <f>G1104+I1104+K1104+M1104+O1104+Q1104+S1104+U1104+W1104+Y1104+AA1104+AC1104</f>
        <v>0</v>
      </c>
      <c r="AG1104" s="153">
        <f>SUM(AE1104-AF1104)</f>
        <v>0</v>
      </c>
    </row>
    <row r="1105" spans="1:42" customHeight="1" ht="11.5">
      <c r="A1105" s="5"/>
      <c r="B1105" s="173"/>
      <c r="C1105" s="167"/>
      <c r="D1105" s="88"/>
      <c r="E1105" s="174"/>
      <c r="F1105" s="9"/>
      <c r="G1105" s="10"/>
      <c r="H1105" s="9"/>
      <c r="I1105" s="10"/>
      <c r="J1105" s="152"/>
      <c r="K1105" s="10"/>
      <c r="L1105" s="152"/>
      <c r="M1105" s="10"/>
      <c r="N1105" s="152"/>
      <c r="O1105" s="10"/>
      <c r="P1105" s="152"/>
      <c r="Q1105" s="10"/>
      <c r="R1105" s="9"/>
      <c r="S1105" s="10"/>
      <c r="T1105" s="9"/>
      <c r="U1105" s="10"/>
      <c r="V1105" s="9"/>
      <c r="W1105" s="10"/>
      <c r="X1105" s="9"/>
      <c r="Y1105" s="10"/>
      <c r="Z1105" s="9"/>
      <c r="AA1105" s="10"/>
      <c r="AB1105" s="11"/>
      <c r="AC1105" s="10"/>
      <c r="AD1105" s="7">
        <f>SUM(F1105+H1105+J1105+L1105+N1105+P1105+R1105+T1105+V1105+X1105+Z1105+AB1105)</f>
        <v>0</v>
      </c>
      <c r="AE1105" s="7">
        <f>E1105+AD1105</f>
        <v>0</v>
      </c>
      <c r="AF1105" s="8">
        <f>G1105+I1105+K1105+M1105+O1105+Q1105+S1105+U1105+W1105+Y1105+AA1105+AC1105</f>
        <v>0</v>
      </c>
      <c r="AG1105" s="153">
        <f>SUM(AE1105-AF1105)</f>
        <v>0</v>
      </c>
    </row>
    <row r="1106" spans="1:42" customHeight="1" ht="11.5">
      <c r="A1106" s="5"/>
      <c r="B1106" s="173"/>
      <c r="C1106" s="167"/>
      <c r="D1106" s="88"/>
      <c r="E1106" s="174"/>
      <c r="F1106" s="9"/>
      <c r="G1106" s="10"/>
      <c r="H1106" s="9"/>
      <c r="I1106" s="10"/>
      <c r="J1106" s="152"/>
      <c r="K1106" s="10"/>
      <c r="L1106" s="152"/>
      <c r="M1106" s="10"/>
      <c r="N1106" s="152"/>
      <c r="O1106" s="10"/>
      <c r="P1106" s="152"/>
      <c r="Q1106" s="10"/>
      <c r="R1106" s="9"/>
      <c r="S1106" s="10"/>
      <c r="T1106" s="9"/>
      <c r="U1106" s="10"/>
      <c r="V1106" s="9"/>
      <c r="W1106" s="10"/>
      <c r="X1106" s="9"/>
      <c r="Y1106" s="10"/>
      <c r="Z1106" s="9"/>
      <c r="AA1106" s="10"/>
      <c r="AB1106" s="11"/>
      <c r="AC1106" s="10"/>
      <c r="AD1106" s="7">
        <f>SUM(F1106+H1106+J1106+L1106+N1106+P1106+R1106+T1106+V1106+X1106+Z1106+AB1106)</f>
        <v>0</v>
      </c>
      <c r="AE1106" s="7">
        <f>E1106+AD1106</f>
        <v>0</v>
      </c>
      <c r="AF1106" s="8">
        <f>G1106+I1106+K1106+M1106+O1106+Q1106+S1106+U1106+W1106+Y1106+AA1106+AC1106</f>
        <v>0</v>
      </c>
      <c r="AG1106" s="153">
        <f>SUM(AE1106-AF1106)</f>
        <v>0</v>
      </c>
    </row>
    <row r="1107" spans="1:42" customHeight="1" ht="11.5">
      <c r="A1107" s="5"/>
      <c r="B1107" s="173"/>
      <c r="C1107" s="167"/>
      <c r="D1107" s="88"/>
      <c r="E1107" s="174"/>
      <c r="F1107" s="9"/>
      <c r="G1107" s="10"/>
      <c r="H1107" s="9"/>
      <c r="I1107" s="10"/>
      <c r="J1107" s="152"/>
      <c r="K1107" s="10"/>
      <c r="L1107" s="152"/>
      <c r="M1107" s="10"/>
      <c r="N1107" s="152"/>
      <c r="O1107" s="10"/>
      <c r="P1107" s="152"/>
      <c r="Q1107" s="10"/>
      <c r="R1107" s="9"/>
      <c r="S1107" s="10"/>
      <c r="T1107" s="9"/>
      <c r="U1107" s="10"/>
      <c r="V1107" s="9"/>
      <c r="W1107" s="10"/>
      <c r="X1107" s="9"/>
      <c r="Y1107" s="10"/>
      <c r="Z1107" s="9"/>
      <c r="AA1107" s="10"/>
      <c r="AB1107" s="11"/>
      <c r="AC1107" s="10"/>
      <c r="AD1107" s="7">
        <f>SUM(F1107+H1107+J1107+L1107+N1107+P1107+R1107+T1107+V1107+X1107+Z1107+AB1107)</f>
        <v>0</v>
      </c>
      <c r="AE1107" s="7">
        <f>E1107+AD1107</f>
        <v>0</v>
      </c>
      <c r="AF1107" s="8">
        <f>G1107+I1107+K1107+M1107+O1107+Q1107+S1107+U1107+W1107+Y1107+AA1107+AC1107</f>
        <v>0</v>
      </c>
      <c r="AG1107" s="153">
        <f>SUM(AE1107-AF1107)</f>
        <v>0</v>
      </c>
    </row>
    <row r="1108" spans="1:42" customHeight="1" ht="11.5">
      <c r="A1108" s="5"/>
      <c r="B1108" s="173"/>
      <c r="C1108" s="167"/>
      <c r="D1108" s="88"/>
      <c r="E1108" s="174"/>
      <c r="F1108" s="9"/>
      <c r="G1108" s="10"/>
      <c r="H1108" s="9"/>
      <c r="I1108" s="10"/>
      <c r="J1108" s="152"/>
      <c r="K1108" s="10"/>
      <c r="L1108" s="152"/>
      <c r="M1108" s="10"/>
      <c r="N1108" s="152"/>
      <c r="O1108" s="10"/>
      <c r="P1108" s="152"/>
      <c r="Q1108" s="10"/>
      <c r="R1108" s="9"/>
      <c r="S1108" s="10"/>
      <c r="T1108" s="9"/>
      <c r="U1108" s="10"/>
      <c r="V1108" s="9"/>
      <c r="W1108" s="10"/>
      <c r="X1108" s="9"/>
      <c r="Y1108" s="10"/>
      <c r="Z1108" s="9"/>
      <c r="AA1108" s="10"/>
      <c r="AB1108" s="11"/>
      <c r="AC1108" s="10"/>
      <c r="AD1108" s="7">
        <f>SUM(F1108+H1108+J1108+L1108+N1108+P1108+R1108+T1108+V1108+X1108+Z1108+AB1108)</f>
        <v>0</v>
      </c>
      <c r="AE1108" s="7">
        <f>E1108+AD1108</f>
        <v>0</v>
      </c>
      <c r="AF1108" s="8">
        <f>G1108+I1108+K1108+M1108+O1108+Q1108+S1108+U1108+W1108+Y1108+AA1108+AC1108</f>
        <v>0</v>
      </c>
      <c r="AG1108" s="153">
        <f>SUM(AE1108-AF1108)</f>
        <v>0</v>
      </c>
    </row>
    <row r="1109" spans="1:42" customHeight="1" ht="11.5">
      <c r="A1109" s="5"/>
      <c r="B1109" s="173"/>
      <c r="C1109" s="167"/>
      <c r="D1109" s="88"/>
      <c r="E1109" s="174"/>
      <c r="F1109" s="9"/>
      <c r="G1109" s="10"/>
      <c r="H1109" s="9"/>
      <c r="I1109" s="10"/>
      <c r="J1109" s="152"/>
      <c r="K1109" s="10"/>
      <c r="L1109" s="152"/>
      <c r="M1109" s="10"/>
      <c r="N1109" s="152"/>
      <c r="O1109" s="10"/>
      <c r="P1109" s="152"/>
      <c r="Q1109" s="10"/>
      <c r="R1109" s="9"/>
      <c r="S1109" s="10"/>
      <c r="T1109" s="9"/>
      <c r="U1109" s="10"/>
      <c r="V1109" s="9"/>
      <c r="W1109" s="10"/>
      <c r="X1109" s="9"/>
      <c r="Y1109" s="10"/>
      <c r="Z1109" s="9"/>
      <c r="AA1109" s="10"/>
      <c r="AB1109" s="11"/>
      <c r="AC1109" s="10"/>
      <c r="AD1109" s="7">
        <f>SUM(F1109+H1109+J1109+L1109+N1109+P1109+R1109+T1109+V1109+X1109+Z1109+AB1109)</f>
        <v>0</v>
      </c>
      <c r="AE1109" s="7">
        <f>E1109+AD1109</f>
        <v>0</v>
      </c>
      <c r="AF1109" s="8">
        <f>G1109+I1109+K1109+M1109+O1109+Q1109+S1109+U1109+W1109+Y1109+AA1109+AC1109</f>
        <v>0</v>
      </c>
      <c r="AG1109" s="153">
        <f>SUM(AE1109-AF1109)</f>
        <v>0</v>
      </c>
    </row>
    <row r="1110" spans="1:42" customHeight="1" ht="11.5">
      <c r="A1110" s="5"/>
      <c r="B1110" s="173"/>
      <c r="C1110" s="167"/>
      <c r="D1110" s="88"/>
      <c r="E1110" s="174"/>
      <c r="F1110" s="9"/>
      <c r="G1110" s="10"/>
      <c r="H1110" s="9"/>
      <c r="I1110" s="10"/>
      <c r="J1110" s="152"/>
      <c r="K1110" s="10"/>
      <c r="L1110" s="152"/>
      <c r="M1110" s="10"/>
      <c r="N1110" s="152"/>
      <c r="O1110" s="10"/>
      <c r="P1110" s="152"/>
      <c r="Q1110" s="10"/>
      <c r="R1110" s="9"/>
      <c r="S1110" s="10"/>
      <c r="T1110" s="9"/>
      <c r="U1110" s="10"/>
      <c r="V1110" s="9"/>
      <c r="W1110" s="10"/>
      <c r="X1110" s="9"/>
      <c r="Y1110" s="10"/>
      <c r="Z1110" s="9"/>
      <c r="AA1110" s="10"/>
      <c r="AB1110" s="11"/>
      <c r="AC1110" s="10"/>
      <c r="AD1110" s="7">
        <f>SUM(F1110+H1110+J1110+L1110+N1110+P1110+R1110+T1110+V1110+X1110+Z1110+AB1110)</f>
        <v>0</v>
      </c>
      <c r="AE1110" s="7">
        <f>E1110+AD1110</f>
        <v>0</v>
      </c>
      <c r="AF1110" s="8">
        <f>G1110+I1110+K1110+M1110+O1110+Q1110+S1110+U1110+W1110+Y1110+AA1110+AC1110</f>
        <v>0</v>
      </c>
      <c r="AG1110" s="153">
        <f>SUM(AE1110-AF1110)</f>
        <v>0</v>
      </c>
    </row>
    <row r="1111" spans="1:42" customHeight="1" ht="11.5">
      <c r="A1111" s="5"/>
      <c r="B1111" s="173"/>
      <c r="C1111" s="167"/>
      <c r="D1111" s="88"/>
      <c r="E1111" s="174"/>
      <c r="F1111" s="9"/>
      <c r="G1111" s="10"/>
      <c r="H1111" s="9"/>
      <c r="I1111" s="10"/>
      <c r="J1111" s="152"/>
      <c r="K1111" s="10"/>
      <c r="L1111" s="152"/>
      <c r="M1111" s="10"/>
      <c r="N1111" s="152"/>
      <c r="O1111" s="10"/>
      <c r="P1111" s="152"/>
      <c r="Q1111" s="10"/>
      <c r="R1111" s="9"/>
      <c r="S1111" s="10"/>
      <c r="T1111" s="9"/>
      <c r="U1111" s="10"/>
      <c r="V1111" s="9"/>
      <c r="W1111" s="10"/>
      <c r="X1111" s="9"/>
      <c r="Y1111" s="10"/>
      <c r="Z1111" s="9"/>
      <c r="AA1111" s="10"/>
      <c r="AB1111" s="11"/>
      <c r="AC1111" s="10"/>
      <c r="AD1111" s="7">
        <f>SUM(F1111+H1111+J1111+L1111+N1111+P1111+R1111+T1111+V1111+X1111+Z1111+AB1111)</f>
        <v>0</v>
      </c>
      <c r="AE1111" s="7">
        <f>E1111+AD1111</f>
        <v>0</v>
      </c>
      <c r="AF1111" s="8">
        <f>G1111+I1111+K1111+M1111+O1111+Q1111+S1111+U1111+W1111+Y1111+AA1111+AC1111</f>
        <v>0</v>
      </c>
      <c r="AG1111" s="153">
        <f>SUM(AE1111-AF1111)</f>
        <v>0</v>
      </c>
    </row>
    <row r="1112" spans="1:42" customHeight="1" ht="11.5">
      <c r="A1112" s="5"/>
      <c r="B1112" s="173"/>
      <c r="C1112" s="167"/>
      <c r="D1112" s="88"/>
      <c r="E1112" s="174"/>
      <c r="F1112" s="9"/>
      <c r="G1112" s="10"/>
      <c r="H1112" s="9"/>
      <c r="I1112" s="10"/>
      <c r="J1112" s="152"/>
      <c r="K1112" s="10"/>
      <c r="L1112" s="152"/>
      <c r="M1112" s="10"/>
      <c r="N1112" s="152"/>
      <c r="O1112" s="10"/>
      <c r="P1112" s="152"/>
      <c r="Q1112" s="10"/>
      <c r="R1112" s="9"/>
      <c r="S1112" s="10"/>
      <c r="T1112" s="9"/>
      <c r="U1112" s="10"/>
      <c r="V1112" s="9"/>
      <c r="W1112" s="10"/>
      <c r="X1112" s="9"/>
      <c r="Y1112" s="10"/>
      <c r="Z1112" s="9"/>
      <c r="AA1112" s="10"/>
      <c r="AB1112" s="11"/>
      <c r="AC1112" s="10"/>
      <c r="AD1112" s="7">
        <f>SUM(F1112+H1112+J1112+L1112+N1112+P1112+R1112+T1112+V1112+X1112+Z1112+AB1112)</f>
        <v>0</v>
      </c>
      <c r="AE1112" s="7">
        <f>E1112+AD1112</f>
        <v>0</v>
      </c>
      <c r="AF1112" s="8">
        <f>G1112+I1112+K1112+M1112+O1112+Q1112+S1112+U1112+W1112+Y1112+AA1112+AC1112</f>
        <v>0</v>
      </c>
      <c r="AG1112" s="153">
        <f>SUM(AE1112-AF1112)</f>
        <v>0</v>
      </c>
    </row>
    <row r="1113" spans="1:42" customHeight="1" ht="11.5">
      <c r="A1113" s="5"/>
      <c r="B1113" s="173"/>
      <c r="C1113" s="167"/>
      <c r="D1113" s="88"/>
      <c r="E1113" s="174"/>
      <c r="F1113" s="9"/>
      <c r="G1113" s="10"/>
      <c r="H1113" s="9"/>
      <c r="I1113" s="10"/>
      <c r="J1113" s="152"/>
      <c r="K1113" s="10"/>
      <c r="L1113" s="152"/>
      <c r="M1113" s="10"/>
      <c r="N1113" s="152"/>
      <c r="O1113" s="10"/>
      <c r="P1113" s="152"/>
      <c r="Q1113" s="10"/>
      <c r="R1113" s="9"/>
      <c r="S1113" s="10"/>
      <c r="T1113" s="9"/>
      <c r="U1113" s="10"/>
      <c r="V1113" s="9"/>
      <c r="W1113" s="10"/>
      <c r="X1113" s="9"/>
      <c r="Y1113" s="10"/>
      <c r="Z1113" s="9"/>
      <c r="AA1113" s="10"/>
      <c r="AB1113" s="11"/>
      <c r="AC1113" s="10"/>
      <c r="AD1113" s="7">
        <f>SUM(F1113+H1113+J1113+L1113+N1113+P1113+R1113+T1113+V1113+X1113+Z1113+AB1113)</f>
        <v>0</v>
      </c>
      <c r="AE1113" s="7">
        <f>E1113+AD1113</f>
        <v>0</v>
      </c>
      <c r="AF1113" s="8">
        <f>G1113+I1113+K1113+M1113+O1113+Q1113+S1113+U1113+W1113+Y1113+AA1113+AC1113</f>
        <v>0</v>
      </c>
      <c r="AG1113" s="153">
        <f>SUM(AE1113-AF1113)</f>
        <v>0</v>
      </c>
    </row>
    <row r="1114" spans="1:42" customHeight="1" ht="11.5">
      <c r="A1114" s="5"/>
      <c r="B1114" s="173"/>
      <c r="C1114" s="167"/>
      <c r="D1114" s="88"/>
      <c r="E1114" s="174"/>
      <c r="F1114" s="9"/>
      <c r="G1114" s="10"/>
      <c r="H1114" s="9"/>
      <c r="I1114" s="10"/>
      <c r="J1114" s="152"/>
      <c r="K1114" s="10"/>
      <c r="L1114" s="152"/>
      <c r="M1114" s="10"/>
      <c r="N1114" s="152"/>
      <c r="O1114" s="10"/>
      <c r="P1114" s="152"/>
      <c r="Q1114" s="10"/>
      <c r="R1114" s="9"/>
      <c r="S1114" s="10"/>
      <c r="T1114" s="9"/>
      <c r="U1114" s="10"/>
      <c r="V1114" s="9"/>
      <c r="W1114" s="10"/>
      <c r="X1114" s="9"/>
      <c r="Y1114" s="10"/>
      <c r="Z1114" s="9"/>
      <c r="AA1114" s="10"/>
      <c r="AB1114" s="11"/>
      <c r="AC1114" s="10"/>
      <c r="AD1114" s="7">
        <f>SUM(F1114+H1114+J1114+L1114+N1114+P1114+R1114+T1114+V1114+X1114+Z1114+AB1114)</f>
        <v>0</v>
      </c>
      <c r="AE1114" s="7">
        <f>E1114+AD1114</f>
        <v>0</v>
      </c>
      <c r="AF1114" s="8">
        <f>G1114+I1114+K1114+M1114+O1114+Q1114+S1114+U1114+W1114+Y1114+AA1114+AC1114</f>
        <v>0</v>
      </c>
      <c r="AG1114" s="153">
        <f>SUM(AE1114-AF1114)</f>
        <v>0</v>
      </c>
    </row>
    <row r="1115" spans="1:42" customHeight="1" ht="11.5">
      <c r="A1115" s="5"/>
      <c r="B1115" s="173"/>
      <c r="C1115" s="167"/>
      <c r="D1115" s="88"/>
      <c r="E1115" s="174"/>
      <c r="F1115" s="9"/>
      <c r="G1115" s="10"/>
      <c r="H1115" s="9"/>
      <c r="I1115" s="10"/>
      <c r="J1115" s="152"/>
      <c r="K1115" s="10"/>
      <c r="L1115" s="152"/>
      <c r="M1115" s="10"/>
      <c r="N1115" s="152"/>
      <c r="O1115" s="10"/>
      <c r="P1115" s="152"/>
      <c r="Q1115" s="10"/>
      <c r="R1115" s="9"/>
      <c r="S1115" s="10"/>
      <c r="T1115" s="9"/>
      <c r="U1115" s="10"/>
      <c r="V1115" s="9"/>
      <c r="W1115" s="10"/>
      <c r="X1115" s="9"/>
      <c r="Y1115" s="10"/>
      <c r="Z1115" s="9"/>
      <c r="AA1115" s="10"/>
      <c r="AB1115" s="11"/>
      <c r="AC1115" s="10"/>
      <c r="AD1115" s="7">
        <f>SUM(F1115+H1115+J1115+L1115+N1115+P1115+R1115+T1115+V1115+X1115+Z1115+AB1115)</f>
        <v>0</v>
      </c>
      <c r="AE1115" s="7">
        <f>E1115+AD1115</f>
        <v>0</v>
      </c>
      <c r="AF1115" s="8">
        <f>G1115+I1115+K1115+M1115+O1115+Q1115+S1115+U1115+W1115+Y1115+AA1115+AC1115</f>
        <v>0</v>
      </c>
      <c r="AG1115" s="153">
        <f>SUM(AE1115-AF1115)</f>
        <v>0</v>
      </c>
    </row>
    <row r="1116" spans="1:42" customHeight="1" ht="11.5">
      <c r="A1116" s="5"/>
      <c r="B1116" s="173"/>
      <c r="C1116" s="167"/>
      <c r="D1116" s="88"/>
      <c r="E1116" s="174"/>
      <c r="F1116" s="9"/>
      <c r="G1116" s="10"/>
      <c r="H1116" s="9"/>
      <c r="I1116" s="10"/>
      <c r="J1116" s="152"/>
      <c r="K1116" s="10"/>
      <c r="L1116" s="152"/>
      <c r="M1116" s="10"/>
      <c r="N1116" s="152"/>
      <c r="O1116" s="10"/>
      <c r="P1116" s="152"/>
      <c r="Q1116" s="10"/>
      <c r="R1116" s="9"/>
      <c r="S1116" s="10"/>
      <c r="T1116" s="9"/>
      <c r="U1116" s="10"/>
      <c r="V1116" s="9"/>
      <c r="W1116" s="10"/>
      <c r="X1116" s="9"/>
      <c r="Y1116" s="10"/>
      <c r="Z1116" s="9"/>
      <c r="AA1116" s="10"/>
      <c r="AB1116" s="11"/>
      <c r="AC1116" s="10"/>
      <c r="AD1116" s="7">
        <f>SUM(F1116+H1116+J1116+L1116+N1116+P1116+R1116+T1116+V1116+X1116+Z1116+AB1116)</f>
        <v>0</v>
      </c>
      <c r="AE1116" s="7">
        <f>E1116+AD1116</f>
        <v>0</v>
      </c>
      <c r="AF1116" s="8">
        <f>G1116+I1116+K1116+M1116+O1116+Q1116+S1116+U1116+W1116+Y1116+AA1116+AC1116</f>
        <v>0</v>
      </c>
      <c r="AG1116" s="153">
        <f>SUM(AE1116-AF1116)</f>
        <v>0</v>
      </c>
    </row>
    <row r="1117" spans="1:42" customHeight="1" ht="11.5">
      <c r="A1117" s="5"/>
      <c r="B1117" s="173"/>
      <c r="C1117" s="167"/>
      <c r="D1117" s="88"/>
      <c r="E1117" s="174"/>
      <c r="F1117" s="9"/>
      <c r="G1117" s="10"/>
      <c r="H1117" s="9"/>
      <c r="I1117" s="10"/>
      <c r="J1117" s="152"/>
      <c r="K1117" s="10"/>
      <c r="L1117" s="152"/>
      <c r="M1117" s="10"/>
      <c r="N1117" s="152"/>
      <c r="O1117" s="10"/>
      <c r="P1117" s="152"/>
      <c r="Q1117" s="10"/>
      <c r="R1117" s="9"/>
      <c r="S1117" s="10"/>
      <c r="T1117" s="9"/>
      <c r="U1117" s="10"/>
      <c r="V1117" s="9"/>
      <c r="W1117" s="10"/>
      <c r="X1117" s="9"/>
      <c r="Y1117" s="10"/>
      <c r="Z1117" s="9"/>
      <c r="AA1117" s="10"/>
      <c r="AB1117" s="11"/>
      <c r="AC1117" s="10"/>
      <c r="AD1117" s="7">
        <f>SUM(F1117+H1117+J1117+L1117+N1117+P1117+R1117+T1117+V1117+X1117+Z1117+AB1117)</f>
        <v>0</v>
      </c>
      <c r="AE1117" s="7">
        <f>E1117+AD1117</f>
        <v>0</v>
      </c>
      <c r="AF1117" s="8">
        <f>G1117+I1117+K1117+M1117+O1117+Q1117+S1117+U1117+W1117+Y1117+AA1117+AC1117</f>
        <v>0</v>
      </c>
      <c r="AG1117" s="153">
        <f>SUM(AE1117-AF1117)</f>
        <v>0</v>
      </c>
    </row>
    <row r="1118" spans="1:42" customHeight="1" ht="11.5">
      <c r="A1118" s="5"/>
      <c r="B1118" s="173"/>
      <c r="C1118" s="167"/>
      <c r="D1118" s="88"/>
      <c r="E1118" s="174"/>
      <c r="F1118" s="9"/>
      <c r="G1118" s="10"/>
      <c r="H1118" s="9"/>
      <c r="I1118" s="10"/>
      <c r="J1118" s="152"/>
      <c r="K1118" s="10"/>
      <c r="L1118" s="152"/>
      <c r="M1118" s="10"/>
      <c r="N1118" s="152"/>
      <c r="O1118" s="10"/>
      <c r="P1118" s="152"/>
      <c r="Q1118" s="10"/>
      <c r="R1118" s="9"/>
      <c r="S1118" s="10"/>
      <c r="T1118" s="9"/>
      <c r="U1118" s="10"/>
      <c r="V1118" s="9"/>
      <c r="W1118" s="10"/>
      <c r="X1118" s="9"/>
      <c r="Y1118" s="10"/>
      <c r="Z1118" s="9"/>
      <c r="AA1118" s="10"/>
      <c r="AB1118" s="11"/>
      <c r="AC1118" s="10"/>
      <c r="AD1118" s="7">
        <f>SUM(F1118+H1118+J1118+L1118+N1118+P1118+R1118+T1118+V1118+X1118+Z1118+AB1118)</f>
        <v>0</v>
      </c>
      <c r="AE1118" s="7">
        <f>E1118+AD1118</f>
        <v>0</v>
      </c>
      <c r="AF1118" s="8">
        <f>G1118+I1118+K1118+M1118+O1118+Q1118+S1118+U1118+W1118+Y1118+AA1118+AC1118</f>
        <v>0</v>
      </c>
      <c r="AG1118" s="153">
        <f>SUM(AE1118-AF1118)</f>
        <v>0</v>
      </c>
    </row>
    <row r="1119" spans="1:42" customHeight="1" ht="11.5">
      <c r="A1119" s="5"/>
      <c r="B1119" s="173"/>
      <c r="C1119" s="167"/>
      <c r="D1119" s="88"/>
      <c r="E1119" s="174"/>
      <c r="F1119" s="9"/>
      <c r="G1119" s="10"/>
      <c r="H1119" s="9"/>
      <c r="I1119" s="10"/>
      <c r="J1119" s="152"/>
      <c r="K1119" s="10"/>
      <c r="L1119" s="152"/>
      <c r="M1119" s="10"/>
      <c r="N1119" s="152"/>
      <c r="O1119" s="10"/>
      <c r="P1119" s="152"/>
      <c r="Q1119" s="10"/>
      <c r="R1119" s="9"/>
      <c r="S1119" s="10"/>
      <c r="T1119" s="9"/>
      <c r="U1119" s="10"/>
      <c r="V1119" s="9"/>
      <c r="W1119" s="10"/>
      <c r="X1119" s="9"/>
      <c r="Y1119" s="10"/>
      <c r="Z1119" s="9"/>
      <c r="AA1119" s="10"/>
      <c r="AB1119" s="11"/>
      <c r="AC1119" s="10"/>
      <c r="AD1119" s="7">
        <f>SUM(F1119+H1119+J1119+L1119+N1119+P1119+R1119+T1119+V1119+X1119+Z1119+AB1119)</f>
        <v>0</v>
      </c>
      <c r="AE1119" s="7">
        <f>E1119+AD1119</f>
        <v>0</v>
      </c>
      <c r="AF1119" s="8">
        <f>G1119+I1119+K1119+M1119+O1119+Q1119+S1119+U1119+W1119+Y1119+AA1119+AC1119</f>
        <v>0</v>
      </c>
      <c r="AG1119" s="153">
        <f>SUM(AE1119-AF1119)</f>
        <v>0</v>
      </c>
    </row>
    <row r="1120" spans="1:42" customHeight="1" ht="11.5">
      <c r="A1120" s="5"/>
      <c r="B1120" s="173"/>
      <c r="C1120" s="167"/>
      <c r="D1120" s="88"/>
      <c r="E1120" s="174"/>
      <c r="F1120" s="9"/>
      <c r="G1120" s="10"/>
      <c r="H1120" s="9"/>
      <c r="I1120" s="10"/>
      <c r="J1120" s="152"/>
      <c r="K1120" s="10"/>
      <c r="L1120" s="152"/>
      <c r="M1120" s="10"/>
      <c r="N1120" s="152"/>
      <c r="O1120" s="10"/>
      <c r="P1120" s="152"/>
      <c r="Q1120" s="10"/>
      <c r="R1120" s="9"/>
      <c r="S1120" s="10"/>
      <c r="T1120" s="9"/>
      <c r="U1120" s="10"/>
      <c r="V1120" s="9"/>
      <c r="W1120" s="10"/>
      <c r="X1120" s="9"/>
      <c r="Y1120" s="10"/>
      <c r="Z1120" s="9"/>
      <c r="AA1120" s="10"/>
      <c r="AB1120" s="11"/>
      <c r="AC1120" s="10"/>
      <c r="AD1120" s="7">
        <f>SUM(F1120+H1120+J1120+L1120+N1120+P1120+R1120+T1120+V1120+X1120+Z1120+AB1120)</f>
        <v>0</v>
      </c>
      <c r="AE1120" s="7">
        <f>E1120+AD1120</f>
        <v>0</v>
      </c>
      <c r="AF1120" s="8">
        <f>G1120+I1120+K1120+M1120+O1120+Q1120+S1120+U1120+W1120+Y1120+AA1120+AC1120</f>
        <v>0</v>
      </c>
      <c r="AG1120" s="153">
        <f>SUM(AE1120-AF1120)</f>
        <v>0</v>
      </c>
    </row>
    <row r="1121" spans="1:42" customHeight="1" ht="11.5">
      <c r="A1121" s="5"/>
      <c r="B1121" s="173"/>
      <c r="C1121" s="167"/>
      <c r="D1121" s="88"/>
      <c r="E1121" s="174"/>
      <c r="F1121" s="9"/>
      <c r="G1121" s="10"/>
      <c r="H1121" s="9"/>
      <c r="I1121" s="10"/>
      <c r="J1121" s="152"/>
      <c r="K1121" s="10"/>
      <c r="L1121" s="152"/>
      <c r="M1121" s="10"/>
      <c r="N1121" s="152"/>
      <c r="O1121" s="10"/>
      <c r="P1121" s="152"/>
      <c r="Q1121" s="10"/>
      <c r="R1121" s="9"/>
      <c r="S1121" s="10"/>
      <c r="T1121" s="9"/>
      <c r="U1121" s="10"/>
      <c r="V1121" s="9"/>
      <c r="W1121" s="10"/>
      <c r="X1121" s="9"/>
      <c r="Y1121" s="10"/>
      <c r="Z1121" s="9"/>
      <c r="AA1121" s="10"/>
      <c r="AB1121" s="11"/>
      <c r="AC1121" s="10"/>
      <c r="AD1121" s="7">
        <f>SUM(F1121+H1121+J1121+L1121+N1121+P1121+R1121+T1121+V1121+X1121+Z1121+AB1121)</f>
        <v>0</v>
      </c>
      <c r="AE1121" s="7">
        <f>E1121+AD1121</f>
        <v>0</v>
      </c>
      <c r="AF1121" s="8">
        <f>G1121+I1121+K1121+M1121+O1121+Q1121+S1121+U1121+W1121+Y1121+AA1121+AC1121</f>
        <v>0</v>
      </c>
      <c r="AG1121" s="153">
        <f>SUM(AE1121-AF1121)</f>
        <v>0</v>
      </c>
    </row>
    <row r="1122" spans="1:42" customHeight="1" ht="11.5">
      <c r="A1122" s="5"/>
      <c r="B1122" s="173"/>
      <c r="C1122" s="167"/>
      <c r="D1122" s="88"/>
      <c r="E1122" s="174"/>
      <c r="F1122" s="9"/>
      <c r="G1122" s="10"/>
      <c r="H1122" s="9"/>
      <c r="I1122" s="10"/>
      <c r="J1122" s="152"/>
      <c r="K1122" s="10"/>
      <c r="L1122" s="152"/>
      <c r="M1122" s="10"/>
      <c r="N1122" s="152"/>
      <c r="O1122" s="10"/>
      <c r="P1122" s="152"/>
      <c r="Q1122" s="10"/>
      <c r="R1122" s="9"/>
      <c r="S1122" s="10"/>
      <c r="T1122" s="9"/>
      <c r="U1122" s="10"/>
      <c r="V1122" s="9"/>
      <c r="W1122" s="10"/>
      <c r="X1122" s="9"/>
      <c r="Y1122" s="10"/>
      <c r="Z1122" s="9"/>
      <c r="AA1122" s="10"/>
      <c r="AB1122" s="11"/>
      <c r="AC1122" s="10"/>
      <c r="AD1122" s="7">
        <f>SUM(F1122+H1122+J1122+L1122+N1122+P1122+R1122+T1122+V1122+X1122+Z1122+AB1122)</f>
        <v>0</v>
      </c>
      <c r="AE1122" s="7">
        <f>E1122+AD1122</f>
        <v>0</v>
      </c>
      <c r="AF1122" s="8">
        <f>G1122+I1122+K1122+M1122+O1122+Q1122+S1122+U1122+W1122+Y1122+AA1122+AC1122</f>
        <v>0</v>
      </c>
      <c r="AG1122" s="153">
        <f>SUM(AE1122-AF1122)</f>
        <v>0</v>
      </c>
    </row>
    <row r="1123" spans="1:42" customHeight="1" ht="11.5">
      <c r="A1123" s="5"/>
      <c r="B1123" s="173"/>
      <c r="C1123" s="167"/>
      <c r="D1123" s="88"/>
      <c r="E1123" s="174"/>
      <c r="F1123" s="9"/>
      <c r="G1123" s="10"/>
      <c r="H1123" s="9"/>
      <c r="I1123" s="10"/>
      <c r="J1123" s="152"/>
      <c r="K1123" s="10"/>
      <c r="L1123" s="152"/>
      <c r="M1123" s="10"/>
      <c r="N1123" s="152"/>
      <c r="O1123" s="10"/>
      <c r="P1123" s="152"/>
      <c r="Q1123" s="10"/>
      <c r="R1123" s="9"/>
      <c r="S1123" s="10"/>
      <c r="T1123" s="9"/>
      <c r="U1123" s="10"/>
      <c r="V1123" s="9"/>
      <c r="W1123" s="10"/>
      <c r="X1123" s="9"/>
      <c r="Y1123" s="10"/>
      <c r="Z1123" s="9"/>
      <c r="AA1123" s="10"/>
      <c r="AB1123" s="11"/>
      <c r="AC1123" s="10"/>
      <c r="AD1123" s="7">
        <f>SUM(F1123+H1123+J1123+L1123+N1123+P1123+R1123+T1123+V1123+X1123+Z1123+AB1123)</f>
        <v>0</v>
      </c>
      <c r="AE1123" s="7">
        <f>E1123+AD1123</f>
        <v>0</v>
      </c>
      <c r="AF1123" s="8">
        <f>G1123+I1123+K1123+M1123+O1123+Q1123+S1123+U1123+W1123+Y1123+AA1123+AC1123</f>
        <v>0</v>
      </c>
      <c r="AG1123" s="153">
        <f>SUM(AE1123-AF1123)</f>
        <v>0</v>
      </c>
    </row>
    <row r="1124" spans="1:42" customHeight="1" ht="11.5">
      <c r="A1124" s="5"/>
      <c r="B1124" s="173"/>
      <c r="C1124" s="167"/>
      <c r="D1124" s="88"/>
      <c r="E1124" s="174"/>
      <c r="F1124" s="9"/>
      <c r="G1124" s="10"/>
      <c r="H1124" s="9"/>
      <c r="I1124" s="10"/>
      <c r="J1124" s="152"/>
      <c r="K1124" s="10"/>
      <c r="L1124" s="152"/>
      <c r="M1124" s="10"/>
      <c r="N1124" s="152"/>
      <c r="O1124" s="10"/>
      <c r="P1124" s="152"/>
      <c r="Q1124" s="10"/>
      <c r="R1124" s="9"/>
      <c r="S1124" s="10"/>
      <c r="T1124" s="9"/>
      <c r="U1124" s="10"/>
      <c r="V1124" s="9"/>
      <c r="W1124" s="10"/>
      <c r="X1124" s="9"/>
      <c r="Y1124" s="10"/>
      <c r="Z1124" s="9"/>
      <c r="AA1124" s="10"/>
      <c r="AB1124" s="11"/>
      <c r="AC1124" s="10"/>
      <c r="AD1124" s="7">
        <f>SUM(F1124+H1124+J1124+L1124+N1124+P1124+R1124+T1124+V1124+X1124+Z1124+AB1124)</f>
        <v>0</v>
      </c>
      <c r="AE1124" s="7">
        <f>E1124+AD1124</f>
        <v>0</v>
      </c>
      <c r="AF1124" s="8">
        <f>G1124+I1124+K1124+M1124+O1124+Q1124+S1124+U1124+W1124+Y1124+AA1124+AC1124</f>
        <v>0</v>
      </c>
      <c r="AG1124" s="153">
        <f>SUM(AE1124-AF1124)</f>
        <v>0</v>
      </c>
    </row>
    <row r="1125" spans="1:42" customHeight="1" ht="11.5">
      <c r="A1125" s="5"/>
      <c r="B1125" s="173"/>
      <c r="C1125" s="167"/>
      <c r="D1125" s="88"/>
      <c r="E1125" s="174"/>
      <c r="F1125" s="9"/>
      <c r="G1125" s="10"/>
      <c r="H1125" s="9"/>
      <c r="I1125" s="10"/>
      <c r="J1125" s="152"/>
      <c r="K1125" s="10"/>
      <c r="L1125" s="152"/>
      <c r="M1125" s="10"/>
      <c r="N1125" s="152"/>
      <c r="O1125" s="10"/>
      <c r="P1125" s="152"/>
      <c r="Q1125" s="10"/>
      <c r="R1125" s="9"/>
      <c r="S1125" s="10"/>
      <c r="T1125" s="9"/>
      <c r="U1125" s="10"/>
      <c r="V1125" s="9"/>
      <c r="W1125" s="10"/>
      <c r="X1125" s="9"/>
      <c r="Y1125" s="10"/>
      <c r="Z1125" s="9"/>
      <c r="AA1125" s="10"/>
      <c r="AB1125" s="11"/>
      <c r="AC1125" s="10"/>
      <c r="AD1125" s="7">
        <f>SUM(F1125+H1125+J1125+L1125+N1125+P1125+R1125+T1125+V1125+X1125+Z1125+AB1125)</f>
        <v>0</v>
      </c>
      <c r="AE1125" s="7">
        <f>E1125+AD1125</f>
        <v>0</v>
      </c>
      <c r="AF1125" s="8">
        <f>G1125+I1125+K1125+M1125+O1125+Q1125+S1125+U1125+W1125+Y1125+AA1125+AC1125</f>
        <v>0</v>
      </c>
      <c r="AG1125" s="153">
        <f>SUM(AE1125-AF1125)</f>
        <v>0</v>
      </c>
    </row>
    <row r="1126" spans="1:42" customHeight="1" ht="11.5">
      <c r="A1126" s="5"/>
      <c r="B1126" s="173"/>
      <c r="C1126" s="167"/>
      <c r="D1126" s="88"/>
      <c r="E1126" s="174"/>
      <c r="F1126" s="9"/>
      <c r="G1126" s="10"/>
      <c r="H1126" s="9"/>
      <c r="I1126" s="10"/>
      <c r="J1126" s="152"/>
      <c r="K1126" s="10"/>
      <c r="L1126" s="152"/>
      <c r="M1126" s="10"/>
      <c r="N1126" s="152"/>
      <c r="O1126" s="10"/>
      <c r="P1126" s="152"/>
      <c r="Q1126" s="10"/>
      <c r="R1126" s="9"/>
      <c r="S1126" s="10"/>
      <c r="T1126" s="9"/>
      <c r="U1126" s="10"/>
      <c r="V1126" s="9"/>
      <c r="W1126" s="10"/>
      <c r="X1126" s="9"/>
      <c r="Y1126" s="10"/>
      <c r="Z1126" s="9"/>
      <c r="AA1126" s="10"/>
      <c r="AB1126" s="11"/>
      <c r="AC1126" s="10"/>
      <c r="AD1126" s="7">
        <f>SUM(F1126+H1126+J1126+L1126+N1126+P1126+R1126+T1126+V1126+X1126+Z1126+AB1126)</f>
        <v>0</v>
      </c>
      <c r="AE1126" s="7">
        <f>E1126+AD1126</f>
        <v>0</v>
      </c>
      <c r="AF1126" s="8">
        <f>G1126+I1126+K1126+M1126+O1126+Q1126+S1126+U1126+W1126+Y1126+AA1126+AC1126</f>
        <v>0</v>
      </c>
      <c r="AG1126" s="153">
        <f>SUM(AE1126-AF1126)</f>
        <v>0</v>
      </c>
    </row>
    <row r="1127" spans="1:42" customHeight="1" ht="11.5">
      <c r="A1127" s="5"/>
      <c r="B1127" s="173"/>
      <c r="C1127" s="167"/>
      <c r="D1127" s="88"/>
      <c r="E1127" s="174"/>
      <c r="F1127" s="9"/>
      <c r="G1127" s="10"/>
      <c r="H1127" s="9"/>
      <c r="I1127" s="10"/>
      <c r="J1127" s="152"/>
      <c r="K1127" s="10"/>
      <c r="L1127" s="152"/>
      <c r="M1127" s="10"/>
      <c r="N1127" s="152"/>
      <c r="O1127" s="10"/>
      <c r="P1127" s="152"/>
      <c r="Q1127" s="10"/>
      <c r="R1127" s="9"/>
      <c r="S1127" s="10"/>
      <c r="T1127" s="9"/>
      <c r="U1127" s="10"/>
      <c r="V1127" s="9"/>
      <c r="W1127" s="10"/>
      <c r="X1127" s="9"/>
      <c r="Y1127" s="10"/>
      <c r="Z1127" s="9"/>
      <c r="AA1127" s="10"/>
      <c r="AB1127" s="11"/>
      <c r="AC1127" s="10"/>
      <c r="AD1127" s="7">
        <f>SUM(F1127+H1127+J1127+L1127+N1127+P1127+R1127+T1127+V1127+X1127+Z1127+AB1127)</f>
        <v>0</v>
      </c>
      <c r="AE1127" s="7">
        <f>E1127+AD1127</f>
        <v>0</v>
      </c>
      <c r="AF1127" s="8">
        <f>G1127+I1127+K1127+M1127+O1127+Q1127+S1127+U1127+W1127+Y1127+AA1127+AC1127</f>
        <v>0</v>
      </c>
      <c r="AG1127" s="153">
        <f>SUM(AE1127-AF1127)</f>
        <v>0</v>
      </c>
    </row>
    <row r="1128" spans="1:42" customHeight="1" ht="11.5">
      <c r="A1128" s="5"/>
      <c r="B1128" s="173"/>
      <c r="C1128" s="167"/>
      <c r="D1128" s="88"/>
      <c r="E1128" s="174"/>
      <c r="F1128" s="9"/>
      <c r="G1128" s="10"/>
      <c r="H1128" s="9"/>
      <c r="I1128" s="10"/>
      <c r="J1128" s="152"/>
      <c r="K1128" s="10"/>
      <c r="L1128" s="152"/>
      <c r="M1128" s="10"/>
      <c r="N1128" s="152"/>
      <c r="O1128" s="10"/>
      <c r="P1128" s="152"/>
      <c r="Q1128" s="10"/>
      <c r="R1128" s="9"/>
      <c r="S1128" s="10"/>
      <c r="T1128" s="9"/>
      <c r="U1128" s="10"/>
      <c r="V1128" s="9"/>
      <c r="W1128" s="10"/>
      <c r="X1128" s="9"/>
      <c r="Y1128" s="10"/>
      <c r="Z1128" s="9"/>
      <c r="AA1128" s="10"/>
      <c r="AB1128" s="11"/>
      <c r="AC1128" s="10"/>
      <c r="AD1128" s="7">
        <f>SUM(F1128+H1128+J1128+L1128+N1128+P1128+R1128+T1128+V1128+X1128+Z1128+AB1128)</f>
        <v>0</v>
      </c>
      <c r="AE1128" s="7">
        <f>E1128+AD1128</f>
        <v>0</v>
      </c>
      <c r="AF1128" s="8">
        <f>G1128+I1128+K1128+M1128+O1128+Q1128+S1128+U1128+W1128+Y1128+AA1128+AC1128</f>
        <v>0</v>
      </c>
      <c r="AG1128" s="153">
        <f>SUM(AE1128-AF1128)</f>
        <v>0</v>
      </c>
    </row>
    <row r="1129" spans="1:42" customHeight="1" ht="11.5">
      <c r="A1129" s="5"/>
      <c r="B1129" s="173"/>
      <c r="C1129" s="167"/>
      <c r="D1129" s="88"/>
      <c r="E1129" s="174"/>
      <c r="F1129" s="9"/>
      <c r="G1129" s="10"/>
      <c r="H1129" s="9"/>
      <c r="I1129" s="10"/>
      <c r="J1129" s="152"/>
      <c r="K1129" s="10"/>
      <c r="L1129" s="152"/>
      <c r="M1129" s="10"/>
      <c r="N1129" s="152"/>
      <c r="O1129" s="10"/>
      <c r="P1129" s="152"/>
      <c r="Q1129" s="10"/>
      <c r="R1129" s="9"/>
      <c r="S1129" s="10"/>
      <c r="T1129" s="9"/>
      <c r="U1129" s="10"/>
      <c r="V1129" s="9"/>
      <c r="W1129" s="10"/>
      <c r="X1129" s="9"/>
      <c r="Y1129" s="10"/>
      <c r="Z1129" s="9"/>
      <c r="AA1129" s="10"/>
      <c r="AB1129" s="11"/>
      <c r="AC1129" s="10"/>
      <c r="AD1129" s="7">
        <f>SUM(F1129+H1129+J1129+L1129+N1129+P1129+R1129+T1129+V1129+X1129+Z1129+AB1129)</f>
        <v>0</v>
      </c>
      <c r="AE1129" s="7">
        <f>E1129+AD1129</f>
        <v>0</v>
      </c>
      <c r="AF1129" s="8">
        <f>G1129+I1129+K1129+M1129+O1129+Q1129+S1129+U1129+W1129+Y1129+AA1129+AC1129</f>
        <v>0</v>
      </c>
      <c r="AG1129" s="153">
        <f>SUM(AE1129-AF1129)</f>
        <v>0</v>
      </c>
    </row>
    <row r="1130" spans="1:42" customHeight="1" ht="11.5">
      <c r="A1130" s="5"/>
      <c r="B1130" s="173"/>
      <c r="C1130" s="167"/>
      <c r="D1130" s="88"/>
      <c r="E1130" s="174"/>
      <c r="F1130" s="9"/>
      <c r="G1130" s="10"/>
      <c r="H1130" s="9"/>
      <c r="I1130" s="10"/>
      <c r="J1130" s="152"/>
      <c r="K1130" s="10"/>
      <c r="L1130" s="152"/>
      <c r="M1130" s="10"/>
      <c r="N1130" s="152"/>
      <c r="O1130" s="10"/>
      <c r="P1130" s="152"/>
      <c r="Q1130" s="10"/>
      <c r="R1130" s="9"/>
      <c r="S1130" s="10"/>
      <c r="T1130" s="9"/>
      <c r="U1130" s="10"/>
      <c r="V1130" s="9"/>
      <c r="W1130" s="10"/>
      <c r="X1130" s="9"/>
      <c r="Y1130" s="10"/>
      <c r="Z1130" s="9"/>
      <c r="AA1130" s="10"/>
      <c r="AB1130" s="11"/>
      <c r="AC1130" s="10"/>
      <c r="AD1130" s="7">
        <f>SUM(F1130+H1130+J1130+L1130+N1130+P1130+R1130+T1130+V1130+X1130+Z1130+AB1130)</f>
        <v>0</v>
      </c>
      <c r="AE1130" s="7">
        <f>E1130+AD1130</f>
        <v>0</v>
      </c>
      <c r="AF1130" s="8">
        <f>G1130+I1130+K1130+M1130+O1130+Q1130+S1130+U1130+W1130+Y1130+AA1130+AC1130</f>
        <v>0</v>
      </c>
      <c r="AG1130" s="153">
        <f>SUM(AE1130-AF1130)</f>
        <v>0</v>
      </c>
    </row>
    <row r="1131" spans="1:42" customHeight="1" ht="11.5">
      <c r="A1131" s="5"/>
      <c r="B1131" s="173"/>
      <c r="C1131" s="167"/>
      <c r="D1131" s="88"/>
      <c r="E1131" s="174"/>
      <c r="F1131" s="9"/>
      <c r="G1131" s="10"/>
      <c r="H1131" s="9"/>
      <c r="I1131" s="10"/>
      <c r="J1131" s="152"/>
      <c r="K1131" s="10"/>
      <c r="L1131" s="152"/>
      <c r="M1131" s="10"/>
      <c r="N1131" s="152"/>
      <c r="O1131" s="10"/>
      <c r="P1131" s="152"/>
      <c r="Q1131" s="10"/>
      <c r="R1131" s="9"/>
      <c r="S1131" s="10"/>
      <c r="T1131" s="9"/>
      <c r="U1131" s="10"/>
      <c r="V1131" s="9"/>
      <c r="W1131" s="10"/>
      <c r="X1131" s="9"/>
      <c r="Y1131" s="10"/>
      <c r="Z1131" s="9"/>
      <c r="AA1131" s="10"/>
      <c r="AB1131" s="11"/>
      <c r="AC1131" s="10"/>
      <c r="AD1131" s="7">
        <f>SUM(F1131+H1131+J1131+L1131+N1131+P1131+R1131+T1131+V1131+X1131+Z1131+AB1131)</f>
        <v>0</v>
      </c>
      <c r="AE1131" s="7">
        <f>E1131+AD1131</f>
        <v>0</v>
      </c>
      <c r="AF1131" s="8">
        <f>G1131+I1131+K1131+M1131+O1131+Q1131+S1131+U1131+W1131+Y1131+AA1131+AC1131</f>
        <v>0</v>
      </c>
      <c r="AG1131" s="153">
        <f>SUM(AE1131-AF1131)</f>
        <v>0</v>
      </c>
    </row>
    <row r="1132" spans="1:42" customHeight="1" ht="11.5">
      <c r="A1132" s="5"/>
      <c r="B1132" s="173"/>
      <c r="C1132" s="167"/>
      <c r="D1132" s="88"/>
      <c r="E1132" s="174"/>
      <c r="F1132" s="9"/>
      <c r="G1132" s="10"/>
      <c r="H1132" s="9"/>
      <c r="I1132" s="10"/>
      <c r="J1132" s="152"/>
      <c r="K1132" s="10"/>
      <c r="L1132" s="152"/>
      <c r="M1132" s="10"/>
      <c r="N1132" s="152"/>
      <c r="O1132" s="10"/>
      <c r="P1132" s="152"/>
      <c r="Q1132" s="10"/>
      <c r="R1132" s="9"/>
      <c r="S1132" s="10"/>
      <c r="T1132" s="9"/>
      <c r="U1132" s="10"/>
      <c r="V1132" s="9"/>
      <c r="W1132" s="10"/>
      <c r="X1132" s="9"/>
      <c r="Y1132" s="10"/>
      <c r="Z1132" s="9"/>
      <c r="AA1132" s="10"/>
      <c r="AB1132" s="11"/>
      <c r="AC1132" s="10"/>
      <c r="AD1132" s="7">
        <f>SUM(F1132+H1132+J1132+L1132+N1132+P1132+R1132+T1132+V1132+X1132+Z1132+AB1132)</f>
        <v>0</v>
      </c>
      <c r="AE1132" s="7">
        <f>E1132+AD1132</f>
        <v>0</v>
      </c>
      <c r="AF1132" s="8">
        <f>G1132+I1132+K1132+M1132+O1132+Q1132+S1132+U1132+W1132+Y1132+AA1132+AC1132</f>
        <v>0</v>
      </c>
      <c r="AG1132" s="153">
        <f>SUM(AE1132-AF1132)</f>
        <v>0</v>
      </c>
    </row>
    <row r="1133" spans="1:42" customHeight="1" ht="11.5">
      <c r="A1133" s="5"/>
      <c r="B1133" s="173"/>
      <c r="C1133" s="167"/>
      <c r="D1133" s="88"/>
      <c r="E1133" s="174"/>
      <c r="F1133" s="9"/>
      <c r="G1133" s="10"/>
      <c r="H1133" s="9"/>
      <c r="I1133" s="10"/>
      <c r="J1133" s="152"/>
      <c r="K1133" s="10"/>
      <c r="L1133" s="152"/>
      <c r="M1133" s="10"/>
      <c r="N1133" s="152"/>
      <c r="O1133" s="10"/>
      <c r="P1133" s="152"/>
      <c r="Q1133" s="10"/>
      <c r="R1133" s="9"/>
      <c r="S1133" s="10"/>
      <c r="T1133" s="9"/>
      <c r="U1133" s="10"/>
      <c r="V1133" s="9"/>
      <c r="W1133" s="10"/>
      <c r="X1133" s="9"/>
      <c r="Y1133" s="10"/>
      <c r="Z1133" s="9"/>
      <c r="AA1133" s="10"/>
      <c r="AB1133" s="11"/>
      <c r="AC1133" s="10"/>
      <c r="AD1133" s="7">
        <f>SUM(F1133+H1133+J1133+L1133+N1133+P1133+R1133+T1133+V1133+X1133+Z1133+AB1133)</f>
        <v>0</v>
      </c>
      <c r="AE1133" s="7">
        <f>E1133+AD1133</f>
        <v>0</v>
      </c>
      <c r="AF1133" s="8">
        <f>G1133+I1133+K1133+M1133+O1133+Q1133+S1133+U1133+W1133+Y1133+AA1133+AC1133</f>
        <v>0</v>
      </c>
      <c r="AG1133" s="153">
        <f>SUM(AE1133-AF1133)</f>
        <v>0</v>
      </c>
    </row>
    <row r="1134" spans="1:42" customHeight="1" ht="11.5">
      <c r="A1134" s="5"/>
      <c r="B1134" s="173"/>
      <c r="C1134" s="167"/>
      <c r="D1134" s="88"/>
      <c r="E1134" s="174"/>
      <c r="F1134" s="9"/>
      <c r="G1134" s="10"/>
      <c r="H1134" s="9"/>
      <c r="I1134" s="10"/>
      <c r="J1134" s="152"/>
      <c r="K1134" s="10"/>
      <c r="L1134" s="152"/>
      <c r="M1134" s="10"/>
      <c r="N1134" s="152"/>
      <c r="O1134" s="10"/>
      <c r="P1134" s="152"/>
      <c r="Q1134" s="10"/>
      <c r="R1134" s="9"/>
      <c r="S1134" s="10"/>
      <c r="T1134" s="9"/>
      <c r="U1134" s="10"/>
      <c r="V1134" s="9"/>
      <c r="W1134" s="10"/>
      <c r="X1134" s="9"/>
      <c r="Y1134" s="10"/>
      <c r="Z1134" s="9"/>
      <c r="AA1134" s="10"/>
      <c r="AB1134" s="11"/>
      <c r="AC1134" s="10"/>
      <c r="AD1134" s="7">
        <f>SUM(F1134+H1134+J1134+L1134+N1134+P1134+R1134+T1134+V1134+X1134+Z1134+AB1134)</f>
        <v>0</v>
      </c>
      <c r="AE1134" s="7">
        <f>E1134+AD1134</f>
        <v>0</v>
      </c>
      <c r="AF1134" s="8">
        <f>G1134+I1134+K1134+M1134+O1134+Q1134+S1134+U1134+W1134+Y1134+AA1134+AC1134</f>
        <v>0</v>
      </c>
      <c r="AG1134" s="153">
        <f>SUM(AE1134-AF1134)</f>
        <v>0</v>
      </c>
    </row>
    <row r="1135" spans="1:42" customHeight="1" ht="11.5">
      <c r="A1135" s="5"/>
      <c r="B1135" s="173"/>
      <c r="C1135" s="167"/>
      <c r="D1135" s="88"/>
      <c r="E1135" s="174"/>
      <c r="F1135" s="9"/>
      <c r="G1135" s="10"/>
      <c r="H1135" s="9"/>
      <c r="I1135" s="10"/>
      <c r="J1135" s="152"/>
      <c r="K1135" s="10"/>
      <c r="L1135" s="152"/>
      <c r="M1135" s="10"/>
      <c r="N1135" s="152"/>
      <c r="O1135" s="10"/>
      <c r="P1135" s="152"/>
      <c r="Q1135" s="10"/>
      <c r="R1135" s="9"/>
      <c r="S1135" s="10"/>
      <c r="T1135" s="9"/>
      <c r="U1135" s="10"/>
      <c r="V1135" s="9"/>
      <c r="W1135" s="10"/>
      <c r="X1135" s="9"/>
      <c r="Y1135" s="10"/>
      <c r="Z1135" s="9"/>
      <c r="AA1135" s="10"/>
      <c r="AB1135" s="11"/>
      <c r="AC1135" s="10"/>
      <c r="AD1135" s="7">
        <f>SUM(F1135+H1135+J1135+L1135+N1135+P1135+R1135+T1135+V1135+X1135+Z1135+AB1135)</f>
        <v>0</v>
      </c>
      <c r="AE1135" s="7">
        <f>E1135+AD1135</f>
        <v>0</v>
      </c>
      <c r="AF1135" s="8">
        <f>G1135+I1135+K1135+M1135+O1135+Q1135+S1135+U1135+W1135+Y1135+AA1135+AC1135</f>
        <v>0</v>
      </c>
      <c r="AG1135" s="153">
        <f>SUM(AE1135-AF1135)</f>
        <v>0</v>
      </c>
    </row>
    <row r="1136" spans="1:42" customHeight="1" ht="11.5">
      <c r="A1136" s="5"/>
      <c r="B1136" s="173"/>
      <c r="C1136" s="167"/>
      <c r="D1136" s="88"/>
      <c r="E1136" s="174"/>
      <c r="F1136" s="9"/>
      <c r="G1136" s="10"/>
      <c r="H1136" s="9"/>
      <c r="I1136" s="10"/>
      <c r="J1136" s="152"/>
      <c r="K1136" s="10"/>
      <c r="L1136" s="152"/>
      <c r="M1136" s="10"/>
      <c r="N1136" s="152"/>
      <c r="O1136" s="10"/>
      <c r="P1136" s="152"/>
      <c r="Q1136" s="10"/>
      <c r="R1136" s="9"/>
      <c r="S1136" s="10"/>
      <c r="T1136" s="9"/>
      <c r="U1136" s="10"/>
      <c r="V1136" s="9"/>
      <c r="W1136" s="10"/>
      <c r="X1136" s="9"/>
      <c r="Y1136" s="10"/>
      <c r="Z1136" s="9"/>
      <c r="AA1136" s="10"/>
      <c r="AB1136" s="11"/>
      <c r="AC1136" s="10"/>
      <c r="AD1136" s="7">
        <f>SUM(F1136+H1136+J1136+L1136+N1136+P1136+R1136+T1136+V1136+X1136+Z1136+AB1136)</f>
        <v>0</v>
      </c>
      <c r="AE1136" s="7">
        <f>E1136+AD1136</f>
        <v>0</v>
      </c>
      <c r="AF1136" s="8">
        <f>G1136+I1136+K1136+M1136+O1136+Q1136+S1136+U1136+W1136+Y1136+AA1136+AC1136</f>
        <v>0</v>
      </c>
      <c r="AG1136" s="153">
        <f>SUM(AE1136-AF1136)</f>
        <v>0</v>
      </c>
    </row>
    <row r="1137" spans="1:42" customHeight="1" ht="11.5">
      <c r="A1137" s="5"/>
      <c r="B1137" s="173"/>
      <c r="C1137" s="167"/>
      <c r="D1137" s="88"/>
      <c r="E1137" s="174"/>
      <c r="F1137" s="9"/>
      <c r="G1137" s="10"/>
      <c r="H1137" s="9"/>
      <c r="I1137" s="10"/>
      <c r="J1137" s="152"/>
      <c r="K1137" s="10"/>
      <c r="L1137" s="152"/>
      <c r="M1137" s="10"/>
      <c r="N1137" s="152"/>
      <c r="O1137" s="10"/>
      <c r="P1137" s="152"/>
      <c r="Q1137" s="10"/>
      <c r="R1137" s="9"/>
      <c r="S1137" s="10"/>
      <c r="T1137" s="9"/>
      <c r="U1137" s="10"/>
      <c r="V1137" s="9"/>
      <c r="W1137" s="10"/>
      <c r="X1137" s="9"/>
      <c r="Y1137" s="10"/>
      <c r="Z1137" s="9"/>
      <c r="AA1137" s="10"/>
      <c r="AB1137" s="11"/>
      <c r="AC1137" s="10"/>
      <c r="AD1137" s="7">
        <f>SUM(F1137+H1137+J1137+L1137+N1137+P1137+R1137+T1137+V1137+X1137+Z1137+AB1137)</f>
        <v>0</v>
      </c>
      <c r="AE1137" s="7">
        <f>E1137+AD1137</f>
        <v>0</v>
      </c>
      <c r="AF1137" s="8">
        <f>G1137+I1137+K1137+M1137+O1137+Q1137+S1137+U1137+W1137+Y1137+AA1137+AC1137</f>
        <v>0</v>
      </c>
      <c r="AG1137" s="153">
        <f>SUM(AE1137-AF1137)</f>
        <v>0</v>
      </c>
    </row>
    <row r="1138" spans="1:42" customHeight="1" ht="11.5">
      <c r="A1138" s="5"/>
      <c r="B1138" s="173"/>
      <c r="C1138" s="167"/>
      <c r="D1138" s="88"/>
      <c r="E1138" s="174"/>
      <c r="F1138" s="9"/>
      <c r="G1138" s="10"/>
      <c r="H1138" s="9"/>
      <c r="I1138" s="10"/>
      <c r="J1138" s="152"/>
      <c r="K1138" s="10"/>
      <c r="L1138" s="152"/>
      <c r="M1138" s="10"/>
      <c r="N1138" s="152"/>
      <c r="O1138" s="10"/>
      <c r="P1138" s="152"/>
      <c r="Q1138" s="10"/>
      <c r="R1138" s="9"/>
      <c r="S1138" s="10"/>
      <c r="T1138" s="9"/>
      <c r="U1138" s="10"/>
      <c r="V1138" s="9"/>
      <c r="W1138" s="10"/>
      <c r="X1138" s="9"/>
      <c r="Y1138" s="10"/>
      <c r="Z1138" s="9"/>
      <c r="AA1138" s="10"/>
      <c r="AB1138" s="11"/>
      <c r="AC1138" s="10"/>
      <c r="AD1138" s="7">
        <f>SUM(F1138+H1138+J1138+L1138+N1138+P1138+R1138+T1138+V1138+X1138+Z1138+AB1138)</f>
        <v>0</v>
      </c>
      <c r="AE1138" s="7">
        <f>E1138+AD1138</f>
        <v>0</v>
      </c>
      <c r="AF1138" s="8">
        <f>G1138+I1138+K1138+M1138+O1138+Q1138+S1138+U1138+W1138+Y1138+AA1138+AC1138</f>
        <v>0</v>
      </c>
      <c r="AG1138" s="153">
        <f>SUM(AE1138-AF1138)</f>
        <v>0</v>
      </c>
    </row>
    <row r="1139" spans="1:42" customHeight="1" ht="11.5">
      <c r="A1139" s="5"/>
      <c r="B1139" s="173"/>
      <c r="C1139" s="167"/>
      <c r="D1139" s="88"/>
      <c r="E1139" s="174"/>
      <c r="F1139" s="9"/>
      <c r="G1139" s="10"/>
      <c r="H1139" s="9"/>
      <c r="I1139" s="10"/>
      <c r="J1139" s="152"/>
      <c r="K1139" s="10"/>
      <c r="L1139" s="152"/>
      <c r="M1139" s="10"/>
      <c r="N1139" s="152"/>
      <c r="O1139" s="10"/>
      <c r="P1139" s="152"/>
      <c r="Q1139" s="10"/>
      <c r="R1139" s="9"/>
      <c r="S1139" s="10"/>
      <c r="T1139" s="9"/>
      <c r="U1139" s="10"/>
      <c r="V1139" s="9"/>
      <c r="W1139" s="10"/>
      <c r="X1139" s="9"/>
      <c r="Y1139" s="10"/>
      <c r="Z1139" s="9"/>
      <c r="AA1139" s="10"/>
      <c r="AB1139" s="11"/>
      <c r="AC1139" s="10"/>
      <c r="AD1139" s="7">
        <f>SUM(F1139+H1139+J1139+L1139+N1139+P1139+R1139+T1139+V1139+X1139+Z1139+AB1139)</f>
        <v>0</v>
      </c>
      <c r="AE1139" s="7">
        <f>E1139+AD1139</f>
        <v>0</v>
      </c>
      <c r="AF1139" s="8">
        <f>G1139+I1139+K1139+M1139+O1139+Q1139+S1139+U1139+W1139+Y1139+AA1139+AC1139</f>
        <v>0</v>
      </c>
      <c r="AG1139" s="153">
        <f>SUM(AE1139-AF1139)</f>
        <v>0</v>
      </c>
    </row>
    <row r="1140" spans="1:42" customHeight="1" ht="11.5">
      <c r="A1140" s="5"/>
      <c r="B1140" s="173"/>
      <c r="C1140" s="167"/>
      <c r="D1140" s="88"/>
      <c r="E1140" s="174"/>
      <c r="F1140" s="9"/>
      <c r="G1140" s="10"/>
      <c r="H1140" s="9"/>
      <c r="I1140" s="10"/>
      <c r="J1140" s="152"/>
      <c r="K1140" s="10"/>
      <c r="L1140" s="152"/>
      <c r="M1140" s="10"/>
      <c r="N1140" s="152"/>
      <c r="O1140" s="10"/>
      <c r="P1140" s="152"/>
      <c r="Q1140" s="10"/>
      <c r="R1140" s="9"/>
      <c r="S1140" s="10"/>
      <c r="T1140" s="9"/>
      <c r="U1140" s="10"/>
      <c r="V1140" s="9"/>
      <c r="W1140" s="10"/>
      <c r="X1140" s="9"/>
      <c r="Y1140" s="10"/>
      <c r="Z1140" s="9"/>
      <c r="AA1140" s="10"/>
      <c r="AB1140" s="11"/>
      <c r="AC1140" s="10"/>
      <c r="AD1140" s="7">
        <f>SUM(F1140+H1140+J1140+L1140+N1140+P1140+R1140+T1140+V1140+X1140+Z1140+AB1140)</f>
        <v>0</v>
      </c>
      <c r="AE1140" s="7">
        <f>E1140+AD1140</f>
        <v>0</v>
      </c>
      <c r="AF1140" s="8">
        <f>G1140+I1140+K1140+M1140+O1140+Q1140+S1140+U1140+W1140+Y1140+AA1140+AC1140</f>
        <v>0</v>
      </c>
      <c r="AG1140" s="153">
        <f>SUM(AE1140-AF1140)</f>
        <v>0</v>
      </c>
    </row>
    <row r="1141" spans="1:42" customHeight="1" ht="11.5">
      <c r="A1141" s="5"/>
      <c r="B1141" s="173"/>
      <c r="C1141" s="167"/>
      <c r="D1141" s="88"/>
      <c r="E1141" s="174"/>
      <c r="F1141" s="9"/>
      <c r="G1141" s="10"/>
      <c r="H1141" s="9"/>
      <c r="I1141" s="10"/>
      <c r="J1141" s="152"/>
      <c r="K1141" s="10"/>
      <c r="L1141" s="152"/>
      <c r="M1141" s="10"/>
      <c r="N1141" s="152"/>
      <c r="O1141" s="10"/>
      <c r="P1141" s="152"/>
      <c r="Q1141" s="10"/>
      <c r="R1141" s="9"/>
      <c r="S1141" s="10"/>
      <c r="T1141" s="9"/>
      <c r="U1141" s="10"/>
      <c r="V1141" s="9"/>
      <c r="W1141" s="10"/>
      <c r="X1141" s="9"/>
      <c r="Y1141" s="10"/>
      <c r="Z1141" s="9"/>
      <c r="AA1141" s="10"/>
      <c r="AB1141" s="11"/>
      <c r="AC1141" s="10"/>
      <c r="AD1141" s="7">
        <f>SUM(F1141+H1141+J1141+L1141+N1141+P1141+R1141+T1141+V1141+X1141+Z1141+AB1141)</f>
        <v>0</v>
      </c>
      <c r="AE1141" s="7">
        <f>E1141+AD1141</f>
        <v>0</v>
      </c>
      <c r="AF1141" s="8">
        <f>G1141+I1141+K1141+M1141+O1141+Q1141+S1141+U1141+W1141+Y1141+AA1141+AC1141</f>
        <v>0</v>
      </c>
      <c r="AG1141" s="153">
        <f>SUM(AE1141-AF1141)</f>
        <v>0</v>
      </c>
    </row>
    <row r="1142" spans="1:42" customHeight="1" ht="11.5">
      <c r="A1142" s="5"/>
      <c r="B1142" s="173"/>
      <c r="C1142" s="167"/>
      <c r="D1142" s="88"/>
      <c r="E1142" s="174"/>
      <c r="F1142" s="9"/>
      <c r="G1142" s="10"/>
      <c r="H1142" s="9"/>
      <c r="I1142" s="10"/>
      <c r="J1142" s="152"/>
      <c r="K1142" s="10"/>
      <c r="L1142" s="152"/>
      <c r="M1142" s="10"/>
      <c r="N1142" s="152"/>
      <c r="O1142" s="10"/>
      <c r="P1142" s="152"/>
      <c r="Q1142" s="10"/>
      <c r="R1142" s="9"/>
      <c r="S1142" s="10"/>
      <c r="T1142" s="9"/>
      <c r="U1142" s="10"/>
      <c r="V1142" s="9"/>
      <c r="W1142" s="10"/>
      <c r="X1142" s="9"/>
      <c r="Y1142" s="10"/>
      <c r="Z1142" s="9"/>
      <c r="AA1142" s="10"/>
      <c r="AB1142" s="11"/>
      <c r="AC1142" s="10"/>
      <c r="AD1142" s="7">
        <f>SUM(F1142+H1142+J1142+L1142+N1142+P1142+R1142+T1142+V1142+X1142+Z1142+AB1142)</f>
        <v>0</v>
      </c>
      <c r="AE1142" s="7">
        <f>E1142+AD1142</f>
        <v>0</v>
      </c>
      <c r="AF1142" s="8">
        <f>G1142+I1142+K1142+M1142+O1142+Q1142+S1142+U1142+W1142+Y1142+AA1142+AC1142</f>
        <v>0</v>
      </c>
      <c r="AG1142" s="153">
        <f>SUM(AE1142-AF1142)</f>
        <v>0</v>
      </c>
    </row>
    <row r="1143" spans="1:42" customHeight="1" ht="11.5">
      <c r="A1143" s="5"/>
      <c r="B1143" s="173"/>
      <c r="C1143" s="167"/>
      <c r="D1143" s="88"/>
      <c r="E1143" s="174"/>
      <c r="F1143" s="9"/>
      <c r="G1143" s="10"/>
      <c r="H1143" s="9"/>
      <c r="I1143" s="10"/>
      <c r="J1143" s="152"/>
      <c r="K1143" s="10"/>
      <c r="L1143" s="152"/>
      <c r="M1143" s="10"/>
      <c r="N1143" s="152"/>
      <c r="O1143" s="10"/>
      <c r="P1143" s="152"/>
      <c r="Q1143" s="10"/>
      <c r="R1143" s="9"/>
      <c r="S1143" s="10"/>
      <c r="T1143" s="9"/>
      <c r="U1143" s="10"/>
      <c r="V1143" s="9"/>
      <c r="W1143" s="10"/>
      <c r="X1143" s="9"/>
      <c r="Y1143" s="10"/>
      <c r="Z1143" s="9"/>
      <c r="AA1143" s="10"/>
      <c r="AB1143" s="11"/>
      <c r="AC1143" s="10"/>
      <c r="AD1143" s="7">
        <f>SUM(F1143+H1143+J1143+L1143+N1143+P1143+R1143+T1143+V1143+X1143+Z1143+AB1143)</f>
        <v>0</v>
      </c>
      <c r="AE1143" s="7">
        <f>E1143+AD1143</f>
        <v>0</v>
      </c>
      <c r="AF1143" s="8">
        <f>G1143+I1143+K1143+M1143+O1143+Q1143+S1143+U1143+W1143+Y1143+AA1143+AC1143</f>
        <v>0</v>
      </c>
      <c r="AG1143" s="153">
        <f>SUM(AE1143-AF1143)</f>
        <v>0</v>
      </c>
    </row>
    <row r="1144" spans="1:42" customHeight="1" ht="11.5">
      <c r="A1144" s="5"/>
      <c r="B1144" s="173"/>
      <c r="C1144" s="167"/>
      <c r="D1144" s="88"/>
      <c r="E1144" s="174"/>
      <c r="F1144" s="9"/>
      <c r="G1144" s="10"/>
      <c r="H1144" s="9"/>
      <c r="I1144" s="10"/>
      <c r="J1144" s="152"/>
      <c r="K1144" s="10"/>
      <c r="L1144" s="152"/>
      <c r="M1144" s="10"/>
      <c r="N1144" s="152"/>
      <c r="O1144" s="10"/>
      <c r="P1144" s="152"/>
      <c r="Q1144" s="10"/>
      <c r="R1144" s="9"/>
      <c r="S1144" s="10"/>
      <c r="T1144" s="9"/>
      <c r="U1144" s="10"/>
      <c r="V1144" s="9"/>
      <c r="W1144" s="10"/>
      <c r="X1144" s="9"/>
      <c r="Y1144" s="10"/>
      <c r="Z1144" s="9"/>
      <c r="AA1144" s="10"/>
      <c r="AB1144" s="11"/>
      <c r="AC1144" s="10"/>
      <c r="AD1144" s="7">
        <f>SUM(F1144+H1144+J1144+L1144+N1144+P1144+R1144+T1144+V1144+X1144+Z1144+AB1144)</f>
        <v>0</v>
      </c>
      <c r="AE1144" s="7">
        <f>E1144+AD1144</f>
        <v>0</v>
      </c>
      <c r="AF1144" s="8">
        <f>G1144+I1144+K1144+M1144+O1144+Q1144+S1144+U1144+W1144+Y1144+AA1144+AC1144</f>
        <v>0</v>
      </c>
      <c r="AG1144" s="153">
        <f>SUM(AE1144-AF1144)</f>
        <v>0</v>
      </c>
    </row>
    <row r="1145" spans="1:42" customHeight="1" ht="11.5">
      <c r="A1145" s="5"/>
      <c r="B1145" s="173"/>
      <c r="C1145" s="167"/>
      <c r="D1145" s="88"/>
      <c r="E1145" s="174"/>
      <c r="F1145" s="9"/>
      <c r="G1145" s="10"/>
      <c r="H1145" s="9"/>
      <c r="I1145" s="10"/>
      <c r="J1145" s="152"/>
      <c r="K1145" s="10"/>
      <c r="L1145" s="152"/>
      <c r="M1145" s="10"/>
      <c r="N1145" s="152"/>
      <c r="O1145" s="10"/>
      <c r="P1145" s="152"/>
      <c r="Q1145" s="10"/>
      <c r="R1145" s="9"/>
      <c r="S1145" s="10"/>
      <c r="T1145" s="9"/>
      <c r="U1145" s="10"/>
      <c r="V1145" s="9"/>
      <c r="W1145" s="10"/>
      <c r="X1145" s="9"/>
      <c r="Y1145" s="10"/>
      <c r="Z1145" s="9"/>
      <c r="AA1145" s="10"/>
      <c r="AB1145" s="11"/>
      <c r="AC1145" s="10"/>
      <c r="AD1145" s="7">
        <f>SUM(F1145+H1145+J1145+L1145+N1145+P1145+R1145+T1145+V1145+X1145+Z1145+AB1145)</f>
        <v>0</v>
      </c>
      <c r="AE1145" s="7">
        <f>E1145+AD1145</f>
        <v>0</v>
      </c>
      <c r="AF1145" s="8">
        <f>G1145+I1145+K1145+M1145+O1145+Q1145+S1145+U1145+W1145+Y1145+AA1145+AC1145</f>
        <v>0</v>
      </c>
      <c r="AG1145" s="153">
        <f>SUM(AE1145-AF1145)</f>
        <v>0</v>
      </c>
    </row>
    <row r="1146" spans="1:42" customHeight="1" ht="11.5">
      <c r="A1146" s="5"/>
      <c r="B1146" s="173"/>
      <c r="C1146" s="167"/>
      <c r="D1146" s="88"/>
      <c r="E1146" s="174"/>
      <c r="F1146" s="9"/>
      <c r="G1146" s="10"/>
      <c r="H1146" s="9"/>
      <c r="I1146" s="10"/>
      <c r="J1146" s="152"/>
      <c r="K1146" s="10"/>
      <c r="L1146" s="152"/>
      <c r="M1146" s="10"/>
      <c r="N1146" s="152"/>
      <c r="O1146" s="10"/>
      <c r="P1146" s="152"/>
      <c r="Q1146" s="10"/>
      <c r="R1146" s="9"/>
      <c r="S1146" s="10"/>
      <c r="T1146" s="9"/>
      <c r="U1146" s="10"/>
      <c r="V1146" s="9"/>
      <c r="W1146" s="10"/>
      <c r="X1146" s="9"/>
      <c r="Y1146" s="10"/>
      <c r="Z1146" s="9"/>
      <c r="AA1146" s="10"/>
      <c r="AB1146" s="11"/>
      <c r="AC1146" s="10"/>
      <c r="AD1146" s="7">
        <f>SUM(F1146+H1146+J1146+L1146+N1146+P1146+R1146+T1146+V1146+X1146+Z1146+AB1146)</f>
        <v>0</v>
      </c>
      <c r="AE1146" s="7">
        <f>E1146+AD1146</f>
        <v>0</v>
      </c>
      <c r="AF1146" s="8">
        <f>G1146+I1146+K1146+M1146+O1146+Q1146+S1146+U1146+W1146+Y1146+AA1146+AC1146</f>
        <v>0</v>
      </c>
      <c r="AG1146" s="153">
        <f>SUM(AE1146-AF1146)</f>
        <v>0</v>
      </c>
    </row>
    <row r="1147" spans="1:42" customHeight="1" ht="11.5">
      <c r="A1147" s="5"/>
      <c r="B1147" s="173"/>
      <c r="C1147" s="167"/>
      <c r="D1147" s="88"/>
      <c r="E1147" s="174"/>
      <c r="F1147" s="9"/>
      <c r="G1147" s="10"/>
      <c r="H1147" s="9"/>
      <c r="I1147" s="10"/>
      <c r="J1147" s="152"/>
      <c r="K1147" s="10"/>
      <c r="L1147" s="152"/>
      <c r="M1147" s="10"/>
      <c r="N1147" s="152"/>
      <c r="O1147" s="10"/>
      <c r="P1147" s="152"/>
      <c r="Q1147" s="10"/>
      <c r="R1147" s="9"/>
      <c r="S1147" s="10"/>
      <c r="T1147" s="9"/>
      <c r="U1147" s="10"/>
      <c r="V1147" s="9"/>
      <c r="W1147" s="10"/>
      <c r="X1147" s="9"/>
      <c r="Y1147" s="10"/>
      <c r="Z1147" s="9"/>
      <c r="AA1147" s="10"/>
      <c r="AB1147" s="11"/>
      <c r="AC1147" s="10"/>
      <c r="AD1147" s="7">
        <f>SUM(F1147+H1147+J1147+L1147+N1147+P1147+R1147+T1147+V1147+X1147+Z1147+AB1147)</f>
        <v>0</v>
      </c>
      <c r="AE1147" s="7">
        <f>E1147+AD1147</f>
        <v>0</v>
      </c>
      <c r="AF1147" s="8">
        <f>G1147+I1147+K1147+M1147+O1147+Q1147+S1147+U1147+W1147+Y1147+AA1147+AC1147</f>
        <v>0</v>
      </c>
      <c r="AG1147" s="153">
        <f>SUM(AE1147-AF1147)</f>
        <v>0</v>
      </c>
    </row>
    <row r="1148" spans="1:42" customHeight="1" ht="11.5">
      <c r="A1148" s="5"/>
      <c r="B1148" s="173"/>
      <c r="C1148" s="167"/>
      <c r="D1148" s="88"/>
      <c r="E1148" s="174"/>
      <c r="F1148" s="9"/>
      <c r="G1148" s="10"/>
      <c r="H1148" s="9"/>
      <c r="I1148" s="10"/>
      <c r="J1148" s="152"/>
      <c r="K1148" s="10"/>
      <c r="L1148" s="152"/>
      <c r="M1148" s="10"/>
      <c r="N1148" s="152"/>
      <c r="O1148" s="10"/>
      <c r="P1148" s="152"/>
      <c r="Q1148" s="10"/>
      <c r="R1148" s="9"/>
      <c r="S1148" s="10"/>
      <c r="T1148" s="9"/>
      <c r="U1148" s="10"/>
      <c r="V1148" s="9"/>
      <c r="W1148" s="10"/>
      <c r="X1148" s="9"/>
      <c r="Y1148" s="10"/>
      <c r="Z1148" s="9"/>
      <c r="AA1148" s="10"/>
      <c r="AB1148" s="11"/>
      <c r="AC1148" s="10"/>
      <c r="AD1148" s="7">
        <f>SUM(F1148+H1148+J1148+L1148+N1148+P1148+R1148+T1148+V1148+X1148+Z1148+AB1148)</f>
        <v>0</v>
      </c>
      <c r="AE1148" s="7">
        <f>E1148+AD1148</f>
        <v>0</v>
      </c>
      <c r="AF1148" s="8">
        <f>G1148+I1148+K1148+M1148+O1148+Q1148+S1148+U1148+W1148+Y1148+AA1148+AC1148</f>
        <v>0</v>
      </c>
      <c r="AG1148" s="153">
        <f>SUM(AE1148-AF1148)</f>
        <v>0</v>
      </c>
    </row>
    <row r="1149" spans="1:42" customHeight="1" ht="11.5">
      <c r="A1149" s="5"/>
      <c r="B1149" s="173"/>
      <c r="C1149" s="167"/>
      <c r="D1149" s="88"/>
      <c r="E1149" s="174"/>
      <c r="F1149" s="9"/>
      <c r="G1149" s="10"/>
      <c r="H1149" s="9"/>
      <c r="I1149" s="10"/>
      <c r="J1149" s="152"/>
      <c r="K1149" s="10"/>
      <c r="L1149" s="152"/>
      <c r="M1149" s="10"/>
      <c r="N1149" s="152"/>
      <c r="O1149" s="10"/>
      <c r="P1149" s="152"/>
      <c r="Q1149" s="10"/>
      <c r="R1149" s="9"/>
      <c r="S1149" s="10"/>
      <c r="T1149" s="9"/>
      <c r="U1149" s="10"/>
      <c r="V1149" s="9"/>
      <c r="W1149" s="10"/>
      <c r="X1149" s="9"/>
      <c r="Y1149" s="10"/>
      <c r="Z1149" s="9"/>
      <c r="AA1149" s="10"/>
      <c r="AB1149" s="11"/>
      <c r="AC1149" s="10"/>
      <c r="AD1149" s="7">
        <f>SUM(F1149+H1149+J1149+L1149+N1149+P1149+R1149+T1149+V1149+X1149+Z1149+AB1149)</f>
        <v>0</v>
      </c>
      <c r="AE1149" s="7">
        <f>E1149+AD1149</f>
        <v>0</v>
      </c>
      <c r="AF1149" s="8">
        <f>G1149+I1149+K1149+M1149+O1149+Q1149+S1149+U1149+W1149+Y1149+AA1149+AC1149</f>
        <v>0</v>
      </c>
      <c r="AG1149" s="153">
        <f>SUM(AE1149-AF1149)</f>
        <v>0</v>
      </c>
    </row>
    <row r="1150" spans="1:42" customHeight="1" ht="11.5">
      <c r="A1150" s="5"/>
      <c r="B1150" s="173"/>
      <c r="C1150" s="167"/>
      <c r="D1150" s="88"/>
      <c r="E1150" s="174"/>
      <c r="F1150" s="9"/>
      <c r="G1150" s="10"/>
      <c r="H1150" s="9"/>
      <c r="I1150" s="10"/>
      <c r="J1150" s="152"/>
      <c r="K1150" s="10"/>
      <c r="L1150" s="152"/>
      <c r="M1150" s="10"/>
      <c r="N1150" s="152"/>
      <c r="O1150" s="10"/>
      <c r="P1150" s="152"/>
      <c r="Q1150" s="10"/>
      <c r="R1150" s="9"/>
      <c r="S1150" s="10"/>
      <c r="T1150" s="9"/>
      <c r="U1150" s="10"/>
      <c r="V1150" s="9"/>
      <c r="W1150" s="10"/>
      <c r="X1150" s="9"/>
      <c r="Y1150" s="10"/>
      <c r="Z1150" s="9"/>
      <c r="AA1150" s="10"/>
      <c r="AB1150" s="11"/>
      <c r="AC1150" s="10"/>
      <c r="AD1150" s="7">
        <f>SUM(F1150+H1150+J1150+L1150+N1150+P1150+R1150+T1150+V1150+X1150+Z1150+AB1150)</f>
        <v>0</v>
      </c>
      <c r="AE1150" s="7">
        <f>E1150+AD1150</f>
        <v>0</v>
      </c>
      <c r="AF1150" s="8">
        <f>G1150+I1150+K1150+M1150+O1150+Q1150+S1150+U1150+W1150+Y1150+AA1150+AC1150</f>
        <v>0</v>
      </c>
      <c r="AG1150" s="153">
        <f>SUM(AE1150-AF1150)</f>
        <v>0</v>
      </c>
    </row>
    <row r="1151" spans="1:42" customHeight="1" ht="11.5">
      <c r="A1151" s="5"/>
      <c r="B1151" s="173"/>
      <c r="C1151" s="167"/>
      <c r="D1151" s="88"/>
      <c r="E1151" s="174"/>
      <c r="F1151" s="9"/>
      <c r="G1151" s="10"/>
      <c r="H1151" s="9"/>
      <c r="I1151" s="10"/>
      <c r="J1151" s="152"/>
      <c r="K1151" s="10"/>
      <c r="L1151" s="152"/>
      <c r="M1151" s="10"/>
      <c r="N1151" s="152"/>
      <c r="O1151" s="10"/>
      <c r="P1151" s="152"/>
      <c r="Q1151" s="10"/>
      <c r="R1151" s="9"/>
      <c r="S1151" s="10"/>
      <c r="T1151" s="9"/>
      <c r="U1151" s="10"/>
      <c r="V1151" s="9"/>
      <c r="W1151" s="10"/>
      <c r="X1151" s="9"/>
      <c r="Y1151" s="10"/>
      <c r="Z1151" s="9"/>
      <c r="AA1151" s="10"/>
      <c r="AB1151" s="11"/>
      <c r="AC1151" s="10"/>
      <c r="AD1151" s="7">
        <f>SUM(F1151+H1151+J1151+L1151+N1151+P1151+R1151+T1151+V1151+X1151+Z1151+AB1151)</f>
        <v>0</v>
      </c>
      <c r="AE1151" s="7">
        <f>E1151+AD1151</f>
        <v>0</v>
      </c>
      <c r="AF1151" s="8">
        <f>G1151+I1151+K1151+M1151+O1151+Q1151+S1151+U1151+W1151+Y1151+AA1151+AC1151</f>
        <v>0</v>
      </c>
      <c r="AG1151" s="153">
        <f>SUM(AE1151-AF1151)</f>
        <v>0</v>
      </c>
    </row>
    <row r="1152" spans="1:42" customHeight="1" ht="11.5">
      <c r="A1152" s="5"/>
      <c r="B1152" s="173"/>
      <c r="C1152" s="167"/>
      <c r="D1152" s="88"/>
      <c r="E1152" s="174"/>
      <c r="F1152" s="9"/>
      <c r="G1152" s="10"/>
      <c r="H1152" s="9"/>
      <c r="I1152" s="10"/>
      <c r="J1152" s="152"/>
      <c r="K1152" s="10"/>
      <c r="L1152" s="152"/>
      <c r="M1152" s="10"/>
      <c r="N1152" s="152"/>
      <c r="O1152" s="10"/>
      <c r="P1152" s="152"/>
      <c r="Q1152" s="10"/>
      <c r="R1152" s="9"/>
      <c r="S1152" s="10"/>
      <c r="T1152" s="9"/>
      <c r="U1152" s="10"/>
      <c r="V1152" s="9"/>
      <c r="W1152" s="10"/>
      <c r="X1152" s="9"/>
      <c r="Y1152" s="10"/>
      <c r="Z1152" s="9"/>
      <c r="AA1152" s="10"/>
      <c r="AB1152" s="11"/>
      <c r="AC1152" s="10"/>
      <c r="AD1152" s="7">
        <f>SUM(F1152+H1152+J1152+L1152+N1152+P1152+R1152+T1152+V1152+X1152+Z1152+AB1152)</f>
        <v>0</v>
      </c>
      <c r="AE1152" s="7">
        <f>E1152+AD1152</f>
        <v>0</v>
      </c>
      <c r="AF1152" s="8">
        <f>G1152+I1152+K1152+M1152+O1152+Q1152+S1152+U1152+W1152+Y1152+AA1152+AC1152</f>
        <v>0</v>
      </c>
      <c r="AG1152" s="153">
        <f>SUM(AE1152-AF1152)</f>
        <v>0</v>
      </c>
    </row>
    <row r="1153" spans="1:42" customHeight="1" ht="11.5">
      <c r="A1153" s="5"/>
      <c r="B1153" s="173"/>
      <c r="C1153" s="167"/>
      <c r="D1153" s="88"/>
      <c r="E1153" s="174"/>
      <c r="F1153" s="9"/>
      <c r="G1153" s="10"/>
      <c r="H1153" s="9"/>
      <c r="I1153" s="10"/>
      <c r="J1153" s="152"/>
      <c r="K1153" s="10"/>
      <c r="L1153" s="152"/>
      <c r="M1153" s="10"/>
      <c r="N1153" s="152"/>
      <c r="O1153" s="10"/>
      <c r="P1153" s="152"/>
      <c r="Q1153" s="10"/>
      <c r="R1153" s="9"/>
      <c r="S1153" s="10"/>
      <c r="T1153" s="9"/>
      <c r="U1153" s="10"/>
      <c r="V1153" s="9"/>
      <c r="W1153" s="10"/>
      <c r="X1153" s="9"/>
      <c r="Y1153" s="10"/>
      <c r="Z1153" s="9"/>
      <c r="AA1153" s="10"/>
      <c r="AB1153" s="11"/>
      <c r="AC1153" s="10"/>
      <c r="AD1153" s="7">
        <f>SUM(F1153+H1153+J1153+L1153+N1153+P1153+R1153+T1153+V1153+X1153+Z1153+AB1153)</f>
        <v>0</v>
      </c>
      <c r="AE1153" s="7">
        <f>E1153+AD1153</f>
        <v>0</v>
      </c>
      <c r="AF1153" s="8">
        <f>G1153+I1153+K1153+M1153+O1153+Q1153+S1153+U1153+W1153+Y1153+AA1153+AC1153</f>
        <v>0</v>
      </c>
      <c r="AG1153" s="153">
        <f>SUM(AE1153-AF1153)</f>
        <v>0</v>
      </c>
    </row>
    <row r="1154" spans="1:42" customHeight="1" ht="11.5">
      <c r="A1154" s="5"/>
      <c r="B1154" s="173"/>
      <c r="C1154" s="167"/>
      <c r="D1154" s="88"/>
      <c r="E1154" s="174"/>
      <c r="F1154" s="9"/>
      <c r="G1154" s="10"/>
      <c r="H1154" s="9"/>
      <c r="I1154" s="10"/>
      <c r="J1154" s="152"/>
      <c r="K1154" s="10"/>
      <c r="L1154" s="152"/>
      <c r="M1154" s="10"/>
      <c r="N1154" s="152"/>
      <c r="O1154" s="10"/>
      <c r="P1154" s="152"/>
      <c r="Q1154" s="10"/>
      <c r="R1154" s="9"/>
      <c r="S1154" s="10"/>
      <c r="T1154" s="9"/>
      <c r="U1154" s="10"/>
      <c r="V1154" s="9"/>
      <c r="W1154" s="10"/>
      <c r="X1154" s="9"/>
      <c r="Y1154" s="10"/>
      <c r="Z1154" s="9"/>
      <c r="AA1154" s="10"/>
      <c r="AB1154" s="11"/>
      <c r="AC1154" s="10"/>
      <c r="AD1154" s="7">
        <f>SUM(F1154+H1154+J1154+L1154+N1154+P1154+R1154+T1154+V1154+X1154+Z1154+AB1154)</f>
        <v>0</v>
      </c>
      <c r="AE1154" s="7">
        <f>E1154+AD1154</f>
        <v>0</v>
      </c>
      <c r="AF1154" s="8">
        <f>G1154+I1154+K1154+M1154+O1154+Q1154+S1154+U1154+W1154+Y1154+AA1154+AC1154</f>
        <v>0</v>
      </c>
      <c r="AG1154" s="153">
        <f>SUM(AE1154-AF1154)</f>
        <v>0</v>
      </c>
    </row>
    <row r="1155" spans="1:42" customHeight="1" ht="11.5">
      <c r="A1155" s="5"/>
      <c r="B1155" s="173"/>
      <c r="C1155" s="167"/>
      <c r="D1155" s="88"/>
      <c r="E1155" s="174"/>
      <c r="F1155" s="9"/>
      <c r="G1155" s="10"/>
      <c r="H1155" s="9"/>
      <c r="I1155" s="10"/>
      <c r="J1155" s="152"/>
      <c r="K1155" s="10"/>
      <c r="L1155" s="152"/>
      <c r="M1155" s="10"/>
      <c r="N1155" s="152"/>
      <c r="O1155" s="10"/>
      <c r="P1155" s="152"/>
      <c r="Q1155" s="10"/>
      <c r="R1155" s="9"/>
      <c r="S1155" s="10"/>
      <c r="T1155" s="9"/>
      <c r="U1155" s="10"/>
      <c r="V1155" s="9"/>
      <c r="W1155" s="10"/>
      <c r="X1155" s="9"/>
      <c r="Y1155" s="10"/>
      <c r="Z1155" s="9"/>
      <c r="AA1155" s="10"/>
      <c r="AB1155" s="11"/>
      <c r="AC1155" s="10"/>
      <c r="AD1155" s="7">
        <f>SUM(F1155+H1155+J1155+L1155+N1155+P1155+R1155+T1155+V1155+X1155+Z1155+AB1155)</f>
        <v>0</v>
      </c>
      <c r="AE1155" s="7">
        <f>E1155+AD1155</f>
        <v>0</v>
      </c>
      <c r="AF1155" s="8">
        <f>G1155+I1155+K1155+M1155+O1155+Q1155+S1155+U1155+W1155+Y1155+AA1155+AC1155</f>
        <v>0</v>
      </c>
      <c r="AG1155" s="153">
        <f>SUM(AE1155-AF1155)</f>
        <v>0</v>
      </c>
    </row>
    <row r="1156" spans="1:42" customHeight="1" ht="11.5">
      <c r="A1156" s="5"/>
      <c r="B1156" s="173"/>
      <c r="C1156" s="167"/>
      <c r="D1156" s="88"/>
      <c r="E1156" s="174"/>
      <c r="F1156" s="9"/>
      <c r="G1156" s="10"/>
      <c r="H1156" s="9"/>
      <c r="I1156" s="10"/>
      <c r="J1156" s="152"/>
      <c r="K1156" s="10"/>
      <c r="L1156" s="152"/>
      <c r="M1156" s="10"/>
      <c r="N1156" s="152"/>
      <c r="O1156" s="10"/>
      <c r="P1156" s="152"/>
      <c r="Q1156" s="10"/>
      <c r="R1156" s="9"/>
      <c r="S1156" s="10"/>
      <c r="T1156" s="9"/>
      <c r="U1156" s="10"/>
      <c r="V1156" s="9"/>
      <c r="W1156" s="10"/>
      <c r="X1156" s="9"/>
      <c r="Y1156" s="10"/>
      <c r="Z1156" s="9"/>
      <c r="AA1156" s="10"/>
      <c r="AB1156" s="11"/>
      <c r="AC1156" s="10"/>
      <c r="AD1156" s="7">
        <f>SUM(F1156+H1156+J1156+L1156+N1156+P1156+R1156+T1156+V1156+X1156+Z1156+AB1156)</f>
        <v>0</v>
      </c>
      <c r="AE1156" s="7">
        <f>E1156+AD1156</f>
        <v>0</v>
      </c>
      <c r="AF1156" s="8">
        <f>G1156+I1156+K1156+M1156+O1156+Q1156+S1156+U1156+W1156+Y1156+AA1156+AC1156</f>
        <v>0</v>
      </c>
      <c r="AG1156" s="153">
        <f>SUM(AE1156-AF1156)</f>
        <v>0</v>
      </c>
    </row>
    <row r="1157" spans="1:42" customHeight="1" ht="11.5">
      <c r="A1157" s="5"/>
      <c r="B1157" s="173"/>
      <c r="C1157" s="167"/>
      <c r="D1157" s="88"/>
      <c r="E1157" s="174"/>
      <c r="F1157" s="9"/>
      <c r="G1157" s="10"/>
      <c r="H1157" s="9"/>
      <c r="I1157" s="10"/>
      <c r="J1157" s="152"/>
      <c r="K1157" s="10"/>
      <c r="L1157" s="152"/>
      <c r="M1157" s="10"/>
      <c r="N1157" s="152"/>
      <c r="O1157" s="10"/>
      <c r="P1157" s="152"/>
      <c r="Q1157" s="10"/>
      <c r="R1157" s="9"/>
      <c r="S1157" s="10"/>
      <c r="T1157" s="9"/>
      <c r="U1157" s="10"/>
      <c r="V1157" s="9"/>
      <c r="W1157" s="10"/>
      <c r="X1157" s="9"/>
      <c r="Y1157" s="10"/>
      <c r="Z1157" s="9"/>
      <c r="AA1157" s="10"/>
      <c r="AB1157" s="11"/>
      <c r="AC1157" s="10"/>
      <c r="AD1157" s="7">
        <f>SUM(F1157+H1157+J1157+L1157+N1157+P1157+R1157+T1157+V1157+X1157+Z1157+AB1157)</f>
        <v>0</v>
      </c>
      <c r="AE1157" s="7">
        <f>E1157+AD1157</f>
        <v>0</v>
      </c>
      <c r="AF1157" s="8">
        <f>G1157+I1157+K1157+M1157+O1157+Q1157+S1157+U1157+W1157+Y1157+AA1157+AC1157</f>
        <v>0</v>
      </c>
      <c r="AG1157" s="153">
        <f>SUM(AE1157-AF1157)</f>
        <v>0</v>
      </c>
    </row>
    <row r="1158" spans="1:42" customHeight="1" ht="11.5">
      <c r="A1158" s="5"/>
      <c r="B1158" s="173"/>
      <c r="C1158" s="167"/>
      <c r="D1158" s="88"/>
      <c r="E1158" s="174"/>
      <c r="F1158" s="9"/>
      <c r="G1158" s="10"/>
      <c r="H1158" s="9"/>
      <c r="I1158" s="10"/>
      <c r="J1158" s="152"/>
      <c r="K1158" s="10"/>
      <c r="L1158" s="152"/>
      <c r="M1158" s="10"/>
      <c r="N1158" s="152"/>
      <c r="O1158" s="10"/>
      <c r="P1158" s="152"/>
      <c r="Q1158" s="10"/>
      <c r="R1158" s="9"/>
      <c r="S1158" s="10"/>
      <c r="T1158" s="9"/>
      <c r="U1158" s="10"/>
      <c r="V1158" s="9"/>
      <c r="W1158" s="10"/>
      <c r="X1158" s="9"/>
      <c r="Y1158" s="10"/>
      <c r="Z1158" s="9"/>
      <c r="AA1158" s="10"/>
      <c r="AB1158" s="11"/>
      <c r="AC1158" s="10"/>
      <c r="AD1158" s="7">
        <f>SUM(F1158+H1158+J1158+L1158+N1158+P1158+R1158+T1158+V1158+X1158+Z1158+AB1158)</f>
        <v>0</v>
      </c>
      <c r="AE1158" s="7">
        <f>E1158+AD1158</f>
        <v>0</v>
      </c>
      <c r="AF1158" s="8">
        <f>G1158+I1158+K1158+M1158+O1158+Q1158+S1158+U1158+W1158+Y1158+AA1158+AC1158</f>
        <v>0</v>
      </c>
      <c r="AG1158" s="153">
        <f>SUM(AE1158-AF1158)</f>
        <v>0</v>
      </c>
    </row>
    <row r="1159" spans="1:42" customHeight="1" ht="11.5">
      <c r="A1159" s="5"/>
      <c r="B1159" s="173"/>
      <c r="C1159" s="167"/>
      <c r="D1159" s="88"/>
      <c r="E1159" s="174"/>
      <c r="F1159" s="9"/>
      <c r="G1159" s="10"/>
      <c r="H1159" s="9"/>
      <c r="I1159" s="10"/>
      <c r="J1159" s="152"/>
      <c r="K1159" s="10"/>
      <c r="L1159" s="152"/>
      <c r="M1159" s="10"/>
      <c r="N1159" s="152"/>
      <c r="O1159" s="10"/>
      <c r="P1159" s="152"/>
      <c r="Q1159" s="10"/>
      <c r="R1159" s="9"/>
      <c r="S1159" s="10"/>
      <c r="T1159" s="9"/>
      <c r="U1159" s="10"/>
      <c r="V1159" s="9"/>
      <c r="W1159" s="10"/>
      <c r="X1159" s="9"/>
      <c r="Y1159" s="10"/>
      <c r="Z1159" s="9"/>
      <c r="AA1159" s="10"/>
      <c r="AB1159" s="11"/>
      <c r="AC1159" s="10"/>
      <c r="AD1159" s="7">
        <f>SUM(F1159+H1159+J1159+L1159+N1159+P1159+R1159+T1159+V1159+X1159+Z1159+AB1159)</f>
        <v>0</v>
      </c>
      <c r="AE1159" s="7">
        <f>E1159+AD1159</f>
        <v>0</v>
      </c>
      <c r="AF1159" s="8">
        <f>G1159+I1159+K1159+M1159+O1159+Q1159+S1159+U1159+W1159+Y1159+AA1159+AC1159</f>
        <v>0</v>
      </c>
      <c r="AG1159" s="153">
        <f>SUM(AE1159-AF1159)</f>
        <v>0</v>
      </c>
    </row>
    <row r="1160" spans="1:42" customHeight="1" ht="11.5">
      <c r="A1160" s="5"/>
      <c r="B1160" s="173"/>
      <c r="C1160" s="167"/>
      <c r="D1160" s="88"/>
      <c r="E1160" s="174"/>
      <c r="F1160" s="9"/>
      <c r="G1160" s="10"/>
      <c r="H1160" s="9"/>
      <c r="I1160" s="10"/>
      <c r="J1160" s="152"/>
      <c r="K1160" s="10"/>
      <c r="L1160" s="152"/>
      <c r="M1160" s="10"/>
      <c r="N1160" s="152"/>
      <c r="O1160" s="10"/>
      <c r="P1160" s="152"/>
      <c r="Q1160" s="10"/>
      <c r="R1160" s="9"/>
      <c r="S1160" s="10"/>
      <c r="T1160" s="9"/>
      <c r="U1160" s="10"/>
      <c r="V1160" s="9"/>
      <c r="W1160" s="10"/>
      <c r="X1160" s="9"/>
      <c r="Y1160" s="10"/>
      <c r="Z1160" s="9"/>
      <c r="AA1160" s="10"/>
      <c r="AB1160" s="11"/>
      <c r="AC1160" s="10"/>
      <c r="AD1160" s="7">
        <f>SUM(F1160+H1160+J1160+L1160+N1160+P1160+R1160+T1160+V1160+X1160+Z1160+AB1160)</f>
        <v>0</v>
      </c>
      <c r="AE1160" s="7">
        <f>E1160+AD1160</f>
        <v>0</v>
      </c>
      <c r="AF1160" s="8">
        <f>G1160+I1160+K1160+M1160+O1160+Q1160+S1160+U1160+W1160+Y1160+AA1160+AC1160</f>
        <v>0</v>
      </c>
      <c r="AG1160" s="153">
        <f>SUM(AE1160-AF1160)</f>
        <v>0</v>
      </c>
    </row>
    <row r="1161" spans="1:42" customHeight="1" ht="11.5">
      <c r="A1161" s="5"/>
      <c r="B1161" s="173"/>
      <c r="C1161" s="167"/>
      <c r="D1161" s="88"/>
      <c r="E1161" s="174"/>
      <c r="F1161" s="9"/>
      <c r="G1161" s="10"/>
      <c r="H1161" s="9"/>
      <c r="I1161" s="10"/>
      <c r="J1161" s="152"/>
      <c r="K1161" s="10"/>
      <c r="L1161" s="152"/>
      <c r="M1161" s="10"/>
      <c r="N1161" s="152"/>
      <c r="O1161" s="10"/>
      <c r="P1161" s="152"/>
      <c r="Q1161" s="10"/>
      <c r="R1161" s="9"/>
      <c r="S1161" s="10"/>
      <c r="T1161" s="9"/>
      <c r="U1161" s="10"/>
      <c r="V1161" s="9"/>
      <c r="W1161" s="10"/>
      <c r="X1161" s="9"/>
      <c r="Y1161" s="10"/>
      <c r="Z1161" s="9"/>
      <c r="AA1161" s="10"/>
      <c r="AB1161" s="11"/>
      <c r="AC1161" s="10"/>
      <c r="AD1161" s="7">
        <f>SUM(F1161+H1161+J1161+L1161+N1161+P1161+R1161+T1161+V1161+X1161+Z1161+AB1161)</f>
        <v>0</v>
      </c>
      <c r="AE1161" s="7">
        <f>E1161+AD1161</f>
        <v>0</v>
      </c>
      <c r="AF1161" s="8">
        <f>G1161+I1161+K1161+M1161+O1161+Q1161+S1161+U1161+W1161+Y1161+AA1161+AC1161</f>
        <v>0</v>
      </c>
      <c r="AG1161" s="153">
        <f>SUM(AE1161-AF1161)</f>
        <v>0</v>
      </c>
    </row>
    <row r="1162" spans="1:42" customHeight="1" ht="11.5">
      <c r="A1162" s="5"/>
      <c r="B1162" s="173"/>
      <c r="C1162" s="167"/>
      <c r="D1162" s="88"/>
      <c r="E1162" s="174"/>
      <c r="F1162" s="9"/>
      <c r="G1162" s="10"/>
      <c r="H1162" s="9"/>
      <c r="I1162" s="10"/>
      <c r="J1162" s="152"/>
      <c r="K1162" s="10"/>
      <c r="L1162" s="152"/>
      <c r="M1162" s="10"/>
      <c r="N1162" s="152"/>
      <c r="O1162" s="10"/>
      <c r="P1162" s="152"/>
      <c r="Q1162" s="10"/>
      <c r="R1162" s="9"/>
      <c r="S1162" s="10"/>
      <c r="T1162" s="9"/>
      <c r="U1162" s="10"/>
      <c r="V1162" s="9"/>
      <c r="W1162" s="10"/>
      <c r="X1162" s="9"/>
      <c r="Y1162" s="10"/>
      <c r="Z1162" s="9"/>
      <c r="AA1162" s="10"/>
      <c r="AB1162" s="11"/>
      <c r="AC1162" s="10"/>
      <c r="AD1162" s="7">
        <f>SUM(F1162+H1162+J1162+L1162+N1162+P1162+R1162+T1162+V1162+X1162+Z1162+AB1162)</f>
        <v>0</v>
      </c>
      <c r="AE1162" s="7">
        <f>E1162+AD1162</f>
        <v>0</v>
      </c>
      <c r="AF1162" s="8">
        <f>G1162+I1162+K1162+M1162+O1162+Q1162+S1162+U1162+W1162+Y1162+AA1162+AC1162</f>
        <v>0</v>
      </c>
      <c r="AG1162" s="153">
        <f>SUM(AE1162-AF1162)</f>
        <v>0</v>
      </c>
    </row>
    <row r="1163" spans="1:42" customHeight="1" ht="11.5">
      <c r="A1163" s="5"/>
      <c r="B1163" s="173"/>
      <c r="C1163" s="167"/>
      <c r="D1163" s="88"/>
      <c r="E1163" s="174"/>
      <c r="F1163" s="9"/>
      <c r="G1163" s="10"/>
      <c r="H1163" s="9"/>
      <c r="I1163" s="10"/>
      <c r="J1163" s="152"/>
      <c r="K1163" s="10"/>
      <c r="L1163" s="152"/>
      <c r="M1163" s="10"/>
      <c r="N1163" s="152"/>
      <c r="O1163" s="10"/>
      <c r="P1163" s="152"/>
      <c r="Q1163" s="10"/>
      <c r="R1163" s="9"/>
      <c r="S1163" s="10"/>
      <c r="T1163" s="9"/>
      <c r="U1163" s="10"/>
      <c r="V1163" s="9"/>
      <c r="W1163" s="10"/>
      <c r="X1163" s="9"/>
      <c r="Y1163" s="10"/>
      <c r="Z1163" s="9"/>
      <c r="AA1163" s="10"/>
      <c r="AB1163" s="11"/>
      <c r="AC1163" s="10"/>
      <c r="AD1163" s="7">
        <f>SUM(F1163+H1163+J1163+L1163+N1163+P1163+R1163+T1163+V1163+X1163+Z1163+AB1163)</f>
        <v>0</v>
      </c>
      <c r="AE1163" s="7">
        <f>E1163+AD1163</f>
        <v>0</v>
      </c>
      <c r="AF1163" s="8">
        <f>G1163+I1163+K1163+M1163+O1163+Q1163+S1163+U1163+W1163+Y1163+AA1163+AC1163</f>
        <v>0</v>
      </c>
      <c r="AG1163" s="153">
        <f>SUM(AE1163-AF1163)</f>
        <v>0</v>
      </c>
    </row>
    <row r="1164" spans="1:42" customHeight="1" ht="11.5">
      <c r="A1164" s="5"/>
      <c r="B1164" s="173"/>
      <c r="C1164" s="167"/>
      <c r="D1164" s="88"/>
      <c r="E1164" s="174"/>
      <c r="F1164" s="9"/>
      <c r="G1164" s="10"/>
      <c r="H1164" s="9"/>
      <c r="I1164" s="10"/>
      <c r="J1164" s="152"/>
      <c r="K1164" s="10"/>
      <c r="L1164" s="152"/>
      <c r="M1164" s="10"/>
      <c r="N1164" s="152"/>
      <c r="O1164" s="10"/>
      <c r="P1164" s="152"/>
      <c r="Q1164" s="10"/>
      <c r="R1164" s="9"/>
      <c r="S1164" s="10"/>
      <c r="T1164" s="9"/>
      <c r="U1164" s="10"/>
      <c r="V1164" s="9"/>
      <c r="W1164" s="10"/>
      <c r="X1164" s="9"/>
      <c r="Y1164" s="10"/>
      <c r="Z1164" s="9"/>
      <c r="AA1164" s="10"/>
      <c r="AB1164" s="11"/>
      <c r="AC1164" s="10"/>
      <c r="AD1164" s="7">
        <f>SUM(F1164+H1164+J1164+L1164+N1164+P1164+R1164+T1164+V1164+X1164+Z1164+AB1164)</f>
        <v>0</v>
      </c>
      <c r="AE1164" s="7">
        <f>E1164+AD1164</f>
        <v>0</v>
      </c>
      <c r="AF1164" s="8">
        <f>G1164+I1164+K1164+M1164+O1164+Q1164+S1164+U1164+W1164+Y1164+AA1164+AC1164</f>
        <v>0</v>
      </c>
      <c r="AG1164" s="153">
        <f>SUM(AE1164-AF1164)</f>
        <v>0</v>
      </c>
    </row>
    <row r="1165" spans="1:42" customHeight="1" ht="11.5">
      <c r="A1165" s="5"/>
      <c r="B1165" s="173"/>
      <c r="C1165" s="167"/>
      <c r="D1165" s="88"/>
      <c r="E1165" s="174"/>
      <c r="F1165" s="9"/>
      <c r="G1165" s="10"/>
      <c r="H1165" s="9"/>
      <c r="I1165" s="10"/>
      <c r="J1165" s="152"/>
      <c r="K1165" s="10"/>
      <c r="L1165" s="152"/>
      <c r="M1165" s="10"/>
      <c r="N1165" s="152"/>
      <c r="O1165" s="10"/>
      <c r="P1165" s="152"/>
      <c r="Q1165" s="10"/>
      <c r="R1165" s="9"/>
      <c r="S1165" s="10"/>
      <c r="T1165" s="9"/>
      <c r="U1165" s="10"/>
      <c r="V1165" s="9"/>
      <c r="W1165" s="10"/>
      <c r="X1165" s="9"/>
      <c r="Y1165" s="10"/>
      <c r="Z1165" s="9"/>
      <c r="AA1165" s="10"/>
      <c r="AB1165" s="11"/>
      <c r="AC1165" s="10"/>
      <c r="AD1165" s="7">
        <f>SUM(F1165+H1165+J1165+L1165+N1165+P1165+R1165+T1165+V1165+X1165+Z1165+AB1165)</f>
        <v>0</v>
      </c>
      <c r="AE1165" s="7">
        <f>E1165+AD1165</f>
        <v>0</v>
      </c>
      <c r="AF1165" s="8">
        <f>G1165+I1165+K1165+M1165+O1165+Q1165+S1165+U1165+W1165+Y1165+AA1165+AC1165</f>
        <v>0</v>
      </c>
      <c r="AG1165" s="153">
        <f>SUM(AE1165-AF1165)</f>
        <v>0</v>
      </c>
    </row>
    <row r="1166" spans="1:42" customHeight="1" ht="11.5">
      <c r="A1166" s="5"/>
      <c r="B1166" s="173"/>
      <c r="C1166" s="167"/>
      <c r="D1166" s="88"/>
      <c r="E1166" s="174"/>
      <c r="F1166" s="9"/>
      <c r="G1166" s="10"/>
      <c r="H1166" s="9"/>
      <c r="I1166" s="10"/>
      <c r="J1166" s="152"/>
      <c r="K1166" s="10"/>
      <c r="L1166" s="152"/>
      <c r="M1166" s="10"/>
      <c r="N1166" s="152"/>
      <c r="O1166" s="10"/>
      <c r="P1166" s="152"/>
      <c r="Q1166" s="10"/>
      <c r="R1166" s="9"/>
      <c r="S1166" s="10"/>
      <c r="T1166" s="9"/>
      <c r="U1166" s="10"/>
      <c r="V1166" s="9"/>
      <c r="W1166" s="10"/>
      <c r="X1166" s="9"/>
      <c r="Y1166" s="10"/>
      <c r="Z1166" s="9"/>
      <c r="AA1166" s="10"/>
      <c r="AB1166" s="11"/>
      <c r="AC1166" s="10"/>
      <c r="AD1166" s="7">
        <f>SUM(F1166+H1166+J1166+L1166+N1166+P1166+R1166+T1166+V1166+X1166+Z1166+AB1166)</f>
        <v>0</v>
      </c>
      <c r="AE1166" s="7">
        <f>E1166+AD1166</f>
        <v>0</v>
      </c>
      <c r="AF1166" s="8">
        <f>G1166+I1166+K1166+M1166+O1166+Q1166+S1166+U1166+W1166+Y1166+AA1166+AC1166</f>
        <v>0</v>
      </c>
      <c r="AG1166" s="153">
        <f>SUM(AE1166-AF1166)</f>
        <v>0</v>
      </c>
    </row>
    <row r="1167" spans="1:42" customHeight="1" ht="11.5">
      <c r="A1167" s="5"/>
      <c r="B1167" s="173"/>
      <c r="C1167" s="167"/>
      <c r="D1167" s="88"/>
      <c r="E1167" s="174"/>
      <c r="F1167" s="9"/>
      <c r="G1167" s="10"/>
      <c r="H1167" s="9"/>
      <c r="I1167" s="10"/>
      <c r="J1167" s="152"/>
      <c r="K1167" s="10"/>
      <c r="L1167" s="152"/>
      <c r="M1167" s="10"/>
      <c r="N1167" s="152"/>
      <c r="O1167" s="10"/>
      <c r="P1167" s="152"/>
      <c r="Q1167" s="10"/>
      <c r="R1167" s="9"/>
      <c r="S1167" s="10"/>
      <c r="T1167" s="9"/>
      <c r="U1167" s="10"/>
      <c r="V1167" s="9"/>
      <c r="W1167" s="10"/>
      <c r="X1167" s="9"/>
      <c r="Y1167" s="10"/>
      <c r="Z1167" s="9"/>
      <c r="AA1167" s="10"/>
      <c r="AB1167" s="11"/>
      <c r="AC1167" s="10"/>
      <c r="AD1167" s="7">
        <f>SUM(F1167+H1167+J1167+L1167+N1167+P1167+R1167+T1167+V1167+X1167+Z1167+AB1167)</f>
        <v>0</v>
      </c>
      <c r="AE1167" s="7">
        <f>E1167+AD1167</f>
        <v>0</v>
      </c>
      <c r="AF1167" s="8">
        <f>G1167+I1167+K1167+M1167+O1167+Q1167+S1167+U1167+W1167+Y1167+AA1167+AC1167</f>
        <v>0</v>
      </c>
      <c r="AG1167" s="153">
        <f>SUM(AE1167-AF1167)</f>
        <v>0</v>
      </c>
    </row>
    <row r="1168" spans="1:42" customHeight="1" ht="11.5">
      <c r="A1168" s="5"/>
      <c r="B1168" s="173"/>
      <c r="C1168" s="167"/>
      <c r="D1168" s="88"/>
      <c r="E1168" s="174"/>
      <c r="F1168" s="9"/>
      <c r="G1168" s="10"/>
      <c r="H1168" s="9"/>
      <c r="I1168" s="10"/>
      <c r="J1168" s="152"/>
      <c r="K1168" s="10"/>
      <c r="L1168" s="152"/>
      <c r="M1168" s="10"/>
      <c r="N1168" s="152"/>
      <c r="O1168" s="10"/>
      <c r="P1168" s="152"/>
      <c r="Q1168" s="10"/>
      <c r="R1168" s="9"/>
      <c r="S1168" s="10"/>
      <c r="T1168" s="9"/>
      <c r="U1168" s="10"/>
      <c r="V1168" s="9"/>
      <c r="W1168" s="10"/>
      <c r="X1168" s="9"/>
      <c r="Y1168" s="10"/>
      <c r="Z1168" s="9"/>
      <c r="AA1168" s="10"/>
      <c r="AB1168" s="11"/>
      <c r="AC1168" s="10"/>
      <c r="AD1168" s="7">
        <f>SUM(F1168+H1168+J1168+L1168+N1168+P1168+R1168+T1168+V1168+X1168+Z1168+AB1168)</f>
        <v>0</v>
      </c>
      <c r="AE1168" s="7">
        <f>E1168+AD1168</f>
        <v>0</v>
      </c>
      <c r="AF1168" s="8">
        <f>G1168+I1168+K1168+M1168+O1168+Q1168+S1168+U1168+W1168+Y1168+AA1168+AC1168</f>
        <v>0</v>
      </c>
      <c r="AG1168" s="153">
        <f>SUM(AE1168-AF1168)</f>
        <v>0</v>
      </c>
    </row>
    <row r="1169" spans="1:42" customHeight="1" ht="11.5">
      <c r="A1169" s="5"/>
      <c r="B1169" s="173"/>
      <c r="C1169" s="167"/>
      <c r="D1169" s="88"/>
      <c r="E1169" s="174"/>
      <c r="F1169" s="9"/>
      <c r="G1169" s="10"/>
      <c r="H1169" s="9"/>
      <c r="I1169" s="10"/>
      <c r="J1169" s="152"/>
      <c r="K1169" s="10"/>
      <c r="L1169" s="152"/>
      <c r="M1169" s="10"/>
      <c r="N1169" s="152"/>
      <c r="O1169" s="10"/>
      <c r="P1169" s="152"/>
      <c r="Q1169" s="10"/>
      <c r="R1169" s="9"/>
      <c r="S1169" s="10"/>
      <c r="T1169" s="9"/>
      <c r="U1169" s="10"/>
      <c r="V1169" s="9"/>
      <c r="W1169" s="10"/>
      <c r="X1169" s="9"/>
      <c r="Y1169" s="10"/>
      <c r="Z1169" s="9"/>
      <c r="AA1169" s="10"/>
      <c r="AB1169" s="11"/>
      <c r="AC1169" s="10"/>
      <c r="AD1169" s="7">
        <f>SUM(F1169+H1169+J1169+L1169+N1169+P1169+R1169+T1169+V1169+X1169+Z1169+AB1169)</f>
        <v>0</v>
      </c>
      <c r="AE1169" s="7">
        <f>E1169+AD1169</f>
        <v>0</v>
      </c>
      <c r="AF1169" s="8">
        <f>G1169+I1169+K1169+M1169+O1169+Q1169+S1169+U1169+W1169+Y1169+AA1169+AC1169</f>
        <v>0</v>
      </c>
      <c r="AG1169" s="153">
        <f>SUM(AE1169-AF1169)</f>
        <v>0</v>
      </c>
    </row>
    <row r="1170" spans="1:42" customHeight="1" ht="11.5">
      <c r="A1170" s="5"/>
      <c r="B1170" s="173"/>
      <c r="C1170" s="167"/>
      <c r="D1170" s="88"/>
      <c r="E1170" s="174"/>
      <c r="F1170" s="9"/>
      <c r="G1170" s="10"/>
      <c r="H1170" s="9"/>
      <c r="I1170" s="10"/>
      <c r="J1170" s="152"/>
      <c r="K1170" s="10"/>
      <c r="L1170" s="152"/>
      <c r="M1170" s="10"/>
      <c r="N1170" s="152"/>
      <c r="O1170" s="10"/>
      <c r="P1170" s="152"/>
      <c r="Q1170" s="10"/>
      <c r="R1170" s="9"/>
      <c r="S1170" s="10"/>
      <c r="T1170" s="9"/>
      <c r="U1170" s="10"/>
      <c r="V1170" s="9"/>
      <c r="W1170" s="10"/>
      <c r="X1170" s="9"/>
      <c r="Y1170" s="10"/>
      <c r="Z1170" s="9"/>
      <c r="AA1170" s="10"/>
      <c r="AB1170" s="11"/>
      <c r="AC1170" s="10"/>
      <c r="AD1170" s="7">
        <f>SUM(F1170+H1170+J1170+L1170+N1170+P1170+R1170+T1170+V1170+X1170+Z1170+AB1170)</f>
        <v>0</v>
      </c>
      <c r="AE1170" s="7">
        <f>E1170+AD1170</f>
        <v>0</v>
      </c>
      <c r="AF1170" s="8">
        <f>G1170+I1170+K1170+M1170+O1170+Q1170+S1170+U1170+W1170+Y1170+AA1170+AC1170</f>
        <v>0</v>
      </c>
      <c r="AG1170" s="153">
        <f>SUM(AE1170-AF1170)</f>
        <v>0</v>
      </c>
    </row>
    <row r="1171" spans="1:42" customHeight="1" ht="11.5">
      <c r="A1171" s="5"/>
      <c r="B1171" s="173"/>
      <c r="C1171" s="167"/>
      <c r="D1171" s="88"/>
      <c r="E1171" s="174"/>
      <c r="F1171" s="9"/>
      <c r="G1171" s="10"/>
      <c r="H1171" s="9"/>
      <c r="I1171" s="10"/>
      <c r="J1171" s="152"/>
      <c r="K1171" s="10"/>
      <c r="L1171" s="152"/>
      <c r="M1171" s="10"/>
      <c r="N1171" s="152"/>
      <c r="O1171" s="10"/>
      <c r="P1171" s="152"/>
      <c r="Q1171" s="10"/>
      <c r="R1171" s="9"/>
      <c r="S1171" s="10"/>
      <c r="T1171" s="9"/>
      <c r="U1171" s="10"/>
      <c r="V1171" s="9"/>
      <c r="W1171" s="10"/>
      <c r="X1171" s="9"/>
      <c r="Y1171" s="10"/>
      <c r="Z1171" s="9"/>
      <c r="AA1171" s="10"/>
      <c r="AB1171" s="11"/>
      <c r="AC1171" s="10"/>
      <c r="AD1171" s="7">
        <f>SUM(F1171+H1171+J1171+L1171+N1171+P1171+R1171+T1171+V1171+X1171+Z1171+AB1171)</f>
        <v>0</v>
      </c>
      <c r="AE1171" s="7">
        <f>E1171+AD1171</f>
        <v>0</v>
      </c>
      <c r="AF1171" s="8">
        <f>G1171+I1171+K1171+M1171+O1171+Q1171+S1171+U1171+W1171+Y1171+AA1171+AC1171</f>
        <v>0</v>
      </c>
      <c r="AG1171" s="153">
        <f>SUM(AE1171-AF1171)</f>
        <v>0</v>
      </c>
    </row>
    <row r="1172" spans="1:42" customHeight="1" ht="11.5">
      <c r="A1172" s="5"/>
      <c r="B1172" s="173"/>
      <c r="C1172" s="167"/>
      <c r="D1172" s="88"/>
      <c r="E1172" s="174"/>
      <c r="F1172" s="9"/>
      <c r="G1172" s="10"/>
      <c r="H1172" s="9"/>
      <c r="I1172" s="10"/>
      <c r="J1172" s="152"/>
      <c r="K1172" s="10"/>
      <c r="L1172" s="152"/>
      <c r="M1172" s="10"/>
      <c r="N1172" s="152"/>
      <c r="O1172" s="10"/>
      <c r="P1172" s="152"/>
      <c r="Q1172" s="10"/>
      <c r="R1172" s="9"/>
      <c r="S1172" s="10"/>
      <c r="T1172" s="9"/>
      <c r="U1172" s="10"/>
      <c r="V1172" s="9"/>
      <c r="W1172" s="10"/>
      <c r="X1172" s="9"/>
      <c r="Y1172" s="10"/>
      <c r="Z1172" s="9"/>
      <c r="AA1172" s="10"/>
      <c r="AB1172" s="11"/>
      <c r="AC1172" s="10"/>
      <c r="AD1172" s="7">
        <f>SUM(F1172+H1172+J1172+L1172+N1172+P1172+R1172+T1172+V1172+X1172+Z1172+AB1172)</f>
        <v>0</v>
      </c>
      <c r="AE1172" s="7">
        <f>E1172+AD1172</f>
        <v>0</v>
      </c>
      <c r="AF1172" s="8">
        <f>G1172+I1172+K1172+M1172+O1172+Q1172+S1172+U1172+W1172+Y1172+AA1172+AC1172</f>
        <v>0</v>
      </c>
      <c r="AG1172" s="153">
        <f>SUM(AE1172-AF1172)</f>
        <v>0</v>
      </c>
    </row>
    <row r="1173" spans="1:42" customHeight="1" ht="11.5">
      <c r="A1173" s="5"/>
      <c r="B1173" s="173"/>
      <c r="C1173" s="167"/>
      <c r="D1173" s="88"/>
      <c r="E1173" s="174"/>
      <c r="F1173" s="9"/>
      <c r="G1173" s="10"/>
      <c r="H1173" s="9"/>
      <c r="I1173" s="10"/>
      <c r="J1173" s="152"/>
      <c r="K1173" s="10"/>
      <c r="L1173" s="152"/>
      <c r="M1173" s="10"/>
      <c r="N1173" s="152"/>
      <c r="O1173" s="10"/>
      <c r="P1173" s="152"/>
      <c r="Q1173" s="10"/>
      <c r="R1173" s="9"/>
      <c r="S1173" s="10"/>
      <c r="T1173" s="9"/>
      <c r="U1173" s="10"/>
      <c r="V1173" s="9"/>
      <c r="W1173" s="10"/>
      <c r="X1173" s="9"/>
      <c r="Y1173" s="10"/>
      <c r="Z1173" s="9"/>
      <c r="AA1173" s="10"/>
      <c r="AB1173" s="11"/>
      <c r="AC1173" s="10"/>
      <c r="AD1173" s="7">
        <f>SUM(F1173+H1173+J1173+L1173+N1173+P1173+R1173+T1173+V1173+X1173+Z1173+AB1173)</f>
        <v>0</v>
      </c>
      <c r="AE1173" s="7">
        <f>E1173+AD1173</f>
        <v>0</v>
      </c>
      <c r="AF1173" s="8">
        <f>G1173+I1173+K1173+M1173+O1173+Q1173+S1173+U1173+W1173+Y1173+AA1173+AC1173</f>
        <v>0</v>
      </c>
      <c r="AG1173" s="153">
        <f>SUM(AE1173-AF1173)</f>
        <v>0</v>
      </c>
    </row>
    <row r="1174" spans="1:42" customHeight="1" ht="11.5">
      <c r="A1174" s="5"/>
      <c r="B1174" s="173"/>
      <c r="C1174" s="167"/>
      <c r="D1174" s="88"/>
      <c r="E1174" s="174"/>
      <c r="F1174" s="9"/>
      <c r="G1174" s="10"/>
      <c r="H1174" s="9"/>
      <c r="I1174" s="10"/>
      <c r="J1174" s="152"/>
      <c r="K1174" s="10"/>
      <c r="L1174" s="152"/>
      <c r="M1174" s="10"/>
      <c r="N1174" s="152"/>
      <c r="O1174" s="10"/>
      <c r="P1174" s="152"/>
      <c r="Q1174" s="10"/>
      <c r="R1174" s="9"/>
      <c r="S1174" s="10"/>
      <c r="T1174" s="9"/>
      <c r="U1174" s="10"/>
      <c r="V1174" s="9"/>
      <c r="W1174" s="10"/>
      <c r="X1174" s="9"/>
      <c r="Y1174" s="10"/>
      <c r="Z1174" s="9"/>
      <c r="AA1174" s="10"/>
      <c r="AB1174" s="11"/>
      <c r="AC1174" s="10"/>
      <c r="AD1174" s="7">
        <f>SUM(F1174+H1174+J1174+L1174+N1174+P1174+R1174+T1174+V1174+X1174+Z1174+AB1174)</f>
        <v>0</v>
      </c>
      <c r="AE1174" s="7">
        <f>E1174+AD1174</f>
        <v>0</v>
      </c>
      <c r="AF1174" s="8">
        <f>G1174+I1174+K1174+M1174+O1174+Q1174+S1174+U1174+W1174+Y1174+AA1174+AC1174</f>
        <v>0</v>
      </c>
      <c r="AG1174" s="153">
        <f>SUM(AE1174-AF1174)</f>
        <v>0</v>
      </c>
    </row>
    <row r="1175" spans="1:42" customHeight="1" ht="11.5">
      <c r="A1175" s="5"/>
      <c r="B1175" s="173"/>
      <c r="C1175" s="167"/>
      <c r="D1175" s="88"/>
      <c r="E1175" s="174"/>
      <c r="F1175" s="9"/>
      <c r="G1175" s="10"/>
      <c r="H1175" s="9"/>
      <c r="I1175" s="10"/>
      <c r="J1175" s="152"/>
      <c r="K1175" s="10"/>
      <c r="L1175" s="152"/>
      <c r="M1175" s="10"/>
      <c r="N1175" s="152"/>
      <c r="O1175" s="10"/>
      <c r="P1175" s="152"/>
      <c r="Q1175" s="10"/>
      <c r="R1175" s="9"/>
      <c r="S1175" s="10"/>
      <c r="T1175" s="9"/>
      <c r="U1175" s="10"/>
      <c r="V1175" s="9"/>
      <c r="W1175" s="10"/>
      <c r="X1175" s="9"/>
      <c r="Y1175" s="10"/>
      <c r="Z1175" s="9"/>
      <c r="AA1175" s="10"/>
      <c r="AB1175" s="11"/>
      <c r="AC1175" s="10"/>
      <c r="AD1175" s="7">
        <f>SUM(F1175+H1175+J1175+L1175+N1175+P1175+R1175+T1175+V1175+X1175+Z1175+AB1175)</f>
        <v>0</v>
      </c>
      <c r="AE1175" s="7">
        <f>E1175+AD1175</f>
        <v>0</v>
      </c>
      <c r="AF1175" s="8">
        <f>G1175+I1175+K1175+M1175+O1175+Q1175+S1175+U1175+W1175+Y1175+AA1175+AC1175</f>
        <v>0</v>
      </c>
      <c r="AG1175" s="153">
        <f>SUM(AE1175-AF1175)</f>
        <v>0</v>
      </c>
    </row>
    <row r="1176" spans="1:42" customHeight="1" ht="11.5">
      <c r="A1176" s="5"/>
      <c r="B1176" s="173"/>
      <c r="C1176" s="167"/>
      <c r="D1176" s="88"/>
      <c r="E1176" s="174"/>
      <c r="F1176" s="9"/>
      <c r="G1176" s="10"/>
      <c r="H1176" s="9"/>
      <c r="I1176" s="10"/>
      <c r="J1176" s="152"/>
      <c r="K1176" s="10"/>
      <c r="L1176" s="152"/>
      <c r="M1176" s="10"/>
      <c r="N1176" s="152"/>
      <c r="O1176" s="10"/>
      <c r="P1176" s="152"/>
      <c r="Q1176" s="10"/>
      <c r="R1176" s="9"/>
      <c r="S1176" s="10"/>
      <c r="T1176" s="9"/>
      <c r="U1176" s="10"/>
      <c r="V1176" s="9"/>
      <c r="W1176" s="10"/>
      <c r="X1176" s="9"/>
      <c r="Y1176" s="10"/>
      <c r="Z1176" s="9"/>
      <c r="AA1176" s="10"/>
      <c r="AB1176" s="11"/>
      <c r="AC1176" s="10"/>
      <c r="AD1176" s="7">
        <f>SUM(F1176+H1176+J1176+L1176+N1176+P1176+R1176+T1176+V1176+X1176+Z1176+AB1176)</f>
        <v>0</v>
      </c>
      <c r="AE1176" s="7">
        <f>E1176+AD1176</f>
        <v>0</v>
      </c>
      <c r="AF1176" s="8">
        <f>G1176+I1176+K1176+M1176+O1176+Q1176+S1176+U1176+W1176+Y1176+AA1176+AC1176</f>
        <v>0</v>
      </c>
      <c r="AG1176" s="153">
        <f>SUM(AE1176-AF1176)</f>
        <v>0</v>
      </c>
    </row>
    <row r="1177" spans="1:42" customHeight="1" ht="11.5">
      <c r="A1177" s="5"/>
      <c r="B1177" s="173"/>
      <c r="C1177" s="167"/>
      <c r="D1177" s="88"/>
      <c r="E1177" s="174"/>
      <c r="F1177" s="9"/>
      <c r="G1177" s="10"/>
      <c r="H1177" s="9"/>
      <c r="I1177" s="10"/>
      <c r="J1177" s="152"/>
      <c r="K1177" s="10"/>
      <c r="L1177" s="152"/>
      <c r="M1177" s="10"/>
      <c r="N1177" s="152"/>
      <c r="O1177" s="10"/>
      <c r="P1177" s="152"/>
      <c r="Q1177" s="10"/>
      <c r="R1177" s="9"/>
      <c r="S1177" s="10"/>
      <c r="T1177" s="9"/>
      <c r="U1177" s="10"/>
      <c r="V1177" s="9"/>
      <c r="W1177" s="10"/>
      <c r="X1177" s="9"/>
      <c r="Y1177" s="10"/>
      <c r="Z1177" s="9"/>
      <c r="AA1177" s="10"/>
      <c r="AB1177" s="11"/>
      <c r="AC1177" s="10"/>
      <c r="AD1177" s="7">
        <f>SUM(F1177+H1177+J1177+L1177+N1177+P1177+R1177+T1177+V1177+X1177+Z1177+AB1177)</f>
        <v>0</v>
      </c>
      <c r="AE1177" s="7">
        <f>E1177+AD1177</f>
        <v>0</v>
      </c>
      <c r="AF1177" s="8">
        <f>G1177+I1177+K1177+M1177+O1177+Q1177+S1177+U1177+W1177+Y1177+AA1177+AC1177</f>
        <v>0</v>
      </c>
      <c r="AG1177" s="153">
        <f>SUM(AE1177-AF1177)</f>
        <v>0</v>
      </c>
    </row>
    <row r="1178" spans="1:42" customHeight="1" ht="11.5">
      <c r="A1178" s="5"/>
      <c r="B1178" s="173"/>
      <c r="C1178" s="167"/>
      <c r="D1178" s="88"/>
      <c r="E1178" s="174"/>
      <c r="F1178" s="9"/>
      <c r="G1178" s="10"/>
      <c r="H1178" s="9"/>
      <c r="I1178" s="10"/>
      <c r="J1178" s="152"/>
      <c r="K1178" s="10"/>
      <c r="L1178" s="152"/>
      <c r="M1178" s="10"/>
      <c r="N1178" s="152"/>
      <c r="O1178" s="10"/>
      <c r="P1178" s="152"/>
      <c r="Q1178" s="10"/>
      <c r="R1178" s="9"/>
      <c r="S1178" s="10"/>
      <c r="T1178" s="9"/>
      <c r="U1178" s="10"/>
      <c r="V1178" s="9"/>
      <c r="W1178" s="10"/>
      <c r="X1178" s="9"/>
      <c r="Y1178" s="10"/>
      <c r="Z1178" s="9"/>
      <c r="AA1178" s="10"/>
      <c r="AB1178" s="11"/>
      <c r="AC1178" s="10"/>
      <c r="AD1178" s="7">
        <f>SUM(F1178+H1178+J1178+L1178+N1178+P1178+R1178+T1178+V1178+X1178+Z1178+AB1178)</f>
        <v>0</v>
      </c>
      <c r="AE1178" s="7">
        <f>E1178+AD1178</f>
        <v>0</v>
      </c>
      <c r="AF1178" s="8">
        <f>G1178+I1178+K1178+M1178+O1178+Q1178+S1178+U1178+W1178+Y1178+AA1178+AC1178</f>
        <v>0</v>
      </c>
      <c r="AG1178" s="153">
        <f>SUM(AE1178-AF1178)</f>
        <v>0</v>
      </c>
    </row>
    <row r="1179" spans="1:42" customHeight="1" ht="11.5">
      <c r="A1179" s="5"/>
      <c r="B1179" s="173"/>
      <c r="C1179" s="167"/>
      <c r="D1179" s="88"/>
      <c r="E1179" s="174"/>
      <c r="F1179" s="9"/>
      <c r="G1179" s="10"/>
      <c r="H1179" s="9"/>
      <c r="I1179" s="10"/>
      <c r="J1179" s="152"/>
      <c r="K1179" s="10"/>
      <c r="L1179" s="152"/>
      <c r="M1179" s="10"/>
      <c r="N1179" s="152"/>
      <c r="O1179" s="10"/>
      <c r="P1179" s="152"/>
      <c r="Q1179" s="10"/>
      <c r="R1179" s="9"/>
      <c r="S1179" s="10"/>
      <c r="T1179" s="9"/>
      <c r="U1179" s="10"/>
      <c r="V1179" s="9"/>
      <c r="W1179" s="10"/>
      <c r="X1179" s="9"/>
      <c r="Y1179" s="10"/>
      <c r="Z1179" s="9"/>
      <c r="AA1179" s="10"/>
      <c r="AB1179" s="11"/>
      <c r="AC1179" s="10"/>
      <c r="AD1179" s="7">
        <f>SUM(F1179+H1179+J1179+L1179+N1179+P1179+R1179+T1179+V1179+X1179+Z1179+AB1179)</f>
        <v>0</v>
      </c>
      <c r="AE1179" s="7">
        <f>E1179+AD1179</f>
        <v>0</v>
      </c>
      <c r="AF1179" s="8">
        <f>G1179+I1179+K1179+M1179+O1179+Q1179+S1179+U1179+W1179+Y1179+AA1179+AC1179</f>
        <v>0</v>
      </c>
      <c r="AG1179" s="153">
        <f>SUM(AE1179-AF1179)</f>
        <v>0</v>
      </c>
    </row>
    <row r="1180" spans="1:42" customHeight="1" ht="11.5">
      <c r="A1180" s="5"/>
      <c r="B1180" s="173"/>
      <c r="C1180" s="167"/>
      <c r="D1180" s="88"/>
      <c r="E1180" s="174"/>
      <c r="F1180" s="9"/>
      <c r="G1180" s="10"/>
      <c r="H1180" s="9"/>
      <c r="I1180" s="10"/>
      <c r="J1180" s="152"/>
      <c r="K1180" s="10"/>
      <c r="L1180" s="152"/>
      <c r="M1180" s="10"/>
      <c r="N1180" s="152"/>
      <c r="O1180" s="10"/>
      <c r="P1180" s="152"/>
      <c r="Q1180" s="10"/>
      <c r="R1180" s="9"/>
      <c r="S1180" s="10"/>
      <c r="T1180" s="9"/>
      <c r="U1180" s="10"/>
      <c r="V1180" s="9"/>
      <c r="W1180" s="10"/>
      <c r="X1180" s="9"/>
      <c r="Y1180" s="10"/>
      <c r="Z1180" s="9"/>
      <c r="AA1180" s="10"/>
      <c r="AB1180" s="11"/>
      <c r="AC1180" s="10"/>
      <c r="AD1180" s="7">
        <f>SUM(F1180+H1180+J1180+L1180+N1180+P1180+R1180+T1180+V1180+X1180+Z1180+AB1180)</f>
        <v>0</v>
      </c>
      <c r="AE1180" s="7">
        <f>E1180+AD1180</f>
        <v>0</v>
      </c>
      <c r="AF1180" s="8">
        <f>G1180+I1180+K1180+M1180+O1180+Q1180+S1180+U1180+W1180+Y1180+AA1180+AC1180</f>
        <v>0</v>
      </c>
      <c r="AG1180" s="153">
        <f>SUM(AE1180-AF1180)</f>
        <v>0</v>
      </c>
    </row>
    <row r="1181" spans="1:42" customHeight="1" ht="11.5">
      <c r="A1181" s="5"/>
      <c r="B1181" s="173"/>
      <c r="C1181" s="167"/>
      <c r="D1181" s="88"/>
      <c r="E1181" s="174"/>
      <c r="F1181" s="9"/>
      <c r="G1181" s="10"/>
      <c r="H1181" s="9"/>
      <c r="I1181" s="10"/>
      <c r="J1181" s="152"/>
      <c r="K1181" s="10"/>
      <c r="L1181" s="152"/>
      <c r="M1181" s="10"/>
      <c r="N1181" s="152"/>
      <c r="O1181" s="10"/>
      <c r="P1181" s="152"/>
      <c r="Q1181" s="10"/>
      <c r="R1181" s="9"/>
      <c r="S1181" s="10"/>
      <c r="T1181" s="9"/>
      <c r="U1181" s="10"/>
      <c r="V1181" s="9"/>
      <c r="W1181" s="10"/>
      <c r="X1181" s="9"/>
      <c r="Y1181" s="10"/>
      <c r="Z1181" s="9"/>
      <c r="AA1181" s="10"/>
      <c r="AB1181" s="11"/>
      <c r="AC1181" s="10"/>
      <c r="AD1181" s="7">
        <f>SUM(F1181+H1181+J1181+L1181+N1181+P1181+R1181+T1181+V1181+X1181+Z1181+AB1181)</f>
        <v>0</v>
      </c>
      <c r="AE1181" s="7">
        <f>E1181+AD1181</f>
        <v>0</v>
      </c>
      <c r="AF1181" s="8">
        <f>G1181+I1181+K1181+M1181+O1181+Q1181+S1181+U1181+W1181+Y1181+AA1181+AC1181</f>
        <v>0</v>
      </c>
      <c r="AG1181" s="153">
        <f>SUM(AE1181-AF1181)</f>
        <v>0</v>
      </c>
    </row>
    <row r="1182" spans="1:42" customHeight="1" ht="11.5">
      <c r="A1182" s="5"/>
      <c r="B1182" s="173"/>
      <c r="C1182" s="167"/>
      <c r="D1182" s="88"/>
      <c r="E1182" s="174"/>
      <c r="F1182" s="9"/>
      <c r="G1182" s="10"/>
      <c r="H1182" s="9"/>
      <c r="I1182" s="10"/>
      <c r="J1182" s="152"/>
      <c r="K1182" s="10"/>
      <c r="L1182" s="152"/>
      <c r="M1182" s="10"/>
      <c r="N1182" s="152"/>
      <c r="O1182" s="10"/>
      <c r="P1182" s="152"/>
      <c r="Q1182" s="10"/>
      <c r="R1182" s="9"/>
      <c r="S1182" s="10"/>
      <c r="T1182" s="9"/>
      <c r="U1182" s="10"/>
      <c r="V1182" s="9"/>
      <c r="W1182" s="10"/>
      <c r="X1182" s="9"/>
      <c r="Y1182" s="10"/>
      <c r="Z1182" s="9"/>
      <c r="AA1182" s="10"/>
      <c r="AB1182" s="11"/>
      <c r="AC1182" s="10"/>
      <c r="AD1182" s="7">
        <f>SUM(F1182+H1182+J1182+L1182+N1182+P1182+R1182+T1182+V1182+X1182+Z1182+AB1182)</f>
        <v>0</v>
      </c>
      <c r="AE1182" s="7">
        <f>E1182+AD1182</f>
        <v>0</v>
      </c>
      <c r="AF1182" s="8">
        <f>G1182+I1182+K1182+M1182+O1182+Q1182+S1182+U1182+W1182+Y1182+AA1182+AC1182</f>
        <v>0</v>
      </c>
      <c r="AG1182" s="153">
        <f>SUM(AE1182-AF1182)</f>
        <v>0</v>
      </c>
    </row>
    <row r="1183" spans="1:42" customHeight="1" ht="11.5">
      <c r="A1183" s="5"/>
      <c r="B1183" s="173"/>
      <c r="C1183" s="167"/>
      <c r="D1183" s="88"/>
      <c r="E1183" s="174"/>
      <c r="F1183" s="9"/>
      <c r="G1183" s="10"/>
      <c r="H1183" s="9"/>
      <c r="I1183" s="10"/>
      <c r="J1183" s="152"/>
      <c r="K1183" s="10"/>
      <c r="L1183" s="152"/>
      <c r="M1183" s="10"/>
      <c r="N1183" s="152"/>
      <c r="O1183" s="10"/>
      <c r="P1183" s="152"/>
      <c r="Q1183" s="10"/>
      <c r="R1183" s="9"/>
      <c r="S1183" s="10"/>
      <c r="T1183" s="9"/>
      <c r="U1183" s="10"/>
      <c r="V1183" s="9"/>
      <c r="W1183" s="10"/>
      <c r="X1183" s="9"/>
      <c r="Y1183" s="10"/>
      <c r="Z1183" s="9"/>
      <c r="AA1183" s="10"/>
      <c r="AB1183" s="11"/>
      <c r="AC1183" s="10"/>
      <c r="AD1183" s="7">
        <f>SUM(F1183+H1183+J1183+L1183+N1183+P1183+R1183+T1183+V1183+X1183+Z1183+AB1183)</f>
        <v>0</v>
      </c>
      <c r="AE1183" s="7">
        <f>E1183+AD1183</f>
        <v>0</v>
      </c>
      <c r="AF1183" s="8">
        <f>G1183+I1183+K1183+M1183+O1183+Q1183+S1183+U1183+W1183+Y1183+AA1183+AC1183</f>
        <v>0</v>
      </c>
      <c r="AG1183" s="153">
        <f>SUM(AE1183-AF1183)</f>
        <v>0</v>
      </c>
    </row>
    <row r="1184" spans="1:42" customHeight="1" ht="11.5">
      <c r="A1184" s="5"/>
      <c r="B1184" s="173"/>
      <c r="C1184" s="167"/>
      <c r="D1184" s="88"/>
      <c r="E1184" s="174"/>
      <c r="F1184" s="9"/>
      <c r="G1184" s="10"/>
      <c r="H1184" s="9"/>
      <c r="I1184" s="10"/>
      <c r="J1184" s="152"/>
      <c r="K1184" s="10"/>
      <c r="L1184" s="152"/>
      <c r="M1184" s="10"/>
      <c r="N1184" s="152"/>
      <c r="O1184" s="10"/>
      <c r="P1184" s="152"/>
      <c r="Q1184" s="10"/>
      <c r="R1184" s="9"/>
      <c r="S1184" s="10"/>
      <c r="T1184" s="9"/>
      <c r="U1184" s="10"/>
      <c r="V1184" s="9"/>
      <c r="W1184" s="10"/>
      <c r="X1184" s="9"/>
      <c r="Y1184" s="10"/>
      <c r="Z1184" s="9"/>
      <c r="AA1184" s="10"/>
      <c r="AB1184" s="11"/>
      <c r="AC1184" s="10"/>
      <c r="AD1184" s="7">
        <f>SUM(F1184+H1184+J1184+L1184+N1184+P1184+R1184+T1184+V1184+X1184+Z1184+AB1184)</f>
        <v>0</v>
      </c>
      <c r="AE1184" s="7">
        <f>E1184+AD1184</f>
        <v>0</v>
      </c>
      <c r="AF1184" s="8">
        <f>G1184+I1184+K1184+M1184+O1184+Q1184+S1184+U1184+W1184+Y1184+AA1184+AC1184</f>
        <v>0</v>
      </c>
      <c r="AG1184" s="153">
        <f>SUM(AE1184-AF1184)</f>
        <v>0</v>
      </c>
    </row>
    <row r="1185" spans="1:42" customHeight="1" ht="11.5">
      <c r="A1185" s="5"/>
      <c r="B1185" s="173"/>
      <c r="C1185" s="167"/>
      <c r="D1185" s="88"/>
      <c r="E1185" s="174"/>
      <c r="F1185" s="9"/>
      <c r="G1185" s="10"/>
      <c r="H1185" s="9"/>
      <c r="I1185" s="10"/>
      <c r="J1185" s="152"/>
      <c r="K1185" s="10"/>
      <c r="L1185" s="152"/>
      <c r="M1185" s="10"/>
      <c r="N1185" s="152"/>
      <c r="O1185" s="10"/>
      <c r="P1185" s="152"/>
      <c r="Q1185" s="10"/>
      <c r="R1185" s="9"/>
      <c r="S1185" s="10"/>
      <c r="T1185" s="9"/>
      <c r="U1185" s="10"/>
      <c r="V1185" s="9"/>
      <c r="W1185" s="10"/>
      <c r="X1185" s="9"/>
      <c r="Y1185" s="10"/>
      <c r="Z1185" s="9"/>
      <c r="AA1185" s="10"/>
      <c r="AB1185" s="11"/>
      <c r="AC1185" s="10"/>
      <c r="AD1185" s="7">
        <f>SUM(F1185+H1185+J1185+L1185+N1185+P1185+R1185+T1185+V1185+X1185+Z1185+AB1185)</f>
        <v>0</v>
      </c>
      <c r="AE1185" s="7">
        <f>E1185+AD1185</f>
        <v>0</v>
      </c>
      <c r="AF1185" s="8">
        <f>G1185+I1185+K1185+M1185+O1185+Q1185+S1185+U1185+W1185+Y1185+AA1185+AC1185</f>
        <v>0</v>
      </c>
      <c r="AG1185" s="153">
        <f>SUM(AE1185-AF1185)</f>
        <v>0</v>
      </c>
    </row>
    <row r="1186" spans="1:42" customHeight="1" ht="11.5">
      <c r="A1186" s="5"/>
      <c r="B1186" s="173"/>
      <c r="C1186" s="167"/>
      <c r="D1186" s="88"/>
      <c r="E1186" s="174"/>
      <c r="F1186" s="9"/>
      <c r="G1186" s="10"/>
      <c r="H1186" s="9"/>
      <c r="I1186" s="10"/>
      <c r="J1186" s="152"/>
      <c r="K1186" s="10"/>
      <c r="L1186" s="152"/>
      <c r="M1186" s="10"/>
      <c r="N1186" s="152"/>
      <c r="O1186" s="10"/>
      <c r="P1186" s="152"/>
      <c r="Q1186" s="10"/>
      <c r="R1186" s="9"/>
      <c r="S1186" s="10"/>
      <c r="T1186" s="9"/>
      <c r="U1186" s="10"/>
      <c r="V1186" s="9"/>
      <c r="W1186" s="10"/>
      <c r="X1186" s="9"/>
      <c r="Y1186" s="10"/>
      <c r="Z1186" s="9"/>
      <c r="AA1186" s="10"/>
      <c r="AB1186" s="11"/>
      <c r="AC1186" s="10"/>
      <c r="AD1186" s="7">
        <f>SUM(F1186+H1186+J1186+L1186+N1186+P1186+R1186+T1186+V1186+X1186+Z1186+AB1186)</f>
        <v>0</v>
      </c>
      <c r="AE1186" s="7">
        <f>E1186+AD1186</f>
        <v>0</v>
      </c>
      <c r="AF1186" s="8">
        <f>G1186+I1186+K1186+M1186+O1186+Q1186+S1186+U1186+W1186+Y1186+AA1186+AC1186</f>
        <v>0</v>
      </c>
      <c r="AG1186" s="153">
        <f>SUM(AE1186-AF1186)</f>
        <v>0</v>
      </c>
    </row>
    <row r="1187" spans="1:42" customHeight="1" ht="11.5">
      <c r="A1187" s="5"/>
      <c r="B1187" s="173"/>
      <c r="C1187" s="167"/>
      <c r="D1187" s="88"/>
      <c r="E1187" s="174"/>
      <c r="F1187" s="9"/>
      <c r="G1187" s="10"/>
      <c r="H1187" s="9"/>
      <c r="I1187" s="10"/>
      <c r="J1187" s="152"/>
      <c r="K1187" s="10"/>
      <c r="L1187" s="152"/>
      <c r="M1187" s="10"/>
      <c r="N1187" s="152"/>
      <c r="O1187" s="10"/>
      <c r="P1187" s="152"/>
      <c r="Q1187" s="10"/>
      <c r="R1187" s="9"/>
      <c r="S1187" s="10"/>
      <c r="T1187" s="9"/>
      <c r="U1187" s="10"/>
      <c r="V1187" s="9"/>
      <c r="W1187" s="10"/>
      <c r="X1187" s="9"/>
      <c r="Y1187" s="10"/>
      <c r="Z1187" s="9"/>
      <c r="AA1187" s="10"/>
      <c r="AB1187" s="11"/>
      <c r="AC1187" s="10"/>
      <c r="AD1187" s="7">
        <f>SUM(F1187+H1187+J1187+L1187+N1187+P1187+R1187+T1187+V1187+X1187+Z1187+AB1187)</f>
        <v>0</v>
      </c>
      <c r="AE1187" s="7">
        <f>E1187+AD1187</f>
        <v>0</v>
      </c>
      <c r="AF1187" s="8">
        <f>G1187+I1187+K1187+M1187+O1187+Q1187+S1187+U1187+W1187+Y1187+AA1187+AC1187</f>
        <v>0</v>
      </c>
      <c r="AG1187" s="153">
        <f>SUM(AE1187-AF1187)</f>
        <v>0</v>
      </c>
    </row>
    <row r="1188" spans="1:42" customHeight="1" ht="11.5">
      <c r="A1188" s="5"/>
      <c r="B1188" s="173"/>
      <c r="C1188" s="167"/>
      <c r="D1188" s="88"/>
      <c r="E1188" s="174"/>
      <c r="F1188" s="9"/>
      <c r="G1188" s="10"/>
      <c r="H1188" s="9"/>
      <c r="I1188" s="10"/>
      <c r="J1188" s="152"/>
      <c r="K1188" s="10"/>
      <c r="L1188" s="152"/>
      <c r="M1188" s="10"/>
      <c r="N1188" s="152"/>
      <c r="O1188" s="10"/>
      <c r="P1188" s="152"/>
      <c r="Q1188" s="10"/>
      <c r="R1188" s="9"/>
      <c r="S1188" s="10"/>
      <c r="T1188" s="9"/>
      <c r="U1188" s="10"/>
      <c r="V1188" s="9"/>
      <c r="W1188" s="10"/>
      <c r="X1188" s="9"/>
      <c r="Y1188" s="10"/>
      <c r="Z1188" s="9"/>
      <c r="AA1188" s="10"/>
      <c r="AB1188" s="11"/>
      <c r="AC1188" s="10"/>
      <c r="AD1188" s="7">
        <f>SUM(F1188+H1188+J1188+L1188+N1188+P1188+R1188+T1188+V1188+X1188+Z1188+AB1188)</f>
        <v>0</v>
      </c>
      <c r="AE1188" s="7">
        <f>E1188+AD1188</f>
        <v>0</v>
      </c>
      <c r="AF1188" s="8">
        <f>G1188+I1188+K1188+M1188+O1188+Q1188+S1188+U1188+W1188+Y1188+AA1188+AC1188</f>
        <v>0</v>
      </c>
      <c r="AG1188" s="153">
        <f>SUM(AE1188-AF1188)</f>
        <v>0</v>
      </c>
    </row>
    <row r="1189" spans="1:42" customHeight="1" ht="11.5">
      <c r="A1189" s="5"/>
      <c r="B1189" s="173"/>
      <c r="C1189" s="167"/>
      <c r="D1189" s="88"/>
      <c r="E1189" s="174"/>
      <c r="F1189" s="9"/>
      <c r="G1189" s="10"/>
      <c r="H1189" s="9"/>
      <c r="I1189" s="10"/>
      <c r="J1189" s="152"/>
      <c r="K1189" s="10"/>
      <c r="L1189" s="152"/>
      <c r="M1189" s="10"/>
      <c r="N1189" s="152"/>
      <c r="O1189" s="10"/>
      <c r="P1189" s="152"/>
      <c r="Q1189" s="10"/>
      <c r="R1189" s="9"/>
      <c r="S1189" s="10"/>
      <c r="T1189" s="9"/>
      <c r="U1189" s="10"/>
      <c r="V1189" s="9"/>
      <c r="W1189" s="10"/>
      <c r="X1189" s="9"/>
      <c r="Y1189" s="10"/>
      <c r="Z1189" s="9"/>
      <c r="AA1189" s="10"/>
      <c r="AB1189" s="11"/>
      <c r="AC1189" s="10"/>
      <c r="AD1189" s="7">
        <f>SUM(F1189+H1189+J1189+L1189+N1189+P1189+R1189+T1189+V1189+X1189+Z1189+AB1189)</f>
        <v>0</v>
      </c>
      <c r="AE1189" s="7">
        <f>E1189+AD1189</f>
        <v>0</v>
      </c>
      <c r="AF1189" s="8">
        <f>G1189+I1189+K1189+M1189+O1189+Q1189+S1189+U1189+W1189+Y1189+AA1189+AC1189</f>
        <v>0</v>
      </c>
      <c r="AG1189" s="153">
        <f>SUM(AE1189-AF1189)</f>
        <v>0</v>
      </c>
    </row>
    <row r="1190" spans="1:42" customHeight="1" ht="11.5">
      <c r="A1190" s="5"/>
      <c r="B1190" s="173"/>
      <c r="C1190" s="167"/>
      <c r="D1190" s="88"/>
      <c r="E1190" s="174"/>
      <c r="F1190" s="9"/>
      <c r="G1190" s="10"/>
      <c r="H1190" s="9"/>
      <c r="I1190" s="10"/>
      <c r="J1190" s="152"/>
      <c r="K1190" s="10"/>
      <c r="L1190" s="152"/>
      <c r="M1190" s="10"/>
      <c r="N1190" s="152"/>
      <c r="O1190" s="10"/>
      <c r="P1190" s="152"/>
      <c r="Q1190" s="10"/>
      <c r="R1190" s="9"/>
      <c r="S1190" s="10"/>
      <c r="T1190" s="9"/>
      <c r="U1190" s="10"/>
      <c r="V1190" s="9"/>
      <c r="W1190" s="10"/>
      <c r="X1190" s="9"/>
      <c r="Y1190" s="10"/>
      <c r="Z1190" s="9"/>
      <c r="AA1190" s="10"/>
      <c r="AB1190" s="11"/>
      <c r="AC1190" s="10"/>
      <c r="AD1190" s="7">
        <f>SUM(F1190+H1190+J1190+L1190+N1190+P1190+R1190+T1190+V1190+X1190+Z1190+AB1190)</f>
        <v>0</v>
      </c>
      <c r="AE1190" s="7">
        <f>E1190+AD1190</f>
        <v>0</v>
      </c>
      <c r="AF1190" s="8">
        <f>G1190+I1190+K1190+M1190+O1190+Q1190+S1190+U1190+W1190+Y1190+AA1190+AC1190</f>
        <v>0</v>
      </c>
      <c r="AG1190" s="153">
        <f>SUM(AE1190-AF1190)</f>
        <v>0</v>
      </c>
    </row>
    <row r="1191" spans="1:42" customHeight="1" ht="11.5">
      <c r="A1191" s="5"/>
      <c r="B1191" s="173"/>
      <c r="C1191" s="167"/>
      <c r="D1191" s="88"/>
      <c r="E1191" s="174"/>
      <c r="F1191" s="9"/>
      <c r="G1191" s="10"/>
      <c r="H1191" s="9"/>
      <c r="I1191" s="10"/>
      <c r="J1191" s="152"/>
      <c r="K1191" s="10"/>
      <c r="L1191" s="152"/>
      <c r="M1191" s="10"/>
      <c r="N1191" s="152"/>
      <c r="O1191" s="10"/>
      <c r="P1191" s="152"/>
      <c r="Q1191" s="10"/>
      <c r="R1191" s="9"/>
      <c r="S1191" s="10"/>
      <c r="T1191" s="9"/>
      <c r="U1191" s="10"/>
      <c r="V1191" s="9"/>
      <c r="W1191" s="10"/>
      <c r="X1191" s="9"/>
      <c r="Y1191" s="10"/>
      <c r="Z1191" s="9"/>
      <c r="AA1191" s="10"/>
      <c r="AB1191" s="11"/>
      <c r="AC1191" s="10"/>
      <c r="AD1191" s="7">
        <f>SUM(F1191+H1191+J1191+L1191+N1191+P1191+R1191+T1191+V1191+X1191+Z1191+AB1191)</f>
        <v>0</v>
      </c>
      <c r="AE1191" s="7">
        <f>E1191+AD1191</f>
        <v>0</v>
      </c>
      <c r="AF1191" s="8">
        <f>G1191+I1191+K1191+M1191+O1191+Q1191+S1191+U1191+W1191+Y1191+AA1191+AC1191</f>
        <v>0</v>
      </c>
      <c r="AG1191" s="153">
        <f>SUM(AE1191-AF1191)</f>
        <v>0</v>
      </c>
    </row>
    <row r="1192" spans="1:42" customHeight="1" ht="11.5">
      <c r="A1192" s="5"/>
      <c r="B1192" s="173"/>
      <c r="C1192" s="167"/>
      <c r="D1192" s="88"/>
      <c r="E1192" s="174"/>
      <c r="F1192" s="9"/>
      <c r="G1192" s="10"/>
      <c r="H1192" s="9"/>
      <c r="I1192" s="10"/>
      <c r="J1192" s="152"/>
      <c r="K1192" s="10"/>
      <c r="L1192" s="152"/>
      <c r="M1192" s="10"/>
      <c r="N1192" s="152"/>
      <c r="O1192" s="10"/>
      <c r="P1192" s="152"/>
      <c r="Q1192" s="10"/>
      <c r="R1192" s="9"/>
      <c r="S1192" s="10"/>
      <c r="T1192" s="9"/>
      <c r="U1192" s="10"/>
      <c r="V1192" s="9"/>
      <c r="W1192" s="10"/>
      <c r="X1192" s="9"/>
      <c r="Y1192" s="10"/>
      <c r="Z1192" s="9"/>
      <c r="AA1192" s="10"/>
      <c r="AB1192" s="11"/>
      <c r="AC1192" s="10"/>
      <c r="AD1192" s="7">
        <f>SUM(F1192+H1192+J1192+L1192+N1192+P1192+R1192+T1192+V1192+X1192+Z1192+AB1192)</f>
        <v>0</v>
      </c>
      <c r="AE1192" s="7">
        <f>E1192+AD1192</f>
        <v>0</v>
      </c>
      <c r="AF1192" s="8">
        <f>G1192+I1192+K1192+M1192+O1192+Q1192+S1192+U1192+W1192+Y1192+AA1192+AC1192</f>
        <v>0</v>
      </c>
      <c r="AG1192" s="153">
        <f>SUM(AE1192-AF1192)</f>
        <v>0</v>
      </c>
    </row>
    <row r="1193" spans="1:42" customHeight="1" ht="11.5">
      <c r="A1193" s="5"/>
      <c r="B1193" s="173"/>
      <c r="C1193" s="167"/>
      <c r="D1193" s="88"/>
      <c r="E1193" s="174"/>
      <c r="F1193" s="9"/>
      <c r="G1193" s="10"/>
      <c r="H1193" s="9"/>
      <c r="I1193" s="10"/>
      <c r="J1193" s="152"/>
      <c r="K1193" s="10"/>
      <c r="L1193" s="152"/>
      <c r="M1193" s="10"/>
      <c r="N1193" s="152"/>
      <c r="O1193" s="10"/>
      <c r="P1193" s="152"/>
      <c r="Q1193" s="10"/>
      <c r="R1193" s="9"/>
      <c r="S1193" s="10"/>
      <c r="T1193" s="9"/>
      <c r="U1193" s="10"/>
      <c r="V1193" s="9"/>
      <c r="W1193" s="10"/>
      <c r="X1193" s="9"/>
      <c r="Y1193" s="10"/>
      <c r="Z1193" s="9"/>
      <c r="AA1193" s="10"/>
      <c r="AB1193" s="11"/>
      <c r="AC1193" s="10"/>
      <c r="AD1193" s="7">
        <f>SUM(F1193+H1193+J1193+L1193+N1193+P1193+R1193+T1193+V1193+X1193+Z1193+AB1193)</f>
        <v>0</v>
      </c>
      <c r="AE1193" s="7">
        <f>E1193+AD1193</f>
        <v>0</v>
      </c>
      <c r="AF1193" s="8">
        <f>G1193+I1193+K1193+M1193+O1193+Q1193+S1193+U1193+W1193+Y1193+AA1193+AC1193</f>
        <v>0</v>
      </c>
      <c r="AG1193" s="153">
        <f>SUM(AE1193-AF1193)</f>
        <v>0</v>
      </c>
    </row>
    <row r="1194" spans="1:42" customHeight="1" ht="11.5">
      <c r="A1194" s="5"/>
      <c r="B1194" s="173"/>
      <c r="C1194" s="167"/>
      <c r="D1194" s="88"/>
      <c r="E1194" s="174"/>
      <c r="F1194" s="9"/>
      <c r="G1194" s="10"/>
      <c r="H1194" s="9"/>
      <c r="I1194" s="10"/>
      <c r="J1194" s="152"/>
      <c r="K1194" s="10"/>
      <c r="L1194" s="152"/>
      <c r="M1194" s="10"/>
      <c r="N1194" s="152"/>
      <c r="O1194" s="10"/>
      <c r="P1194" s="152"/>
      <c r="Q1194" s="10"/>
      <c r="R1194" s="9"/>
      <c r="S1194" s="10"/>
      <c r="T1194" s="9"/>
      <c r="U1194" s="10"/>
      <c r="V1194" s="9"/>
      <c r="W1194" s="10"/>
      <c r="X1194" s="9"/>
      <c r="Y1194" s="10"/>
      <c r="Z1194" s="9"/>
      <c r="AA1194" s="10"/>
      <c r="AB1194" s="11"/>
      <c r="AC1194" s="10"/>
      <c r="AD1194" s="7">
        <f>SUM(F1194+H1194+J1194+L1194+N1194+P1194+R1194+T1194+V1194+X1194+Z1194+AB1194)</f>
        <v>0</v>
      </c>
      <c r="AE1194" s="7">
        <f>E1194+AD1194</f>
        <v>0</v>
      </c>
      <c r="AF1194" s="8">
        <f>G1194+I1194+K1194+M1194+O1194+Q1194+S1194+U1194+W1194+Y1194+AA1194+AC1194</f>
        <v>0</v>
      </c>
      <c r="AG1194" s="153">
        <f>SUM(AE1194-AF1194)</f>
        <v>0</v>
      </c>
    </row>
    <row r="1195" spans="1:42" customHeight="1" ht="11.5">
      <c r="A1195" s="5"/>
      <c r="B1195" s="173"/>
      <c r="C1195" s="167"/>
      <c r="D1195" s="88"/>
      <c r="E1195" s="174"/>
      <c r="F1195" s="9"/>
      <c r="G1195" s="10"/>
      <c r="H1195" s="9"/>
      <c r="I1195" s="10"/>
      <c r="J1195" s="152"/>
      <c r="K1195" s="10"/>
      <c r="L1195" s="152"/>
      <c r="M1195" s="10"/>
      <c r="N1195" s="152"/>
      <c r="O1195" s="10"/>
      <c r="P1195" s="152"/>
      <c r="Q1195" s="10"/>
      <c r="R1195" s="9"/>
      <c r="S1195" s="10"/>
      <c r="T1195" s="9"/>
      <c r="U1195" s="10"/>
      <c r="V1195" s="9"/>
      <c r="W1195" s="10"/>
      <c r="X1195" s="9"/>
      <c r="Y1195" s="10"/>
      <c r="Z1195" s="9"/>
      <c r="AA1195" s="10"/>
      <c r="AB1195" s="11"/>
      <c r="AC1195" s="10"/>
      <c r="AD1195" s="7">
        <f>SUM(F1195+H1195+J1195+L1195+N1195+P1195+R1195+T1195+V1195+X1195+Z1195+AB1195)</f>
        <v>0</v>
      </c>
      <c r="AE1195" s="7">
        <f>E1195+AD1195</f>
        <v>0</v>
      </c>
      <c r="AF1195" s="8">
        <f>G1195+I1195+K1195+M1195+O1195+Q1195+S1195+U1195+W1195+Y1195+AA1195+AC1195</f>
        <v>0</v>
      </c>
      <c r="AG1195" s="153">
        <f>SUM(AE1195-AF1195)</f>
        <v>0</v>
      </c>
    </row>
    <row r="1196" spans="1:42" customHeight="1" ht="11.5">
      <c r="A1196" s="5"/>
      <c r="B1196" s="173"/>
      <c r="C1196" s="167"/>
      <c r="D1196" s="88"/>
      <c r="E1196" s="174"/>
      <c r="F1196" s="9"/>
      <c r="G1196" s="10"/>
      <c r="H1196" s="9"/>
      <c r="I1196" s="10"/>
      <c r="J1196" s="152"/>
      <c r="K1196" s="10"/>
      <c r="L1196" s="152"/>
      <c r="M1196" s="10"/>
      <c r="N1196" s="152"/>
      <c r="O1196" s="10"/>
      <c r="P1196" s="152"/>
      <c r="Q1196" s="10"/>
      <c r="R1196" s="9"/>
      <c r="S1196" s="10"/>
      <c r="T1196" s="9"/>
      <c r="U1196" s="10"/>
      <c r="V1196" s="9"/>
      <c r="W1196" s="10"/>
      <c r="X1196" s="9"/>
      <c r="Y1196" s="10"/>
      <c r="Z1196" s="9"/>
      <c r="AA1196" s="10"/>
      <c r="AB1196" s="11"/>
      <c r="AC1196" s="10"/>
      <c r="AD1196" s="7">
        <f>SUM(F1196+H1196+J1196+L1196+N1196+P1196+R1196+T1196+V1196+X1196+Z1196+AB1196)</f>
        <v>0</v>
      </c>
      <c r="AE1196" s="7">
        <f>E1196+AD1196</f>
        <v>0</v>
      </c>
      <c r="AF1196" s="8">
        <f>G1196+I1196+K1196+M1196+O1196+Q1196+S1196+U1196+W1196+Y1196+AA1196+AC1196</f>
        <v>0</v>
      </c>
      <c r="AG1196" s="153">
        <f>SUM(AE1196-AF1196)</f>
        <v>0</v>
      </c>
    </row>
    <row r="1197" spans="1:42" customHeight="1" ht="11.5">
      <c r="A1197" s="5"/>
      <c r="B1197" s="173"/>
      <c r="C1197" s="167"/>
      <c r="D1197" s="88"/>
      <c r="E1197" s="174"/>
      <c r="F1197" s="9"/>
      <c r="G1197" s="10"/>
      <c r="H1197" s="9"/>
      <c r="I1197" s="10"/>
      <c r="J1197" s="152"/>
      <c r="K1197" s="10"/>
      <c r="L1197" s="152"/>
      <c r="M1197" s="10"/>
      <c r="N1197" s="152"/>
      <c r="O1197" s="10"/>
      <c r="P1197" s="152"/>
      <c r="Q1197" s="10"/>
      <c r="R1197" s="9"/>
      <c r="S1197" s="10"/>
      <c r="T1197" s="9"/>
      <c r="U1197" s="10"/>
      <c r="V1197" s="9"/>
      <c r="W1197" s="10"/>
      <c r="X1197" s="9"/>
      <c r="Y1197" s="10"/>
      <c r="Z1197" s="9"/>
      <c r="AA1197" s="10"/>
      <c r="AB1197" s="11"/>
      <c r="AC1197" s="10"/>
      <c r="AD1197" s="7">
        <f>SUM(F1197+H1197+J1197+L1197+N1197+P1197+R1197+T1197+V1197+X1197+Z1197+AB1197)</f>
        <v>0</v>
      </c>
      <c r="AE1197" s="7">
        <f>E1197+AD1197</f>
        <v>0</v>
      </c>
      <c r="AF1197" s="8">
        <f>G1197+I1197+K1197+M1197+O1197+Q1197+S1197+U1197+W1197+Y1197+AA1197+AC1197</f>
        <v>0</v>
      </c>
      <c r="AG1197" s="153">
        <f>SUM(AE1197-AF1197)</f>
        <v>0</v>
      </c>
    </row>
    <row r="1198" spans="1:42" customHeight="1" ht="11.5">
      <c r="A1198" s="5"/>
      <c r="B1198" s="173"/>
      <c r="C1198" s="167"/>
      <c r="D1198" s="88"/>
      <c r="E1198" s="174"/>
      <c r="F1198" s="9"/>
      <c r="G1198" s="10"/>
      <c r="H1198" s="9"/>
      <c r="I1198" s="10"/>
      <c r="J1198" s="152"/>
      <c r="K1198" s="10"/>
      <c r="L1198" s="152"/>
      <c r="M1198" s="10"/>
      <c r="N1198" s="152"/>
      <c r="O1198" s="10"/>
      <c r="P1198" s="152"/>
      <c r="Q1198" s="10"/>
      <c r="R1198" s="9"/>
      <c r="S1198" s="10"/>
      <c r="T1198" s="9"/>
      <c r="U1198" s="10"/>
      <c r="V1198" s="9"/>
      <c r="W1198" s="10"/>
      <c r="X1198" s="9"/>
      <c r="Y1198" s="10"/>
      <c r="Z1198" s="9"/>
      <c r="AA1198" s="10"/>
      <c r="AB1198" s="11"/>
      <c r="AC1198" s="10"/>
      <c r="AD1198" s="7">
        <f>SUM(F1198+H1198+J1198+L1198+N1198+P1198+R1198+T1198+V1198+X1198+Z1198+AB1198)</f>
        <v>0</v>
      </c>
      <c r="AE1198" s="7">
        <f>E1198+AD1198</f>
        <v>0</v>
      </c>
      <c r="AF1198" s="8">
        <f>G1198+I1198+K1198+M1198+O1198+Q1198+S1198+U1198+W1198+Y1198+AA1198+AC1198</f>
        <v>0</v>
      </c>
      <c r="AG1198" s="153">
        <f>SUM(AE1198-AF1198)</f>
        <v>0</v>
      </c>
    </row>
    <row r="1199" spans="1:42" customHeight="1" ht="11.5">
      <c r="A1199" s="5"/>
      <c r="B1199" s="173"/>
      <c r="C1199" s="167"/>
      <c r="D1199" s="88"/>
      <c r="E1199" s="174"/>
      <c r="F1199" s="9"/>
      <c r="G1199" s="10"/>
      <c r="H1199" s="9"/>
      <c r="I1199" s="10"/>
      <c r="J1199" s="152"/>
      <c r="K1199" s="10"/>
      <c r="L1199" s="152"/>
      <c r="M1199" s="10"/>
      <c r="N1199" s="152"/>
      <c r="O1199" s="10"/>
      <c r="P1199" s="152"/>
      <c r="Q1199" s="10"/>
      <c r="R1199" s="9"/>
      <c r="S1199" s="10"/>
      <c r="T1199" s="9"/>
      <c r="U1199" s="10"/>
      <c r="V1199" s="9"/>
      <c r="W1199" s="10"/>
      <c r="X1199" s="9"/>
      <c r="Y1199" s="10"/>
      <c r="Z1199" s="9"/>
      <c r="AA1199" s="10"/>
      <c r="AB1199" s="11"/>
      <c r="AC1199" s="10"/>
      <c r="AD1199" s="7">
        <f>SUM(F1199+H1199+J1199+L1199+N1199+P1199+R1199+T1199+V1199+X1199+Z1199+AB1199)</f>
        <v>0</v>
      </c>
      <c r="AE1199" s="7">
        <f>E1199+AD1199</f>
        <v>0</v>
      </c>
      <c r="AF1199" s="8">
        <f>G1199+I1199+K1199+M1199+O1199+Q1199+S1199+U1199+W1199+Y1199+AA1199+AC1199</f>
        <v>0</v>
      </c>
      <c r="AG1199" s="153">
        <f>SUM(AE1199-AF1199)</f>
        <v>0</v>
      </c>
    </row>
    <row r="1200" spans="1:42" customHeight="1" ht="11.5">
      <c r="A1200" s="5"/>
      <c r="B1200" s="173"/>
      <c r="C1200" s="167"/>
      <c r="D1200" s="88"/>
      <c r="E1200" s="174"/>
      <c r="F1200" s="9"/>
      <c r="G1200" s="10"/>
      <c r="H1200" s="9"/>
      <c r="I1200" s="10"/>
      <c r="J1200" s="152"/>
      <c r="K1200" s="10"/>
      <c r="L1200" s="152"/>
      <c r="M1200" s="10"/>
      <c r="N1200" s="152"/>
      <c r="O1200" s="10"/>
      <c r="P1200" s="152"/>
      <c r="Q1200" s="10"/>
      <c r="R1200" s="9"/>
      <c r="S1200" s="10"/>
      <c r="T1200" s="9"/>
      <c r="U1200" s="10"/>
      <c r="V1200" s="9"/>
      <c r="W1200" s="10"/>
      <c r="X1200" s="9"/>
      <c r="Y1200" s="10"/>
      <c r="Z1200" s="9"/>
      <c r="AA1200" s="10"/>
      <c r="AB1200" s="11"/>
      <c r="AC1200" s="10"/>
      <c r="AD1200" s="7">
        <f>SUM(F1200+H1200+J1200+L1200+N1200+P1200+R1200+T1200+V1200+X1200+Z1200+AB1200)</f>
        <v>0</v>
      </c>
      <c r="AE1200" s="7">
        <f>E1200+AD1200</f>
        <v>0</v>
      </c>
      <c r="AF1200" s="8">
        <f>G1200+I1200+K1200+M1200+O1200+Q1200+S1200+U1200+W1200+Y1200+AA1200+AC1200</f>
        <v>0</v>
      </c>
      <c r="AG1200" s="153">
        <f>SUM(AE1200-AF1200)</f>
        <v>0</v>
      </c>
    </row>
    <row r="1201" spans="1:42" customHeight="1" ht="11.5">
      <c r="A1201" s="5"/>
      <c r="B1201" s="173"/>
      <c r="C1201" s="167"/>
      <c r="D1201" s="88"/>
      <c r="E1201" s="174"/>
      <c r="F1201" s="9"/>
      <c r="G1201" s="10"/>
      <c r="H1201" s="9"/>
      <c r="I1201" s="10"/>
      <c r="J1201" s="152"/>
      <c r="K1201" s="10"/>
      <c r="L1201" s="152"/>
      <c r="M1201" s="10"/>
      <c r="N1201" s="152"/>
      <c r="O1201" s="10"/>
      <c r="P1201" s="152"/>
      <c r="Q1201" s="10"/>
      <c r="R1201" s="9"/>
      <c r="S1201" s="10"/>
      <c r="T1201" s="9"/>
      <c r="U1201" s="10"/>
      <c r="V1201" s="9"/>
      <c r="W1201" s="10"/>
      <c r="X1201" s="9"/>
      <c r="Y1201" s="10"/>
      <c r="Z1201" s="9"/>
      <c r="AA1201" s="10"/>
      <c r="AB1201" s="11"/>
      <c r="AC1201" s="10"/>
      <c r="AD1201" s="7">
        <f>SUM(F1201+H1201+J1201+L1201+N1201+P1201+R1201+T1201+V1201+X1201+Z1201+AB1201)</f>
        <v>0</v>
      </c>
      <c r="AE1201" s="7">
        <f>E1201+AD1201</f>
        <v>0</v>
      </c>
      <c r="AF1201" s="8">
        <f>G1201+I1201+K1201+M1201+O1201+Q1201+S1201+U1201+W1201+Y1201+AA1201+AC1201</f>
        <v>0</v>
      </c>
      <c r="AG1201" s="153">
        <f>SUM(AE1201-AF1201)</f>
        <v>0</v>
      </c>
    </row>
    <row r="1202" spans="1:42" customHeight="1" ht="11.5">
      <c r="A1202" s="5"/>
      <c r="B1202" s="173"/>
      <c r="C1202" s="167"/>
      <c r="D1202" s="88"/>
      <c r="E1202" s="174"/>
      <c r="F1202" s="9"/>
      <c r="G1202" s="10"/>
      <c r="H1202" s="9"/>
      <c r="I1202" s="10"/>
      <c r="J1202" s="152"/>
      <c r="K1202" s="10"/>
      <c r="L1202" s="152"/>
      <c r="M1202" s="10"/>
      <c r="N1202" s="152"/>
      <c r="O1202" s="10"/>
      <c r="P1202" s="152"/>
      <c r="Q1202" s="10"/>
      <c r="R1202" s="9"/>
      <c r="S1202" s="10"/>
      <c r="T1202" s="9"/>
      <c r="U1202" s="10"/>
      <c r="V1202" s="9"/>
      <c r="W1202" s="10"/>
      <c r="X1202" s="9"/>
      <c r="Y1202" s="10"/>
      <c r="Z1202" s="9"/>
      <c r="AA1202" s="10"/>
      <c r="AB1202" s="11"/>
      <c r="AC1202" s="10"/>
      <c r="AD1202" s="7">
        <f>SUM(F1202+H1202+J1202+L1202+N1202+P1202+R1202+T1202+V1202+X1202+Z1202+AB1202)</f>
        <v>0</v>
      </c>
      <c r="AE1202" s="7">
        <f>E1202+AD1202</f>
        <v>0</v>
      </c>
      <c r="AF1202" s="8">
        <f>G1202+I1202+K1202+M1202+O1202+Q1202+S1202+U1202+W1202+Y1202+AA1202+AC1202</f>
        <v>0</v>
      </c>
      <c r="AG1202" s="153">
        <f>SUM(AE1202-AF1202)</f>
        <v>0</v>
      </c>
    </row>
    <row r="1203" spans="1:42" customHeight="1" ht="11.5">
      <c r="A1203" s="5"/>
      <c r="B1203" s="173"/>
      <c r="C1203" s="167"/>
      <c r="D1203" s="88"/>
      <c r="E1203" s="174"/>
      <c r="F1203" s="9"/>
      <c r="G1203" s="10"/>
      <c r="H1203" s="9"/>
      <c r="I1203" s="10"/>
      <c r="J1203" s="152"/>
      <c r="K1203" s="10"/>
      <c r="L1203" s="152"/>
      <c r="M1203" s="10"/>
      <c r="N1203" s="152"/>
      <c r="O1203" s="10"/>
      <c r="P1203" s="152"/>
      <c r="Q1203" s="10"/>
      <c r="R1203" s="9"/>
      <c r="S1203" s="10"/>
      <c r="T1203" s="9"/>
      <c r="U1203" s="10"/>
      <c r="V1203" s="9"/>
      <c r="W1203" s="10"/>
      <c r="X1203" s="9"/>
      <c r="Y1203" s="10"/>
      <c r="Z1203" s="9"/>
      <c r="AA1203" s="10"/>
      <c r="AB1203" s="11"/>
      <c r="AC1203" s="10"/>
      <c r="AD1203" s="7">
        <f>SUM(F1203+H1203+J1203+L1203+N1203+P1203+R1203+T1203+V1203+X1203+Z1203+AB1203)</f>
        <v>0</v>
      </c>
      <c r="AE1203" s="7">
        <f>E1203+AD1203</f>
        <v>0</v>
      </c>
      <c r="AF1203" s="8">
        <f>G1203+I1203+K1203+M1203+O1203+Q1203+S1203+U1203+W1203+Y1203+AA1203+AC1203</f>
        <v>0</v>
      </c>
      <c r="AG1203" s="153">
        <f>SUM(AE1203-AF1203)</f>
        <v>0</v>
      </c>
    </row>
    <row r="1204" spans="1:42" customHeight="1" ht="11.5">
      <c r="A1204" s="5"/>
      <c r="B1204" s="173"/>
      <c r="C1204" s="167"/>
      <c r="D1204" s="88"/>
      <c r="E1204" s="174"/>
      <c r="F1204" s="9"/>
      <c r="G1204" s="10"/>
      <c r="H1204" s="9"/>
      <c r="I1204" s="10"/>
      <c r="J1204" s="152"/>
      <c r="K1204" s="10"/>
      <c r="L1204" s="152"/>
      <c r="M1204" s="10"/>
      <c r="N1204" s="152"/>
      <c r="O1204" s="10"/>
      <c r="P1204" s="152"/>
      <c r="Q1204" s="10"/>
      <c r="R1204" s="9"/>
      <c r="S1204" s="10"/>
      <c r="T1204" s="9"/>
      <c r="U1204" s="10"/>
      <c r="V1204" s="9"/>
      <c r="W1204" s="10"/>
      <c r="X1204" s="9"/>
      <c r="Y1204" s="10"/>
      <c r="Z1204" s="9"/>
      <c r="AA1204" s="10"/>
      <c r="AB1204" s="11"/>
      <c r="AC1204" s="10"/>
      <c r="AD1204" s="7">
        <f>SUM(F1204+H1204+J1204+L1204+N1204+P1204+R1204+T1204+V1204+X1204+Z1204+AB1204)</f>
        <v>0</v>
      </c>
      <c r="AE1204" s="7">
        <f>E1204+AD1204</f>
        <v>0</v>
      </c>
      <c r="AF1204" s="8">
        <f>G1204+I1204+K1204+M1204+O1204+Q1204+S1204+U1204+W1204+Y1204+AA1204+AC1204</f>
        <v>0</v>
      </c>
      <c r="AG1204" s="153">
        <f>SUM(AE1204-AF1204)</f>
        <v>0</v>
      </c>
    </row>
    <row r="1205" spans="1:42" customHeight="1" ht="11.5">
      <c r="A1205" s="5"/>
      <c r="B1205" s="173"/>
      <c r="C1205" s="167"/>
      <c r="D1205" s="88"/>
      <c r="E1205" s="174"/>
      <c r="F1205" s="9"/>
      <c r="G1205" s="10"/>
      <c r="H1205" s="9"/>
      <c r="I1205" s="10"/>
      <c r="J1205" s="152"/>
      <c r="K1205" s="10"/>
      <c r="L1205" s="152"/>
      <c r="M1205" s="10"/>
      <c r="N1205" s="152"/>
      <c r="O1205" s="10"/>
      <c r="P1205" s="152"/>
      <c r="Q1205" s="10"/>
      <c r="R1205" s="9"/>
      <c r="S1205" s="10"/>
      <c r="T1205" s="9"/>
      <c r="U1205" s="10"/>
      <c r="V1205" s="9"/>
      <c r="W1205" s="10"/>
      <c r="X1205" s="9"/>
      <c r="Y1205" s="10"/>
      <c r="Z1205" s="9"/>
      <c r="AA1205" s="10"/>
      <c r="AB1205" s="11"/>
      <c r="AC1205" s="10"/>
      <c r="AD1205" s="7">
        <f>SUM(F1205+H1205+J1205+L1205+N1205+P1205+R1205+T1205+V1205+X1205+Z1205+AB1205)</f>
        <v>0</v>
      </c>
      <c r="AE1205" s="7">
        <f>E1205+AD1205</f>
        <v>0</v>
      </c>
      <c r="AF1205" s="8">
        <f>G1205+I1205+K1205+M1205+O1205+Q1205+S1205+U1205+W1205+Y1205+AA1205+AC1205</f>
        <v>0</v>
      </c>
      <c r="AG1205" s="153">
        <f>SUM(AE1205-AF1205)</f>
        <v>0</v>
      </c>
    </row>
    <row r="1206" spans="1:42" customHeight="1" ht="11.5">
      <c r="A1206" s="5"/>
      <c r="B1206" s="173"/>
      <c r="C1206" s="167"/>
      <c r="D1206" s="88"/>
      <c r="E1206" s="174"/>
      <c r="F1206" s="9"/>
      <c r="G1206" s="10"/>
      <c r="H1206" s="9"/>
      <c r="I1206" s="10"/>
      <c r="J1206" s="152"/>
      <c r="K1206" s="10"/>
      <c r="L1206" s="152"/>
      <c r="M1206" s="10"/>
      <c r="N1206" s="152"/>
      <c r="O1206" s="10"/>
      <c r="P1206" s="152"/>
      <c r="Q1206" s="10"/>
      <c r="R1206" s="9"/>
      <c r="S1206" s="10"/>
      <c r="T1206" s="9"/>
      <c r="U1206" s="10"/>
      <c r="V1206" s="9"/>
      <c r="W1206" s="10"/>
      <c r="X1206" s="9"/>
      <c r="Y1206" s="10"/>
      <c r="Z1206" s="9"/>
      <c r="AA1206" s="10"/>
      <c r="AB1206" s="11"/>
      <c r="AC1206" s="10"/>
      <c r="AD1206" s="7">
        <f>SUM(F1206+H1206+J1206+L1206+N1206+P1206+R1206+T1206+V1206+X1206+Z1206+AB1206)</f>
        <v>0</v>
      </c>
      <c r="AE1206" s="7">
        <f>E1206+AD1206</f>
        <v>0</v>
      </c>
      <c r="AF1206" s="8">
        <f>G1206+I1206+K1206+M1206+O1206+Q1206+S1206+U1206+W1206+Y1206+AA1206+AC1206</f>
        <v>0</v>
      </c>
      <c r="AG1206" s="153">
        <f>SUM(AE1206-AF1206)</f>
        <v>0</v>
      </c>
    </row>
    <row r="1207" spans="1:42" customHeight="1" ht="11.5">
      <c r="A1207" s="5"/>
      <c r="B1207" s="173"/>
      <c r="C1207" s="167"/>
      <c r="D1207" s="88"/>
      <c r="E1207" s="174"/>
      <c r="F1207" s="9"/>
      <c r="G1207" s="10"/>
      <c r="H1207" s="9"/>
      <c r="I1207" s="10"/>
      <c r="J1207" s="152"/>
      <c r="K1207" s="10"/>
      <c r="L1207" s="152"/>
      <c r="M1207" s="10"/>
      <c r="N1207" s="152"/>
      <c r="O1207" s="10"/>
      <c r="P1207" s="152"/>
      <c r="Q1207" s="10"/>
      <c r="R1207" s="9"/>
      <c r="S1207" s="10"/>
      <c r="T1207" s="9"/>
      <c r="U1207" s="10"/>
      <c r="V1207" s="9"/>
      <c r="W1207" s="10"/>
      <c r="X1207" s="9"/>
      <c r="Y1207" s="10"/>
      <c r="Z1207" s="9"/>
      <c r="AA1207" s="10"/>
      <c r="AB1207" s="11"/>
      <c r="AC1207" s="10"/>
      <c r="AD1207" s="7">
        <f>SUM(F1207+H1207+J1207+L1207+N1207+P1207+R1207+T1207+V1207+X1207+Z1207+AB1207)</f>
        <v>0</v>
      </c>
      <c r="AE1207" s="7">
        <f>E1207+AD1207</f>
        <v>0</v>
      </c>
      <c r="AF1207" s="8">
        <f>G1207+I1207+K1207+M1207+O1207+Q1207+S1207+U1207+W1207+Y1207+AA1207+AC1207</f>
        <v>0</v>
      </c>
      <c r="AG1207" s="153">
        <f>SUM(AE1207-AF1207)</f>
        <v>0</v>
      </c>
    </row>
    <row r="1208" spans="1:42" customHeight="1" ht="11.5">
      <c r="A1208" s="5"/>
      <c r="B1208" s="173"/>
      <c r="C1208" s="167"/>
      <c r="D1208" s="88"/>
      <c r="E1208" s="174"/>
      <c r="F1208" s="9"/>
      <c r="G1208" s="10"/>
      <c r="H1208" s="9"/>
      <c r="I1208" s="10"/>
      <c r="J1208" s="152"/>
      <c r="K1208" s="10"/>
      <c r="L1208" s="152"/>
      <c r="M1208" s="10"/>
      <c r="N1208" s="152"/>
      <c r="O1208" s="10"/>
      <c r="P1208" s="152"/>
      <c r="Q1208" s="10"/>
      <c r="R1208" s="9"/>
      <c r="S1208" s="10"/>
      <c r="T1208" s="9"/>
      <c r="U1208" s="10"/>
      <c r="V1208" s="9"/>
      <c r="W1208" s="10"/>
      <c r="X1208" s="9"/>
      <c r="Y1208" s="10"/>
      <c r="Z1208" s="9"/>
      <c r="AA1208" s="10"/>
      <c r="AB1208" s="11"/>
      <c r="AC1208" s="10"/>
      <c r="AD1208" s="7">
        <f>SUM(F1208+H1208+J1208+L1208+N1208+P1208+R1208+T1208+V1208+X1208+Z1208+AB1208)</f>
        <v>0</v>
      </c>
      <c r="AE1208" s="7">
        <f>E1208+AD1208</f>
        <v>0</v>
      </c>
      <c r="AF1208" s="8">
        <f>G1208+I1208+K1208+M1208+O1208+Q1208+S1208+U1208+W1208+Y1208+AA1208+AC1208</f>
        <v>0</v>
      </c>
      <c r="AG1208" s="153">
        <f>SUM(AE1208-AF1208)</f>
        <v>0</v>
      </c>
    </row>
    <row r="1209" spans="1:42" customHeight="1" ht="11.5">
      <c r="A1209" s="5"/>
      <c r="B1209" s="173"/>
      <c r="C1209" s="167"/>
      <c r="D1209" s="88"/>
      <c r="E1209" s="174"/>
      <c r="F1209" s="9"/>
      <c r="G1209" s="10"/>
      <c r="H1209" s="9"/>
      <c r="I1209" s="10"/>
      <c r="J1209" s="152"/>
      <c r="K1209" s="10"/>
      <c r="L1209" s="152"/>
      <c r="M1209" s="10"/>
      <c r="N1209" s="152"/>
      <c r="O1209" s="10"/>
      <c r="P1209" s="152"/>
      <c r="Q1209" s="10"/>
      <c r="R1209" s="9"/>
      <c r="S1209" s="10"/>
      <c r="T1209" s="9"/>
      <c r="U1209" s="10"/>
      <c r="V1209" s="9"/>
      <c r="W1209" s="10"/>
      <c r="X1209" s="9"/>
      <c r="Y1209" s="10"/>
      <c r="Z1209" s="9"/>
      <c r="AA1209" s="10"/>
      <c r="AB1209" s="11"/>
      <c r="AC1209" s="10"/>
      <c r="AD1209" s="7">
        <f>SUM(F1209+H1209+J1209+L1209+N1209+P1209+R1209+T1209+V1209+X1209+Z1209+AB1209)</f>
        <v>0</v>
      </c>
      <c r="AE1209" s="7">
        <f>E1209+AD1209</f>
        <v>0</v>
      </c>
      <c r="AF1209" s="8">
        <f>G1209+I1209+K1209+M1209+O1209+Q1209+S1209+U1209+W1209+Y1209+AA1209+AC1209</f>
        <v>0</v>
      </c>
      <c r="AG1209" s="153">
        <f>SUM(AE1209-AF1209)</f>
        <v>0</v>
      </c>
    </row>
    <row r="1210" spans="1:42" customHeight="1" ht="11.5">
      <c r="A1210" s="5"/>
      <c r="B1210" s="173"/>
      <c r="C1210" s="167"/>
      <c r="D1210" s="88"/>
      <c r="E1210" s="174"/>
      <c r="F1210" s="9"/>
      <c r="G1210" s="10"/>
      <c r="H1210" s="9"/>
      <c r="I1210" s="10"/>
      <c r="J1210" s="152"/>
      <c r="K1210" s="10"/>
      <c r="L1210" s="152"/>
      <c r="M1210" s="10"/>
      <c r="N1210" s="152"/>
      <c r="O1210" s="10"/>
      <c r="P1210" s="152"/>
      <c r="Q1210" s="10"/>
      <c r="R1210" s="9"/>
      <c r="S1210" s="10"/>
      <c r="T1210" s="9"/>
      <c r="U1210" s="10"/>
      <c r="V1210" s="9"/>
      <c r="W1210" s="10"/>
      <c r="X1210" s="9"/>
      <c r="Y1210" s="10"/>
      <c r="Z1210" s="9"/>
      <c r="AA1210" s="10"/>
      <c r="AB1210" s="11"/>
      <c r="AC1210" s="10"/>
      <c r="AD1210" s="7">
        <f>SUM(F1210+H1210+J1210+L1210+N1210+P1210+R1210+T1210+V1210+X1210+Z1210+AB1210)</f>
        <v>0</v>
      </c>
      <c r="AE1210" s="7">
        <f>E1210+AD1210</f>
        <v>0</v>
      </c>
      <c r="AF1210" s="8">
        <f>G1210+I1210+K1210+M1210+O1210+Q1210+S1210+U1210+W1210+Y1210+AA1210+AC1210</f>
        <v>0</v>
      </c>
      <c r="AG1210" s="153">
        <f>SUM(AE1210-AF1210)</f>
        <v>0</v>
      </c>
    </row>
    <row r="1211" spans="1:42" customHeight="1" ht="11.5">
      <c r="A1211" s="5"/>
      <c r="B1211" s="173"/>
      <c r="C1211" s="167"/>
      <c r="D1211" s="88"/>
      <c r="E1211" s="174"/>
      <c r="F1211" s="9"/>
      <c r="G1211" s="10"/>
      <c r="H1211" s="9"/>
      <c r="I1211" s="10"/>
      <c r="J1211" s="152"/>
      <c r="K1211" s="10"/>
      <c r="L1211" s="152"/>
      <c r="M1211" s="10"/>
      <c r="N1211" s="152"/>
      <c r="O1211" s="10"/>
      <c r="P1211" s="152"/>
      <c r="Q1211" s="10"/>
      <c r="R1211" s="9"/>
      <c r="S1211" s="10"/>
      <c r="T1211" s="9"/>
      <c r="U1211" s="10"/>
      <c r="V1211" s="9"/>
      <c r="W1211" s="10"/>
      <c r="X1211" s="9"/>
      <c r="Y1211" s="10"/>
      <c r="Z1211" s="9"/>
      <c r="AA1211" s="10"/>
      <c r="AB1211" s="11"/>
      <c r="AC1211" s="10"/>
      <c r="AD1211" s="7">
        <f>SUM(F1211+H1211+J1211+L1211+N1211+P1211+R1211+T1211+V1211+X1211+Z1211+AB1211)</f>
        <v>0</v>
      </c>
      <c r="AE1211" s="7">
        <f>E1211+AD1211</f>
        <v>0</v>
      </c>
      <c r="AF1211" s="8">
        <f>G1211+I1211+K1211+M1211+O1211+Q1211+S1211+U1211+W1211+Y1211+AA1211+AC1211</f>
        <v>0</v>
      </c>
      <c r="AG1211" s="153">
        <f>SUM(AE1211-AF1211)</f>
        <v>0</v>
      </c>
    </row>
    <row r="1212" spans="1:42" customHeight="1" ht="11.5">
      <c r="A1212" s="5"/>
      <c r="B1212" s="173"/>
      <c r="C1212" s="167"/>
      <c r="D1212" s="88"/>
      <c r="E1212" s="174"/>
      <c r="F1212" s="9"/>
      <c r="G1212" s="10"/>
      <c r="H1212" s="9"/>
      <c r="I1212" s="10"/>
      <c r="J1212" s="152"/>
      <c r="K1212" s="10"/>
      <c r="L1212" s="152"/>
      <c r="M1212" s="10"/>
      <c r="N1212" s="152"/>
      <c r="O1212" s="10"/>
      <c r="P1212" s="152"/>
      <c r="Q1212" s="10"/>
      <c r="R1212" s="9"/>
      <c r="S1212" s="10"/>
      <c r="T1212" s="9"/>
      <c r="U1212" s="10"/>
      <c r="V1212" s="9"/>
      <c r="W1212" s="10"/>
      <c r="X1212" s="9"/>
      <c r="Y1212" s="10"/>
      <c r="Z1212" s="9"/>
      <c r="AA1212" s="10"/>
      <c r="AB1212" s="11"/>
      <c r="AC1212" s="10"/>
      <c r="AD1212" s="7">
        <f>SUM(F1212+H1212+J1212+L1212+N1212+P1212+R1212+T1212+V1212+X1212+Z1212+AB1212)</f>
        <v>0</v>
      </c>
      <c r="AE1212" s="7">
        <f>E1212+AD1212</f>
        <v>0</v>
      </c>
      <c r="AF1212" s="8">
        <f>G1212+I1212+K1212+M1212+O1212+Q1212+S1212+U1212+W1212+Y1212+AA1212+AC1212</f>
        <v>0</v>
      </c>
      <c r="AG1212" s="153">
        <f>SUM(AE1212-AF1212)</f>
        <v>0</v>
      </c>
    </row>
    <row r="1213" spans="1:42" customHeight="1" ht="11.5">
      <c r="A1213" s="5"/>
      <c r="B1213" s="173"/>
      <c r="C1213" s="167"/>
      <c r="D1213" s="88"/>
      <c r="E1213" s="174"/>
      <c r="F1213" s="9"/>
      <c r="G1213" s="10"/>
      <c r="H1213" s="9"/>
      <c r="I1213" s="10"/>
      <c r="J1213" s="152"/>
      <c r="K1213" s="10"/>
      <c r="L1213" s="152"/>
      <c r="M1213" s="10"/>
      <c r="N1213" s="152"/>
      <c r="O1213" s="10"/>
      <c r="P1213" s="152"/>
      <c r="Q1213" s="10"/>
      <c r="R1213" s="9"/>
      <c r="S1213" s="10"/>
      <c r="T1213" s="9"/>
      <c r="U1213" s="10"/>
      <c r="V1213" s="9"/>
      <c r="W1213" s="10"/>
      <c r="X1213" s="9"/>
      <c r="Y1213" s="10"/>
      <c r="Z1213" s="9"/>
      <c r="AA1213" s="10"/>
      <c r="AB1213" s="11"/>
      <c r="AC1213" s="10"/>
      <c r="AD1213" s="7">
        <f>SUM(F1213+H1213+J1213+L1213+N1213+P1213+R1213+T1213+V1213+X1213+Z1213+AB1213)</f>
        <v>0</v>
      </c>
      <c r="AE1213" s="7">
        <f>E1213+AD1213</f>
        <v>0</v>
      </c>
      <c r="AF1213" s="8">
        <f>G1213+I1213+K1213+M1213+O1213+Q1213+S1213+U1213+W1213+Y1213+AA1213+AC1213</f>
        <v>0</v>
      </c>
      <c r="AG1213" s="153">
        <f>SUM(AE1213-AF1213)</f>
        <v>0</v>
      </c>
    </row>
    <row r="1214" spans="1:42" customHeight="1" ht="11.5">
      <c r="A1214" s="5"/>
      <c r="B1214" s="173"/>
      <c r="C1214" s="167"/>
      <c r="D1214" s="88"/>
      <c r="E1214" s="174"/>
      <c r="F1214" s="9"/>
      <c r="G1214" s="10"/>
      <c r="H1214" s="9"/>
      <c r="I1214" s="10"/>
      <c r="J1214" s="152"/>
      <c r="K1214" s="10"/>
      <c r="L1214" s="152"/>
      <c r="M1214" s="10"/>
      <c r="N1214" s="152"/>
      <c r="O1214" s="10"/>
      <c r="P1214" s="152"/>
      <c r="Q1214" s="10"/>
      <c r="R1214" s="9"/>
      <c r="S1214" s="10"/>
      <c r="T1214" s="9"/>
      <c r="U1214" s="10"/>
      <c r="V1214" s="9"/>
      <c r="W1214" s="10"/>
      <c r="X1214" s="9"/>
      <c r="Y1214" s="10"/>
      <c r="Z1214" s="9"/>
      <c r="AA1214" s="10"/>
      <c r="AB1214" s="11"/>
      <c r="AC1214" s="10"/>
      <c r="AD1214" s="7">
        <f>SUM(F1214+H1214+J1214+L1214+N1214+P1214+R1214+T1214+V1214+X1214+Z1214+AB1214)</f>
        <v>0</v>
      </c>
      <c r="AE1214" s="7">
        <f>E1214+AD1214</f>
        <v>0</v>
      </c>
      <c r="AF1214" s="8">
        <f>G1214+I1214+K1214+M1214+O1214+Q1214+S1214+U1214+W1214+Y1214+AA1214+AC1214</f>
        <v>0</v>
      </c>
      <c r="AG1214" s="153">
        <f>SUM(AE1214-AF1214)</f>
        <v>0</v>
      </c>
    </row>
    <row r="1215" spans="1:42" customHeight="1" ht="11.5">
      <c r="A1215" s="5"/>
      <c r="B1215" s="173"/>
      <c r="C1215" s="167"/>
      <c r="D1215" s="88"/>
      <c r="E1215" s="174"/>
      <c r="F1215" s="9"/>
      <c r="G1215" s="10"/>
      <c r="H1215" s="9"/>
      <c r="I1215" s="10"/>
      <c r="J1215" s="152"/>
      <c r="K1215" s="10"/>
      <c r="L1215" s="152"/>
      <c r="M1215" s="10"/>
      <c r="N1215" s="152"/>
      <c r="O1215" s="10"/>
      <c r="P1215" s="152"/>
      <c r="Q1215" s="10"/>
      <c r="R1215" s="9"/>
      <c r="S1215" s="10"/>
      <c r="T1215" s="9"/>
      <c r="U1215" s="10"/>
      <c r="V1215" s="9"/>
      <c r="W1215" s="10"/>
      <c r="X1215" s="9"/>
      <c r="Y1215" s="10"/>
      <c r="Z1215" s="9"/>
      <c r="AA1215" s="10"/>
      <c r="AB1215" s="11"/>
      <c r="AC1215" s="10"/>
      <c r="AD1215" s="7">
        <f>SUM(F1215+H1215+J1215+L1215+N1215+P1215+R1215+T1215+V1215+X1215+Z1215+AB1215)</f>
        <v>0</v>
      </c>
      <c r="AE1215" s="7">
        <f>E1215+AD1215</f>
        <v>0</v>
      </c>
      <c r="AF1215" s="8">
        <f>G1215+I1215+K1215+M1215+O1215+Q1215+S1215+U1215+W1215+Y1215+AA1215+AC1215</f>
        <v>0</v>
      </c>
      <c r="AG1215" s="153">
        <f>SUM(AE1215-AF1215)</f>
        <v>0</v>
      </c>
    </row>
    <row r="1216" spans="1:42" customHeight="1" ht="11.5">
      <c r="A1216" s="5"/>
      <c r="B1216" s="173"/>
      <c r="C1216" s="167"/>
      <c r="D1216" s="88"/>
      <c r="E1216" s="174"/>
      <c r="F1216" s="9"/>
      <c r="G1216" s="10"/>
      <c r="H1216" s="9"/>
      <c r="I1216" s="10"/>
      <c r="J1216" s="152"/>
      <c r="K1216" s="10"/>
      <c r="L1216" s="152"/>
      <c r="M1216" s="10"/>
      <c r="N1216" s="152"/>
      <c r="O1216" s="10"/>
      <c r="P1216" s="152"/>
      <c r="Q1216" s="10"/>
      <c r="R1216" s="9"/>
      <c r="S1216" s="10"/>
      <c r="T1216" s="9"/>
      <c r="U1216" s="10"/>
      <c r="V1216" s="9"/>
      <c r="W1216" s="10"/>
      <c r="X1216" s="9"/>
      <c r="Y1216" s="10"/>
      <c r="Z1216" s="9"/>
      <c r="AA1216" s="10"/>
      <c r="AB1216" s="11"/>
      <c r="AC1216" s="10"/>
      <c r="AD1216" s="7">
        <f>SUM(F1216+H1216+J1216+L1216+N1216+P1216+R1216+T1216+V1216+X1216+Z1216+AB1216)</f>
        <v>0</v>
      </c>
      <c r="AE1216" s="7">
        <f>E1216+AD1216</f>
        <v>0</v>
      </c>
      <c r="AF1216" s="8">
        <f>G1216+I1216+K1216+M1216+O1216+Q1216+S1216+U1216+W1216+Y1216+AA1216+AC1216</f>
        <v>0</v>
      </c>
      <c r="AG1216" s="153">
        <f>SUM(AE1216-AF1216)</f>
        <v>0</v>
      </c>
    </row>
    <row r="1217" spans="1:42" customHeight="1" ht="11.5">
      <c r="A1217" s="5"/>
      <c r="B1217" s="173"/>
      <c r="C1217" s="167"/>
      <c r="D1217" s="88"/>
      <c r="E1217" s="174"/>
      <c r="F1217" s="9"/>
      <c r="G1217" s="10"/>
      <c r="H1217" s="9"/>
      <c r="I1217" s="10"/>
      <c r="J1217" s="152"/>
      <c r="K1217" s="10"/>
      <c r="L1217" s="152"/>
      <c r="M1217" s="10"/>
      <c r="N1217" s="152"/>
      <c r="O1217" s="10"/>
      <c r="P1217" s="152"/>
      <c r="Q1217" s="10"/>
      <c r="R1217" s="9"/>
      <c r="S1217" s="10"/>
      <c r="T1217" s="9"/>
      <c r="U1217" s="10"/>
      <c r="V1217" s="9"/>
      <c r="W1217" s="10"/>
      <c r="X1217" s="9"/>
      <c r="Y1217" s="10"/>
      <c r="Z1217" s="9"/>
      <c r="AA1217" s="10"/>
      <c r="AB1217" s="11"/>
      <c r="AC1217" s="10"/>
      <c r="AD1217" s="7">
        <f>SUM(F1217+H1217+J1217+L1217+N1217+P1217+R1217+T1217+V1217+X1217+Z1217+AB1217)</f>
        <v>0</v>
      </c>
      <c r="AE1217" s="7">
        <f>E1217+AD1217</f>
        <v>0</v>
      </c>
      <c r="AF1217" s="8">
        <f>G1217+I1217+K1217+M1217+O1217+Q1217+S1217+U1217+W1217+Y1217+AA1217+AC1217</f>
        <v>0</v>
      </c>
      <c r="AG1217" s="153">
        <f>SUM(AE1217-AF1217)</f>
        <v>0</v>
      </c>
    </row>
    <row r="1218" spans="1:42" customHeight="1" ht="11.5">
      <c r="A1218" s="5"/>
      <c r="B1218" s="173"/>
      <c r="C1218" s="167"/>
      <c r="D1218" s="88"/>
      <c r="E1218" s="174"/>
      <c r="F1218" s="9"/>
      <c r="G1218" s="10"/>
      <c r="H1218" s="9"/>
      <c r="I1218" s="10"/>
      <c r="J1218" s="152"/>
      <c r="K1218" s="10"/>
      <c r="L1218" s="152"/>
      <c r="M1218" s="10"/>
      <c r="N1218" s="152"/>
      <c r="O1218" s="10"/>
      <c r="P1218" s="152"/>
      <c r="Q1218" s="10"/>
      <c r="R1218" s="9"/>
      <c r="S1218" s="10"/>
      <c r="T1218" s="9"/>
      <c r="U1218" s="10"/>
      <c r="V1218" s="9"/>
      <c r="W1218" s="10"/>
      <c r="X1218" s="9"/>
      <c r="Y1218" s="10"/>
      <c r="Z1218" s="9"/>
      <c r="AA1218" s="10"/>
      <c r="AB1218" s="11"/>
      <c r="AC1218" s="10"/>
      <c r="AD1218" s="7">
        <f>SUM(F1218+H1218+J1218+L1218+N1218+P1218+R1218+T1218+V1218+X1218+Z1218+AB1218)</f>
        <v>0</v>
      </c>
      <c r="AE1218" s="7">
        <f>E1218+AD1218</f>
        <v>0</v>
      </c>
      <c r="AF1218" s="8">
        <f>G1218+I1218+K1218+M1218+O1218+Q1218+S1218+U1218+W1218+Y1218+AA1218+AC1218</f>
        <v>0</v>
      </c>
      <c r="AG1218" s="153">
        <f>SUM(AE1218-AF1218)</f>
        <v>0</v>
      </c>
    </row>
    <row r="1219" spans="1:42" customHeight="1" ht="11.5">
      <c r="A1219" s="5"/>
      <c r="B1219" s="173"/>
      <c r="C1219" s="167"/>
      <c r="D1219" s="88"/>
      <c r="E1219" s="174"/>
      <c r="F1219" s="9"/>
      <c r="G1219" s="10"/>
      <c r="H1219" s="9"/>
      <c r="I1219" s="10"/>
      <c r="J1219" s="152"/>
      <c r="K1219" s="10"/>
      <c r="L1219" s="152"/>
      <c r="M1219" s="10"/>
      <c r="N1219" s="152"/>
      <c r="O1219" s="10"/>
      <c r="P1219" s="152"/>
      <c r="Q1219" s="10"/>
      <c r="R1219" s="9"/>
      <c r="S1219" s="10"/>
      <c r="T1219" s="9"/>
      <c r="U1219" s="10"/>
      <c r="V1219" s="9"/>
      <c r="W1219" s="10"/>
      <c r="X1219" s="9"/>
      <c r="Y1219" s="10"/>
      <c r="Z1219" s="9"/>
      <c r="AA1219" s="10"/>
      <c r="AB1219" s="11"/>
      <c r="AC1219" s="10"/>
      <c r="AD1219" s="7">
        <f>SUM(F1219+H1219+J1219+L1219+N1219+P1219+R1219+T1219+V1219+X1219+Z1219+AB1219)</f>
        <v>0</v>
      </c>
      <c r="AE1219" s="7">
        <f>E1219+AD1219</f>
        <v>0</v>
      </c>
      <c r="AF1219" s="8">
        <f>G1219+I1219+K1219+M1219+O1219+Q1219+S1219+U1219+W1219+Y1219+AA1219+AC1219</f>
        <v>0</v>
      </c>
      <c r="AG1219" s="153">
        <f>SUM(AE1219-AF1219)</f>
        <v>0</v>
      </c>
    </row>
    <row r="1220" spans="1:42" customHeight="1" ht="11.5">
      <c r="A1220" s="5"/>
      <c r="B1220" s="173"/>
      <c r="C1220" s="167"/>
      <c r="D1220" s="88"/>
      <c r="E1220" s="174"/>
      <c r="F1220" s="9"/>
      <c r="G1220" s="10"/>
      <c r="H1220" s="9"/>
      <c r="I1220" s="10"/>
      <c r="J1220" s="152"/>
      <c r="K1220" s="10"/>
      <c r="L1220" s="152"/>
      <c r="M1220" s="10"/>
      <c r="N1220" s="152"/>
      <c r="O1220" s="10"/>
      <c r="P1220" s="152"/>
      <c r="Q1220" s="10"/>
      <c r="R1220" s="9"/>
      <c r="S1220" s="10"/>
      <c r="T1220" s="9"/>
      <c r="U1220" s="10"/>
      <c r="V1220" s="9"/>
      <c r="W1220" s="10"/>
      <c r="X1220" s="9"/>
      <c r="Y1220" s="10"/>
      <c r="Z1220" s="9"/>
      <c r="AA1220" s="10"/>
      <c r="AB1220" s="11"/>
      <c r="AC1220" s="10"/>
      <c r="AD1220" s="7">
        <f>SUM(F1220+H1220+J1220+L1220+N1220+P1220+R1220+T1220+V1220+X1220+Z1220+AB1220)</f>
        <v>0</v>
      </c>
      <c r="AE1220" s="7">
        <f>E1220+AD1220</f>
        <v>0</v>
      </c>
      <c r="AF1220" s="8">
        <f>G1220+I1220+K1220+M1220+O1220+Q1220+S1220+U1220+W1220+Y1220+AA1220+AC1220</f>
        <v>0</v>
      </c>
      <c r="AG1220" s="153">
        <f>SUM(AE1220-AF1220)</f>
        <v>0</v>
      </c>
    </row>
    <row r="1221" spans="1:42" customHeight="1" ht="11.5">
      <c r="A1221" s="5"/>
      <c r="B1221" s="173"/>
      <c r="C1221" s="167"/>
      <c r="D1221" s="88"/>
      <c r="E1221" s="174"/>
      <c r="F1221" s="9"/>
      <c r="G1221" s="10"/>
      <c r="H1221" s="9"/>
      <c r="I1221" s="10"/>
      <c r="J1221" s="152"/>
      <c r="K1221" s="10"/>
      <c r="L1221" s="152"/>
      <c r="M1221" s="10"/>
      <c r="N1221" s="152"/>
      <c r="O1221" s="10"/>
      <c r="P1221" s="152"/>
      <c r="Q1221" s="10"/>
      <c r="R1221" s="9"/>
      <c r="S1221" s="10"/>
      <c r="T1221" s="9"/>
      <c r="U1221" s="10"/>
      <c r="V1221" s="9"/>
      <c r="W1221" s="10"/>
      <c r="X1221" s="9"/>
      <c r="Y1221" s="10"/>
      <c r="Z1221" s="9"/>
      <c r="AA1221" s="10"/>
      <c r="AB1221" s="11"/>
      <c r="AC1221" s="10"/>
      <c r="AD1221" s="7">
        <f>SUM(F1221+H1221+J1221+L1221+N1221+P1221+R1221+T1221+V1221+X1221+Z1221+AB1221)</f>
        <v>0</v>
      </c>
      <c r="AE1221" s="7">
        <f>E1221+AD1221</f>
        <v>0</v>
      </c>
      <c r="AF1221" s="8">
        <f>G1221+I1221+K1221+M1221+O1221+Q1221+S1221+U1221+W1221+Y1221+AA1221+AC1221</f>
        <v>0</v>
      </c>
      <c r="AG1221" s="153">
        <f>SUM(AE1221-AF1221)</f>
        <v>0</v>
      </c>
    </row>
    <row r="1222" spans="1:42" customHeight="1" ht="11.5">
      <c r="A1222" s="5"/>
      <c r="B1222" s="173"/>
      <c r="C1222" s="167"/>
      <c r="D1222" s="88"/>
      <c r="E1222" s="174"/>
      <c r="F1222" s="9"/>
      <c r="G1222" s="10"/>
      <c r="H1222" s="9"/>
      <c r="I1222" s="10"/>
      <c r="J1222" s="152"/>
      <c r="K1222" s="10"/>
      <c r="L1222" s="152"/>
      <c r="M1222" s="10"/>
      <c r="N1222" s="152"/>
      <c r="O1222" s="10"/>
      <c r="P1222" s="152"/>
      <c r="Q1222" s="10"/>
      <c r="R1222" s="9"/>
      <c r="S1222" s="10"/>
      <c r="T1222" s="9"/>
      <c r="U1222" s="10"/>
      <c r="V1222" s="9"/>
      <c r="W1222" s="10"/>
      <c r="X1222" s="9"/>
      <c r="Y1222" s="10"/>
      <c r="Z1222" s="9"/>
      <c r="AA1222" s="10"/>
      <c r="AB1222" s="11"/>
      <c r="AC1222" s="10"/>
      <c r="AD1222" s="7">
        <f>SUM(F1222+H1222+J1222+L1222+N1222+P1222+R1222+T1222+V1222+X1222+Z1222+AB1222)</f>
        <v>0</v>
      </c>
      <c r="AE1222" s="7">
        <f>E1222+AD1222</f>
        <v>0</v>
      </c>
      <c r="AF1222" s="8">
        <f>G1222+I1222+K1222+M1222+O1222+Q1222+S1222+U1222+W1222+Y1222+AA1222+AC1222</f>
        <v>0</v>
      </c>
      <c r="AG1222" s="153">
        <f>SUM(AE1222-AF1222)</f>
        <v>0</v>
      </c>
    </row>
    <row r="1223" spans="1:42" customHeight="1" ht="11.5">
      <c r="A1223" s="5"/>
      <c r="B1223" s="173"/>
      <c r="C1223" s="167"/>
      <c r="D1223" s="88"/>
      <c r="E1223" s="174"/>
      <c r="F1223" s="9"/>
      <c r="G1223" s="10"/>
      <c r="H1223" s="9"/>
      <c r="I1223" s="10"/>
      <c r="J1223" s="152"/>
      <c r="K1223" s="10"/>
      <c r="L1223" s="152"/>
      <c r="M1223" s="10"/>
      <c r="N1223" s="152"/>
      <c r="O1223" s="10"/>
      <c r="P1223" s="152"/>
      <c r="Q1223" s="10"/>
      <c r="R1223" s="9"/>
      <c r="S1223" s="10"/>
      <c r="T1223" s="9"/>
      <c r="U1223" s="10"/>
      <c r="V1223" s="9"/>
      <c r="W1223" s="10"/>
      <c r="X1223" s="9"/>
      <c r="Y1223" s="10"/>
      <c r="Z1223" s="9"/>
      <c r="AA1223" s="10"/>
      <c r="AB1223" s="11"/>
      <c r="AC1223" s="10"/>
      <c r="AD1223" s="7">
        <f>SUM(F1223+H1223+J1223+L1223+N1223+P1223+R1223+T1223+V1223+X1223+Z1223+AB1223)</f>
        <v>0</v>
      </c>
      <c r="AE1223" s="7">
        <f>E1223+AD1223</f>
        <v>0</v>
      </c>
      <c r="AF1223" s="8">
        <f>G1223+I1223+K1223+M1223+O1223+Q1223+S1223+U1223+W1223+Y1223+AA1223+AC1223</f>
        <v>0</v>
      </c>
      <c r="AG1223" s="153">
        <f>SUM(AE1223-AF1223)</f>
        <v>0</v>
      </c>
    </row>
    <row r="1224" spans="1:42" customHeight="1" ht="11.5">
      <c r="A1224" s="5"/>
      <c r="B1224" s="173"/>
      <c r="C1224" s="167"/>
      <c r="D1224" s="88"/>
      <c r="E1224" s="174"/>
      <c r="F1224" s="9"/>
      <c r="G1224" s="10"/>
      <c r="H1224" s="9"/>
      <c r="I1224" s="10"/>
      <c r="J1224" s="152"/>
      <c r="K1224" s="10"/>
      <c r="L1224" s="152"/>
      <c r="M1224" s="10"/>
      <c r="N1224" s="152"/>
      <c r="O1224" s="10"/>
      <c r="P1224" s="152"/>
      <c r="Q1224" s="10"/>
      <c r="R1224" s="9"/>
      <c r="S1224" s="10"/>
      <c r="T1224" s="9"/>
      <c r="U1224" s="10"/>
      <c r="V1224" s="9"/>
      <c r="W1224" s="10"/>
      <c r="X1224" s="9"/>
      <c r="Y1224" s="10"/>
      <c r="Z1224" s="9"/>
      <c r="AA1224" s="10"/>
      <c r="AB1224" s="11"/>
      <c r="AC1224" s="10"/>
      <c r="AD1224" s="7">
        <f>SUM(F1224+H1224+J1224+L1224+N1224+P1224+R1224+T1224+V1224+X1224+Z1224+AB1224)</f>
        <v>0</v>
      </c>
      <c r="AE1224" s="7">
        <f>E1224+AD1224</f>
        <v>0</v>
      </c>
      <c r="AF1224" s="8">
        <f>G1224+I1224+K1224+M1224+O1224+Q1224+S1224+U1224+W1224+Y1224+AA1224+AC1224</f>
        <v>0</v>
      </c>
      <c r="AG1224" s="153">
        <f>SUM(AE1224-AF1224)</f>
        <v>0</v>
      </c>
    </row>
    <row r="1225" spans="1:42" customHeight="1" ht="11.5">
      <c r="A1225" s="5"/>
      <c r="B1225" s="173"/>
      <c r="C1225" s="167"/>
      <c r="D1225" s="88"/>
      <c r="E1225" s="174"/>
      <c r="F1225" s="9"/>
      <c r="G1225" s="10"/>
      <c r="H1225" s="9"/>
      <c r="I1225" s="10"/>
      <c r="J1225" s="152"/>
      <c r="K1225" s="10"/>
      <c r="L1225" s="152"/>
      <c r="M1225" s="10"/>
      <c r="N1225" s="152"/>
      <c r="O1225" s="10"/>
      <c r="P1225" s="152"/>
      <c r="Q1225" s="10"/>
      <c r="R1225" s="9"/>
      <c r="S1225" s="10"/>
      <c r="T1225" s="9"/>
      <c r="U1225" s="10"/>
      <c r="V1225" s="9"/>
      <c r="W1225" s="10"/>
      <c r="X1225" s="9"/>
      <c r="Y1225" s="10"/>
      <c r="Z1225" s="9"/>
      <c r="AA1225" s="10"/>
      <c r="AB1225" s="11"/>
      <c r="AC1225" s="10"/>
      <c r="AD1225" s="7">
        <f>SUM(F1225+H1225+J1225+L1225+N1225+P1225+R1225+T1225+V1225+X1225+Z1225+AB1225)</f>
        <v>0</v>
      </c>
      <c r="AE1225" s="7">
        <f>E1225+AD1225</f>
        <v>0</v>
      </c>
      <c r="AF1225" s="8">
        <f>G1225+I1225+K1225+M1225+O1225+Q1225+S1225+U1225+W1225+Y1225+AA1225+AC1225</f>
        <v>0</v>
      </c>
      <c r="AG1225" s="153">
        <f>SUM(AE1225-AF1225)</f>
        <v>0</v>
      </c>
    </row>
    <row r="1226" spans="1:42" customHeight="1" ht="11.5">
      <c r="A1226" s="5"/>
      <c r="B1226" s="173"/>
      <c r="C1226" s="167"/>
      <c r="D1226" s="88"/>
      <c r="E1226" s="174"/>
      <c r="F1226" s="9"/>
      <c r="G1226" s="10"/>
      <c r="H1226" s="9"/>
      <c r="I1226" s="10"/>
      <c r="J1226" s="152"/>
      <c r="K1226" s="10"/>
      <c r="L1226" s="152"/>
      <c r="M1226" s="10"/>
      <c r="N1226" s="152"/>
      <c r="O1226" s="10"/>
      <c r="P1226" s="152"/>
      <c r="Q1226" s="10"/>
      <c r="R1226" s="9"/>
      <c r="S1226" s="10"/>
      <c r="T1226" s="9"/>
      <c r="U1226" s="10"/>
      <c r="V1226" s="9"/>
      <c r="W1226" s="10"/>
      <c r="X1226" s="9"/>
      <c r="Y1226" s="10"/>
      <c r="Z1226" s="9"/>
      <c r="AA1226" s="10"/>
      <c r="AB1226" s="11"/>
      <c r="AC1226" s="10"/>
      <c r="AD1226" s="7">
        <f>SUM(F1226+H1226+J1226+L1226+N1226+P1226+R1226+T1226+V1226+X1226+Z1226+AB1226)</f>
        <v>0</v>
      </c>
      <c r="AE1226" s="7">
        <f>E1226+AD1226</f>
        <v>0</v>
      </c>
      <c r="AF1226" s="8">
        <f>G1226+I1226+K1226+M1226+O1226+Q1226+S1226+U1226+W1226+Y1226+AA1226+AC1226</f>
        <v>0</v>
      </c>
      <c r="AG1226" s="153">
        <f>SUM(AE1226-AF1226)</f>
        <v>0</v>
      </c>
    </row>
    <row r="1227" spans="1:42" customHeight="1" ht="11.5">
      <c r="A1227" s="5"/>
      <c r="B1227" s="173"/>
      <c r="C1227" s="167"/>
      <c r="D1227" s="88"/>
      <c r="E1227" s="174"/>
      <c r="F1227" s="9"/>
      <c r="G1227" s="10"/>
      <c r="H1227" s="9"/>
      <c r="I1227" s="10"/>
      <c r="J1227" s="152"/>
      <c r="K1227" s="10"/>
      <c r="L1227" s="152"/>
      <c r="M1227" s="10"/>
      <c r="N1227" s="152"/>
      <c r="O1227" s="10"/>
      <c r="P1227" s="152"/>
      <c r="Q1227" s="10"/>
      <c r="R1227" s="9"/>
      <c r="S1227" s="10"/>
      <c r="T1227" s="9"/>
      <c r="U1227" s="10"/>
      <c r="V1227" s="9"/>
      <c r="W1227" s="10"/>
      <c r="X1227" s="9"/>
      <c r="Y1227" s="10"/>
      <c r="Z1227" s="9"/>
      <c r="AA1227" s="10"/>
      <c r="AB1227" s="11"/>
      <c r="AC1227" s="10"/>
      <c r="AD1227" s="7">
        <f>SUM(F1227+H1227+J1227+L1227+N1227+P1227+R1227+T1227+V1227+X1227+Z1227+AB1227)</f>
        <v>0</v>
      </c>
      <c r="AE1227" s="7">
        <f>E1227+AD1227</f>
        <v>0</v>
      </c>
      <c r="AF1227" s="8">
        <f>G1227+I1227+K1227+M1227+O1227+Q1227+S1227+U1227+W1227+Y1227+AA1227+AC1227</f>
        <v>0</v>
      </c>
      <c r="AG1227" s="153">
        <f>SUM(AE1227-AF1227)</f>
        <v>0</v>
      </c>
    </row>
    <row r="1228" spans="1:42" customHeight="1" ht="11.5">
      <c r="A1228" s="5"/>
      <c r="B1228" s="173"/>
      <c r="C1228" s="167"/>
      <c r="D1228" s="88"/>
      <c r="E1228" s="174"/>
      <c r="F1228" s="9"/>
      <c r="G1228" s="10"/>
      <c r="H1228" s="9"/>
      <c r="I1228" s="10"/>
      <c r="J1228" s="152"/>
      <c r="K1228" s="10"/>
      <c r="L1228" s="152"/>
      <c r="M1228" s="10"/>
      <c r="N1228" s="152"/>
      <c r="O1228" s="10"/>
      <c r="P1228" s="152"/>
      <c r="Q1228" s="10"/>
      <c r="R1228" s="9"/>
      <c r="S1228" s="10"/>
      <c r="T1228" s="9"/>
      <c r="U1228" s="10"/>
      <c r="V1228" s="9"/>
      <c r="W1228" s="10"/>
      <c r="X1228" s="9"/>
      <c r="Y1228" s="10"/>
      <c r="Z1228" s="9"/>
      <c r="AA1228" s="10"/>
      <c r="AB1228" s="11"/>
      <c r="AC1228" s="10"/>
      <c r="AD1228" s="7">
        <f>SUM(F1228+H1228+J1228+L1228+N1228+P1228+R1228+T1228+V1228+X1228+Z1228+AB1228)</f>
        <v>0</v>
      </c>
      <c r="AE1228" s="7">
        <f>E1228+AD1228</f>
        <v>0</v>
      </c>
      <c r="AF1228" s="8">
        <f>G1228+I1228+K1228+M1228+O1228+Q1228+S1228+U1228+W1228+Y1228+AA1228+AC1228</f>
        <v>0</v>
      </c>
      <c r="AG1228" s="153">
        <f>SUM(AE1228-AF1228)</f>
        <v>0</v>
      </c>
    </row>
    <row r="1229" spans="1:42" customHeight="1" ht="11.5">
      <c r="A1229" s="5"/>
      <c r="B1229" s="173"/>
      <c r="C1229" s="167"/>
      <c r="D1229" s="88"/>
      <c r="E1229" s="174"/>
      <c r="F1229" s="9"/>
      <c r="G1229" s="10"/>
      <c r="H1229" s="9"/>
      <c r="I1229" s="10"/>
      <c r="J1229" s="152"/>
      <c r="K1229" s="10"/>
      <c r="L1229" s="152"/>
      <c r="M1229" s="10"/>
      <c r="N1229" s="152"/>
      <c r="O1229" s="10"/>
      <c r="P1229" s="152"/>
      <c r="Q1229" s="10"/>
      <c r="R1229" s="9"/>
      <c r="S1229" s="10"/>
      <c r="T1229" s="9"/>
      <c r="U1229" s="10"/>
      <c r="V1229" s="9"/>
      <c r="W1229" s="10"/>
      <c r="X1229" s="9"/>
      <c r="Y1229" s="10"/>
      <c r="Z1229" s="9"/>
      <c r="AA1229" s="10"/>
      <c r="AB1229" s="11"/>
      <c r="AC1229" s="10"/>
      <c r="AD1229" s="7">
        <f>SUM(F1229+H1229+J1229+L1229+N1229+P1229+R1229+T1229+V1229+X1229+Z1229+AB1229)</f>
        <v>0</v>
      </c>
      <c r="AE1229" s="7">
        <f>E1229+AD1229</f>
        <v>0</v>
      </c>
      <c r="AF1229" s="8">
        <f>G1229+I1229+K1229+M1229+O1229+Q1229+S1229+U1229+W1229+Y1229+AA1229+AC1229</f>
        <v>0</v>
      </c>
      <c r="AG1229" s="153">
        <f>SUM(AE1229-AF1229)</f>
        <v>0</v>
      </c>
    </row>
    <row r="1230" spans="1:42" customHeight="1" ht="11.5">
      <c r="A1230" s="5"/>
      <c r="B1230" s="173"/>
      <c r="C1230" s="167"/>
      <c r="D1230" s="88"/>
      <c r="E1230" s="174"/>
      <c r="F1230" s="9"/>
      <c r="G1230" s="10"/>
      <c r="H1230" s="9"/>
      <c r="I1230" s="10"/>
      <c r="J1230" s="152"/>
      <c r="K1230" s="10"/>
      <c r="L1230" s="152"/>
      <c r="M1230" s="10"/>
      <c r="N1230" s="152"/>
      <c r="O1230" s="10"/>
      <c r="P1230" s="152"/>
      <c r="Q1230" s="10"/>
      <c r="R1230" s="9"/>
      <c r="S1230" s="10"/>
      <c r="T1230" s="9"/>
      <c r="U1230" s="10"/>
      <c r="V1230" s="9"/>
      <c r="W1230" s="10"/>
      <c r="X1230" s="9"/>
      <c r="Y1230" s="10"/>
      <c r="Z1230" s="9"/>
      <c r="AA1230" s="10"/>
      <c r="AB1230" s="11"/>
      <c r="AC1230" s="10"/>
      <c r="AD1230" s="7">
        <f>SUM(F1230+H1230+J1230+L1230+N1230+P1230+R1230+T1230+V1230+X1230+Z1230+AB1230)</f>
        <v>0</v>
      </c>
      <c r="AE1230" s="7">
        <f>E1230+AD1230</f>
        <v>0</v>
      </c>
      <c r="AF1230" s="8">
        <f>G1230+I1230+K1230+M1230+O1230+Q1230+S1230+U1230+W1230+Y1230+AA1230+AC1230</f>
        <v>0</v>
      </c>
      <c r="AG1230" s="153">
        <f>SUM(AE1230-AF1230)</f>
        <v>0</v>
      </c>
    </row>
    <row r="1231" spans="1:42" customHeight="1" ht="11.5">
      <c r="A1231" s="5"/>
      <c r="B1231" s="173"/>
      <c r="C1231" s="167"/>
      <c r="D1231" s="88"/>
      <c r="E1231" s="174"/>
      <c r="F1231" s="9"/>
      <c r="G1231" s="10"/>
      <c r="H1231" s="9"/>
      <c r="I1231" s="10"/>
      <c r="J1231" s="152"/>
      <c r="K1231" s="10"/>
      <c r="L1231" s="152"/>
      <c r="M1231" s="10"/>
      <c r="N1231" s="152"/>
      <c r="O1231" s="10"/>
      <c r="P1231" s="152"/>
      <c r="Q1231" s="10"/>
      <c r="R1231" s="9"/>
      <c r="S1231" s="10"/>
      <c r="T1231" s="9"/>
      <c r="U1231" s="10"/>
      <c r="V1231" s="9"/>
      <c r="W1231" s="10"/>
      <c r="X1231" s="9"/>
      <c r="Y1231" s="10"/>
      <c r="Z1231" s="9"/>
      <c r="AA1231" s="10"/>
      <c r="AB1231" s="11"/>
      <c r="AC1231" s="10"/>
      <c r="AD1231" s="7">
        <f>SUM(F1231+H1231+J1231+L1231+N1231+P1231+R1231+T1231+V1231+X1231+Z1231+AB1231)</f>
        <v>0</v>
      </c>
      <c r="AE1231" s="7">
        <f>E1231+AD1231</f>
        <v>0</v>
      </c>
      <c r="AF1231" s="8">
        <f>G1231+I1231+K1231+M1231+O1231+Q1231+S1231+U1231+W1231+Y1231+AA1231+AC1231</f>
        <v>0</v>
      </c>
      <c r="AG1231" s="153">
        <f>SUM(AE1231-AF1231)</f>
        <v>0</v>
      </c>
    </row>
    <row r="1232" spans="1:42" customHeight="1" ht="11.5">
      <c r="A1232" s="5"/>
      <c r="B1232" s="173"/>
      <c r="C1232" s="167"/>
      <c r="D1232" s="88"/>
      <c r="E1232" s="174"/>
      <c r="F1232" s="9"/>
      <c r="G1232" s="10"/>
      <c r="H1232" s="9"/>
      <c r="I1232" s="10"/>
      <c r="J1232" s="152"/>
      <c r="K1232" s="10"/>
      <c r="L1232" s="152"/>
      <c r="M1232" s="10"/>
      <c r="N1232" s="152"/>
      <c r="O1232" s="10"/>
      <c r="P1232" s="152"/>
      <c r="Q1232" s="10"/>
      <c r="R1232" s="9"/>
      <c r="S1232" s="10"/>
      <c r="T1232" s="9"/>
      <c r="U1232" s="10"/>
      <c r="V1232" s="9"/>
      <c r="W1232" s="10"/>
      <c r="X1232" s="9"/>
      <c r="Y1232" s="10"/>
      <c r="Z1232" s="9"/>
      <c r="AA1232" s="10"/>
      <c r="AB1232" s="11"/>
      <c r="AC1232" s="10"/>
      <c r="AD1232" s="7">
        <f>SUM(F1232+H1232+J1232+L1232+N1232+P1232+R1232+T1232+V1232+X1232+Z1232+AB1232)</f>
        <v>0</v>
      </c>
      <c r="AE1232" s="7">
        <f>E1232+AD1232</f>
        <v>0</v>
      </c>
      <c r="AF1232" s="8">
        <f>G1232+I1232+K1232+M1232+O1232+Q1232+S1232+U1232+W1232+Y1232+AA1232+AC1232</f>
        <v>0</v>
      </c>
      <c r="AG1232" s="153">
        <f>SUM(AE1232-AF1232)</f>
        <v>0</v>
      </c>
    </row>
    <row r="1233" spans="1:42" customHeight="1" ht="11.5">
      <c r="A1233" s="5"/>
      <c r="B1233" s="173"/>
      <c r="C1233" s="167"/>
      <c r="D1233" s="88"/>
      <c r="E1233" s="174"/>
      <c r="F1233" s="9"/>
      <c r="G1233" s="10"/>
      <c r="H1233" s="9"/>
      <c r="I1233" s="10"/>
      <c r="J1233" s="152"/>
      <c r="K1233" s="10"/>
      <c r="L1233" s="152"/>
      <c r="M1233" s="10"/>
      <c r="N1233" s="152"/>
      <c r="O1233" s="10"/>
      <c r="P1233" s="152"/>
      <c r="Q1233" s="10"/>
      <c r="R1233" s="9"/>
      <c r="S1233" s="10"/>
      <c r="T1233" s="9"/>
      <c r="U1233" s="10"/>
      <c r="V1233" s="9"/>
      <c r="W1233" s="10"/>
      <c r="X1233" s="9"/>
      <c r="Y1233" s="10"/>
      <c r="Z1233" s="9"/>
      <c r="AA1233" s="10"/>
      <c r="AB1233" s="11"/>
      <c r="AC1233" s="10"/>
      <c r="AD1233" s="7">
        <f>SUM(F1233+H1233+J1233+L1233+N1233+P1233+R1233+T1233+V1233+X1233+Z1233+AB1233)</f>
        <v>0</v>
      </c>
      <c r="AE1233" s="7">
        <f>E1233+AD1233</f>
        <v>0</v>
      </c>
      <c r="AF1233" s="8">
        <f>G1233+I1233+K1233+M1233+O1233+Q1233+S1233+U1233+W1233+Y1233+AA1233+AC1233</f>
        <v>0</v>
      </c>
      <c r="AG1233" s="153">
        <f>SUM(AE1233-AF1233)</f>
        <v>0</v>
      </c>
    </row>
    <row r="1234" spans="1:42" customHeight="1" ht="11.5">
      <c r="A1234" s="5"/>
      <c r="B1234" s="173"/>
      <c r="C1234" s="167"/>
      <c r="D1234" s="88"/>
      <c r="E1234" s="174"/>
      <c r="F1234" s="9"/>
      <c r="G1234" s="10"/>
      <c r="H1234" s="9"/>
      <c r="I1234" s="10"/>
      <c r="J1234" s="152"/>
      <c r="K1234" s="10"/>
      <c r="L1234" s="152"/>
      <c r="M1234" s="10"/>
      <c r="N1234" s="152"/>
      <c r="O1234" s="10"/>
      <c r="P1234" s="152"/>
      <c r="Q1234" s="10"/>
      <c r="R1234" s="9"/>
      <c r="S1234" s="10"/>
      <c r="T1234" s="9"/>
      <c r="U1234" s="10"/>
      <c r="V1234" s="9"/>
      <c r="W1234" s="10"/>
      <c r="X1234" s="9"/>
      <c r="Y1234" s="10"/>
      <c r="Z1234" s="9"/>
      <c r="AA1234" s="10"/>
      <c r="AB1234" s="11"/>
      <c r="AC1234" s="10"/>
      <c r="AD1234" s="7">
        <f>SUM(F1234+H1234+J1234+L1234+N1234+P1234+R1234+T1234+V1234+X1234+Z1234+AB1234)</f>
        <v>0</v>
      </c>
      <c r="AE1234" s="7">
        <f>E1234+AD1234</f>
        <v>0</v>
      </c>
      <c r="AF1234" s="8">
        <f>G1234+I1234+K1234+M1234+O1234+Q1234+S1234+U1234+W1234+Y1234+AA1234+AC1234</f>
        <v>0</v>
      </c>
      <c r="AG1234" s="153">
        <f>SUM(AE1234-AF1234)</f>
        <v>0</v>
      </c>
    </row>
    <row r="1235" spans="1:42" customHeight="1" ht="11.5">
      <c r="A1235" s="5"/>
      <c r="B1235" s="173"/>
      <c r="C1235" s="167"/>
      <c r="D1235" s="88"/>
      <c r="E1235" s="174"/>
      <c r="F1235" s="9"/>
      <c r="G1235" s="10"/>
      <c r="H1235" s="9"/>
      <c r="I1235" s="10"/>
      <c r="J1235" s="152"/>
      <c r="K1235" s="10"/>
      <c r="L1235" s="152"/>
      <c r="M1235" s="10"/>
      <c r="N1235" s="152"/>
      <c r="O1235" s="10"/>
      <c r="P1235" s="152"/>
      <c r="Q1235" s="10"/>
      <c r="R1235" s="9"/>
      <c r="S1235" s="10"/>
      <c r="T1235" s="9"/>
      <c r="U1235" s="10"/>
      <c r="V1235" s="9"/>
      <c r="W1235" s="10"/>
      <c r="X1235" s="9"/>
      <c r="Y1235" s="10"/>
      <c r="Z1235" s="9"/>
      <c r="AA1235" s="10"/>
      <c r="AB1235" s="11"/>
      <c r="AC1235" s="10"/>
      <c r="AD1235" s="7">
        <f>SUM(F1235+H1235+J1235+L1235+N1235+P1235+R1235+T1235+V1235+X1235+Z1235+AB1235)</f>
        <v>0</v>
      </c>
      <c r="AE1235" s="7">
        <f>E1235+AD1235</f>
        <v>0</v>
      </c>
      <c r="AF1235" s="8">
        <f>G1235+I1235+K1235+M1235+O1235+Q1235+S1235+U1235+W1235+Y1235+AA1235+AC1235</f>
        <v>0</v>
      </c>
      <c r="AG1235" s="153">
        <f>SUM(AE1235-AF1235)</f>
        <v>0</v>
      </c>
    </row>
    <row r="1236" spans="1:42" customHeight="1" ht="11.5">
      <c r="A1236" s="5"/>
      <c r="B1236" s="173"/>
      <c r="C1236" s="167"/>
      <c r="D1236" s="88"/>
      <c r="E1236" s="174"/>
      <c r="F1236" s="9"/>
      <c r="G1236" s="10"/>
      <c r="H1236" s="9"/>
      <c r="I1236" s="10"/>
      <c r="J1236" s="152"/>
      <c r="K1236" s="10"/>
      <c r="L1236" s="152"/>
      <c r="M1236" s="10"/>
      <c r="N1236" s="152"/>
      <c r="O1236" s="10"/>
      <c r="P1236" s="152"/>
      <c r="Q1236" s="10"/>
      <c r="R1236" s="9"/>
      <c r="S1236" s="10"/>
      <c r="T1236" s="9"/>
      <c r="U1236" s="10"/>
      <c r="V1236" s="9"/>
      <c r="W1236" s="10"/>
      <c r="X1236" s="9"/>
      <c r="Y1236" s="10"/>
      <c r="Z1236" s="9"/>
      <c r="AA1236" s="10"/>
      <c r="AB1236" s="11"/>
      <c r="AC1236" s="10"/>
      <c r="AD1236" s="7">
        <f>SUM(F1236+H1236+J1236+L1236+N1236+P1236+R1236+T1236+V1236+X1236+Z1236+AB1236)</f>
        <v>0</v>
      </c>
      <c r="AE1236" s="7">
        <f>E1236+AD1236</f>
        <v>0</v>
      </c>
      <c r="AF1236" s="8">
        <f>G1236+I1236+K1236+M1236+O1236+Q1236+S1236+U1236+W1236+Y1236+AA1236+AC1236</f>
        <v>0</v>
      </c>
      <c r="AG1236" s="153">
        <f>SUM(AE1236-AF1236)</f>
        <v>0</v>
      </c>
    </row>
    <row r="1237" spans="1:42" customHeight="1" ht="11.5">
      <c r="A1237" s="5"/>
      <c r="B1237" s="173"/>
      <c r="C1237" s="167"/>
      <c r="D1237" s="88"/>
      <c r="E1237" s="174"/>
      <c r="F1237" s="9"/>
      <c r="G1237" s="10"/>
      <c r="H1237" s="9"/>
      <c r="I1237" s="10"/>
      <c r="J1237" s="152"/>
      <c r="K1237" s="10"/>
      <c r="L1237" s="152"/>
      <c r="M1237" s="10"/>
      <c r="N1237" s="152"/>
      <c r="O1237" s="10"/>
      <c r="P1237" s="152"/>
      <c r="Q1237" s="10"/>
      <c r="R1237" s="9"/>
      <c r="S1237" s="10"/>
      <c r="T1237" s="9"/>
      <c r="U1237" s="10"/>
      <c r="V1237" s="9"/>
      <c r="W1237" s="10"/>
      <c r="X1237" s="9"/>
      <c r="Y1237" s="10"/>
      <c r="Z1237" s="9"/>
      <c r="AA1237" s="10"/>
      <c r="AB1237" s="11"/>
      <c r="AC1237" s="10"/>
      <c r="AD1237" s="7">
        <f>SUM(F1237+H1237+J1237+L1237+N1237+P1237+R1237+T1237+V1237+X1237+Z1237+AB1237)</f>
        <v>0</v>
      </c>
      <c r="AE1237" s="7">
        <f>E1237+AD1237</f>
        <v>0</v>
      </c>
      <c r="AF1237" s="8">
        <f>G1237+I1237+K1237+M1237+O1237+Q1237+S1237+U1237+W1237+Y1237+AA1237+AC1237</f>
        <v>0</v>
      </c>
      <c r="AG1237" s="153">
        <f>SUM(AE1237-AF1237)</f>
        <v>0</v>
      </c>
    </row>
    <row r="1238" spans="1:42" customHeight="1" ht="11.5">
      <c r="A1238" s="5"/>
      <c r="B1238" s="173"/>
      <c r="C1238" s="167"/>
      <c r="D1238" s="88"/>
      <c r="E1238" s="174"/>
      <c r="F1238" s="9"/>
      <c r="G1238" s="10"/>
      <c r="H1238" s="9"/>
      <c r="I1238" s="10"/>
      <c r="J1238" s="152"/>
      <c r="K1238" s="10"/>
      <c r="L1238" s="152"/>
      <c r="M1238" s="10"/>
      <c r="N1238" s="152"/>
      <c r="O1238" s="10"/>
      <c r="P1238" s="152"/>
      <c r="Q1238" s="10"/>
      <c r="R1238" s="9"/>
      <c r="S1238" s="10"/>
      <c r="T1238" s="9"/>
      <c r="U1238" s="10"/>
      <c r="V1238" s="9"/>
      <c r="W1238" s="10"/>
      <c r="X1238" s="9"/>
      <c r="Y1238" s="10"/>
      <c r="Z1238" s="9"/>
      <c r="AA1238" s="10"/>
      <c r="AB1238" s="11"/>
      <c r="AC1238" s="10"/>
      <c r="AD1238" s="7">
        <f>SUM(F1238+H1238+J1238+L1238+N1238+P1238+R1238+T1238+V1238+X1238+Z1238+AB1238)</f>
        <v>0</v>
      </c>
      <c r="AE1238" s="7">
        <f>E1238+AD1238</f>
        <v>0</v>
      </c>
      <c r="AF1238" s="8">
        <f>G1238+I1238+K1238+M1238+O1238+Q1238+S1238+U1238+W1238+Y1238+AA1238+AC1238</f>
        <v>0</v>
      </c>
      <c r="AG1238" s="153">
        <f>SUM(AE1238-AF1238)</f>
        <v>0</v>
      </c>
    </row>
    <row r="1239" spans="1:42" customHeight="1" ht="11.5">
      <c r="A1239" s="5"/>
      <c r="B1239" s="173"/>
      <c r="C1239" s="167"/>
      <c r="D1239" s="88"/>
      <c r="E1239" s="174"/>
      <c r="F1239" s="9"/>
      <c r="G1239" s="10"/>
      <c r="H1239" s="9"/>
      <c r="I1239" s="10"/>
      <c r="J1239" s="152"/>
      <c r="K1239" s="10"/>
      <c r="L1239" s="152"/>
      <c r="M1239" s="10"/>
      <c r="N1239" s="152"/>
      <c r="O1239" s="10"/>
      <c r="P1239" s="152"/>
      <c r="Q1239" s="10"/>
      <c r="R1239" s="9"/>
      <c r="S1239" s="10"/>
      <c r="T1239" s="9"/>
      <c r="U1239" s="10"/>
      <c r="V1239" s="9"/>
      <c r="W1239" s="10"/>
      <c r="X1239" s="9"/>
      <c r="Y1239" s="10"/>
      <c r="Z1239" s="9"/>
      <c r="AA1239" s="10"/>
      <c r="AB1239" s="11"/>
      <c r="AC1239" s="10"/>
      <c r="AD1239" s="7">
        <f>SUM(F1239+H1239+J1239+L1239+N1239+P1239+R1239+T1239+V1239+X1239+Z1239+AB1239)</f>
        <v>0</v>
      </c>
      <c r="AE1239" s="7">
        <f>E1239+AD1239</f>
        <v>0</v>
      </c>
      <c r="AF1239" s="8">
        <f>G1239+I1239+K1239+M1239+O1239+Q1239+S1239+U1239+W1239+Y1239+AA1239+AC1239</f>
        <v>0</v>
      </c>
      <c r="AG1239" s="153">
        <f>SUM(AE1239-AF1239)</f>
        <v>0</v>
      </c>
    </row>
    <row r="1240" spans="1:42" customHeight="1" ht="11.5">
      <c r="A1240" s="5"/>
      <c r="B1240" s="173"/>
      <c r="C1240" s="167"/>
      <c r="D1240" s="88"/>
      <c r="E1240" s="174"/>
      <c r="F1240" s="9"/>
      <c r="G1240" s="10"/>
      <c r="H1240" s="9"/>
      <c r="I1240" s="10"/>
      <c r="J1240" s="152"/>
      <c r="K1240" s="10"/>
      <c r="L1240" s="152"/>
      <c r="M1240" s="10"/>
      <c r="N1240" s="152"/>
      <c r="O1240" s="10"/>
      <c r="P1240" s="152"/>
      <c r="Q1240" s="10"/>
      <c r="R1240" s="9"/>
      <c r="S1240" s="10"/>
      <c r="T1240" s="9"/>
      <c r="U1240" s="10"/>
      <c r="V1240" s="9"/>
      <c r="W1240" s="10"/>
      <c r="X1240" s="9"/>
      <c r="Y1240" s="10"/>
      <c r="Z1240" s="9"/>
      <c r="AA1240" s="10"/>
      <c r="AB1240" s="11"/>
      <c r="AC1240" s="10"/>
      <c r="AD1240" s="7">
        <f>SUM(F1240+H1240+J1240+L1240+N1240+P1240+R1240+T1240+V1240+X1240+Z1240+AB1240)</f>
        <v>0</v>
      </c>
      <c r="AE1240" s="7">
        <f>E1240+AD1240</f>
        <v>0</v>
      </c>
      <c r="AF1240" s="8">
        <f>G1240+I1240+K1240+M1240+O1240+Q1240+S1240+U1240+W1240+Y1240+AA1240+AC1240</f>
        <v>0</v>
      </c>
      <c r="AG1240" s="153">
        <f>SUM(AE1240-AF1240)</f>
        <v>0</v>
      </c>
    </row>
    <row r="1241" spans="1:42" customHeight="1" ht="11.5">
      <c r="A1241" s="5"/>
      <c r="B1241" s="173"/>
      <c r="C1241" s="167"/>
      <c r="D1241" s="88"/>
      <c r="E1241" s="174"/>
      <c r="F1241" s="9"/>
      <c r="G1241" s="10"/>
      <c r="H1241" s="9"/>
      <c r="I1241" s="10"/>
      <c r="J1241" s="152"/>
      <c r="K1241" s="10"/>
      <c r="L1241" s="152"/>
      <c r="M1241" s="10"/>
      <c r="N1241" s="152"/>
      <c r="O1241" s="10"/>
      <c r="P1241" s="152"/>
      <c r="Q1241" s="10"/>
      <c r="R1241" s="9"/>
      <c r="S1241" s="10"/>
      <c r="T1241" s="9"/>
      <c r="U1241" s="10"/>
      <c r="V1241" s="9"/>
      <c r="W1241" s="10"/>
      <c r="X1241" s="9"/>
      <c r="Y1241" s="10"/>
      <c r="Z1241" s="9"/>
      <c r="AA1241" s="10"/>
      <c r="AB1241" s="11"/>
      <c r="AC1241" s="10"/>
      <c r="AD1241" s="7">
        <f>SUM(F1241+H1241+J1241+L1241+N1241+P1241+R1241+T1241+V1241+X1241+Z1241+AB1241)</f>
        <v>0</v>
      </c>
      <c r="AE1241" s="7">
        <f>E1241+AD1241</f>
        <v>0</v>
      </c>
      <c r="AF1241" s="8">
        <f>G1241+I1241+K1241+M1241+O1241+Q1241+S1241+U1241+W1241+Y1241+AA1241+AC1241</f>
        <v>0</v>
      </c>
      <c r="AG1241" s="153">
        <f>SUM(AE1241-AF1241)</f>
        <v>0</v>
      </c>
    </row>
    <row r="1242" spans="1:42" customHeight="1" ht="11.5">
      <c r="A1242" s="5"/>
      <c r="B1242" s="173"/>
      <c r="C1242" s="167"/>
      <c r="D1242" s="88"/>
      <c r="E1242" s="174"/>
      <c r="F1242" s="9"/>
      <c r="G1242" s="10"/>
      <c r="H1242" s="9"/>
      <c r="I1242" s="10"/>
      <c r="J1242" s="152"/>
      <c r="K1242" s="10"/>
      <c r="L1242" s="152"/>
      <c r="M1242" s="10"/>
      <c r="N1242" s="152"/>
      <c r="O1242" s="10"/>
      <c r="P1242" s="152"/>
      <c r="Q1242" s="10"/>
      <c r="R1242" s="9"/>
      <c r="S1242" s="10"/>
      <c r="T1242" s="9"/>
      <c r="U1242" s="10"/>
      <c r="V1242" s="9"/>
      <c r="W1242" s="10"/>
      <c r="X1242" s="9"/>
      <c r="Y1242" s="10"/>
      <c r="Z1242" s="9"/>
      <c r="AA1242" s="10"/>
      <c r="AB1242" s="11"/>
      <c r="AC1242" s="10"/>
      <c r="AD1242" s="7">
        <f>SUM(F1242+H1242+J1242+L1242+N1242+P1242+R1242+T1242+V1242+X1242+Z1242+AB1242)</f>
        <v>0</v>
      </c>
      <c r="AE1242" s="7">
        <f>E1242+AD1242</f>
        <v>0</v>
      </c>
      <c r="AF1242" s="8">
        <f>G1242+I1242+K1242+M1242+O1242+Q1242+S1242+U1242+W1242+Y1242+AA1242+AC1242</f>
        <v>0</v>
      </c>
      <c r="AG1242" s="153">
        <f>SUM(AE1242-AF1242)</f>
        <v>0</v>
      </c>
    </row>
    <row r="1243" spans="1:42" customHeight="1" ht="11.5">
      <c r="A1243" s="5"/>
      <c r="B1243" s="173"/>
      <c r="C1243" s="167"/>
      <c r="D1243" s="88"/>
      <c r="E1243" s="174"/>
      <c r="F1243" s="9"/>
      <c r="G1243" s="10"/>
      <c r="H1243" s="9"/>
      <c r="I1243" s="10"/>
      <c r="J1243" s="152"/>
      <c r="K1243" s="10"/>
      <c r="L1243" s="152"/>
      <c r="M1243" s="10"/>
      <c r="N1243" s="152"/>
      <c r="O1243" s="10"/>
      <c r="P1243" s="152"/>
      <c r="Q1243" s="10"/>
      <c r="R1243" s="9"/>
      <c r="S1243" s="10"/>
      <c r="T1243" s="9"/>
      <c r="U1243" s="10"/>
      <c r="V1243" s="9"/>
      <c r="W1243" s="10"/>
      <c r="X1243" s="9"/>
      <c r="Y1243" s="10"/>
      <c r="Z1243" s="9"/>
      <c r="AA1243" s="10"/>
      <c r="AB1243" s="11"/>
      <c r="AC1243" s="10"/>
      <c r="AD1243" s="7">
        <f>SUM(F1243+H1243+J1243+L1243+N1243+P1243+R1243+T1243+V1243+X1243+Z1243+AB1243)</f>
        <v>0</v>
      </c>
      <c r="AE1243" s="7">
        <f>E1243+AD1243</f>
        <v>0</v>
      </c>
      <c r="AF1243" s="8">
        <f>G1243+I1243+K1243+M1243+O1243+Q1243+S1243+U1243+W1243+Y1243+AA1243+AC1243</f>
        <v>0</v>
      </c>
      <c r="AG1243" s="153">
        <f>SUM(AE1243-AF1243)</f>
        <v>0</v>
      </c>
    </row>
    <row r="1244" spans="1:42" customHeight="1" ht="11.5">
      <c r="A1244" s="5"/>
      <c r="B1244" s="173"/>
      <c r="C1244" s="167"/>
      <c r="D1244" s="88"/>
      <c r="E1244" s="174"/>
      <c r="F1244" s="9"/>
      <c r="G1244" s="10"/>
      <c r="H1244" s="9"/>
      <c r="I1244" s="10"/>
      <c r="J1244" s="152"/>
      <c r="K1244" s="10"/>
      <c r="L1244" s="152"/>
      <c r="M1244" s="10"/>
      <c r="N1244" s="152"/>
      <c r="O1244" s="10"/>
      <c r="P1244" s="152"/>
      <c r="Q1244" s="10"/>
      <c r="R1244" s="9"/>
      <c r="S1244" s="10"/>
      <c r="T1244" s="9"/>
      <c r="U1244" s="10"/>
      <c r="V1244" s="9"/>
      <c r="W1244" s="10"/>
      <c r="X1244" s="9"/>
      <c r="Y1244" s="10"/>
      <c r="Z1244" s="9"/>
      <c r="AA1244" s="10"/>
      <c r="AB1244" s="11"/>
      <c r="AC1244" s="10"/>
      <c r="AD1244" s="7">
        <f>SUM(F1244+H1244+J1244+L1244+N1244+P1244+R1244+T1244+V1244+X1244+Z1244+AB1244)</f>
        <v>0</v>
      </c>
      <c r="AE1244" s="7">
        <f>E1244+AD1244</f>
        <v>0</v>
      </c>
      <c r="AF1244" s="8">
        <f>G1244+I1244+K1244+M1244+O1244+Q1244+S1244+U1244+W1244+Y1244+AA1244+AC1244</f>
        <v>0</v>
      </c>
      <c r="AG1244" s="153">
        <f>SUM(AE1244-AF1244)</f>
        <v>0</v>
      </c>
    </row>
    <row r="1245" spans="1:42" customHeight="1" ht="11.5">
      <c r="A1245" s="5"/>
      <c r="B1245" s="173"/>
      <c r="C1245" s="167"/>
      <c r="D1245" s="88"/>
      <c r="E1245" s="174"/>
      <c r="F1245" s="9"/>
      <c r="G1245" s="10"/>
      <c r="H1245" s="9"/>
      <c r="I1245" s="10"/>
      <c r="J1245" s="152"/>
      <c r="K1245" s="10"/>
      <c r="L1245" s="152"/>
      <c r="M1245" s="10"/>
      <c r="N1245" s="152"/>
      <c r="O1245" s="10"/>
      <c r="P1245" s="152"/>
      <c r="Q1245" s="10"/>
      <c r="R1245" s="9"/>
      <c r="S1245" s="10"/>
      <c r="T1245" s="9"/>
      <c r="U1245" s="10"/>
      <c r="V1245" s="9"/>
      <c r="W1245" s="10"/>
      <c r="X1245" s="9"/>
      <c r="Y1245" s="10"/>
      <c r="Z1245" s="9"/>
      <c r="AA1245" s="10"/>
      <c r="AB1245" s="11"/>
      <c r="AC1245" s="10"/>
      <c r="AD1245" s="7">
        <f>SUM(F1245+H1245+J1245+L1245+N1245+P1245+R1245+T1245+V1245+X1245+Z1245+AB1245)</f>
        <v>0</v>
      </c>
      <c r="AE1245" s="7">
        <f>E1245+AD1245</f>
        <v>0</v>
      </c>
      <c r="AF1245" s="8">
        <f>G1245+I1245+K1245+M1245+O1245+Q1245+S1245+U1245+W1245+Y1245+AA1245+AC1245</f>
        <v>0</v>
      </c>
      <c r="AG1245" s="153">
        <f>SUM(AE1245-AF1245)</f>
        <v>0</v>
      </c>
    </row>
    <row r="1246" spans="1:42" customHeight="1" ht="11.5">
      <c r="A1246" s="5"/>
      <c r="B1246" s="173"/>
      <c r="C1246" s="167"/>
      <c r="D1246" s="88"/>
      <c r="E1246" s="174"/>
      <c r="F1246" s="9"/>
      <c r="G1246" s="10"/>
      <c r="H1246" s="9"/>
      <c r="I1246" s="10"/>
      <c r="J1246" s="152"/>
      <c r="K1246" s="10"/>
      <c r="L1246" s="152"/>
      <c r="M1246" s="10"/>
      <c r="N1246" s="152"/>
      <c r="O1246" s="10"/>
      <c r="P1246" s="152"/>
      <c r="Q1246" s="10"/>
      <c r="R1246" s="9"/>
      <c r="S1246" s="10"/>
      <c r="T1246" s="9"/>
      <c r="U1246" s="10"/>
      <c r="V1246" s="9"/>
      <c r="W1246" s="10"/>
      <c r="X1246" s="9"/>
      <c r="Y1246" s="10"/>
      <c r="Z1246" s="9"/>
      <c r="AA1246" s="10"/>
      <c r="AB1246" s="11"/>
      <c r="AC1246" s="10"/>
      <c r="AD1246" s="7">
        <f>SUM(F1246+H1246+J1246+L1246+N1246+P1246+R1246+T1246+V1246+X1246+Z1246+AB1246)</f>
        <v>0</v>
      </c>
      <c r="AE1246" s="7">
        <f>E1246+AD1246</f>
        <v>0</v>
      </c>
      <c r="AF1246" s="8">
        <f>G1246+I1246+K1246+M1246+O1246+Q1246+S1246+U1246+W1246+Y1246+AA1246+AC1246</f>
        <v>0</v>
      </c>
      <c r="AG1246" s="153">
        <f>SUM(AE1246-AF1246)</f>
        <v>0</v>
      </c>
    </row>
    <row r="1247" spans="1:42" customHeight="1" ht="11.5">
      <c r="A1247" s="5"/>
      <c r="B1247" s="173"/>
      <c r="C1247" s="167"/>
      <c r="D1247" s="88"/>
      <c r="E1247" s="174"/>
      <c r="F1247" s="9"/>
      <c r="G1247" s="10"/>
      <c r="H1247" s="9"/>
      <c r="I1247" s="10"/>
      <c r="J1247" s="152"/>
      <c r="K1247" s="10"/>
      <c r="L1247" s="152"/>
      <c r="M1247" s="10"/>
      <c r="N1247" s="152"/>
      <c r="O1247" s="10"/>
      <c r="P1247" s="152"/>
      <c r="Q1247" s="10"/>
      <c r="R1247" s="9"/>
      <c r="S1247" s="10"/>
      <c r="T1247" s="9"/>
      <c r="U1247" s="10"/>
      <c r="V1247" s="9"/>
      <c r="W1247" s="10"/>
      <c r="X1247" s="9"/>
      <c r="Y1247" s="10"/>
      <c r="Z1247" s="9"/>
      <c r="AA1247" s="10"/>
      <c r="AB1247" s="11"/>
      <c r="AC1247" s="10"/>
      <c r="AD1247" s="7">
        <f>SUM(F1247+H1247+J1247+L1247+N1247+P1247+R1247+T1247+V1247+X1247+Z1247+AB1247)</f>
        <v>0</v>
      </c>
      <c r="AE1247" s="7">
        <f>E1247+AD1247</f>
        <v>0</v>
      </c>
      <c r="AF1247" s="8">
        <f>G1247+I1247+K1247+M1247+O1247+Q1247+S1247+U1247+W1247+Y1247+AA1247+AC1247</f>
        <v>0</v>
      </c>
      <c r="AG1247" s="153">
        <f>SUM(AE1247-AF1247)</f>
        <v>0</v>
      </c>
    </row>
    <row r="1248" spans="1:42" customHeight="1" ht="11.5">
      <c r="A1248" s="5"/>
      <c r="B1248" s="173"/>
      <c r="C1248" s="167"/>
      <c r="D1248" s="88"/>
      <c r="E1248" s="174"/>
      <c r="F1248" s="9"/>
      <c r="G1248" s="10"/>
      <c r="H1248" s="9"/>
      <c r="I1248" s="10"/>
      <c r="J1248" s="152"/>
      <c r="K1248" s="10"/>
      <c r="L1248" s="152"/>
      <c r="M1248" s="10"/>
      <c r="N1248" s="152"/>
      <c r="O1248" s="10"/>
      <c r="P1248" s="152"/>
      <c r="Q1248" s="10"/>
      <c r="R1248" s="9"/>
      <c r="S1248" s="10"/>
      <c r="T1248" s="9"/>
      <c r="U1248" s="10"/>
      <c r="V1248" s="9"/>
      <c r="W1248" s="10"/>
      <c r="X1248" s="9"/>
      <c r="Y1248" s="10"/>
      <c r="Z1248" s="9"/>
      <c r="AA1248" s="10"/>
      <c r="AB1248" s="11"/>
      <c r="AC1248" s="10"/>
      <c r="AD1248" s="7">
        <f>SUM(F1248+H1248+J1248+L1248+N1248+P1248+R1248+T1248+V1248+X1248+Z1248+AB1248)</f>
        <v>0</v>
      </c>
      <c r="AE1248" s="7">
        <f>E1248+AD1248</f>
        <v>0</v>
      </c>
      <c r="AF1248" s="8">
        <f>G1248+I1248+K1248+M1248+O1248+Q1248+S1248+U1248+W1248+Y1248+AA1248+AC1248</f>
        <v>0</v>
      </c>
      <c r="AG1248" s="153">
        <f>SUM(AE1248-AF1248)</f>
        <v>0</v>
      </c>
    </row>
    <row r="1249" spans="1:42" customHeight="1" ht="11.5">
      <c r="A1249" s="5"/>
      <c r="B1249" s="173"/>
      <c r="C1249" s="167"/>
      <c r="D1249" s="88"/>
      <c r="E1249" s="174"/>
      <c r="F1249" s="9"/>
      <c r="G1249" s="10"/>
      <c r="H1249" s="9"/>
      <c r="I1249" s="10"/>
      <c r="J1249" s="152"/>
      <c r="K1249" s="10"/>
      <c r="L1249" s="152"/>
      <c r="M1249" s="10"/>
      <c r="N1249" s="152"/>
      <c r="O1249" s="10"/>
      <c r="P1249" s="152"/>
      <c r="Q1249" s="10"/>
      <c r="R1249" s="9"/>
      <c r="S1249" s="10"/>
      <c r="T1249" s="9"/>
      <c r="U1249" s="10"/>
      <c r="V1249" s="9"/>
      <c r="W1249" s="10"/>
      <c r="X1249" s="9"/>
      <c r="Y1249" s="10"/>
      <c r="Z1249" s="9"/>
      <c r="AA1249" s="10"/>
      <c r="AB1249" s="11"/>
      <c r="AC1249" s="10"/>
      <c r="AD1249" s="7">
        <f>SUM(F1249+H1249+J1249+L1249+N1249+P1249+R1249+T1249+V1249+X1249+Z1249+AB1249)</f>
        <v>0</v>
      </c>
      <c r="AE1249" s="7">
        <f>E1249+AD1249</f>
        <v>0</v>
      </c>
      <c r="AF1249" s="8">
        <f>G1249+I1249+K1249+M1249+O1249+Q1249+S1249+U1249+W1249+Y1249+AA1249+AC1249</f>
        <v>0</v>
      </c>
      <c r="AG1249" s="153">
        <f>SUM(AE1249-AF1249)</f>
        <v>0</v>
      </c>
    </row>
    <row r="1250" spans="1:42" customHeight="1" ht="11.5">
      <c r="A1250" s="5"/>
      <c r="B1250" s="173"/>
      <c r="C1250" s="167"/>
      <c r="D1250" s="88"/>
      <c r="E1250" s="174"/>
      <c r="F1250" s="9"/>
      <c r="G1250" s="10"/>
      <c r="H1250" s="9"/>
      <c r="I1250" s="10"/>
      <c r="J1250" s="152"/>
      <c r="K1250" s="10"/>
      <c r="L1250" s="152"/>
      <c r="M1250" s="10"/>
      <c r="N1250" s="152"/>
      <c r="O1250" s="10"/>
      <c r="P1250" s="152"/>
      <c r="Q1250" s="10"/>
      <c r="R1250" s="9"/>
      <c r="S1250" s="10"/>
      <c r="T1250" s="9"/>
      <c r="U1250" s="10"/>
      <c r="V1250" s="9"/>
      <c r="W1250" s="10"/>
      <c r="X1250" s="9"/>
      <c r="Y1250" s="10"/>
      <c r="Z1250" s="9"/>
      <c r="AA1250" s="10"/>
      <c r="AB1250" s="11"/>
      <c r="AC1250" s="10"/>
      <c r="AD1250" s="7">
        <f>SUM(F1250+H1250+J1250+L1250+N1250+P1250+R1250+T1250+V1250+X1250+Z1250+AB1250)</f>
        <v>0</v>
      </c>
      <c r="AE1250" s="7">
        <f>E1250+AD1250</f>
        <v>0</v>
      </c>
      <c r="AF1250" s="8">
        <f>G1250+I1250+K1250+M1250+O1250+Q1250+S1250+U1250+W1250+Y1250+AA1250+AC1250</f>
        <v>0</v>
      </c>
      <c r="AG1250" s="153">
        <f>SUM(AE1250-AF1250)</f>
        <v>0</v>
      </c>
    </row>
    <row r="1251" spans="1:42" customHeight="1" ht="11.5">
      <c r="A1251" s="5"/>
      <c r="B1251" s="173"/>
      <c r="C1251" s="167"/>
      <c r="D1251" s="88"/>
      <c r="E1251" s="174"/>
      <c r="F1251" s="9"/>
      <c r="G1251" s="10"/>
      <c r="H1251" s="9"/>
      <c r="I1251" s="10"/>
      <c r="J1251" s="152"/>
      <c r="K1251" s="10"/>
      <c r="L1251" s="152"/>
      <c r="M1251" s="10"/>
      <c r="N1251" s="152"/>
      <c r="O1251" s="10"/>
      <c r="P1251" s="152"/>
      <c r="Q1251" s="10"/>
      <c r="R1251" s="9"/>
      <c r="S1251" s="10"/>
      <c r="T1251" s="9"/>
      <c r="U1251" s="10"/>
      <c r="V1251" s="9"/>
      <c r="W1251" s="10"/>
      <c r="X1251" s="9"/>
      <c r="Y1251" s="10"/>
      <c r="Z1251" s="9"/>
      <c r="AA1251" s="10"/>
      <c r="AB1251" s="11"/>
      <c r="AC1251" s="10"/>
      <c r="AD1251" s="7">
        <f>SUM(F1251+H1251+J1251+L1251+N1251+P1251+R1251+T1251+V1251+X1251+Z1251+AB1251)</f>
        <v>0</v>
      </c>
      <c r="AE1251" s="7">
        <f>E1251+AD1251</f>
        <v>0</v>
      </c>
      <c r="AF1251" s="8">
        <f>G1251+I1251+K1251+M1251+O1251+Q1251+S1251+U1251+W1251+Y1251+AA1251+AC1251</f>
        <v>0</v>
      </c>
      <c r="AG1251" s="153">
        <f>SUM(AE1251-AF1251)</f>
        <v>0</v>
      </c>
    </row>
    <row r="1252" spans="1:42" customHeight="1" ht="11.5">
      <c r="A1252" s="5"/>
      <c r="B1252" s="173"/>
      <c r="C1252" s="167"/>
      <c r="D1252" s="88"/>
      <c r="E1252" s="174"/>
      <c r="F1252" s="9"/>
      <c r="G1252" s="10"/>
      <c r="H1252" s="9"/>
      <c r="I1252" s="10"/>
      <c r="J1252" s="152"/>
      <c r="K1252" s="10"/>
      <c r="L1252" s="152"/>
      <c r="M1252" s="10"/>
      <c r="N1252" s="152"/>
      <c r="O1252" s="10"/>
      <c r="P1252" s="152"/>
      <c r="Q1252" s="10"/>
      <c r="R1252" s="9"/>
      <c r="S1252" s="10"/>
      <c r="T1252" s="9"/>
      <c r="U1252" s="10"/>
      <c r="V1252" s="9"/>
      <c r="W1252" s="10"/>
      <c r="X1252" s="9"/>
      <c r="Y1252" s="10"/>
      <c r="Z1252" s="9"/>
      <c r="AA1252" s="10"/>
      <c r="AB1252" s="11"/>
      <c r="AC1252" s="10"/>
      <c r="AD1252" s="7">
        <f>SUM(F1252+H1252+J1252+L1252+N1252+P1252+R1252+T1252+V1252+X1252+Z1252+AB1252)</f>
        <v>0</v>
      </c>
      <c r="AE1252" s="7">
        <f>E1252+AD1252</f>
        <v>0</v>
      </c>
      <c r="AF1252" s="8">
        <f>G1252+I1252+K1252+M1252+O1252+Q1252+S1252+U1252+W1252+Y1252+AA1252+AC1252</f>
        <v>0</v>
      </c>
      <c r="AG1252" s="153">
        <f>SUM(AE1252-AF1252)</f>
        <v>0</v>
      </c>
    </row>
    <row r="1253" spans="1:42" customHeight="1" ht="11.5">
      <c r="A1253" s="5"/>
      <c r="B1253" s="173"/>
      <c r="C1253" s="167"/>
      <c r="D1253" s="88"/>
      <c r="E1253" s="174"/>
      <c r="F1253" s="9"/>
      <c r="G1253" s="10"/>
      <c r="H1253" s="9"/>
      <c r="I1253" s="10"/>
      <c r="J1253" s="152"/>
      <c r="K1253" s="10"/>
      <c r="L1253" s="152"/>
      <c r="M1253" s="10"/>
      <c r="N1253" s="152"/>
      <c r="O1253" s="10"/>
      <c r="P1253" s="152"/>
      <c r="Q1253" s="10"/>
      <c r="R1253" s="9"/>
      <c r="S1253" s="10"/>
      <c r="T1253" s="9"/>
      <c r="U1253" s="10"/>
      <c r="V1253" s="9"/>
      <c r="W1253" s="10"/>
      <c r="X1253" s="9"/>
      <c r="Y1253" s="10"/>
      <c r="Z1253" s="9"/>
      <c r="AA1253" s="10"/>
      <c r="AB1253" s="11"/>
      <c r="AC1253" s="10"/>
      <c r="AD1253" s="7">
        <f>SUM(F1253+H1253+J1253+L1253+N1253+P1253+R1253+T1253+V1253+X1253+Z1253+AB1253)</f>
        <v>0</v>
      </c>
      <c r="AE1253" s="7">
        <f>E1253+AD1253</f>
        <v>0</v>
      </c>
      <c r="AF1253" s="8">
        <f>G1253+I1253+K1253+M1253+O1253+Q1253+S1253+U1253+W1253+Y1253+AA1253+AC1253</f>
        <v>0</v>
      </c>
      <c r="AG1253" s="153">
        <f>SUM(AE1253-AF1253)</f>
        <v>0</v>
      </c>
    </row>
    <row r="1254" spans="1:42" customHeight="1" ht="11.5">
      <c r="A1254" s="5"/>
      <c r="B1254" s="173"/>
      <c r="C1254" s="167"/>
      <c r="D1254" s="88"/>
      <c r="E1254" s="174"/>
      <c r="F1254" s="9"/>
      <c r="G1254" s="10"/>
      <c r="H1254" s="9"/>
      <c r="I1254" s="10"/>
      <c r="J1254" s="152"/>
      <c r="K1254" s="10"/>
      <c r="L1254" s="152"/>
      <c r="M1254" s="10"/>
      <c r="N1254" s="152"/>
      <c r="O1254" s="10"/>
      <c r="P1254" s="152"/>
      <c r="Q1254" s="10"/>
      <c r="R1254" s="9"/>
      <c r="S1254" s="10"/>
      <c r="T1254" s="9"/>
      <c r="U1254" s="10"/>
      <c r="V1254" s="9"/>
      <c r="W1254" s="10"/>
      <c r="X1254" s="9"/>
      <c r="Y1254" s="10"/>
      <c r="Z1254" s="9"/>
      <c r="AA1254" s="10"/>
      <c r="AB1254" s="11"/>
      <c r="AC1254" s="10"/>
      <c r="AD1254" s="7">
        <f>SUM(F1254+H1254+J1254+L1254+N1254+P1254+R1254+T1254+V1254+X1254+Z1254+AB1254)</f>
        <v>0</v>
      </c>
      <c r="AE1254" s="7">
        <f>E1254+AD1254</f>
        <v>0</v>
      </c>
      <c r="AF1254" s="8">
        <f>G1254+I1254+K1254+M1254+O1254+Q1254+S1254+U1254+W1254+Y1254+AA1254+AC1254</f>
        <v>0</v>
      </c>
      <c r="AG1254" s="153">
        <f>SUM(AE1254-AF1254)</f>
        <v>0</v>
      </c>
    </row>
    <row r="1255" spans="1:42" customHeight="1" ht="11.5">
      <c r="A1255" s="5"/>
      <c r="B1255" s="173"/>
      <c r="C1255" s="167"/>
      <c r="D1255" s="88"/>
      <c r="E1255" s="174"/>
      <c r="F1255" s="9"/>
      <c r="G1255" s="10"/>
      <c r="H1255" s="9"/>
      <c r="I1255" s="10"/>
      <c r="J1255" s="152"/>
      <c r="K1255" s="10"/>
      <c r="L1255" s="152"/>
      <c r="M1255" s="10"/>
      <c r="N1255" s="152"/>
      <c r="O1255" s="10"/>
      <c r="P1255" s="152"/>
      <c r="Q1255" s="10"/>
      <c r="R1255" s="9"/>
      <c r="S1255" s="10"/>
      <c r="T1255" s="9"/>
      <c r="U1255" s="10"/>
      <c r="V1255" s="9"/>
      <c r="W1255" s="10"/>
      <c r="X1255" s="9"/>
      <c r="Y1255" s="10"/>
      <c r="Z1255" s="9"/>
      <c r="AA1255" s="10"/>
      <c r="AB1255" s="11"/>
      <c r="AC1255" s="10"/>
      <c r="AD1255" s="7">
        <f>SUM(F1255+H1255+J1255+L1255+N1255+P1255+R1255+T1255+V1255+X1255+Z1255+AB1255)</f>
        <v>0</v>
      </c>
      <c r="AE1255" s="7">
        <f>E1255+AD1255</f>
        <v>0</v>
      </c>
      <c r="AF1255" s="8">
        <f>G1255+I1255+K1255+M1255+O1255+Q1255+S1255+U1255+W1255+Y1255+AA1255+AC1255</f>
        <v>0</v>
      </c>
      <c r="AG1255" s="153">
        <f>SUM(AE1255-AF1255)</f>
        <v>0</v>
      </c>
    </row>
    <row r="1256" spans="1:42" customHeight="1" ht="11.5">
      <c r="A1256" s="5"/>
      <c r="B1256" s="173"/>
      <c r="C1256" s="167"/>
      <c r="D1256" s="88"/>
      <c r="E1256" s="174"/>
      <c r="F1256" s="9"/>
      <c r="G1256" s="10"/>
      <c r="H1256" s="9"/>
      <c r="I1256" s="10"/>
      <c r="J1256" s="152"/>
      <c r="K1256" s="10"/>
      <c r="L1256" s="152"/>
      <c r="M1256" s="10"/>
      <c r="N1256" s="152"/>
      <c r="O1256" s="10"/>
      <c r="P1256" s="152"/>
      <c r="Q1256" s="10"/>
      <c r="R1256" s="9"/>
      <c r="S1256" s="10"/>
      <c r="T1256" s="9"/>
      <c r="U1256" s="10"/>
      <c r="V1256" s="9"/>
      <c r="W1256" s="10"/>
      <c r="X1256" s="9"/>
      <c r="Y1256" s="10"/>
      <c r="Z1256" s="9"/>
      <c r="AA1256" s="10"/>
      <c r="AB1256" s="11"/>
      <c r="AC1256" s="10"/>
      <c r="AD1256" s="7">
        <f>SUM(F1256+H1256+J1256+L1256+N1256+P1256+R1256+T1256+V1256+X1256+Z1256+AB1256)</f>
        <v>0</v>
      </c>
      <c r="AE1256" s="7">
        <f>E1256+AD1256</f>
        <v>0</v>
      </c>
      <c r="AF1256" s="8">
        <f>G1256+I1256+K1256+M1256+O1256+Q1256+S1256+U1256+W1256+Y1256+AA1256+AC1256</f>
        <v>0</v>
      </c>
      <c r="AG1256" s="153">
        <f>SUM(AE1256-AF1256)</f>
        <v>0</v>
      </c>
    </row>
    <row r="1257" spans="1:42" customHeight="1" ht="11.5">
      <c r="A1257" s="5"/>
      <c r="B1257" s="173"/>
      <c r="C1257" s="167"/>
      <c r="D1257" s="88"/>
      <c r="E1257" s="174"/>
      <c r="F1257" s="9"/>
      <c r="G1257" s="10"/>
      <c r="H1257" s="9"/>
      <c r="I1257" s="10"/>
      <c r="J1257" s="152"/>
      <c r="K1257" s="10"/>
      <c r="L1257" s="152"/>
      <c r="M1257" s="10"/>
      <c r="N1257" s="152"/>
      <c r="O1257" s="10"/>
      <c r="P1257" s="152"/>
      <c r="Q1257" s="10"/>
      <c r="R1257" s="9"/>
      <c r="S1257" s="10"/>
      <c r="T1257" s="9"/>
      <c r="U1257" s="10"/>
      <c r="V1257" s="9"/>
      <c r="W1257" s="10"/>
      <c r="X1257" s="9"/>
      <c r="Y1257" s="10"/>
      <c r="Z1257" s="9"/>
      <c r="AA1257" s="10"/>
      <c r="AB1257" s="11"/>
      <c r="AC1257" s="10"/>
      <c r="AD1257" s="7">
        <f>SUM(F1257+H1257+J1257+L1257+N1257+P1257+R1257+T1257+V1257+X1257+Z1257+AB1257)</f>
        <v>0</v>
      </c>
      <c r="AE1257" s="7">
        <f>E1257+AD1257</f>
        <v>0</v>
      </c>
      <c r="AF1257" s="8">
        <f>G1257+I1257+K1257+M1257+O1257+Q1257+S1257+U1257+W1257+Y1257+AA1257+AC1257</f>
        <v>0</v>
      </c>
      <c r="AG1257" s="153">
        <f>SUM(AE1257-AF1257)</f>
        <v>0</v>
      </c>
    </row>
    <row r="1258" spans="1:42" customHeight="1" ht="11.5">
      <c r="A1258" s="5"/>
      <c r="B1258" s="173"/>
      <c r="C1258" s="167"/>
      <c r="D1258" s="88"/>
      <c r="E1258" s="174"/>
      <c r="F1258" s="9"/>
      <c r="G1258" s="10"/>
      <c r="H1258" s="9"/>
      <c r="I1258" s="10"/>
      <c r="J1258" s="152"/>
      <c r="K1258" s="10"/>
      <c r="L1258" s="152"/>
      <c r="M1258" s="10"/>
      <c r="N1258" s="152"/>
      <c r="O1258" s="10"/>
      <c r="P1258" s="152"/>
      <c r="Q1258" s="10"/>
      <c r="R1258" s="9"/>
      <c r="S1258" s="10"/>
      <c r="T1258" s="9"/>
      <c r="U1258" s="10"/>
      <c r="V1258" s="9"/>
      <c r="W1258" s="10"/>
      <c r="X1258" s="9"/>
      <c r="Y1258" s="10"/>
      <c r="Z1258" s="9"/>
      <c r="AA1258" s="10"/>
      <c r="AB1258" s="11"/>
      <c r="AC1258" s="10"/>
      <c r="AD1258" s="7">
        <f>SUM(F1258+H1258+J1258+L1258+N1258+P1258+R1258+T1258+V1258+X1258+Z1258+AB1258)</f>
        <v>0</v>
      </c>
      <c r="AE1258" s="7">
        <f>E1258+AD1258</f>
        <v>0</v>
      </c>
      <c r="AF1258" s="8">
        <f>G1258+I1258+K1258+M1258+O1258+Q1258+S1258+U1258+W1258+Y1258+AA1258+AC1258</f>
        <v>0</v>
      </c>
      <c r="AG1258" s="153">
        <f>SUM(AE1258-AF1258)</f>
        <v>0</v>
      </c>
    </row>
    <row r="1259" spans="1:42" customHeight="1" ht="11.5">
      <c r="A1259" s="5"/>
      <c r="B1259" s="173"/>
      <c r="C1259" s="167"/>
      <c r="D1259" s="88"/>
      <c r="E1259" s="174"/>
      <c r="F1259" s="9"/>
      <c r="G1259" s="10"/>
      <c r="H1259" s="9"/>
      <c r="I1259" s="10"/>
      <c r="J1259" s="152"/>
      <c r="K1259" s="10"/>
      <c r="L1259" s="152"/>
      <c r="M1259" s="10"/>
      <c r="N1259" s="152"/>
      <c r="O1259" s="10"/>
      <c r="P1259" s="152"/>
      <c r="Q1259" s="10"/>
      <c r="R1259" s="9"/>
      <c r="S1259" s="10"/>
      <c r="T1259" s="9"/>
      <c r="U1259" s="10"/>
      <c r="V1259" s="9"/>
      <c r="W1259" s="10"/>
      <c r="X1259" s="9"/>
      <c r="Y1259" s="10"/>
      <c r="Z1259" s="9"/>
      <c r="AA1259" s="10"/>
      <c r="AB1259" s="11"/>
      <c r="AC1259" s="10"/>
      <c r="AD1259" s="7">
        <f>SUM(F1259+H1259+J1259+L1259+N1259+P1259+R1259+T1259+V1259+X1259+Z1259+AB1259)</f>
        <v>0</v>
      </c>
      <c r="AE1259" s="7">
        <f>E1259+AD1259</f>
        <v>0</v>
      </c>
      <c r="AF1259" s="8">
        <f>G1259+I1259+K1259+M1259+O1259+Q1259+S1259+U1259+W1259+Y1259+AA1259+AC1259</f>
        <v>0</v>
      </c>
      <c r="AG1259" s="153">
        <f>SUM(AE1259-AF1259)</f>
        <v>0</v>
      </c>
    </row>
    <row r="1260" spans="1:42" customHeight="1" ht="11.5">
      <c r="A1260" s="5"/>
      <c r="B1260" s="173"/>
      <c r="C1260" s="167"/>
      <c r="D1260" s="88"/>
      <c r="E1260" s="174"/>
      <c r="F1260" s="9"/>
      <c r="G1260" s="10"/>
      <c r="H1260" s="9"/>
      <c r="I1260" s="10"/>
      <c r="J1260" s="152"/>
      <c r="K1260" s="10"/>
      <c r="L1260" s="152"/>
      <c r="M1260" s="10"/>
      <c r="N1260" s="152"/>
      <c r="O1260" s="10"/>
      <c r="P1260" s="152"/>
      <c r="Q1260" s="10"/>
      <c r="R1260" s="9"/>
      <c r="S1260" s="10"/>
      <c r="T1260" s="9"/>
      <c r="U1260" s="10"/>
      <c r="V1260" s="9"/>
      <c r="W1260" s="10"/>
      <c r="X1260" s="9"/>
      <c r="Y1260" s="10"/>
      <c r="Z1260" s="9"/>
      <c r="AA1260" s="10"/>
      <c r="AB1260" s="11"/>
      <c r="AC1260" s="10"/>
      <c r="AD1260" s="7">
        <f>SUM(F1260+H1260+J1260+L1260+N1260+P1260+R1260+T1260+V1260+X1260+Z1260+AB1260)</f>
        <v>0</v>
      </c>
      <c r="AE1260" s="7">
        <f>E1260+AD1260</f>
        <v>0</v>
      </c>
      <c r="AF1260" s="8">
        <f>G1260+I1260+K1260+M1260+O1260+Q1260+S1260+U1260+W1260+Y1260+AA1260+AC1260</f>
        <v>0</v>
      </c>
      <c r="AG1260" s="153">
        <f>SUM(AE1260-AF1260)</f>
        <v>0</v>
      </c>
    </row>
    <row r="1261" spans="1:42" customHeight="1" ht="11.5">
      <c r="A1261" s="5"/>
      <c r="B1261" s="173"/>
      <c r="C1261" s="167"/>
      <c r="D1261" s="88"/>
      <c r="E1261" s="174"/>
      <c r="F1261" s="9"/>
      <c r="G1261" s="10"/>
      <c r="H1261" s="9"/>
      <c r="I1261" s="10"/>
      <c r="J1261" s="152"/>
      <c r="K1261" s="10"/>
      <c r="L1261" s="152"/>
      <c r="M1261" s="10"/>
      <c r="N1261" s="152"/>
      <c r="O1261" s="10"/>
      <c r="P1261" s="152"/>
      <c r="Q1261" s="10"/>
      <c r="R1261" s="9"/>
      <c r="S1261" s="10"/>
      <c r="T1261" s="9"/>
      <c r="U1261" s="10"/>
      <c r="V1261" s="9"/>
      <c r="W1261" s="10"/>
      <c r="X1261" s="9"/>
      <c r="Y1261" s="10"/>
      <c r="Z1261" s="9"/>
      <c r="AA1261" s="10"/>
      <c r="AB1261" s="11"/>
      <c r="AC1261" s="10"/>
      <c r="AD1261" s="7">
        <f>SUM(F1261+H1261+J1261+L1261+N1261+P1261+R1261+T1261+V1261+X1261+Z1261+AB1261)</f>
        <v>0</v>
      </c>
      <c r="AE1261" s="7">
        <f>E1261+AD1261</f>
        <v>0</v>
      </c>
      <c r="AF1261" s="8">
        <f>G1261+I1261+K1261+M1261+O1261+Q1261+S1261+U1261+W1261+Y1261+AA1261+AC1261</f>
        <v>0</v>
      </c>
      <c r="AG1261" s="153">
        <f>SUM(AE1261-AF1261)</f>
        <v>0</v>
      </c>
    </row>
    <row r="1262" spans="1:42" customHeight="1" ht="11.5">
      <c r="A1262" s="5"/>
      <c r="B1262" s="173"/>
      <c r="C1262" s="167"/>
      <c r="D1262" s="88"/>
      <c r="E1262" s="174"/>
      <c r="F1262" s="9"/>
      <c r="G1262" s="10"/>
      <c r="H1262" s="9"/>
      <c r="I1262" s="10"/>
      <c r="J1262" s="152"/>
      <c r="K1262" s="10"/>
      <c r="L1262" s="152"/>
      <c r="M1262" s="10"/>
      <c r="N1262" s="152"/>
      <c r="O1262" s="10"/>
      <c r="P1262" s="152"/>
      <c r="Q1262" s="10"/>
      <c r="R1262" s="9"/>
      <c r="S1262" s="10"/>
      <c r="T1262" s="9"/>
      <c r="U1262" s="10"/>
      <c r="V1262" s="9"/>
      <c r="W1262" s="10"/>
      <c r="X1262" s="9"/>
      <c r="Y1262" s="10"/>
      <c r="Z1262" s="9"/>
      <c r="AA1262" s="10"/>
      <c r="AB1262" s="11"/>
      <c r="AC1262" s="10"/>
      <c r="AD1262" s="7">
        <f>SUM(F1262+H1262+J1262+L1262+N1262+P1262+R1262+T1262+V1262+X1262+Z1262+AB1262)</f>
        <v>0</v>
      </c>
      <c r="AE1262" s="7">
        <f>E1262+AD1262</f>
        <v>0</v>
      </c>
      <c r="AF1262" s="8">
        <f>G1262+I1262+K1262+M1262+O1262+Q1262+S1262+U1262+W1262+Y1262+AA1262+AC1262</f>
        <v>0</v>
      </c>
      <c r="AG1262" s="153">
        <f>SUM(AE1262-AF1262)</f>
        <v>0</v>
      </c>
    </row>
    <row r="1263" spans="1:42" customHeight="1" ht="11.5">
      <c r="A1263" s="5"/>
      <c r="B1263" s="173"/>
      <c r="C1263" s="167"/>
      <c r="D1263" s="88"/>
      <c r="E1263" s="174"/>
      <c r="F1263" s="9"/>
      <c r="G1263" s="10"/>
      <c r="H1263" s="9"/>
      <c r="I1263" s="10"/>
      <c r="J1263" s="152"/>
      <c r="K1263" s="10"/>
      <c r="L1263" s="152"/>
      <c r="M1263" s="10"/>
      <c r="N1263" s="152"/>
      <c r="O1263" s="10"/>
      <c r="P1263" s="152"/>
      <c r="Q1263" s="10"/>
      <c r="R1263" s="9"/>
      <c r="S1263" s="10"/>
      <c r="T1263" s="9"/>
      <c r="U1263" s="10"/>
      <c r="V1263" s="9"/>
      <c r="W1263" s="10"/>
      <c r="X1263" s="9"/>
      <c r="Y1263" s="10"/>
      <c r="Z1263" s="9"/>
      <c r="AA1263" s="10"/>
      <c r="AB1263" s="11"/>
      <c r="AC1263" s="10"/>
      <c r="AD1263" s="7">
        <f>SUM(F1263+H1263+J1263+L1263+N1263+P1263+R1263+T1263+V1263+X1263+Z1263+AB1263)</f>
        <v>0</v>
      </c>
      <c r="AE1263" s="7">
        <f>E1263+AD1263</f>
        <v>0</v>
      </c>
      <c r="AF1263" s="8">
        <f>G1263+I1263+K1263+M1263+O1263+Q1263+S1263+U1263+W1263+Y1263+AA1263+AC1263</f>
        <v>0</v>
      </c>
      <c r="AG1263" s="153">
        <f>SUM(AE1263-AF1263)</f>
        <v>0</v>
      </c>
    </row>
    <row r="1264" spans="1:42" customHeight="1" ht="11.5">
      <c r="A1264" s="5"/>
      <c r="B1264" s="173"/>
      <c r="C1264" s="167"/>
      <c r="D1264" s="88"/>
      <c r="E1264" s="174"/>
      <c r="F1264" s="9"/>
      <c r="G1264" s="10"/>
      <c r="H1264" s="9"/>
      <c r="I1264" s="10"/>
      <c r="J1264" s="152"/>
      <c r="K1264" s="10"/>
      <c r="L1264" s="152"/>
      <c r="M1264" s="10"/>
      <c r="N1264" s="152"/>
      <c r="O1264" s="10"/>
      <c r="P1264" s="152"/>
      <c r="Q1264" s="10"/>
      <c r="R1264" s="9"/>
      <c r="S1264" s="10"/>
      <c r="T1264" s="9"/>
      <c r="U1264" s="10"/>
      <c r="V1264" s="9"/>
      <c r="W1264" s="10"/>
      <c r="X1264" s="9"/>
      <c r="Y1264" s="10"/>
      <c r="Z1264" s="9"/>
      <c r="AA1264" s="10"/>
      <c r="AB1264" s="11"/>
      <c r="AC1264" s="10"/>
      <c r="AD1264" s="7">
        <f>SUM(F1264+H1264+J1264+L1264+N1264+P1264+R1264+T1264+V1264+X1264+Z1264+AB1264)</f>
        <v>0</v>
      </c>
      <c r="AE1264" s="7">
        <f>E1264+AD1264</f>
        <v>0</v>
      </c>
      <c r="AF1264" s="8">
        <f>G1264+I1264+K1264+M1264+O1264+Q1264+S1264+U1264+W1264+Y1264+AA1264+AC1264</f>
        <v>0</v>
      </c>
      <c r="AG1264" s="153">
        <f>SUM(AE1264-AF1264)</f>
        <v>0</v>
      </c>
    </row>
    <row r="1265" spans="1:42" customHeight="1" ht="11.5">
      <c r="A1265" s="5"/>
      <c r="B1265" s="173"/>
      <c r="C1265" s="167"/>
      <c r="D1265" s="88"/>
      <c r="E1265" s="174"/>
      <c r="F1265" s="9"/>
      <c r="G1265" s="10"/>
      <c r="H1265" s="9"/>
      <c r="I1265" s="10"/>
      <c r="J1265" s="152"/>
      <c r="K1265" s="10"/>
      <c r="L1265" s="152"/>
      <c r="M1265" s="10"/>
      <c r="N1265" s="152"/>
      <c r="O1265" s="10"/>
      <c r="P1265" s="152"/>
      <c r="Q1265" s="10"/>
      <c r="R1265" s="9"/>
      <c r="S1265" s="10"/>
      <c r="T1265" s="9"/>
      <c r="U1265" s="10"/>
      <c r="V1265" s="9"/>
      <c r="W1265" s="10"/>
      <c r="X1265" s="9"/>
      <c r="Y1265" s="10"/>
      <c r="Z1265" s="9"/>
      <c r="AA1265" s="10"/>
      <c r="AB1265" s="11"/>
      <c r="AC1265" s="10"/>
      <c r="AD1265" s="7">
        <f>SUM(F1265+H1265+J1265+L1265+N1265+P1265+R1265+T1265+V1265+X1265+Z1265+AB1265)</f>
        <v>0</v>
      </c>
      <c r="AE1265" s="7">
        <f>E1265+AD1265</f>
        <v>0</v>
      </c>
      <c r="AF1265" s="8">
        <f>G1265+I1265+K1265+M1265+O1265+Q1265+S1265+U1265+W1265+Y1265+AA1265+AC1265</f>
        <v>0</v>
      </c>
      <c r="AG1265" s="153">
        <f>SUM(AE1265-AF1265)</f>
        <v>0</v>
      </c>
    </row>
    <row r="1266" spans="1:42" customHeight="1" ht="11.5">
      <c r="A1266" s="5"/>
      <c r="B1266" s="173"/>
      <c r="C1266" s="167"/>
      <c r="D1266" s="88"/>
      <c r="E1266" s="174"/>
      <c r="F1266" s="9"/>
      <c r="G1266" s="10"/>
      <c r="H1266" s="9"/>
      <c r="I1266" s="10"/>
      <c r="J1266" s="152"/>
      <c r="K1266" s="10"/>
      <c r="L1266" s="152"/>
      <c r="M1266" s="10"/>
      <c r="N1266" s="152"/>
      <c r="O1266" s="10"/>
      <c r="P1266" s="152"/>
      <c r="Q1266" s="10"/>
      <c r="R1266" s="9"/>
      <c r="S1266" s="10"/>
      <c r="T1266" s="9"/>
      <c r="U1266" s="10"/>
      <c r="V1266" s="9"/>
      <c r="W1266" s="10"/>
      <c r="X1266" s="9"/>
      <c r="Y1266" s="10"/>
      <c r="Z1266" s="9"/>
      <c r="AA1266" s="10"/>
      <c r="AB1266" s="11"/>
      <c r="AC1266" s="10"/>
      <c r="AD1266" s="7">
        <f>SUM(F1266+H1266+J1266+L1266+N1266+P1266+R1266+T1266+V1266+X1266+Z1266+AB1266)</f>
        <v>0</v>
      </c>
      <c r="AE1266" s="7">
        <f>E1266+AD1266</f>
        <v>0</v>
      </c>
      <c r="AF1266" s="8">
        <f>G1266+I1266+K1266+M1266+O1266+Q1266+S1266+U1266+W1266+Y1266+AA1266+AC1266</f>
        <v>0</v>
      </c>
      <c r="AG1266" s="153">
        <f>SUM(AE1266-AF1266)</f>
        <v>0</v>
      </c>
    </row>
    <row r="1267" spans="1:42" customHeight="1" ht="11.5">
      <c r="A1267" s="5"/>
      <c r="B1267" s="173"/>
      <c r="C1267" s="167"/>
      <c r="D1267" s="88"/>
      <c r="E1267" s="174"/>
      <c r="F1267" s="9"/>
      <c r="G1267" s="10"/>
      <c r="H1267" s="9"/>
      <c r="I1267" s="10"/>
      <c r="J1267" s="152"/>
      <c r="K1267" s="10"/>
      <c r="L1267" s="152"/>
      <c r="M1267" s="10"/>
      <c r="N1267" s="152"/>
      <c r="O1267" s="10"/>
      <c r="P1267" s="152"/>
      <c r="Q1267" s="10"/>
      <c r="R1267" s="9"/>
      <c r="S1267" s="10"/>
      <c r="T1267" s="9"/>
      <c r="U1267" s="10"/>
      <c r="V1267" s="9"/>
      <c r="W1267" s="10"/>
      <c r="X1267" s="9"/>
      <c r="Y1267" s="10"/>
      <c r="Z1267" s="9"/>
      <c r="AA1267" s="10"/>
      <c r="AB1267" s="11"/>
      <c r="AC1267" s="10"/>
      <c r="AD1267" s="7">
        <f>SUM(F1267+H1267+J1267+L1267+N1267+P1267+R1267+T1267+V1267+X1267+Z1267+AB1267)</f>
        <v>0</v>
      </c>
      <c r="AE1267" s="7">
        <f>E1267+AD1267</f>
        <v>0</v>
      </c>
      <c r="AF1267" s="8">
        <f>G1267+I1267+K1267+M1267+O1267+Q1267+S1267+U1267+W1267+Y1267+AA1267+AC1267</f>
        <v>0</v>
      </c>
      <c r="AG1267" s="153">
        <f>SUM(AE1267-AF1267)</f>
        <v>0</v>
      </c>
    </row>
    <row r="1268" spans="1:42" customHeight="1" ht="11.5">
      <c r="A1268" s="5"/>
      <c r="B1268" s="173"/>
      <c r="C1268" s="167"/>
      <c r="D1268" s="88"/>
      <c r="E1268" s="174"/>
      <c r="F1268" s="9"/>
      <c r="G1268" s="10"/>
      <c r="H1268" s="9"/>
      <c r="I1268" s="10"/>
      <c r="J1268" s="152"/>
      <c r="K1268" s="10"/>
      <c r="L1268" s="152"/>
      <c r="M1268" s="10"/>
      <c r="N1268" s="152"/>
      <c r="O1268" s="10"/>
      <c r="P1268" s="152"/>
      <c r="Q1268" s="10"/>
      <c r="R1268" s="9"/>
      <c r="S1268" s="10"/>
      <c r="T1268" s="9"/>
      <c r="U1268" s="10"/>
      <c r="V1268" s="9"/>
      <c r="W1268" s="10"/>
      <c r="X1268" s="9"/>
      <c r="Y1268" s="10"/>
      <c r="Z1268" s="9"/>
      <c r="AA1268" s="10"/>
      <c r="AB1268" s="11"/>
      <c r="AC1268" s="10"/>
      <c r="AD1268" s="7">
        <f>SUM(F1268+H1268+J1268+L1268+N1268+P1268+R1268+T1268+V1268+X1268+Z1268+AB1268)</f>
        <v>0</v>
      </c>
      <c r="AE1268" s="7">
        <f>E1268+AD1268</f>
        <v>0</v>
      </c>
      <c r="AF1268" s="8">
        <f>G1268+I1268+K1268+M1268+O1268+Q1268+S1268+U1268+W1268+Y1268+AA1268+AC1268</f>
        <v>0</v>
      </c>
      <c r="AG1268" s="153">
        <f>SUM(AE1268-AF1268)</f>
        <v>0</v>
      </c>
    </row>
    <row r="1269" spans="1:42" customHeight="1" ht="11.5">
      <c r="A1269" s="5"/>
      <c r="B1269" s="173"/>
      <c r="C1269" s="167"/>
      <c r="D1269" s="88"/>
      <c r="E1269" s="174"/>
      <c r="F1269" s="9"/>
      <c r="G1269" s="10"/>
      <c r="H1269" s="9"/>
      <c r="I1269" s="10"/>
      <c r="J1269" s="152"/>
      <c r="K1269" s="10"/>
      <c r="L1269" s="152"/>
      <c r="M1269" s="10"/>
      <c r="N1269" s="152"/>
      <c r="O1269" s="10"/>
      <c r="P1269" s="152"/>
      <c r="Q1269" s="10"/>
      <c r="R1269" s="9"/>
      <c r="S1269" s="10"/>
      <c r="T1269" s="9"/>
      <c r="U1269" s="10"/>
      <c r="V1269" s="9"/>
      <c r="W1269" s="10"/>
      <c r="X1269" s="9"/>
      <c r="Y1269" s="10"/>
      <c r="Z1269" s="9"/>
      <c r="AA1269" s="10"/>
      <c r="AB1269" s="11"/>
      <c r="AC1269" s="10"/>
      <c r="AD1269" s="7">
        <f>SUM(F1269+H1269+J1269+L1269+N1269+P1269+R1269+T1269+V1269+X1269+Z1269+AB1269)</f>
        <v>0</v>
      </c>
      <c r="AE1269" s="7">
        <f>E1269+AD1269</f>
        <v>0</v>
      </c>
      <c r="AF1269" s="8">
        <f>G1269+I1269+K1269+M1269+O1269+Q1269+S1269+U1269+W1269+Y1269+AA1269+AC1269</f>
        <v>0</v>
      </c>
      <c r="AG1269" s="153">
        <f>SUM(AE1269-AF1269)</f>
        <v>0</v>
      </c>
    </row>
    <row r="1270" spans="1:42" customHeight="1" ht="11.5">
      <c r="A1270" s="5"/>
      <c r="B1270" s="173"/>
      <c r="C1270" s="167"/>
      <c r="D1270" s="88"/>
      <c r="E1270" s="174"/>
      <c r="F1270" s="9"/>
      <c r="G1270" s="10"/>
      <c r="H1270" s="9"/>
      <c r="I1270" s="10"/>
      <c r="J1270" s="152"/>
      <c r="K1270" s="10"/>
      <c r="L1270" s="152"/>
      <c r="M1270" s="10"/>
      <c r="N1270" s="152"/>
      <c r="O1270" s="10"/>
      <c r="P1270" s="152"/>
      <c r="Q1270" s="10"/>
      <c r="R1270" s="9"/>
      <c r="S1270" s="10"/>
      <c r="T1270" s="9"/>
      <c r="U1270" s="10"/>
      <c r="V1270" s="9"/>
      <c r="W1270" s="10"/>
      <c r="X1270" s="9"/>
      <c r="Y1270" s="10"/>
      <c r="Z1270" s="9"/>
      <c r="AA1270" s="10"/>
      <c r="AB1270" s="11"/>
      <c r="AC1270" s="10"/>
      <c r="AD1270" s="7">
        <f>SUM(F1270+H1270+J1270+L1270+N1270+P1270+R1270+T1270+V1270+X1270+Z1270+AB1270)</f>
        <v>0</v>
      </c>
      <c r="AE1270" s="7">
        <f>E1270+AD1270</f>
        <v>0</v>
      </c>
      <c r="AF1270" s="8">
        <f>G1270+I1270+K1270+M1270+O1270+Q1270+S1270+U1270+W1270+Y1270+AA1270+AC1270</f>
        <v>0</v>
      </c>
      <c r="AG1270" s="153">
        <f>SUM(AE1270-AF1270)</f>
        <v>0</v>
      </c>
    </row>
    <row r="1271" spans="1:42" customHeight="1" ht="11.5">
      <c r="A1271" s="5"/>
      <c r="B1271" s="173"/>
      <c r="C1271" s="167"/>
      <c r="D1271" s="88"/>
      <c r="E1271" s="174"/>
      <c r="F1271" s="9"/>
      <c r="G1271" s="10"/>
      <c r="H1271" s="9"/>
      <c r="I1271" s="10"/>
      <c r="J1271" s="152"/>
      <c r="K1271" s="10"/>
      <c r="L1271" s="152"/>
      <c r="M1271" s="10"/>
      <c r="N1271" s="152"/>
      <c r="O1271" s="10"/>
      <c r="P1271" s="152"/>
      <c r="Q1271" s="10"/>
      <c r="R1271" s="9"/>
      <c r="S1271" s="10"/>
      <c r="T1271" s="9"/>
      <c r="U1271" s="10"/>
      <c r="V1271" s="9"/>
      <c r="W1271" s="10"/>
      <c r="X1271" s="9"/>
      <c r="Y1271" s="10"/>
      <c r="Z1271" s="9"/>
      <c r="AA1271" s="10"/>
      <c r="AB1271" s="11"/>
      <c r="AC1271" s="10"/>
      <c r="AD1271" s="7">
        <f>SUM(F1271+H1271+J1271+L1271+N1271+P1271+R1271+T1271+V1271+X1271+Z1271+AB1271)</f>
        <v>0</v>
      </c>
      <c r="AE1271" s="7">
        <f>E1271+AD1271</f>
        <v>0</v>
      </c>
      <c r="AF1271" s="8">
        <f>G1271+I1271+K1271+M1271+O1271+Q1271+S1271+U1271+W1271+Y1271+AA1271+AC1271</f>
        <v>0</v>
      </c>
      <c r="AG1271" s="153">
        <f>SUM(AE1271-AF1271)</f>
        <v>0</v>
      </c>
    </row>
    <row r="1272" spans="1:42" customHeight="1" ht="11.5">
      <c r="A1272" s="5"/>
      <c r="B1272" s="173"/>
      <c r="C1272" s="167"/>
      <c r="D1272" s="88"/>
      <c r="E1272" s="174"/>
      <c r="F1272" s="9"/>
      <c r="G1272" s="10"/>
      <c r="H1272" s="9"/>
      <c r="I1272" s="10"/>
      <c r="J1272" s="152"/>
      <c r="K1272" s="10"/>
      <c r="L1272" s="152"/>
      <c r="M1272" s="10"/>
      <c r="N1272" s="152"/>
      <c r="O1272" s="10"/>
      <c r="P1272" s="152"/>
      <c r="Q1272" s="10"/>
      <c r="R1272" s="9"/>
      <c r="S1272" s="10"/>
      <c r="T1272" s="9"/>
      <c r="U1272" s="10"/>
      <c r="V1272" s="9"/>
      <c r="W1272" s="10"/>
      <c r="X1272" s="9"/>
      <c r="Y1272" s="10"/>
      <c r="Z1272" s="9"/>
      <c r="AA1272" s="10"/>
      <c r="AB1272" s="11"/>
      <c r="AC1272" s="10"/>
      <c r="AD1272" s="7">
        <f>SUM(F1272+H1272+J1272+L1272+N1272+P1272+R1272+T1272+V1272+X1272+Z1272+AB1272)</f>
        <v>0</v>
      </c>
      <c r="AE1272" s="7">
        <f>E1272+AD1272</f>
        <v>0</v>
      </c>
      <c r="AF1272" s="8">
        <f>G1272+I1272+K1272+M1272+O1272+Q1272+S1272+U1272+W1272+Y1272+AA1272+AC1272</f>
        <v>0</v>
      </c>
      <c r="AG1272" s="153">
        <f>SUM(AE1272-AF1272)</f>
        <v>0</v>
      </c>
    </row>
    <row r="1273" spans="1:42" customHeight="1" ht="11.5">
      <c r="A1273" s="5"/>
      <c r="B1273" s="173"/>
      <c r="C1273" s="167"/>
      <c r="D1273" s="88"/>
      <c r="E1273" s="174"/>
      <c r="F1273" s="9"/>
      <c r="G1273" s="10"/>
      <c r="H1273" s="9"/>
      <c r="I1273" s="10"/>
      <c r="J1273" s="152"/>
      <c r="K1273" s="10"/>
      <c r="L1273" s="152"/>
      <c r="M1273" s="10"/>
      <c r="N1273" s="152"/>
      <c r="O1273" s="10"/>
      <c r="P1273" s="152"/>
      <c r="Q1273" s="10"/>
      <c r="R1273" s="9"/>
      <c r="S1273" s="10"/>
      <c r="T1273" s="9"/>
      <c r="U1273" s="10"/>
      <c r="V1273" s="9"/>
      <c r="W1273" s="10"/>
      <c r="X1273" s="9"/>
      <c r="Y1273" s="10"/>
      <c r="Z1273" s="9"/>
      <c r="AA1273" s="10"/>
      <c r="AB1273" s="11"/>
      <c r="AC1273" s="10"/>
      <c r="AD1273" s="7">
        <f>SUM(F1273+H1273+J1273+L1273+N1273+P1273+R1273+T1273+V1273+X1273+Z1273+AB1273)</f>
        <v>0</v>
      </c>
      <c r="AE1273" s="7">
        <f>E1273+AD1273</f>
        <v>0</v>
      </c>
      <c r="AF1273" s="8">
        <f>G1273+I1273+K1273+M1273+O1273+Q1273+S1273+U1273+W1273+Y1273+AA1273+AC1273</f>
        <v>0</v>
      </c>
      <c r="AG1273" s="153">
        <f>SUM(AE1273-AF1273)</f>
        <v>0</v>
      </c>
    </row>
    <row r="1274" spans="1:42" customHeight="1" ht="11.5">
      <c r="A1274" s="5"/>
      <c r="B1274" s="173"/>
      <c r="C1274" s="167"/>
      <c r="D1274" s="88"/>
      <c r="E1274" s="174"/>
      <c r="F1274" s="9"/>
      <c r="G1274" s="10"/>
      <c r="H1274" s="9"/>
      <c r="I1274" s="10"/>
      <c r="J1274" s="152"/>
      <c r="K1274" s="10"/>
      <c r="L1274" s="152"/>
      <c r="M1274" s="10"/>
      <c r="N1274" s="152"/>
      <c r="O1274" s="10"/>
      <c r="P1274" s="152"/>
      <c r="Q1274" s="10"/>
      <c r="R1274" s="9"/>
      <c r="S1274" s="10"/>
      <c r="T1274" s="9"/>
      <c r="U1274" s="10"/>
      <c r="V1274" s="9"/>
      <c r="W1274" s="10"/>
      <c r="X1274" s="9"/>
      <c r="Y1274" s="10"/>
      <c r="Z1274" s="9"/>
      <c r="AA1274" s="10"/>
      <c r="AB1274" s="11"/>
      <c r="AC1274" s="10"/>
      <c r="AD1274" s="7">
        <f>SUM(F1274+H1274+J1274+L1274+N1274+P1274+R1274+T1274+V1274+X1274+Z1274+AB1274)</f>
        <v>0</v>
      </c>
      <c r="AE1274" s="7">
        <f>E1274+AD1274</f>
        <v>0</v>
      </c>
      <c r="AF1274" s="8">
        <f>G1274+I1274+K1274+M1274+O1274+Q1274+S1274+U1274+W1274+Y1274+AA1274+AC1274</f>
        <v>0</v>
      </c>
      <c r="AG1274" s="153">
        <f>SUM(AE1274-AF1274)</f>
        <v>0</v>
      </c>
    </row>
    <row r="1275" spans="1:42" customHeight="1" ht="11.5">
      <c r="A1275" s="5"/>
      <c r="B1275" s="173"/>
      <c r="C1275" s="167"/>
      <c r="D1275" s="88"/>
      <c r="E1275" s="174"/>
      <c r="F1275" s="9"/>
      <c r="G1275" s="10"/>
      <c r="H1275" s="9"/>
      <c r="I1275" s="10"/>
      <c r="J1275" s="152"/>
      <c r="K1275" s="10"/>
      <c r="L1275" s="152"/>
      <c r="M1275" s="10"/>
      <c r="N1275" s="152"/>
      <c r="O1275" s="10"/>
      <c r="P1275" s="152"/>
      <c r="Q1275" s="10"/>
      <c r="R1275" s="9"/>
      <c r="S1275" s="10"/>
      <c r="T1275" s="9"/>
      <c r="U1275" s="10"/>
      <c r="V1275" s="9"/>
      <c r="W1275" s="10"/>
      <c r="X1275" s="9"/>
      <c r="Y1275" s="10"/>
      <c r="Z1275" s="9"/>
      <c r="AA1275" s="10"/>
      <c r="AB1275" s="11"/>
      <c r="AC1275" s="10"/>
      <c r="AD1275" s="7">
        <f>SUM(F1275+H1275+J1275+L1275+N1275+P1275+R1275+T1275+V1275+X1275+Z1275+AB1275)</f>
        <v>0</v>
      </c>
      <c r="AE1275" s="7">
        <f>E1275+AD1275</f>
        <v>0</v>
      </c>
      <c r="AF1275" s="8">
        <f>G1275+I1275+K1275+M1275+O1275+Q1275+S1275+U1275+W1275+Y1275+AA1275+AC1275</f>
        <v>0</v>
      </c>
      <c r="AG1275" s="153">
        <f>SUM(AE1275-AF1275)</f>
        <v>0</v>
      </c>
    </row>
    <row r="1276" spans="1:42" customHeight="1" ht="11.5">
      <c r="A1276" s="5"/>
      <c r="B1276" s="173"/>
      <c r="C1276" s="167"/>
      <c r="D1276" s="88"/>
      <c r="E1276" s="174"/>
      <c r="F1276" s="9"/>
      <c r="G1276" s="10"/>
      <c r="H1276" s="9"/>
      <c r="I1276" s="10"/>
      <c r="J1276" s="152"/>
      <c r="K1276" s="10"/>
      <c r="L1276" s="152"/>
      <c r="M1276" s="10"/>
      <c r="N1276" s="152"/>
      <c r="O1276" s="10"/>
      <c r="P1276" s="152"/>
      <c r="Q1276" s="10"/>
      <c r="R1276" s="9"/>
      <c r="S1276" s="10"/>
      <c r="T1276" s="9"/>
      <c r="U1276" s="10"/>
      <c r="V1276" s="9"/>
      <c r="W1276" s="10"/>
      <c r="X1276" s="9"/>
      <c r="Y1276" s="10"/>
      <c r="Z1276" s="9"/>
      <c r="AA1276" s="10"/>
      <c r="AB1276" s="11"/>
      <c r="AC1276" s="10"/>
      <c r="AD1276" s="7">
        <f>SUM(F1276+H1276+J1276+L1276+N1276+P1276+R1276+T1276+V1276+X1276+Z1276+AB1276)</f>
        <v>0</v>
      </c>
      <c r="AE1276" s="7">
        <f>E1276+AD1276</f>
        <v>0</v>
      </c>
      <c r="AF1276" s="8">
        <f>G1276+I1276+K1276+M1276+O1276+Q1276+S1276+U1276+W1276+Y1276+AA1276+AC1276</f>
        <v>0</v>
      </c>
      <c r="AG1276" s="153">
        <f>SUM(AE1276-AF1276)</f>
        <v>0</v>
      </c>
    </row>
    <row r="1277" spans="1:42" customHeight="1" ht="11.5">
      <c r="A1277" s="5"/>
      <c r="B1277" s="173"/>
      <c r="C1277" s="167"/>
      <c r="D1277" s="88"/>
      <c r="E1277" s="174"/>
      <c r="F1277" s="9"/>
      <c r="G1277" s="10"/>
      <c r="H1277" s="9"/>
      <c r="I1277" s="10"/>
      <c r="J1277" s="152"/>
      <c r="K1277" s="10"/>
      <c r="L1277" s="152"/>
      <c r="M1277" s="10"/>
      <c r="N1277" s="152"/>
      <c r="O1277" s="10"/>
      <c r="P1277" s="152"/>
      <c r="Q1277" s="10"/>
      <c r="R1277" s="9"/>
      <c r="S1277" s="10"/>
      <c r="T1277" s="9"/>
      <c r="U1277" s="10"/>
      <c r="V1277" s="9"/>
      <c r="W1277" s="10"/>
      <c r="X1277" s="9"/>
      <c r="Y1277" s="10"/>
      <c r="Z1277" s="9"/>
      <c r="AA1277" s="10"/>
      <c r="AB1277" s="11"/>
      <c r="AC1277" s="10"/>
      <c r="AD1277" s="7">
        <f>SUM(F1277+H1277+J1277+L1277+N1277+P1277+R1277+T1277+V1277+X1277+Z1277+AB1277)</f>
        <v>0</v>
      </c>
      <c r="AE1277" s="7">
        <f>E1277+AD1277</f>
        <v>0</v>
      </c>
      <c r="AF1277" s="8">
        <f>G1277+I1277+K1277+M1277+O1277+Q1277+S1277+U1277+W1277+Y1277+AA1277+AC1277</f>
        <v>0</v>
      </c>
      <c r="AG1277" s="153">
        <f>SUM(AE1277-AF1277)</f>
        <v>0</v>
      </c>
    </row>
    <row r="1278" spans="1:42" customHeight="1" ht="11.5">
      <c r="A1278" s="5"/>
      <c r="B1278" s="173"/>
      <c r="C1278" s="167"/>
      <c r="D1278" s="88"/>
      <c r="E1278" s="174"/>
      <c r="F1278" s="9"/>
      <c r="G1278" s="10"/>
      <c r="H1278" s="9"/>
      <c r="I1278" s="10"/>
      <c r="J1278" s="152"/>
      <c r="K1278" s="10"/>
      <c r="L1278" s="152"/>
      <c r="M1278" s="10"/>
      <c r="N1278" s="152"/>
      <c r="O1278" s="10"/>
      <c r="P1278" s="152"/>
      <c r="Q1278" s="10"/>
      <c r="R1278" s="9"/>
      <c r="S1278" s="10"/>
      <c r="T1278" s="9"/>
      <c r="U1278" s="10"/>
      <c r="V1278" s="9"/>
      <c r="W1278" s="10"/>
      <c r="X1278" s="9"/>
      <c r="Y1278" s="10"/>
      <c r="Z1278" s="9"/>
      <c r="AA1278" s="10"/>
      <c r="AB1278" s="11"/>
      <c r="AC1278" s="10"/>
      <c r="AD1278" s="7">
        <f>SUM(F1278+H1278+J1278+L1278+N1278+P1278+R1278+T1278+V1278+X1278+Z1278+AB1278)</f>
        <v>0</v>
      </c>
      <c r="AE1278" s="7">
        <f>E1278+AD1278</f>
        <v>0</v>
      </c>
      <c r="AF1278" s="8">
        <f>G1278+I1278+K1278+M1278+O1278+Q1278+S1278+U1278+W1278+Y1278+AA1278+AC1278</f>
        <v>0</v>
      </c>
      <c r="AG1278" s="153">
        <f>SUM(AE1278-AF1278)</f>
        <v>0</v>
      </c>
    </row>
    <row r="1279" spans="1:42" customHeight="1" ht="11.5">
      <c r="A1279" s="5"/>
      <c r="B1279" s="173"/>
      <c r="C1279" s="167"/>
      <c r="D1279" s="88"/>
      <c r="E1279" s="174"/>
      <c r="F1279" s="9"/>
      <c r="G1279" s="10"/>
      <c r="H1279" s="9"/>
      <c r="I1279" s="10"/>
      <c r="J1279" s="152"/>
      <c r="K1279" s="10"/>
      <c r="L1279" s="152"/>
      <c r="M1279" s="10"/>
      <c r="N1279" s="152"/>
      <c r="O1279" s="10"/>
      <c r="P1279" s="152"/>
      <c r="Q1279" s="10"/>
      <c r="R1279" s="9"/>
      <c r="S1279" s="10"/>
      <c r="T1279" s="9"/>
      <c r="U1279" s="10"/>
      <c r="V1279" s="9"/>
      <c r="W1279" s="10"/>
      <c r="X1279" s="9"/>
      <c r="Y1279" s="10"/>
      <c r="Z1279" s="9"/>
      <c r="AA1279" s="10"/>
      <c r="AB1279" s="11"/>
      <c r="AC1279" s="10"/>
      <c r="AD1279" s="7">
        <f>SUM(F1279+H1279+J1279+L1279+N1279+P1279+R1279+T1279+V1279+X1279+Z1279+AB1279)</f>
        <v>0</v>
      </c>
      <c r="AE1279" s="7">
        <f>E1279+AD1279</f>
        <v>0</v>
      </c>
      <c r="AF1279" s="8">
        <f>G1279+I1279+K1279+M1279+O1279+Q1279+S1279+U1279+W1279+Y1279+AA1279+AC1279</f>
        <v>0</v>
      </c>
      <c r="AG1279" s="153">
        <f>SUM(AE1279-AF1279)</f>
        <v>0</v>
      </c>
    </row>
    <row r="1280" spans="1:42" customHeight="1" ht="11.5">
      <c r="A1280" s="5"/>
      <c r="B1280" s="173"/>
      <c r="C1280" s="167"/>
      <c r="D1280" s="88"/>
      <c r="E1280" s="174"/>
      <c r="F1280" s="9"/>
      <c r="G1280" s="10"/>
      <c r="H1280" s="9"/>
      <c r="I1280" s="10"/>
      <c r="J1280" s="152"/>
      <c r="K1280" s="10"/>
      <c r="L1280" s="152"/>
      <c r="M1280" s="10"/>
      <c r="N1280" s="152"/>
      <c r="O1280" s="10"/>
      <c r="P1280" s="152"/>
      <c r="Q1280" s="10"/>
      <c r="R1280" s="9"/>
      <c r="S1280" s="10"/>
      <c r="T1280" s="9"/>
      <c r="U1280" s="10"/>
      <c r="V1280" s="9"/>
      <c r="W1280" s="10"/>
      <c r="X1280" s="9"/>
      <c r="Y1280" s="10"/>
      <c r="Z1280" s="9"/>
      <c r="AA1280" s="10"/>
      <c r="AB1280" s="11"/>
      <c r="AC1280" s="10"/>
      <c r="AD1280" s="7">
        <f>SUM(F1280+H1280+J1280+L1280+N1280+P1280+R1280+T1280+V1280+X1280+Z1280+AB1280)</f>
        <v>0</v>
      </c>
      <c r="AE1280" s="7">
        <f>E1280+AD1280</f>
        <v>0</v>
      </c>
      <c r="AF1280" s="8">
        <f>G1280+I1280+K1280+M1280+O1280+Q1280+S1280+U1280+W1280+Y1280+AA1280+AC1280</f>
        <v>0</v>
      </c>
      <c r="AG1280" s="153">
        <f>SUM(AE1280-AF1280)</f>
        <v>0</v>
      </c>
    </row>
    <row r="1281" spans="1:42" customHeight="1" ht="11.5">
      <c r="A1281" s="5"/>
      <c r="B1281" s="173"/>
      <c r="C1281" s="167"/>
      <c r="D1281" s="88"/>
      <c r="E1281" s="174"/>
      <c r="F1281" s="9"/>
      <c r="G1281" s="10"/>
      <c r="H1281" s="9"/>
      <c r="I1281" s="10"/>
      <c r="J1281" s="152"/>
      <c r="K1281" s="10"/>
      <c r="L1281" s="152"/>
      <c r="M1281" s="10"/>
      <c r="N1281" s="152"/>
      <c r="O1281" s="10"/>
      <c r="P1281" s="152"/>
      <c r="Q1281" s="10"/>
      <c r="R1281" s="9"/>
      <c r="S1281" s="10"/>
      <c r="T1281" s="9"/>
      <c r="U1281" s="10"/>
      <c r="V1281" s="9"/>
      <c r="W1281" s="10"/>
      <c r="X1281" s="9"/>
      <c r="Y1281" s="10"/>
      <c r="Z1281" s="9"/>
      <c r="AA1281" s="10"/>
      <c r="AB1281" s="11"/>
      <c r="AC1281" s="10"/>
      <c r="AD1281" s="7">
        <f>SUM(F1281+H1281+J1281+L1281+N1281+P1281+R1281+T1281+V1281+X1281+Z1281+AB1281)</f>
        <v>0</v>
      </c>
      <c r="AE1281" s="7">
        <f>E1281+AD1281</f>
        <v>0</v>
      </c>
      <c r="AF1281" s="8">
        <f>G1281+I1281+K1281+M1281+O1281+Q1281+S1281+U1281+W1281+Y1281+AA1281+AC1281</f>
        <v>0</v>
      </c>
      <c r="AG1281" s="153">
        <f>SUM(AE1281-AF1281)</f>
        <v>0</v>
      </c>
    </row>
    <row r="1282" spans="1:42" customHeight="1" ht="11.5">
      <c r="A1282" s="5"/>
      <c r="B1282" s="173"/>
      <c r="C1282" s="167"/>
      <c r="D1282" s="88"/>
      <c r="E1282" s="174"/>
      <c r="F1282" s="9"/>
      <c r="G1282" s="10"/>
      <c r="H1282" s="9"/>
      <c r="I1282" s="10"/>
      <c r="J1282" s="152"/>
      <c r="K1282" s="10"/>
      <c r="L1282" s="152"/>
      <c r="M1282" s="10"/>
      <c r="N1282" s="152"/>
      <c r="O1282" s="10"/>
      <c r="P1282" s="152"/>
      <c r="Q1282" s="10"/>
      <c r="R1282" s="9"/>
      <c r="S1282" s="10"/>
      <c r="T1282" s="9"/>
      <c r="U1282" s="10"/>
      <c r="V1282" s="9"/>
      <c r="W1282" s="10"/>
      <c r="X1282" s="9"/>
      <c r="Y1282" s="10"/>
      <c r="Z1282" s="9"/>
      <c r="AA1282" s="10"/>
      <c r="AB1282" s="11"/>
      <c r="AC1282" s="10"/>
      <c r="AD1282" s="7">
        <f>SUM(F1282+H1282+J1282+L1282+N1282+P1282+R1282+T1282+V1282+X1282+Z1282+AB1282)</f>
        <v>0</v>
      </c>
      <c r="AE1282" s="7">
        <f>E1282+AD1282</f>
        <v>0</v>
      </c>
      <c r="AF1282" s="8">
        <f>G1282+I1282+K1282+M1282+O1282+Q1282+S1282+U1282+W1282+Y1282+AA1282+AC1282</f>
        <v>0</v>
      </c>
      <c r="AG1282" s="153">
        <f>SUM(AE1282-AF1282)</f>
        <v>0</v>
      </c>
    </row>
    <row r="1283" spans="1:42" customHeight="1" ht="11.5">
      <c r="A1283" s="5"/>
      <c r="B1283" s="173"/>
      <c r="C1283" s="167"/>
      <c r="D1283" s="88"/>
      <c r="E1283" s="174"/>
      <c r="F1283" s="9"/>
      <c r="G1283" s="10"/>
      <c r="H1283" s="9"/>
      <c r="I1283" s="10"/>
      <c r="J1283" s="152"/>
      <c r="K1283" s="10"/>
      <c r="L1283" s="152"/>
      <c r="M1283" s="10"/>
      <c r="N1283" s="152"/>
      <c r="O1283" s="10"/>
      <c r="P1283" s="152"/>
      <c r="Q1283" s="10"/>
      <c r="R1283" s="9"/>
      <c r="S1283" s="10"/>
      <c r="T1283" s="9"/>
      <c r="U1283" s="10"/>
      <c r="V1283" s="9"/>
      <c r="W1283" s="10"/>
      <c r="X1283" s="9"/>
      <c r="Y1283" s="10"/>
      <c r="Z1283" s="9"/>
      <c r="AA1283" s="10"/>
      <c r="AB1283" s="11"/>
      <c r="AC1283" s="10"/>
      <c r="AD1283" s="7">
        <f>SUM(F1283+H1283+J1283+L1283+N1283+P1283+R1283+T1283+V1283+X1283+Z1283+AB1283)</f>
        <v>0</v>
      </c>
      <c r="AE1283" s="7">
        <f>E1283+AD1283</f>
        <v>0</v>
      </c>
      <c r="AF1283" s="8">
        <f>G1283+I1283+K1283+M1283+O1283+Q1283+S1283+U1283+W1283+Y1283+AA1283+AC1283</f>
        <v>0</v>
      </c>
      <c r="AG1283" s="153">
        <f>SUM(AE1283-AF1283)</f>
        <v>0</v>
      </c>
    </row>
    <row r="1284" spans="1:42" customHeight="1" ht="11.5">
      <c r="A1284" s="5"/>
      <c r="B1284" s="173"/>
      <c r="C1284" s="167"/>
      <c r="D1284" s="88"/>
      <c r="E1284" s="174"/>
      <c r="F1284" s="9"/>
      <c r="G1284" s="10"/>
      <c r="H1284" s="9"/>
      <c r="I1284" s="10"/>
      <c r="J1284" s="152"/>
      <c r="K1284" s="10"/>
      <c r="L1284" s="152"/>
      <c r="M1284" s="10"/>
      <c r="N1284" s="152"/>
      <c r="O1284" s="10"/>
      <c r="P1284" s="152"/>
      <c r="Q1284" s="10"/>
      <c r="R1284" s="9"/>
      <c r="S1284" s="10"/>
      <c r="T1284" s="9"/>
      <c r="U1284" s="10"/>
      <c r="V1284" s="9"/>
      <c r="W1284" s="10"/>
      <c r="X1284" s="9"/>
      <c r="Y1284" s="10"/>
      <c r="Z1284" s="9"/>
      <c r="AA1284" s="10"/>
      <c r="AB1284" s="11"/>
      <c r="AC1284" s="10"/>
      <c r="AD1284" s="7">
        <f>SUM(F1284+H1284+J1284+L1284+N1284+P1284+R1284+T1284+V1284+X1284+Z1284+AB1284)</f>
        <v>0</v>
      </c>
      <c r="AE1284" s="7">
        <f>E1284+AD1284</f>
        <v>0</v>
      </c>
      <c r="AF1284" s="8">
        <f>G1284+I1284+K1284+M1284+O1284+Q1284+S1284+U1284+W1284+Y1284+AA1284+AC1284</f>
        <v>0</v>
      </c>
      <c r="AG1284" s="153">
        <f>SUM(AE1284-AF1284)</f>
        <v>0</v>
      </c>
    </row>
    <row r="1285" spans="1:42" customHeight="1" ht="11.5">
      <c r="A1285" s="5"/>
      <c r="B1285" s="173"/>
      <c r="C1285" s="167"/>
      <c r="D1285" s="88"/>
      <c r="E1285" s="174"/>
      <c r="F1285" s="9"/>
      <c r="G1285" s="10"/>
      <c r="H1285" s="9"/>
      <c r="I1285" s="10"/>
      <c r="J1285" s="152"/>
      <c r="K1285" s="10"/>
      <c r="L1285" s="152"/>
      <c r="M1285" s="10"/>
      <c r="N1285" s="152"/>
      <c r="O1285" s="10"/>
      <c r="P1285" s="152"/>
      <c r="Q1285" s="10"/>
      <c r="R1285" s="9"/>
      <c r="S1285" s="10"/>
      <c r="T1285" s="9"/>
      <c r="U1285" s="10"/>
      <c r="V1285" s="9"/>
      <c r="W1285" s="10"/>
      <c r="X1285" s="9"/>
      <c r="Y1285" s="10"/>
      <c r="Z1285" s="9"/>
      <c r="AA1285" s="10"/>
      <c r="AB1285" s="11"/>
      <c r="AC1285" s="10"/>
      <c r="AD1285" s="7">
        <f>SUM(F1285+H1285+J1285+L1285+N1285+P1285+R1285+T1285+V1285+X1285+Z1285+AB1285)</f>
        <v>0</v>
      </c>
      <c r="AE1285" s="7">
        <f>E1285+AD1285</f>
        <v>0</v>
      </c>
      <c r="AF1285" s="8">
        <f>G1285+I1285+K1285+M1285+O1285+Q1285+S1285+U1285+W1285+Y1285+AA1285+AC1285</f>
        <v>0</v>
      </c>
      <c r="AG1285" s="153">
        <f>SUM(AE1285-AF1285)</f>
        <v>0</v>
      </c>
    </row>
    <row r="1286" spans="1:42" customHeight="1" ht="11.5">
      <c r="A1286" s="5"/>
      <c r="B1286" s="173"/>
      <c r="C1286" s="167"/>
      <c r="D1286" s="88"/>
      <c r="E1286" s="174"/>
      <c r="F1286" s="9"/>
      <c r="G1286" s="10"/>
      <c r="H1286" s="9"/>
      <c r="I1286" s="10"/>
      <c r="J1286" s="152"/>
      <c r="K1286" s="10"/>
      <c r="L1286" s="152"/>
      <c r="M1286" s="10"/>
      <c r="N1286" s="152"/>
      <c r="O1286" s="10"/>
      <c r="P1286" s="152"/>
      <c r="Q1286" s="10"/>
      <c r="R1286" s="9"/>
      <c r="S1286" s="10"/>
      <c r="T1286" s="9"/>
      <c r="U1286" s="10"/>
      <c r="V1286" s="9"/>
      <c r="W1286" s="10"/>
      <c r="X1286" s="9"/>
      <c r="Y1286" s="10"/>
      <c r="Z1286" s="9"/>
      <c r="AA1286" s="10"/>
      <c r="AB1286" s="11"/>
      <c r="AC1286" s="10"/>
      <c r="AD1286" s="7">
        <f>SUM(F1286+H1286+J1286+L1286+N1286+P1286+R1286+T1286+V1286+X1286+Z1286+AB1286)</f>
        <v>0</v>
      </c>
      <c r="AE1286" s="7">
        <f>E1286+AD1286</f>
        <v>0</v>
      </c>
      <c r="AF1286" s="8">
        <f>G1286+I1286+K1286+M1286+O1286+Q1286+S1286+U1286+W1286+Y1286+AA1286+AC1286</f>
        <v>0</v>
      </c>
      <c r="AG1286" s="153">
        <f>SUM(AE1286-AF1286)</f>
        <v>0</v>
      </c>
    </row>
    <row r="1287" spans="1:42" customHeight="1" ht="11.5">
      <c r="A1287" s="5"/>
      <c r="B1287" s="173"/>
      <c r="C1287" s="167"/>
      <c r="D1287" s="88"/>
      <c r="E1287" s="174"/>
      <c r="F1287" s="9"/>
      <c r="G1287" s="10"/>
      <c r="H1287" s="9"/>
      <c r="I1287" s="10"/>
      <c r="J1287" s="152"/>
      <c r="K1287" s="10"/>
      <c r="L1287" s="152"/>
      <c r="M1287" s="10"/>
      <c r="N1287" s="152"/>
      <c r="O1287" s="10"/>
      <c r="P1287" s="152"/>
      <c r="Q1287" s="10"/>
      <c r="R1287" s="9"/>
      <c r="S1287" s="10"/>
      <c r="T1287" s="9"/>
      <c r="U1287" s="10"/>
      <c r="V1287" s="9"/>
      <c r="W1287" s="10"/>
      <c r="X1287" s="9"/>
      <c r="Y1287" s="10"/>
      <c r="Z1287" s="9"/>
      <c r="AA1287" s="10"/>
      <c r="AB1287" s="11"/>
      <c r="AC1287" s="10"/>
      <c r="AD1287" s="7">
        <f>SUM(F1287+H1287+J1287+L1287+N1287+P1287+R1287+T1287+V1287+X1287+Z1287+AB1287)</f>
        <v>0</v>
      </c>
      <c r="AE1287" s="7">
        <f>E1287+AD1287</f>
        <v>0</v>
      </c>
      <c r="AF1287" s="8">
        <f>G1287+I1287+K1287+M1287+O1287+Q1287+S1287+U1287+W1287+Y1287+AA1287+AC1287</f>
        <v>0</v>
      </c>
      <c r="AG1287" s="153">
        <f>SUM(AE1287-AF1287)</f>
        <v>0</v>
      </c>
    </row>
    <row r="1288" spans="1:42" customHeight="1" ht="11.5">
      <c r="A1288" s="5"/>
      <c r="B1288" s="173"/>
      <c r="C1288" s="167"/>
      <c r="D1288" s="88"/>
      <c r="E1288" s="174"/>
      <c r="F1288" s="9"/>
      <c r="G1288" s="10"/>
      <c r="H1288" s="9"/>
      <c r="I1288" s="10"/>
      <c r="J1288" s="152"/>
      <c r="K1288" s="10"/>
      <c r="L1288" s="152"/>
      <c r="M1288" s="10"/>
      <c r="N1288" s="152"/>
      <c r="O1288" s="10"/>
      <c r="P1288" s="152"/>
      <c r="Q1288" s="10"/>
      <c r="R1288" s="9"/>
      <c r="S1288" s="10"/>
      <c r="T1288" s="9"/>
      <c r="U1288" s="10"/>
      <c r="V1288" s="9"/>
      <c r="W1288" s="10"/>
      <c r="X1288" s="9"/>
      <c r="Y1288" s="10"/>
      <c r="Z1288" s="9"/>
      <c r="AA1288" s="10"/>
      <c r="AB1288" s="11"/>
      <c r="AC1288" s="10"/>
      <c r="AD1288" s="7">
        <f>SUM(F1288+H1288+J1288+L1288+N1288+P1288+R1288+T1288+V1288+X1288+Z1288+AB1288)</f>
        <v>0</v>
      </c>
      <c r="AE1288" s="7">
        <f>E1288+AD1288</f>
        <v>0</v>
      </c>
      <c r="AF1288" s="8">
        <f>G1288+I1288+K1288+M1288+O1288+Q1288+S1288+U1288+W1288+Y1288+AA1288+AC1288</f>
        <v>0</v>
      </c>
      <c r="AG1288" s="153">
        <f>SUM(AE1288-AF1288)</f>
        <v>0</v>
      </c>
    </row>
    <row r="1289" spans="1:42" customHeight="1" ht="11.5">
      <c r="A1289" s="5"/>
      <c r="B1289" s="173"/>
      <c r="C1289" s="167"/>
      <c r="D1289" s="88"/>
      <c r="E1289" s="174"/>
      <c r="F1289" s="9"/>
      <c r="G1289" s="10"/>
      <c r="H1289" s="9"/>
      <c r="I1289" s="10"/>
      <c r="J1289" s="152"/>
      <c r="K1289" s="10"/>
      <c r="L1289" s="152"/>
      <c r="M1289" s="10"/>
      <c r="N1289" s="152"/>
      <c r="O1289" s="10"/>
      <c r="P1289" s="152"/>
      <c r="Q1289" s="10"/>
      <c r="R1289" s="9"/>
      <c r="S1289" s="10"/>
      <c r="T1289" s="9"/>
      <c r="U1289" s="10"/>
      <c r="V1289" s="9"/>
      <c r="W1289" s="10"/>
      <c r="X1289" s="9"/>
      <c r="Y1289" s="10"/>
      <c r="Z1289" s="9"/>
      <c r="AA1289" s="10"/>
      <c r="AB1289" s="11"/>
      <c r="AC1289" s="10"/>
      <c r="AD1289" s="7">
        <f>SUM(F1289+H1289+J1289+L1289+N1289+P1289+R1289+T1289+V1289+X1289+Z1289+AB1289)</f>
        <v>0</v>
      </c>
      <c r="AE1289" s="7">
        <f>E1289+AD1289</f>
        <v>0</v>
      </c>
      <c r="AF1289" s="8">
        <f>G1289+I1289+K1289+M1289+O1289+Q1289+S1289+U1289+W1289+Y1289+AA1289+AC1289</f>
        <v>0</v>
      </c>
      <c r="AG1289" s="153">
        <f>SUM(AE1289-AF1289)</f>
        <v>0</v>
      </c>
    </row>
    <row r="1290" spans="1:42" customHeight="1" ht="11.5">
      <c r="A1290" s="5"/>
      <c r="B1290" s="173"/>
      <c r="C1290" s="167"/>
      <c r="D1290" s="88"/>
      <c r="E1290" s="174"/>
      <c r="F1290" s="9"/>
      <c r="G1290" s="10"/>
      <c r="H1290" s="9"/>
      <c r="I1290" s="10"/>
      <c r="J1290" s="152"/>
      <c r="K1290" s="10"/>
      <c r="L1290" s="152"/>
      <c r="M1290" s="10"/>
      <c r="N1290" s="152"/>
      <c r="O1290" s="10"/>
      <c r="P1290" s="152"/>
      <c r="Q1290" s="10"/>
      <c r="R1290" s="9"/>
      <c r="S1290" s="10"/>
      <c r="T1290" s="9"/>
      <c r="U1290" s="10"/>
      <c r="V1290" s="9"/>
      <c r="W1290" s="10"/>
      <c r="X1290" s="9"/>
      <c r="Y1290" s="10"/>
      <c r="Z1290" s="9"/>
      <c r="AA1290" s="10"/>
      <c r="AB1290" s="11"/>
      <c r="AC1290" s="10"/>
      <c r="AD1290" s="7">
        <f>SUM(F1290+H1290+J1290+L1290+N1290+P1290+R1290+T1290+V1290+X1290+Z1290+AB1290)</f>
        <v>0</v>
      </c>
      <c r="AE1290" s="7">
        <f>E1290+AD1290</f>
        <v>0</v>
      </c>
      <c r="AF1290" s="8">
        <f>G1290+I1290+K1290+M1290+O1290+Q1290+S1290+U1290+W1290+Y1290+AA1290+AC1290</f>
        <v>0</v>
      </c>
      <c r="AG1290" s="153">
        <f>SUM(AE1290-AF1290)</f>
        <v>0</v>
      </c>
    </row>
    <row r="1291" spans="1:42" customHeight="1" ht="11.5">
      <c r="A1291" s="5"/>
      <c r="B1291" s="173"/>
      <c r="C1291" s="167"/>
      <c r="D1291" s="88"/>
      <c r="E1291" s="174"/>
      <c r="F1291" s="9"/>
      <c r="G1291" s="10"/>
      <c r="H1291" s="9"/>
      <c r="I1291" s="10"/>
      <c r="J1291" s="152"/>
      <c r="K1291" s="10"/>
      <c r="L1291" s="152"/>
      <c r="M1291" s="10"/>
      <c r="N1291" s="152"/>
      <c r="O1291" s="10"/>
      <c r="P1291" s="152"/>
      <c r="Q1291" s="10"/>
      <c r="R1291" s="9"/>
      <c r="S1291" s="10"/>
      <c r="T1291" s="9"/>
      <c r="U1291" s="10"/>
      <c r="V1291" s="9"/>
      <c r="W1291" s="10"/>
      <c r="X1291" s="9"/>
      <c r="Y1291" s="10"/>
      <c r="Z1291" s="9"/>
      <c r="AA1291" s="10"/>
      <c r="AB1291" s="11"/>
      <c r="AC1291" s="10"/>
      <c r="AD1291" s="7">
        <f>SUM(F1291+H1291+J1291+L1291+N1291+P1291+R1291+T1291+V1291+X1291+Z1291+AB1291)</f>
        <v>0</v>
      </c>
      <c r="AE1291" s="7">
        <f>E1291+AD1291</f>
        <v>0</v>
      </c>
      <c r="AF1291" s="8">
        <f>G1291+I1291+K1291+M1291+O1291+Q1291+S1291+U1291+W1291+Y1291+AA1291+AC1291</f>
        <v>0</v>
      </c>
      <c r="AG1291" s="153">
        <f>SUM(AE1291-AF1291)</f>
        <v>0</v>
      </c>
    </row>
    <row r="1292" spans="1:42" customHeight="1" ht="11.5">
      <c r="A1292" s="5"/>
      <c r="B1292" s="173"/>
      <c r="C1292" s="167"/>
      <c r="D1292" s="88"/>
      <c r="E1292" s="174"/>
      <c r="F1292" s="9"/>
      <c r="G1292" s="10"/>
      <c r="H1292" s="9"/>
      <c r="I1292" s="10"/>
      <c r="J1292" s="152"/>
      <c r="K1292" s="10"/>
      <c r="L1292" s="152"/>
      <c r="M1292" s="10"/>
      <c r="N1292" s="152"/>
      <c r="O1292" s="10"/>
      <c r="P1292" s="152"/>
      <c r="Q1292" s="10"/>
      <c r="R1292" s="9"/>
      <c r="S1292" s="10"/>
      <c r="T1292" s="9"/>
      <c r="U1292" s="10"/>
      <c r="V1292" s="9"/>
      <c r="W1292" s="10"/>
      <c r="X1292" s="9"/>
      <c r="Y1292" s="10"/>
      <c r="Z1292" s="9"/>
      <c r="AA1292" s="10"/>
      <c r="AB1292" s="11"/>
      <c r="AC1292" s="10"/>
      <c r="AD1292" s="7">
        <f>SUM(F1292+H1292+J1292+L1292+N1292+P1292+R1292+T1292+V1292+X1292+Z1292+AB1292)</f>
        <v>0</v>
      </c>
      <c r="AE1292" s="7">
        <f>E1292+AD1292</f>
        <v>0</v>
      </c>
      <c r="AF1292" s="8">
        <f>G1292+I1292+K1292+M1292+O1292+Q1292+S1292+U1292+W1292+Y1292+AA1292+AC1292</f>
        <v>0</v>
      </c>
      <c r="AG1292" s="153">
        <f>SUM(AE1292-AF1292)</f>
        <v>0</v>
      </c>
    </row>
    <row r="1293" spans="1:42" customHeight="1" ht="11.5">
      <c r="A1293" s="5"/>
      <c r="B1293" s="173"/>
      <c r="C1293" s="167"/>
      <c r="D1293" s="88"/>
      <c r="E1293" s="174"/>
      <c r="F1293" s="9"/>
      <c r="G1293" s="10"/>
      <c r="H1293" s="9"/>
      <c r="I1293" s="10"/>
      <c r="J1293" s="152"/>
      <c r="K1293" s="10"/>
      <c r="L1293" s="152"/>
      <c r="M1293" s="10"/>
      <c r="N1293" s="152"/>
      <c r="O1293" s="10"/>
      <c r="P1293" s="152"/>
      <c r="Q1293" s="10"/>
      <c r="R1293" s="9"/>
      <c r="S1293" s="10"/>
      <c r="T1293" s="9"/>
      <c r="U1293" s="10"/>
      <c r="V1293" s="9"/>
      <c r="W1293" s="10"/>
      <c r="X1293" s="9"/>
      <c r="Y1293" s="10"/>
      <c r="Z1293" s="9"/>
      <c r="AA1293" s="10"/>
      <c r="AB1293" s="11"/>
      <c r="AC1293" s="10"/>
      <c r="AD1293" s="7">
        <f>SUM(F1293+H1293+J1293+L1293+N1293+P1293+R1293+T1293+V1293+X1293+Z1293+AB1293)</f>
        <v>0</v>
      </c>
      <c r="AE1293" s="7">
        <f>E1293+AD1293</f>
        <v>0</v>
      </c>
      <c r="AF1293" s="8">
        <f>G1293+I1293+K1293+M1293+O1293+Q1293+S1293+U1293+W1293+Y1293+AA1293+AC1293</f>
        <v>0</v>
      </c>
      <c r="AG1293" s="153">
        <f>SUM(AE1293-AF1293)</f>
        <v>0</v>
      </c>
    </row>
    <row r="1294" spans="1:42" customHeight="1" ht="11.5">
      <c r="A1294" s="5"/>
      <c r="B1294" s="173"/>
      <c r="C1294" s="167"/>
      <c r="D1294" s="88"/>
      <c r="E1294" s="174"/>
      <c r="F1294" s="9"/>
      <c r="G1294" s="10"/>
      <c r="H1294" s="9"/>
      <c r="I1294" s="10"/>
      <c r="J1294" s="152"/>
      <c r="K1294" s="10"/>
      <c r="L1294" s="152"/>
      <c r="M1294" s="10"/>
      <c r="N1294" s="152"/>
      <c r="O1294" s="10"/>
      <c r="P1294" s="152"/>
      <c r="Q1294" s="10"/>
      <c r="R1294" s="9"/>
      <c r="S1294" s="10"/>
      <c r="T1294" s="9"/>
      <c r="U1294" s="10"/>
      <c r="V1294" s="9"/>
      <c r="W1294" s="10"/>
      <c r="X1294" s="9"/>
      <c r="Y1294" s="10"/>
      <c r="Z1294" s="9"/>
      <c r="AA1294" s="10"/>
      <c r="AB1294" s="11"/>
      <c r="AC1294" s="10"/>
      <c r="AD1294" s="7">
        <f>SUM(F1294+H1294+J1294+L1294+N1294+P1294+R1294+T1294+V1294+X1294+Z1294+AB1294)</f>
        <v>0</v>
      </c>
      <c r="AE1294" s="7">
        <f>E1294+AD1294</f>
        <v>0</v>
      </c>
      <c r="AF1294" s="8">
        <f>G1294+I1294+K1294+M1294+O1294+Q1294+S1294+U1294+W1294+Y1294+AA1294+AC1294</f>
        <v>0</v>
      </c>
      <c r="AG1294" s="153">
        <f>SUM(AE1294-AF1294)</f>
        <v>0</v>
      </c>
    </row>
    <row r="1295" spans="1:42" customHeight="1" ht="11.5">
      <c r="A1295" s="5"/>
      <c r="B1295" s="173"/>
      <c r="C1295" s="167"/>
      <c r="D1295" s="88"/>
      <c r="E1295" s="174"/>
      <c r="F1295" s="9"/>
      <c r="G1295" s="10"/>
      <c r="H1295" s="9"/>
      <c r="I1295" s="10"/>
      <c r="J1295" s="152"/>
      <c r="K1295" s="10"/>
      <c r="L1295" s="152"/>
      <c r="M1295" s="10"/>
      <c r="N1295" s="152"/>
      <c r="O1295" s="10"/>
      <c r="P1295" s="152"/>
      <c r="Q1295" s="10"/>
      <c r="R1295" s="9"/>
      <c r="S1295" s="10"/>
      <c r="T1295" s="9"/>
      <c r="U1295" s="10"/>
      <c r="V1295" s="9"/>
      <c r="W1295" s="10"/>
      <c r="X1295" s="9"/>
      <c r="Y1295" s="10"/>
      <c r="Z1295" s="9"/>
      <c r="AA1295" s="10"/>
      <c r="AB1295" s="11"/>
      <c r="AC1295" s="10"/>
      <c r="AD1295" s="7">
        <f>SUM(F1295+H1295+J1295+L1295+N1295+P1295+R1295+T1295+V1295+X1295+Z1295+AB1295)</f>
        <v>0</v>
      </c>
      <c r="AE1295" s="7">
        <f>E1295+AD1295</f>
        <v>0</v>
      </c>
      <c r="AF1295" s="8">
        <f>G1295+I1295+K1295+M1295+O1295+Q1295+S1295+U1295+W1295+Y1295+AA1295+AC1295</f>
        <v>0</v>
      </c>
      <c r="AG1295" s="153">
        <f>SUM(AE1295-AF1295)</f>
        <v>0</v>
      </c>
    </row>
    <row r="1296" spans="1:42" customHeight="1" ht="11.5">
      <c r="A1296" s="5"/>
      <c r="B1296" s="173"/>
      <c r="C1296" s="167"/>
      <c r="D1296" s="88"/>
      <c r="E1296" s="174"/>
      <c r="F1296" s="9"/>
      <c r="G1296" s="10"/>
      <c r="H1296" s="9"/>
      <c r="I1296" s="10"/>
      <c r="J1296" s="152"/>
      <c r="K1296" s="10"/>
      <c r="L1296" s="152"/>
      <c r="M1296" s="10"/>
      <c r="N1296" s="152"/>
      <c r="O1296" s="10"/>
      <c r="P1296" s="152"/>
      <c r="Q1296" s="10"/>
      <c r="R1296" s="9"/>
      <c r="S1296" s="10"/>
      <c r="T1296" s="9"/>
      <c r="U1296" s="10"/>
      <c r="V1296" s="9"/>
      <c r="W1296" s="10"/>
      <c r="X1296" s="9"/>
      <c r="Y1296" s="10"/>
      <c r="Z1296" s="9"/>
      <c r="AA1296" s="10"/>
      <c r="AB1296" s="11"/>
      <c r="AC1296" s="10"/>
      <c r="AD1296" s="7">
        <f>SUM(F1296+H1296+J1296+L1296+N1296+P1296+R1296+T1296+V1296+X1296+Z1296+AB1296)</f>
        <v>0</v>
      </c>
      <c r="AE1296" s="7">
        <f>E1296+AD1296</f>
        <v>0</v>
      </c>
      <c r="AF1296" s="8">
        <f>G1296+I1296+K1296+M1296+O1296+Q1296+S1296+U1296+W1296+Y1296+AA1296+AC1296</f>
        <v>0</v>
      </c>
      <c r="AG1296" s="153">
        <f>SUM(AE1296-AF1296)</f>
        <v>0</v>
      </c>
    </row>
    <row r="1297" spans="1:42" customHeight="1" ht="11.5">
      <c r="A1297" s="5"/>
      <c r="B1297" s="173"/>
      <c r="C1297" s="167"/>
      <c r="D1297" s="88"/>
      <c r="E1297" s="174"/>
      <c r="F1297" s="9"/>
      <c r="G1297" s="10"/>
      <c r="H1297" s="9"/>
      <c r="I1297" s="10"/>
      <c r="J1297" s="152"/>
      <c r="K1297" s="10"/>
      <c r="L1297" s="152"/>
      <c r="M1297" s="10"/>
      <c r="N1297" s="152"/>
      <c r="O1297" s="10"/>
      <c r="P1297" s="152"/>
      <c r="Q1297" s="10"/>
      <c r="R1297" s="9"/>
      <c r="S1297" s="10"/>
      <c r="T1297" s="9"/>
      <c r="U1297" s="10"/>
      <c r="V1297" s="9"/>
      <c r="W1297" s="10"/>
      <c r="X1297" s="9"/>
      <c r="Y1297" s="10"/>
      <c r="Z1297" s="9"/>
      <c r="AA1297" s="10"/>
      <c r="AB1297" s="11"/>
      <c r="AC1297" s="10"/>
      <c r="AD1297" s="7">
        <f>SUM(F1297+H1297+J1297+L1297+N1297+P1297+R1297+T1297+V1297+X1297+Z1297+AB1297)</f>
        <v>0</v>
      </c>
      <c r="AE1297" s="7">
        <f>E1297+AD1297</f>
        <v>0</v>
      </c>
      <c r="AF1297" s="8">
        <f>G1297+I1297+K1297+M1297+O1297+Q1297+S1297+U1297+W1297+Y1297+AA1297+AC1297</f>
        <v>0</v>
      </c>
      <c r="AG1297" s="153">
        <f>SUM(AE1297-AF1297)</f>
        <v>0</v>
      </c>
    </row>
    <row r="1298" spans="1:42" customHeight="1" ht="11.5">
      <c r="A1298" s="5"/>
      <c r="B1298" s="173"/>
      <c r="C1298" s="167"/>
      <c r="D1298" s="88"/>
      <c r="E1298" s="174"/>
      <c r="F1298" s="9"/>
      <c r="G1298" s="10"/>
      <c r="H1298" s="9"/>
      <c r="I1298" s="10"/>
      <c r="J1298" s="152"/>
      <c r="K1298" s="10"/>
      <c r="L1298" s="152"/>
      <c r="M1298" s="10"/>
      <c r="N1298" s="152"/>
      <c r="O1298" s="10"/>
      <c r="P1298" s="152"/>
      <c r="Q1298" s="10"/>
      <c r="R1298" s="9"/>
      <c r="S1298" s="10"/>
      <c r="T1298" s="9"/>
      <c r="U1298" s="10"/>
      <c r="V1298" s="9"/>
      <c r="W1298" s="10"/>
      <c r="X1298" s="9"/>
      <c r="Y1298" s="10"/>
      <c r="Z1298" s="9"/>
      <c r="AA1298" s="10"/>
      <c r="AB1298" s="11"/>
      <c r="AC1298" s="10"/>
      <c r="AD1298" s="7">
        <f>SUM(F1298+H1298+J1298+L1298+N1298+P1298+R1298+T1298+V1298+X1298+Z1298+AB1298)</f>
        <v>0</v>
      </c>
      <c r="AE1298" s="7">
        <f>E1298+AD1298</f>
        <v>0</v>
      </c>
      <c r="AF1298" s="8">
        <f>G1298+I1298+K1298+M1298+O1298+Q1298+S1298+U1298+W1298+Y1298+AA1298+AC1298</f>
        <v>0</v>
      </c>
      <c r="AG1298" s="153">
        <f>SUM(AE1298-AF1298)</f>
        <v>0</v>
      </c>
    </row>
    <row r="1299" spans="1:42" customHeight="1" ht="11.5">
      <c r="A1299" s="5"/>
      <c r="B1299" s="173"/>
      <c r="C1299" s="167"/>
      <c r="D1299" s="88"/>
      <c r="E1299" s="174"/>
      <c r="F1299" s="9"/>
      <c r="G1299" s="10"/>
      <c r="H1299" s="9"/>
      <c r="I1299" s="10"/>
      <c r="J1299" s="152"/>
      <c r="K1299" s="10"/>
      <c r="L1299" s="152"/>
      <c r="M1299" s="10"/>
      <c r="N1299" s="152"/>
      <c r="O1299" s="10"/>
      <c r="P1299" s="152"/>
      <c r="Q1299" s="10"/>
      <c r="R1299" s="9"/>
      <c r="S1299" s="10"/>
      <c r="T1299" s="9"/>
      <c r="U1299" s="10"/>
      <c r="V1299" s="9"/>
      <c r="W1299" s="10"/>
      <c r="X1299" s="9"/>
      <c r="Y1299" s="10"/>
      <c r="Z1299" s="9"/>
      <c r="AA1299" s="10"/>
      <c r="AB1299" s="11"/>
      <c r="AC1299" s="10"/>
      <c r="AD1299" s="7">
        <f>SUM(F1299+H1299+J1299+L1299+N1299+P1299+R1299+T1299+V1299+X1299+Z1299+AB1299)</f>
        <v>0</v>
      </c>
      <c r="AE1299" s="7">
        <f>E1299+AD1299</f>
        <v>0</v>
      </c>
      <c r="AF1299" s="8">
        <f>G1299+I1299+K1299+M1299+O1299+Q1299+S1299+U1299+W1299+Y1299+AA1299+AC1299</f>
        <v>0</v>
      </c>
      <c r="AG1299" s="153">
        <f>SUM(AE1299-AF1299)</f>
        <v>0</v>
      </c>
    </row>
    <row r="1300" spans="1:42" customHeight="1" ht="11.5">
      <c r="A1300" s="5"/>
      <c r="B1300" s="173"/>
      <c r="C1300" s="167"/>
      <c r="D1300" s="88"/>
      <c r="E1300" s="174"/>
      <c r="F1300" s="9"/>
      <c r="G1300" s="10"/>
      <c r="H1300" s="9"/>
      <c r="I1300" s="10"/>
      <c r="J1300" s="152"/>
      <c r="K1300" s="10"/>
      <c r="L1300" s="152"/>
      <c r="M1300" s="10"/>
      <c r="N1300" s="152"/>
      <c r="O1300" s="10"/>
      <c r="P1300" s="152"/>
      <c r="Q1300" s="10"/>
      <c r="R1300" s="9"/>
      <c r="S1300" s="10"/>
      <c r="T1300" s="9"/>
      <c r="U1300" s="10"/>
      <c r="V1300" s="9"/>
      <c r="W1300" s="10"/>
      <c r="X1300" s="9"/>
      <c r="Y1300" s="10"/>
      <c r="Z1300" s="9"/>
      <c r="AA1300" s="10"/>
      <c r="AB1300" s="11"/>
      <c r="AC1300" s="10"/>
      <c r="AD1300" s="7">
        <f>SUM(F1300+H1300+J1300+L1300+N1300+P1300+R1300+T1300+V1300+X1300+Z1300+AB1300)</f>
        <v>0</v>
      </c>
      <c r="AE1300" s="7">
        <f>E1300+AD1300</f>
        <v>0</v>
      </c>
      <c r="AF1300" s="8">
        <f>G1300+I1300+K1300+M1300+O1300+Q1300+S1300+U1300+W1300+Y1300+AA1300+AC1300</f>
        <v>0</v>
      </c>
      <c r="AG1300" s="153">
        <f>SUM(AE1300-AF1300)</f>
        <v>0</v>
      </c>
    </row>
    <row r="1301" spans="1:42" customHeight="1" ht="11.5">
      <c r="A1301" s="5"/>
      <c r="B1301" s="173"/>
      <c r="C1301" s="167"/>
      <c r="D1301" s="88"/>
      <c r="E1301" s="174"/>
      <c r="F1301" s="9"/>
      <c r="G1301" s="10"/>
      <c r="H1301" s="9"/>
      <c r="I1301" s="10"/>
      <c r="J1301" s="152"/>
      <c r="K1301" s="10"/>
      <c r="L1301" s="152"/>
      <c r="M1301" s="10"/>
      <c r="N1301" s="152"/>
      <c r="O1301" s="10"/>
      <c r="P1301" s="152"/>
      <c r="Q1301" s="10"/>
      <c r="R1301" s="9"/>
      <c r="S1301" s="10"/>
      <c r="T1301" s="9"/>
      <c r="U1301" s="10"/>
      <c r="V1301" s="9"/>
      <c r="W1301" s="10"/>
      <c r="X1301" s="9"/>
      <c r="Y1301" s="10"/>
      <c r="Z1301" s="9"/>
      <c r="AA1301" s="10"/>
      <c r="AB1301" s="11"/>
      <c r="AC1301" s="10"/>
      <c r="AD1301" s="7">
        <f>SUM(F1301+H1301+J1301+L1301+N1301+P1301+R1301+T1301+V1301+X1301+Z1301+AB1301)</f>
        <v>0</v>
      </c>
      <c r="AE1301" s="7">
        <f>E1301+AD1301</f>
        <v>0</v>
      </c>
      <c r="AF1301" s="8">
        <f>G1301+I1301+K1301+M1301+O1301+Q1301+S1301+U1301+W1301+Y1301+AA1301+AC1301</f>
        <v>0</v>
      </c>
      <c r="AG1301" s="153">
        <f>SUM(AE1301-AF1301)</f>
        <v>0</v>
      </c>
    </row>
    <row r="1302" spans="1:42" customHeight="1" ht="11.5">
      <c r="A1302" s="5"/>
      <c r="B1302" s="173"/>
      <c r="C1302" s="167"/>
      <c r="D1302" s="88"/>
      <c r="E1302" s="174"/>
      <c r="F1302" s="9"/>
      <c r="G1302" s="10"/>
      <c r="H1302" s="9"/>
      <c r="I1302" s="10"/>
      <c r="J1302" s="152"/>
      <c r="K1302" s="10"/>
      <c r="L1302" s="152"/>
      <c r="M1302" s="10"/>
      <c r="N1302" s="152"/>
      <c r="O1302" s="10"/>
      <c r="P1302" s="152"/>
      <c r="Q1302" s="10"/>
      <c r="R1302" s="9"/>
      <c r="S1302" s="10"/>
      <c r="T1302" s="9"/>
      <c r="U1302" s="10"/>
      <c r="V1302" s="9"/>
      <c r="W1302" s="10"/>
      <c r="X1302" s="9"/>
      <c r="Y1302" s="10"/>
      <c r="Z1302" s="9"/>
      <c r="AA1302" s="10"/>
      <c r="AB1302" s="11"/>
      <c r="AC1302" s="10"/>
      <c r="AD1302" s="7">
        <f>SUM(F1302+H1302+J1302+L1302+N1302+P1302+R1302+T1302+V1302+X1302+Z1302+AB1302)</f>
        <v>0</v>
      </c>
      <c r="AE1302" s="7">
        <f>E1302+AD1302</f>
        <v>0</v>
      </c>
      <c r="AF1302" s="8">
        <f>G1302+I1302+K1302+M1302+O1302+Q1302+S1302+U1302+W1302+Y1302+AA1302+AC1302</f>
        <v>0</v>
      </c>
      <c r="AG1302" s="153">
        <f>SUM(AE1302-AF1302)</f>
        <v>0</v>
      </c>
    </row>
    <row r="1303" spans="1:42" customHeight="1" ht="11.5">
      <c r="A1303" s="5"/>
      <c r="B1303" s="173"/>
      <c r="C1303" s="167"/>
      <c r="D1303" s="88"/>
      <c r="E1303" s="174"/>
      <c r="F1303" s="9"/>
      <c r="G1303" s="10"/>
      <c r="H1303" s="9"/>
      <c r="I1303" s="10"/>
      <c r="J1303" s="152"/>
      <c r="K1303" s="10"/>
      <c r="L1303" s="152"/>
      <c r="M1303" s="10"/>
      <c r="N1303" s="152"/>
      <c r="O1303" s="10"/>
      <c r="P1303" s="152"/>
      <c r="Q1303" s="10"/>
      <c r="R1303" s="9"/>
      <c r="S1303" s="10"/>
      <c r="T1303" s="9"/>
      <c r="U1303" s="10"/>
      <c r="V1303" s="9"/>
      <c r="W1303" s="10"/>
      <c r="X1303" s="9"/>
      <c r="Y1303" s="10"/>
      <c r="Z1303" s="9"/>
      <c r="AA1303" s="10"/>
      <c r="AB1303" s="11"/>
      <c r="AC1303" s="10"/>
      <c r="AD1303" s="7">
        <f>SUM(F1303+H1303+J1303+L1303+N1303+P1303+R1303+T1303+V1303+X1303+Z1303+AB1303)</f>
        <v>0</v>
      </c>
      <c r="AE1303" s="7">
        <f>E1303+AD1303</f>
        <v>0</v>
      </c>
      <c r="AF1303" s="8">
        <f>G1303+I1303+K1303+M1303+O1303+Q1303+S1303+U1303+W1303+Y1303+AA1303+AC1303</f>
        <v>0</v>
      </c>
      <c r="AG1303" s="153">
        <f>SUM(AE1303-AF1303)</f>
        <v>0</v>
      </c>
    </row>
    <row r="1304" spans="1:42" customHeight="1" ht="11.5">
      <c r="A1304" s="5"/>
      <c r="B1304" s="173"/>
      <c r="C1304" s="167"/>
      <c r="D1304" s="88"/>
      <c r="E1304" s="174"/>
      <c r="F1304" s="9"/>
      <c r="G1304" s="10"/>
      <c r="H1304" s="9"/>
      <c r="I1304" s="10"/>
      <c r="J1304" s="152"/>
      <c r="K1304" s="10"/>
      <c r="L1304" s="152"/>
      <c r="M1304" s="10"/>
      <c r="N1304" s="152"/>
      <c r="O1304" s="10"/>
      <c r="P1304" s="152"/>
      <c r="Q1304" s="10"/>
      <c r="R1304" s="9"/>
      <c r="S1304" s="10"/>
      <c r="T1304" s="9"/>
      <c r="U1304" s="10"/>
      <c r="V1304" s="9"/>
      <c r="W1304" s="10"/>
      <c r="X1304" s="9"/>
      <c r="Y1304" s="10"/>
      <c r="Z1304" s="9"/>
      <c r="AA1304" s="10"/>
      <c r="AB1304" s="11"/>
      <c r="AC1304" s="10"/>
      <c r="AD1304" s="7">
        <f>SUM(F1304+H1304+J1304+L1304+N1304+P1304+R1304+T1304+V1304+X1304+Z1304+AB1304)</f>
        <v>0</v>
      </c>
      <c r="AE1304" s="7">
        <f>E1304+AD1304</f>
        <v>0</v>
      </c>
      <c r="AF1304" s="8">
        <f>G1304+I1304+K1304+M1304+O1304+Q1304+S1304+U1304+W1304+Y1304+AA1304+AC1304</f>
        <v>0</v>
      </c>
      <c r="AG1304" s="153">
        <f>SUM(AE1304-AF1304)</f>
        <v>0</v>
      </c>
    </row>
    <row r="1305" spans="1:42" customHeight="1" ht="11.5">
      <c r="A1305" s="5"/>
      <c r="B1305" s="173"/>
      <c r="C1305" s="167"/>
      <c r="D1305" s="88"/>
      <c r="E1305" s="174"/>
      <c r="F1305" s="9"/>
      <c r="G1305" s="10"/>
      <c r="H1305" s="9"/>
      <c r="I1305" s="10"/>
      <c r="J1305" s="152"/>
      <c r="K1305" s="10"/>
      <c r="L1305" s="152"/>
      <c r="M1305" s="10"/>
      <c r="N1305" s="152"/>
      <c r="O1305" s="10"/>
      <c r="P1305" s="152"/>
      <c r="Q1305" s="10"/>
      <c r="R1305" s="9"/>
      <c r="S1305" s="10"/>
      <c r="T1305" s="9"/>
      <c r="U1305" s="10"/>
      <c r="V1305" s="9"/>
      <c r="W1305" s="10"/>
      <c r="X1305" s="9"/>
      <c r="Y1305" s="10"/>
      <c r="Z1305" s="9"/>
      <c r="AA1305" s="10"/>
      <c r="AB1305" s="11"/>
      <c r="AC1305" s="10"/>
      <c r="AD1305" s="7">
        <f>SUM(F1305+H1305+J1305+L1305+N1305+P1305+R1305+T1305+V1305+X1305+Z1305+AB1305)</f>
        <v>0</v>
      </c>
      <c r="AE1305" s="7">
        <f>E1305+AD1305</f>
        <v>0</v>
      </c>
      <c r="AF1305" s="8">
        <f>G1305+I1305+K1305+M1305+O1305+Q1305+S1305+U1305+W1305+Y1305+AA1305+AC1305</f>
        <v>0</v>
      </c>
      <c r="AG1305" s="153">
        <f>SUM(AE1305-AF1305)</f>
        <v>0</v>
      </c>
    </row>
    <row r="1306" spans="1:42" customHeight="1" ht="11.5">
      <c r="A1306" s="5"/>
      <c r="B1306" s="173"/>
      <c r="C1306" s="167"/>
      <c r="D1306" s="88"/>
      <c r="E1306" s="174"/>
      <c r="F1306" s="9"/>
      <c r="G1306" s="10"/>
      <c r="H1306" s="9"/>
      <c r="I1306" s="10"/>
      <c r="J1306" s="152"/>
      <c r="K1306" s="10"/>
      <c r="L1306" s="152"/>
      <c r="M1306" s="10"/>
      <c r="N1306" s="152"/>
      <c r="O1306" s="10"/>
      <c r="P1306" s="152"/>
      <c r="Q1306" s="10"/>
      <c r="R1306" s="9"/>
      <c r="S1306" s="10"/>
      <c r="T1306" s="9"/>
      <c r="U1306" s="10"/>
      <c r="V1306" s="9"/>
      <c r="W1306" s="10"/>
      <c r="X1306" s="9"/>
      <c r="Y1306" s="10"/>
      <c r="Z1306" s="9"/>
      <c r="AA1306" s="10"/>
      <c r="AB1306" s="11"/>
      <c r="AC1306" s="10"/>
      <c r="AD1306" s="7">
        <f>SUM(F1306+H1306+J1306+L1306+N1306+P1306+R1306+T1306+V1306+X1306+Z1306+AB1306)</f>
        <v>0</v>
      </c>
      <c r="AE1306" s="7">
        <f>E1306+AD1306</f>
        <v>0</v>
      </c>
      <c r="AF1306" s="8">
        <f>G1306+I1306+K1306+M1306+O1306+Q1306+S1306+U1306+W1306+Y1306+AA1306+AC1306</f>
        <v>0</v>
      </c>
      <c r="AG1306" s="153">
        <f>SUM(AE1306-AF1306)</f>
        <v>0</v>
      </c>
    </row>
    <row r="1307" spans="1:42" customHeight="1" ht="11.5">
      <c r="A1307" s="5"/>
      <c r="B1307" s="173"/>
      <c r="C1307" s="167"/>
      <c r="D1307" s="88"/>
      <c r="E1307" s="174"/>
      <c r="F1307" s="9"/>
      <c r="G1307" s="10"/>
      <c r="H1307" s="9"/>
      <c r="I1307" s="10"/>
      <c r="J1307" s="152"/>
      <c r="K1307" s="10"/>
      <c r="L1307" s="152"/>
      <c r="M1307" s="10"/>
      <c r="N1307" s="152"/>
      <c r="O1307" s="10"/>
      <c r="P1307" s="152"/>
      <c r="Q1307" s="10"/>
      <c r="R1307" s="9"/>
      <c r="S1307" s="10"/>
      <c r="T1307" s="9"/>
      <c r="U1307" s="10"/>
      <c r="V1307" s="9"/>
      <c r="W1307" s="10"/>
      <c r="X1307" s="9"/>
      <c r="Y1307" s="10"/>
      <c r="Z1307" s="9"/>
      <c r="AA1307" s="10"/>
      <c r="AB1307" s="11"/>
      <c r="AC1307" s="10"/>
      <c r="AD1307" s="7">
        <f>SUM(F1307+H1307+J1307+L1307+N1307+P1307+R1307+T1307+V1307+X1307+Z1307+AB1307)</f>
        <v>0</v>
      </c>
      <c r="AE1307" s="7">
        <f>E1307+AD1307</f>
        <v>0</v>
      </c>
      <c r="AF1307" s="8">
        <f>G1307+I1307+K1307+M1307+O1307+Q1307+S1307+U1307+W1307+Y1307+AA1307+AC1307</f>
        <v>0</v>
      </c>
      <c r="AG1307" s="153">
        <f>SUM(AE1307-AF1307)</f>
        <v>0</v>
      </c>
    </row>
    <row r="1308" spans="1:42" customHeight="1" ht="11.5">
      <c r="A1308" s="5"/>
      <c r="B1308" s="173"/>
      <c r="C1308" s="167"/>
      <c r="D1308" s="88"/>
      <c r="E1308" s="174"/>
      <c r="F1308" s="9"/>
      <c r="G1308" s="10"/>
      <c r="H1308" s="9"/>
      <c r="I1308" s="10"/>
      <c r="J1308" s="152"/>
      <c r="K1308" s="10"/>
      <c r="L1308" s="152"/>
      <c r="M1308" s="10"/>
      <c r="N1308" s="152"/>
      <c r="O1308" s="10"/>
      <c r="P1308" s="152"/>
      <c r="Q1308" s="10"/>
      <c r="R1308" s="9"/>
      <c r="S1308" s="10"/>
      <c r="T1308" s="9"/>
      <c r="U1308" s="10"/>
      <c r="V1308" s="9"/>
      <c r="W1308" s="10"/>
      <c r="X1308" s="9"/>
      <c r="Y1308" s="10"/>
      <c r="Z1308" s="9"/>
      <c r="AA1308" s="10"/>
      <c r="AB1308" s="11"/>
      <c r="AC1308" s="10"/>
      <c r="AD1308" s="7">
        <f>SUM(F1308+H1308+J1308+L1308+N1308+P1308+R1308+T1308+V1308+X1308+Z1308+AB1308)</f>
        <v>0</v>
      </c>
      <c r="AE1308" s="7">
        <f>E1308+AD1308</f>
        <v>0</v>
      </c>
      <c r="AF1308" s="8">
        <f>G1308+I1308+K1308+M1308+O1308+Q1308+S1308+U1308+W1308+Y1308+AA1308+AC1308</f>
        <v>0</v>
      </c>
      <c r="AG1308" s="153">
        <f>SUM(AE1308-AF1308)</f>
        <v>0</v>
      </c>
    </row>
    <row r="1309" spans="1:42" customHeight="1" ht="11.5">
      <c r="A1309" s="5"/>
      <c r="B1309" s="173"/>
      <c r="C1309" s="167"/>
      <c r="D1309" s="88"/>
      <c r="E1309" s="174"/>
      <c r="F1309" s="9"/>
      <c r="G1309" s="10"/>
      <c r="H1309" s="9"/>
      <c r="I1309" s="10"/>
      <c r="J1309" s="152"/>
      <c r="K1309" s="10"/>
      <c r="L1309" s="152"/>
      <c r="M1309" s="10"/>
      <c r="N1309" s="152"/>
      <c r="O1309" s="10"/>
      <c r="P1309" s="152"/>
      <c r="Q1309" s="10"/>
      <c r="R1309" s="9"/>
      <c r="S1309" s="10"/>
      <c r="T1309" s="9"/>
      <c r="U1309" s="10"/>
      <c r="V1309" s="9"/>
      <c r="W1309" s="10"/>
      <c r="X1309" s="9"/>
      <c r="Y1309" s="10"/>
      <c r="Z1309" s="9"/>
      <c r="AA1309" s="10"/>
      <c r="AB1309" s="11"/>
      <c r="AC1309" s="10"/>
      <c r="AD1309" s="7">
        <f>SUM(F1309+H1309+J1309+L1309+N1309+P1309+R1309+T1309+V1309+X1309+Z1309+AB1309)</f>
        <v>0</v>
      </c>
      <c r="AE1309" s="7">
        <f>E1309+AD1309</f>
        <v>0</v>
      </c>
      <c r="AF1309" s="8">
        <f>G1309+I1309+K1309+M1309+O1309+Q1309+S1309+U1309+W1309+Y1309+AA1309+AC1309</f>
        <v>0</v>
      </c>
      <c r="AG1309" s="153">
        <f>SUM(AE1309-AF1309)</f>
        <v>0</v>
      </c>
    </row>
    <row r="1310" spans="1:42" customHeight="1" ht="11.5">
      <c r="A1310" s="5"/>
      <c r="B1310" s="173"/>
      <c r="C1310" s="167"/>
      <c r="D1310" s="88"/>
      <c r="E1310" s="174"/>
      <c r="F1310" s="9"/>
      <c r="G1310" s="10"/>
      <c r="H1310" s="9"/>
      <c r="I1310" s="10"/>
      <c r="J1310" s="152"/>
      <c r="K1310" s="10"/>
      <c r="L1310" s="152"/>
      <c r="M1310" s="10"/>
      <c r="N1310" s="152"/>
      <c r="O1310" s="10"/>
      <c r="P1310" s="152"/>
      <c r="Q1310" s="10"/>
      <c r="R1310" s="9"/>
      <c r="S1310" s="10"/>
      <c r="T1310" s="9"/>
      <c r="U1310" s="10"/>
      <c r="V1310" s="9"/>
      <c r="W1310" s="10"/>
      <c r="X1310" s="9"/>
      <c r="Y1310" s="10"/>
      <c r="Z1310" s="9"/>
      <c r="AA1310" s="10"/>
      <c r="AB1310" s="11"/>
      <c r="AC1310" s="10"/>
      <c r="AD1310" s="7">
        <f>SUM(F1310+H1310+J1310+L1310+N1310+P1310+R1310+T1310+V1310+X1310+Z1310+AB1310)</f>
        <v>0</v>
      </c>
      <c r="AE1310" s="7">
        <f>E1310+AD1310</f>
        <v>0</v>
      </c>
      <c r="AF1310" s="8">
        <f>G1310+I1310+K1310+M1310+O1310+Q1310+S1310+U1310+W1310+Y1310+AA1310+AC1310</f>
        <v>0</v>
      </c>
      <c r="AG1310" s="153">
        <f>SUM(AE1310-AF1310)</f>
        <v>0</v>
      </c>
    </row>
    <row r="1311" spans="1:42" customHeight="1" ht="11.5">
      <c r="A1311" s="5"/>
      <c r="B1311" s="173"/>
      <c r="C1311" s="167"/>
      <c r="D1311" s="88"/>
      <c r="E1311" s="174"/>
      <c r="F1311" s="9"/>
      <c r="G1311" s="10"/>
      <c r="H1311" s="9"/>
      <c r="I1311" s="10"/>
      <c r="J1311" s="152"/>
      <c r="K1311" s="10"/>
      <c r="L1311" s="152"/>
      <c r="M1311" s="10"/>
      <c r="N1311" s="152"/>
      <c r="O1311" s="10"/>
      <c r="P1311" s="152"/>
      <c r="Q1311" s="10"/>
      <c r="R1311" s="9"/>
      <c r="S1311" s="10"/>
      <c r="T1311" s="9"/>
      <c r="U1311" s="10"/>
      <c r="V1311" s="9"/>
      <c r="W1311" s="10"/>
      <c r="X1311" s="9"/>
      <c r="Y1311" s="10"/>
      <c r="Z1311" s="9"/>
      <c r="AA1311" s="10"/>
      <c r="AB1311" s="11"/>
      <c r="AC1311" s="10"/>
      <c r="AD1311" s="7">
        <f>SUM(F1311+H1311+J1311+L1311+N1311+P1311+R1311+T1311+V1311+X1311+Z1311+AB1311)</f>
        <v>0</v>
      </c>
      <c r="AE1311" s="7">
        <f>E1311+AD1311</f>
        <v>0</v>
      </c>
      <c r="AF1311" s="8">
        <f>G1311+I1311+K1311+M1311+O1311+Q1311+S1311+U1311+W1311+Y1311+AA1311+AC1311</f>
        <v>0</v>
      </c>
      <c r="AG1311" s="153">
        <f>SUM(AE1311-AF1311)</f>
        <v>0</v>
      </c>
    </row>
    <row r="1312" spans="1:42" customHeight="1" ht="11.5">
      <c r="A1312" s="5"/>
      <c r="B1312" s="173"/>
      <c r="C1312" s="167"/>
      <c r="D1312" s="88"/>
      <c r="E1312" s="174"/>
      <c r="F1312" s="9"/>
      <c r="G1312" s="10"/>
      <c r="H1312" s="9"/>
      <c r="I1312" s="10"/>
      <c r="J1312" s="152"/>
      <c r="K1312" s="10"/>
      <c r="L1312" s="152"/>
      <c r="M1312" s="10"/>
      <c r="N1312" s="152"/>
      <c r="O1312" s="10"/>
      <c r="P1312" s="152"/>
      <c r="Q1312" s="10"/>
      <c r="R1312" s="9"/>
      <c r="S1312" s="10"/>
      <c r="T1312" s="9"/>
      <c r="U1312" s="10"/>
      <c r="V1312" s="9"/>
      <c r="W1312" s="10"/>
      <c r="X1312" s="9"/>
      <c r="Y1312" s="10"/>
      <c r="Z1312" s="9"/>
      <c r="AA1312" s="10"/>
      <c r="AB1312" s="11"/>
      <c r="AC1312" s="10"/>
      <c r="AD1312" s="7">
        <f>SUM(F1312+H1312+J1312+L1312+N1312+P1312+R1312+T1312+V1312+X1312+Z1312+AB1312)</f>
        <v>0</v>
      </c>
      <c r="AE1312" s="7">
        <f>E1312+AD1312</f>
        <v>0</v>
      </c>
      <c r="AF1312" s="8">
        <f>G1312+I1312+K1312+M1312+O1312+Q1312+S1312+U1312+W1312+Y1312+AA1312+AC1312</f>
        <v>0</v>
      </c>
      <c r="AG1312" s="153">
        <f>SUM(AE1312-AF1312)</f>
        <v>0</v>
      </c>
    </row>
    <row r="1313" spans="1:42" customHeight="1" ht="11.5">
      <c r="A1313" s="5"/>
      <c r="B1313" s="173"/>
      <c r="C1313" s="167"/>
      <c r="D1313" s="88"/>
      <c r="E1313" s="174"/>
      <c r="F1313" s="9"/>
      <c r="G1313" s="10"/>
      <c r="H1313" s="9"/>
      <c r="I1313" s="10"/>
      <c r="J1313" s="152"/>
      <c r="K1313" s="10"/>
      <c r="L1313" s="152"/>
      <c r="M1313" s="10"/>
      <c r="N1313" s="152"/>
      <c r="O1313" s="10"/>
      <c r="P1313" s="152"/>
      <c r="Q1313" s="10"/>
      <c r="R1313" s="9"/>
      <c r="S1313" s="10"/>
      <c r="T1313" s="9"/>
      <c r="U1313" s="10"/>
      <c r="V1313" s="9"/>
      <c r="W1313" s="10"/>
      <c r="X1313" s="9"/>
      <c r="Y1313" s="10"/>
      <c r="Z1313" s="9"/>
      <c r="AA1313" s="10"/>
      <c r="AB1313" s="11"/>
      <c r="AC1313" s="10"/>
      <c r="AD1313" s="7">
        <f>SUM(F1313+H1313+J1313+L1313+N1313+P1313+R1313+T1313+V1313+X1313+Z1313+AB1313)</f>
        <v>0</v>
      </c>
      <c r="AE1313" s="7">
        <f>E1313+AD1313</f>
        <v>0</v>
      </c>
      <c r="AF1313" s="8">
        <f>G1313+I1313+K1313+M1313+O1313+Q1313+S1313+U1313+W1313+Y1313+AA1313+AC1313</f>
        <v>0</v>
      </c>
      <c r="AG1313" s="153">
        <f>SUM(AE1313-AF1313)</f>
        <v>0</v>
      </c>
    </row>
    <row r="1314" spans="1:42" customHeight="1" ht="11.5">
      <c r="A1314" s="5"/>
      <c r="B1314" s="173"/>
      <c r="C1314" s="167"/>
      <c r="D1314" s="88"/>
      <c r="E1314" s="174"/>
      <c r="F1314" s="9"/>
      <c r="G1314" s="10"/>
      <c r="H1314" s="9"/>
      <c r="I1314" s="10"/>
      <c r="J1314" s="152"/>
      <c r="K1314" s="10"/>
      <c r="L1314" s="152"/>
      <c r="M1314" s="10"/>
      <c r="N1314" s="152"/>
      <c r="O1314" s="10"/>
      <c r="P1314" s="152"/>
      <c r="Q1314" s="10"/>
      <c r="R1314" s="9"/>
      <c r="S1314" s="10"/>
      <c r="T1314" s="9"/>
      <c r="U1314" s="10"/>
      <c r="V1314" s="9"/>
      <c r="W1314" s="10"/>
      <c r="X1314" s="9"/>
      <c r="Y1314" s="10"/>
      <c r="Z1314" s="9"/>
      <c r="AA1314" s="10"/>
      <c r="AB1314" s="11"/>
      <c r="AC1314" s="10"/>
      <c r="AD1314" s="7">
        <f>SUM(F1314+H1314+J1314+L1314+N1314+P1314+R1314+T1314+V1314+X1314+Z1314+AB1314)</f>
        <v>0</v>
      </c>
      <c r="AE1314" s="7">
        <f>E1314+AD1314</f>
        <v>0</v>
      </c>
      <c r="AF1314" s="8">
        <f>G1314+I1314+K1314+M1314+O1314+Q1314+S1314+U1314+W1314+Y1314+AA1314+AC1314</f>
        <v>0</v>
      </c>
      <c r="AG1314" s="153">
        <f>SUM(AE1314-AF1314)</f>
        <v>0</v>
      </c>
    </row>
    <row r="1315" spans="1:42" customHeight="1" ht="11.5">
      <c r="A1315" s="5"/>
      <c r="B1315" s="173"/>
      <c r="C1315" s="167"/>
      <c r="D1315" s="88"/>
      <c r="E1315" s="174"/>
      <c r="F1315" s="9"/>
      <c r="G1315" s="10"/>
      <c r="H1315" s="9"/>
      <c r="I1315" s="10"/>
      <c r="J1315" s="152"/>
      <c r="K1315" s="10"/>
      <c r="L1315" s="152"/>
      <c r="M1315" s="10"/>
      <c r="N1315" s="152"/>
      <c r="O1315" s="10"/>
      <c r="P1315" s="152"/>
      <c r="Q1315" s="10"/>
      <c r="R1315" s="9"/>
      <c r="S1315" s="10"/>
      <c r="T1315" s="9"/>
      <c r="U1315" s="10"/>
      <c r="V1315" s="9"/>
      <c r="W1315" s="10"/>
      <c r="X1315" s="9"/>
      <c r="Y1315" s="10"/>
      <c r="Z1315" s="9"/>
      <c r="AA1315" s="10"/>
      <c r="AB1315" s="11"/>
      <c r="AC1315" s="10"/>
      <c r="AD1315" s="7">
        <f>SUM(F1315+H1315+J1315+L1315+N1315+P1315+R1315+T1315+V1315+X1315+Z1315+AB1315)</f>
        <v>0</v>
      </c>
      <c r="AE1315" s="7">
        <f>E1315+AD1315</f>
        <v>0</v>
      </c>
      <c r="AF1315" s="8">
        <f>G1315+I1315+K1315+M1315+O1315+Q1315+S1315+U1315+W1315+Y1315+AA1315+AC1315</f>
        <v>0</v>
      </c>
      <c r="AG1315" s="153">
        <f>SUM(AE1315-AF1315)</f>
        <v>0</v>
      </c>
    </row>
    <row r="1316" spans="1:42" customHeight="1" ht="11.5">
      <c r="A1316" s="5"/>
      <c r="B1316" s="173"/>
      <c r="C1316" s="167"/>
      <c r="D1316" s="88"/>
      <c r="E1316" s="174"/>
      <c r="F1316" s="9"/>
      <c r="G1316" s="10"/>
      <c r="H1316" s="9"/>
      <c r="I1316" s="10"/>
      <c r="J1316" s="152"/>
      <c r="K1316" s="10"/>
      <c r="L1316" s="152"/>
      <c r="M1316" s="10"/>
      <c r="N1316" s="152"/>
      <c r="O1316" s="10"/>
      <c r="P1316" s="152"/>
      <c r="Q1316" s="10"/>
      <c r="R1316" s="9"/>
      <c r="S1316" s="10"/>
      <c r="T1316" s="9"/>
      <c r="U1316" s="10"/>
      <c r="V1316" s="9"/>
      <c r="W1316" s="10"/>
      <c r="X1316" s="9"/>
      <c r="Y1316" s="10"/>
      <c r="Z1316" s="9"/>
      <c r="AA1316" s="10"/>
      <c r="AB1316" s="11"/>
      <c r="AC1316" s="10"/>
      <c r="AD1316" s="7">
        <f>SUM(F1316+H1316+J1316+L1316+N1316+P1316+R1316+T1316+V1316+X1316+Z1316+AB1316)</f>
        <v>0</v>
      </c>
      <c r="AE1316" s="7">
        <f>E1316+AD1316</f>
        <v>0</v>
      </c>
      <c r="AF1316" s="8">
        <f>G1316+I1316+K1316+M1316+O1316+Q1316+S1316+U1316+W1316+Y1316+AA1316+AC1316</f>
        <v>0</v>
      </c>
      <c r="AG1316" s="153">
        <f>SUM(AE1316-AF1316)</f>
        <v>0</v>
      </c>
    </row>
    <row r="1317" spans="1:42" customHeight="1" ht="11.5">
      <c r="A1317" s="5"/>
      <c r="B1317" s="173"/>
      <c r="C1317" s="167"/>
      <c r="D1317" s="88"/>
      <c r="E1317" s="174"/>
      <c r="F1317" s="9"/>
      <c r="G1317" s="10"/>
      <c r="H1317" s="9"/>
      <c r="I1317" s="10"/>
      <c r="J1317" s="152"/>
      <c r="K1317" s="10"/>
      <c r="L1317" s="152"/>
      <c r="M1317" s="10"/>
      <c r="N1317" s="152"/>
      <c r="O1317" s="10"/>
      <c r="P1317" s="152"/>
      <c r="Q1317" s="10"/>
      <c r="R1317" s="9"/>
      <c r="S1317" s="10"/>
      <c r="T1317" s="9"/>
      <c r="U1317" s="10"/>
      <c r="V1317" s="9"/>
      <c r="W1317" s="10"/>
      <c r="X1317" s="9"/>
      <c r="Y1317" s="10"/>
      <c r="Z1317" s="9"/>
      <c r="AA1317" s="10"/>
      <c r="AB1317" s="11"/>
      <c r="AC1317" s="10"/>
      <c r="AD1317" s="7">
        <f>SUM(F1317+H1317+J1317+L1317+N1317+P1317+R1317+T1317+V1317+X1317+Z1317+AB1317)</f>
        <v>0</v>
      </c>
      <c r="AE1317" s="7">
        <f>E1317+AD1317</f>
        <v>0</v>
      </c>
      <c r="AF1317" s="8">
        <f>G1317+I1317+K1317+M1317+O1317+Q1317+S1317+U1317+W1317+Y1317+AA1317+AC1317</f>
        <v>0</v>
      </c>
      <c r="AG1317" s="153">
        <f>SUM(AE1317-AF1317)</f>
        <v>0</v>
      </c>
    </row>
    <row r="1318" spans="1:42" customHeight="1" ht="11.5">
      <c r="A1318" s="5"/>
      <c r="B1318" s="173"/>
      <c r="C1318" s="167"/>
      <c r="D1318" s="88"/>
      <c r="E1318" s="174"/>
      <c r="F1318" s="9"/>
      <c r="G1318" s="10"/>
      <c r="H1318" s="9"/>
      <c r="I1318" s="10"/>
      <c r="J1318" s="152"/>
      <c r="K1318" s="10"/>
      <c r="L1318" s="152"/>
      <c r="M1318" s="10"/>
      <c r="N1318" s="152"/>
      <c r="O1318" s="10"/>
      <c r="P1318" s="152"/>
      <c r="Q1318" s="10"/>
      <c r="R1318" s="9"/>
      <c r="S1318" s="10"/>
      <c r="T1318" s="9"/>
      <c r="U1318" s="10"/>
      <c r="V1318" s="9"/>
      <c r="W1318" s="10"/>
      <c r="X1318" s="9"/>
      <c r="Y1318" s="10"/>
      <c r="Z1318" s="9"/>
      <c r="AA1318" s="10"/>
      <c r="AB1318" s="11"/>
      <c r="AC1318" s="10"/>
      <c r="AD1318" s="7">
        <f>SUM(F1318+H1318+J1318+L1318+N1318+P1318+R1318+T1318+V1318+X1318+Z1318+AB1318)</f>
        <v>0</v>
      </c>
      <c r="AE1318" s="7">
        <f>E1318+AD1318</f>
        <v>0</v>
      </c>
      <c r="AF1318" s="8">
        <f>G1318+I1318+K1318+M1318+O1318+Q1318+S1318+U1318+W1318+Y1318+AA1318+AC1318</f>
        <v>0</v>
      </c>
      <c r="AG1318" s="153">
        <f>SUM(AE1318-AF1318)</f>
        <v>0</v>
      </c>
    </row>
    <row r="1319" spans="1:42" customHeight="1" ht="11.5">
      <c r="A1319" s="5"/>
      <c r="B1319" s="173"/>
      <c r="C1319" s="167"/>
      <c r="D1319" s="88"/>
      <c r="E1319" s="174"/>
      <c r="F1319" s="9"/>
      <c r="G1319" s="10"/>
      <c r="H1319" s="9"/>
      <c r="I1319" s="10"/>
      <c r="J1319" s="152"/>
      <c r="K1319" s="10"/>
      <c r="L1319" s="152"/>
      <c r="M1319" s="10"/>
      <c r="N1319" s="152"/>
      <c r="O1319" s="10"/>
      <c r="P1319" s="152"/>
      <c r="Q1319" s="10"/>
      <c r="R1319" s="9"/>
      <c r="S1319" s="10"/>
      <c r="T1319" s="9"/>
      <c r="U1319" s="10"/>
      <c r="V1319" s="9"/>
      <c r="W1319" s="10"/>
      <c r="X1319" s="9"/>
      <c r="Y1319" s="10"/>
      <c r="Z1319" s="9"/>
      <c r="AA1319" s="10"/>
      <c r="AB1319" s="11"/>
      <c r="AC1319" s="10"/>
      <c r="AD1319" s="7">
        <f>SUM(F1319+H1319+J1319+L1319+N1319+P1319+R1319+T1319+V1319+X1319+Z1319+AB1319)</f>
        <v>0</v>
      </c>
      <c r="AE1319" s="7">
        <f>E1319+AD1319</f>
        <v>0</v>
      </c>
      <c r="AF1319" s="8">
        <f>G1319+I1319+K1319+M1319+O1319+Q1319+S1319+U1319+W1319+Y1319+AA1319+AC1319</f>
        <v>0</v>
      </c>
      <c r="AG1319" s="153">
        <f>SUM(AE1319-AF1319)</f>
        <v>0</v>
      </c>
    </row>
    <row r="1320" spans="1:42" customHeight="1" ht="11.5">
      <c r="A1320" s="5"/>
      <c r="B1320" s="173"/>
      <c r="C1320" s="167"/>
      <c r="D1320" s="88"/>
      <c r="E1320" s="174"/>
      <c r="F1320" s="9"/>
      <c r="G1320" s="10"/>
      <c r="H1320" s="9"/>
      <c r="I1320" s="10"/>
      <c r="J1320" s="152"/>
      <c r="K1320" s="10"/>
      <c r="L1320" s="152"/>
      <c r="M1320" s="10"/>
      <c r="N1320" s="152"/>
      <c r="O1320" s="10"/>
      <c r="P1320" s="152"/>
      <c r="Q1320" s="10"/>
      <c r="R1320" s="9"/>
      <c r="S1320" s="10"/>
      <c r="T1320" s="9"/>
      <c r="U1320" s="10"/>
      <c r="V1320" s="9"/>
      <c r="W1320" s="10"/>
      <c r="X1320" s="9"/>
      <c r="Y1320" s="10"/>
      <c r="Z1320" s="9"/>
      <c r="AA1320" s="10"/>
      <c r="AB1320" s="11"/>
      <c r="AC1320" s="10"/>
      <c r="AD1320" s="7">
        <f>SUM(F1320+H1320+J1320+L1320+N1320+P1320+R1320+T1320+V1320+X1320+Z1320+AB1320)</f>
        <v>0</v>
      </c>
      <c r="AE1320" s="7">
        <f>E1320+AD1320</f>
        <v>0</v>
      </c>
      <c r="AF1320" s="8">
        <f>G1320+I1320+K1320+M1320+O1320+Q1320+S1320+U1320+W1320+Y1320+AA1320+AC1320</f>
        <v>0</v>
      </c>
      <c r="AG1320" s="153">
        <f>SUM(AE1320-AF1320)</f>
        <v>0</v>
      </c>
    </row>
    <row r="1321" spans="1:42" customHeight="1" ht="11.5">
      <c r="A1321" s="5"/>
      <c r="B1321" s="173"/>
      <c r="C1321" s="167"/>
      <c r="D1321" s="88"/>
      <c r="E1321" s="174"/>
      <c r="F1321" s="9"/>
      <c r="G1321" s="10"/>
      <c r="H1321" s="9"/>
      <c r="I1321" s="10"/>
      <c r="J1321" s="152"/>
      <c r="K1321" s="10"/>
      <c r="L1321" s="152"/>
      <c r="M1321" s="10"/>
      <c r="N1321" s="152"/>
      <c r="O1321" s="10"/>
      <c r="P1321" s="152"/>
      <c r="Q1321" s="10"/>
      <c r="R1321" s="9"/>
      <c r="S1321" s="10"/>
      <c r="T1321" s="9"/>
      <c r="U1321" s="10"/>
      <c r="V1321" s="9"/>
      <c r="W1321" s="10"/>
      <c r="X1321" s="9"/>
      <c r="Y1321" s="10"/>
      <c r="Z1321" s="9"/>
      <c r="AA1321" s="10"/>
      <c r="AB1321" s="11"/>
      <c r="AC1321" s="10"/>
      <c r="AD1321" s="7">
        <f>SUM(F1321+H1321+J1321+L1321+N1321+P1321+R1321+T1321+V1321+X1321+Z1321+AB1321)</f>
        <v>0</v>
      </c>
      <c r="AE1321" s="7">
        <f>E1321+AD1321</f>
        <v>0</v>
      </c>
      <c r="AF1321" s="8">
        <f>G1321+I1321+K1321+M1321+O1321+Q1321+S1321+U1321+W1321+Y1321+AA1321+AC1321</f>
        <v>0</v>
      </c>
      <c r="AG1321" s="153">
        <f>SUM(AE1321-AF1321)</f>
        <v>0</v>
      </c>
    </row>
    <row r="1322" spans="1:42" customHeight="1" ht="11.5">
      <c r="A1322" s="5"/>
      <c r="B1322" s="173"/>
      <c r="C1322" s="167"/>
      <c r="D1322" s="88"/>
      <c r="E1322" s="174"/>
      <c r="F1322" s="9"/>
      <c r="G1322" s="10"/>
      <c r="H1322" s="9"/>
      <c r="I1322" s="10"/>
      <c r="J1322" s="152"/>
      <c r="K1322" s="10"/>
      <c r="L1322" s="152"/>
      <c r="M1322" s="10"/>
      <c r="N1322" s="152"/>
      <c r="O1322" s="10"/>
      <c r="P1322" s="152"/>
      <c r="Q1322" s="10"/>
      <c r="R1322" s="9"/>
      <c r="S1322" s="10"/>
      <c r="T1322" s="9"/>
      <c r="U1322" s="10"/>
      <c r="V1322" s="9"/>
      <c r="W1322" s="10"/>
      <c r="X1322" s="9"/>
      <c r="Y1322" s="10"/>
      <c r="Z1322" s="9"/>
      <c r="AA1322" s="10"/>
      <c r="AB1322" s="11"/>
      <c r="AC1322" s="10"/>
      <c r="AD1322" s="7">
        <f>SUM(F1322+H1322+J1322+L1322+N1322+P1322+R1322+T1322+V1322+X1322+Z1322+AB1322)</f>
        <v>0</v>
      </c>
      <c r="AE1322" s="7">
        <f>E1322+AD1322</f>
        <v>0</v>
      </c>
      <c r="AF1322" s="8">
        <f>G1322+I1322+K1322+M1322+O1322+Q1322+S1322+U1322+W1322+Y1322+AA1322+AC1322</f>
        <v>0</v>
      </c>
      <c r="AG1322" s="153">
        <f>SUM(AE1322-AF1322)</f>
        <v>0</v>
      </c>
    </row>
    <row r="1323" spans="1:42" customHeight="1" ht="11.5">
      <c r="A1323" s="5"/>
      <c r="B1323" s="173"/>
      <c r="C1323" s="167"/>
      <c r="D1323" s="88"/>
      <c r="E1323" s="174"/>
      <c r="F1323" s="9"/>
      <c r="G1323" s="10"/>
      <c r="H1323" s="9"/>
      <c r="I1323" s="10"/>
      <c r="J1323" s="152"/>
      <c r="K1323" s="10"/>
      <c r="L1323" s="152"/>
      <c r="M1323" s="10"/>
      <c r="N1323" s="152"/>
      <c r="O1323" s="10"/>
      <c r="P1323" s="152"/>
      <c r="Q1323" s="10"/>
      <c r="R1323" s="9"/>
      <c r="S1323" s="10"/>
      <c r="T1323" s="9"/>
      <c r="U1323" s="10"/>
      <c r="V1323" s="9"/>
      <c r="W1323" s="10"/>
      <c r="X1323" s="9"/>
      <c r="Y1323" s="10"/>
      <c r="Z1323" s="9"/>
      <c r="AA1323" s="10"/>
      <c r="AB1323" s="11"/>
      <c r="AC1323" s="10"/>
      <c r="AD1323" s="7">
        <f>SUM(F1323+H1323+J1323+L1323+N1323+P1323+R1323+T1323+V1323+X1323+Z1323+AB1323)</f>
        <v>0</v>
      </c>
      <c r="AE1323" s="7">
        <f>E1323+AD1323</f>
        <v>0</v>
      </c>
      <c r="AF1323" s="8">
        <f>G1323+I1323+K1323+M1323+O1323+Q1323+S1323+U1323+W1323+Y1323+AA1323+AC1323</f>
        <v>0</v>
      </c>
      <c r="AG1323" s="153">
        <f>SUM(AE1323-AF1323)</f>
        <v>0</v>
      </c>
    </row>
    <row r="1324" spans="1:42" customHeight="1" ht="11.5">
      <c r="A1324" s="5"/>
      <c r="B1324" s="173"/>
      <c r="C1324" s="167"/>
      <c r="D1324" s="88"/>
      <c r="E1324" s="174"/>
      <c r="F1324" s="9"/>
      <c r="G1324" s="10"/>
      <c r="H1324" s="9"/>
      <c r="I1324" s="10"/>
      <c r="J1324" s="152"/>
      <c r="K1324" s="10"/>
      <c r="L1324" s="152"/>
      <c r="M1324" s="10"/>
      <c r="N1324" s="152"/>
      <c r="O1324" s="10"/>
      <c r="P1324" s="152"/>
      <c r="Q1324" s="10"/>
      <c r="R1324" s="9"/>
      <c r="S1324" s="10"/>
      <c r="T1324" s="9"/>
      <c r="U1324" s="10"/>
      <c r="V1324" s="9"/>
      <c r="W1324" s="10"/>
      <c r="X1324" s="9"/>
      <c r="Y1324" s="10"/>
      <c r="Z1324" s="9"/>
      <c r="AA1324" s="10"/>
      <c r="AB1324" s="11"/>
      <c r="AC1324" s="10"/>
      <c r="AD1324" s="7">
        <f>SUM(F1324+H1324+J1324+L1324+N1324+P1324+R1324+T1324+V1324+X1324+Z1324+AB1324)</f>
        <v>0</v>
      </c>
      <c r="AE1324" s="7">
        <f>E1324+AD1324</f>
        <v>0</v>
      </c>
      <c r="AF1324" s="8">
        <f>G1324+I1324+K1324+M1324+O1324+Q1324+S1324+U1324+W1324+Y1324+AA1324+AC1324</f>
        <v>0</v>
      </c>
      <c r="AG1324" s="153">
        <f>SUM(AE1324-AF1324)</f>
        <v>0</v>
      </c>
    </row>
    <row r="1325" spans="1:42" customHeight="1" ht="11.5">
      <c r="A1325" s="5"/>
      <c r="B1325" s="173"/>
      <c r="C1325" s="167"/>
      <c r="D1325" s="88"/>
      <c r="E1325" s="174"/>
      <c r="F1325" s="9"/>
      <c r="G1325" s="10"/>
      <c r="H1325" s="9"/>
      <c r="I1325" s="10"/>
      <c r="J1325" s="152"/>
      <c r="K1325" s="10"/>
      <c r="L1325" s="152"/>
      <c r="M1325" s="10"/>
      <c r="N1325" s="152"/>
      <c r="O1325" s="10"/>
      <c r="P1325" s="152"/>
      <c r="Q1325" s="10"/>
      <c r="R1325" s="9"/>
      <c r="S1325" s="10"/>
      <c r="T1325" s="9"/>
      <c r="U1325" s="10"/>
      <c r="V1325" s="9"/>
      <c r="W1325" s="10"/>
      <c r="X1325" s="9"/>
      <c r="Y1325" s="10"/>
      <c r="Z1325" s="9"/>
      <c r="AA1325" s="10"/>
      <c r="AB1325" s="11"/>
      <c r="AC1325" s="10"/>
      <c r="AD1325" s="7">
        <f>SUM(F1325+H1325+J1325+L1325+N1325+P1325+R1325+T1325+V1325+X1325+Z1325+AB1325)</f>
        <v>0</v>
      </c>
      <c r="AE1325" s="7">
        <f>E1325+AD1325</f>
        <v>0</v>
      </c>
      <c r="AF1325" s="8">
        <f>G1325+I1325+K1325+M1325+O1325+Q1325+S1325+U1325+W1325+Y1325+AA1325+AC1325</f>
        <v>0</v>
      </c>
      <c r="AG1325" s="153">
        <f>SUM(AE1325-AF1325)</f>
        <v>0</v>
      </c>
    </row>
    <row r="1326" spans="1:42" customHeight="1" ht="11.5">
      <c r="A1326" s="5"/>
      <c r="B1326" s="173"/>
      <c r="C1326" s="167"/>
      <c r="D1326" s="88"/>
      <c r="E1326" s="174"/>
      <c r="F1326" s="9"/>
      <c r="G1326" s="10"/>
      <c r="H1326" s="9"/>
      <c r="I1326" s="10"/>
      <c r="J1326" s="152"/>
      <c r="K1326" s="10"/>
      <c r="L1326" s="152"/>
      <c r="M1326" s="10"/>
      <c r="N1326" s="152"/>
      <c r="O1326" s="10"/>
      <c r="P1326" s="152"/>
      <c r="Q1326" s="10"/>
      <c r="R1326" s="9"/>
      <c r="S1326" s="10"/>
      <c r="T1326" s="9"/>
      <c r="U1326" s="10"/>
      <c r="V1326" s="9"/>
      <c r="W1326" s="10"/>
      <c r="X1326" s="9"/>
      <c r="Y1326" s="10"/>
      <c r="Z1326" s="9"/>
      <c r="AA1326" s="10"/>
      <c r="AB1326" s="11"/>
      <c r="AC1326" s="10"/>
      <c r="AD1326" s="7">
        <f>SUM(F1326+H1326+J1326+L1326+N1326+P1326+R1326+T1326+V1326+X1326+Z1326+AB1326)</f>
        <v>0</v>
      </c>
      <c r="AE1326" s="7">
        <f>E1326+AD1326</f>
        <v>0</v>
      </c>
      <c r="AF1326" s="8">
        <f>G1326+I1326+K1326+M1326+O1326+Q1326+S1326+U1326+W1326+Y1326+AA1326+AC1326</f>
        <v>0</v>
      </c>
      <c r="AG1326" s="153">
        <f>SUM(AE1326-AF1326)</f>
        <v>0</v>
      </c>
    </row>
    <row r="1327" spans="1:42" customHeight="1" ht="11.5">
      <c r="A1327" s="5"/>
      <c r="B1327" s="173"/>
      <c r="C1327" s="167"/>
      <c r="D1327" s="88"/>
      <c r="E1327" s="174"/>
      <c r="F1327" s="9"/>
      <c r="G1327" s="10"/>
      <c r="H1327" s="9"/>
      <c r="I1327" s="10"/>
      <c r="J1327" s="152"/>
      <c r="K1327" s="10"/>
      <c r="L1327" s="152"/>
      <c r="M1327" s="10"/>
      <c r="N1327" s="152"/>
      <c r="O1327" s="10"/>
      <c r="P1327" s="152"/>
      <c r="Q1327" s="10"/>
      <c r="R1327" s="9"/>
      <c r="S1327" s="10"/>
      <c r="T1327" s="9"/>
      <c r="U1327" s="10"/>
      <c r="V1327" s="9"/>
      <c r="W1327" s="10"/>
      <c r="X1327" s="9"/>
      <c r="Y1327" s="10"/>
      <c r="Z1327" s="9"/>
      <c r="AA1327" s="10"/>
      <c r="AB1327" s="11"/>
      <c r="AC1327" s="10"/>
      <c r="AD1327" s="7">
        <f>SUM(F1327+H1327+J1327+L1327+N1327+P1327+R1327+T1327+V1327+X1327+Z1327+AB1327)</f>
        <v>0</v>
      </c>
      <c r="AE1327" s="7">
        <f>E1327+AD1327</f>
        <v>0</v>
      </c>
      <c r="AF1327" s="8">
        <f>G1327+I1327+K1327+M1327+O1327+Q1327+S1327+U1327+W1327+Y1327+AA1327+AC1327</f>
        <v>0</v>
      </c>
      <c r="AG1327" s="153">
        <f>SUM(AE1327-AF1327)</f>
        <v>0</v>
      </c>
    </row>
    <row r="1328" spans="1:42" customHeight="1" ht="11.5">
      <c r="A1328" s="5"/>
      <c r="B1328" s="173"/>
      <c r="C1328" s="167"/>
      <c r="D1328" s="88"/>
      <c r="E1328" s="174"/>
      <c r="F1328" s="9"/>
      <c r="G1328" s="10"/>
      <c r="H1328" s="9"/>
      <c r="I1328" s="10"/>
      <c r="J1328" s="152"/>
      <c r="K1328" s="10"/>
      <c r="L1328" s="152"/>
      <c r="M1328" s="10"/>
      <c r="N1328" s="152"/>
      <c r="O1328" s="10"/>
      <c r="P1328" s="152"/>
      <c r="Q1328" s="10"/>
      <c r="R1328" s="9"/>
      <c r="S1328" s="10"/>
      <c r="T1328" s="9"/>
      <c r="U1328" s="10"/>
      <c r="V1328" s="9"/>
      <c r="W1328" s="10"/>
      <c r="X1328" s="9"/>
      <c r="Y1328" s="10"/>
      <c r="Z1328" s="9"/>
      <c r="AA1328" s="10"/>
      <c r="AB1328" s="11"/>
      <c r="AC1328" s="10"/>
      <c r="AD1328" s="7">
        <f>SUM(F1328+H1328+J1328+L1328+N1328+P1328+R1328+T1328+V1328+X1328+Z1328+AB1328)</f>
        <v>0</v>
      </c>
      <c r="AE1328" s="7">
        <f>E1328+AD1328</f>
        <v>0</v>
      </c>
      <c r="AF1328" s="8">
        <f>G1328+I1328+K1328+M1328+O1328+Q1328+S1328+U1328+W1328+Y1328+AA1328+AC1328</f>
        <v>0</v>
      </c>
      <c r="AG1328" s="153">
        <f>SUM(AE1328-AF1328)</f>
        <v>0</v>
      </c>
    </row>
    <row r="1329" spans="1:42" customHeight="1" ht="11.5">
      <c r="A1329" s="5"/>
      <c r="B1329" s="173"/>
      <c r="C1329" s="167"/>
      <c r="D1329" s="88"/>
      <c r="E1329" s="174"/>
      <c r="F1329" s="9"/>
      <c r="G1329" s="10"/>
      <c r="H1329" s="9"/>
      <c r="I1329" s="10"/>
      <c r="J1329" s="152"/>
      <c r="K1329" s="10"/>
      <c r="L1329" s="152"/>
      <c r="M1329" s="10"/>
      <c r="N1329" s="152"/>
      <c r="O1329" s="10"/>
      <c r="P1329" s="152"/>
      <c r="Q1329" s="10"/>
      <c r="R1329" s="9"/>
      <c r="S1329" s="10"/>
      <c r="T1329" s="9"/>
      <c r="U1329" s="10"/>
      <c r="V1329" s="9"/>
      <c r="W1329" s="10"/>
      <c r="X1329" s="9"/>
      <c r="Y1329" s="10"/>
      <c r="Z1329" s="9"/>
      <c r="AA1329" s="10"/>
      <c r="AB1329" s="11"/>
      <c r="AC1329" s="10"/>
      <c r="AD1329" s="7">
        <f>SUM(F1329+H1329+J1329+L1329+N1329+P1329+R1329+T1329+V1329+X1329+Z1329+AB1329)</f>
        <v>0</v>
      </c>
      <c r="AE1329" s="7">
        <f>E1329+AD1329</f>
        <v>0</v>
      </c>
      <c r="AF1329" s="8">
        <f>G1329+I1329+K1329+M1329+O1329+Q1329+S1329+U1329+W1329+Y1329+AA1329+AC1329</f>
        <v>0</v>
      </c>
      <c r="AG1329" s="153">
        <f>SUM(AE1329-AF1329)</f>
        <v>0</v>
      </c>
    </row>
    <row r="1330" spans="1:42" customHeight="1" ht="11.5">
      <c r="A1330" s="5"/>
      <c r="B1330" s="173"/>
      <c r="C1330" s="167"/>
      <c r="D1330" s="88"/>
      <c r="E1330" s="174"/>
      <c r="F1330" s="9"/>
      <c r="G1330" s="10"/>
      <c r="H1330" s="9"/>
      <c r="I1330" s="10"/>
      <c r="J1330" s="152"/>
      <c r="K1330" s="10"/>
      <c r="L1330" s="152"/>
      <c r="M1330" s="10"/>
      <c r="N1330" s="152"/>
      <c r="O1330" s="10"/>
      <c r="P1330" s="152"/>
      <c r="Q1330" s="10"/>
      <c r="R1330" s="9"/>
      <c r="S1330" s="10"/>
      <c r="T1330" s="9"/>
      <c r="U1330" s="10"/>
      <c r="V1330" s="9"/>
      <c r="W1330" s="10"/>
      <c r="X1330" s="9"/>
      <c r="Y1330" s="10"/>
      <c r="Z1330" s="9"/>
      <c r="AA1330" s="10"/>
      <c r="AB1330" s="11"/>
      <c r="AC1330" s="10"/>
      <c r="AD1330" s="7">
        <f>SUM(F1330+H1330+J1330+L1330+N1330+P1330+R1330+T1330+V1330+X1330+Z1330+AB1330)</f>
        <v>0</v>
      </c>
      <c r="AE1330" s="7">
        <f>E1330+AD1330</f>
        <v>0</v>
      </c>
      <c r="AF1330" s="8">
        <f>G1330+I1330+K1330+M1330+O1330+Q1330+S1330+U1330+W1330+Y1330+AA1330+AC1330</f>
        <v>0</v>
      </c>
      <c r="AG1330" s="153">
        <f>SUM(AE1330-AF1330)</f>
        <v>0</v>
      </c>
    </row>
    <row r="1331" spans="1:42" customHeight="1" ht="11.5">
      <c r="A1331" s="5"/>
      <c r="B1331" s="173"/>
      <c r="C1331" s="167"/>
      <c r="D1331" s="88"/>
      <c r="E1331" s="174"/>
      <c r="F1331" s="9"/>
      <c r="G1331" s="10"/>
      <c r="H1331" s="9"/>
      <c r="I1331" s="10"/>
      <c r="J1331" s="152"/>
      <c r="K1331" s="10"/>
      <c r="L1331" s="152"/>
      <c r="M1331" s="10"/>
      <c r="N1331" s="152"/>
      <c r="O1331" s="10"/>
      <c r="P1331" s="152"/>
      <c r="Q1331" s="10"/>
      <c r="R1331" s="9"/>
      <c r="S1331" s="10"/>
      <c r="T1331" s="9"/>
      <c r="U1331" s="10"/>
      <c r="V1331" s="9"/>
      <c r="W1331" s="10"/>
      <c r="X1331" s="9"/>
      <c r="Y1331" s="10"/>
      <c r="Z1331" s="9"/>
      <c r="AA1331" s="10"/>
      <c r="AB1331" s="11"/>
      <c r="AC1331" s="10"/>
      <c r="AD1331" s="7">
        <f>SUM(F1331+H1331+J1331+L1331+N1331+P1331+R1331+T1331+V1331+X1331+Z1331+AB1331)</f>
        <v>0</v>
      </c>
      <c r="AE1331" s="7">
        <f>E1331+AD1331</f>
        <v>0</v>
      </c>
      <c r="AF1331" s="8">
        <f>G1331+I1331+K1331+M1331+O1331+Q1331+S1331+U1331+W1331+Y1331+AA1331+AC1331</f>
        <v>0</v>
      </c>
      <c r="AG1331" s="153">
        <f>SUM(AE1331-AF1331)</f>
        <v>0</v>
      </c>
    </row>
    <row r="1332" spans="1:42" customHeight="1" ht="11.5">
      <c r="A1332" s="5"/>
      <c r="B1332" s="173"/>
      <c r="C1332" s="167"/>
      <c r="D1332" s="88"/>
      <c r="E1332" s="174"/>
      <c r="F1332" s="9"/>
      <c r="G1332" s="10"/>
      <c r="H1332" s="9"/>
      <c r="I1332" s="10"/>
      <c r="J1332" s="152"/>
      <c r="K1332" s="10"/>
      <c r="L1332" s="152"/>
      <c r="M1332" s="10"/>
      <c r="N1332" s="152"/>
      <c r="O1332" s="10"/>
      <c r="P1332" s="152"/>
      <c r="Q1332" s="10"/>
      <c r="R1332" s="9"/>
      <c r="S1332" s="10"/>
      <c r="T1332" s="9"/>
      <c r="U1332" s="10"/>
      <c r="V1332" s="9"/>
      <c r="W1332" s="10"/>
      <c r="X1332" s="9"/>
      <c r="Y1332" s="10"/>
      <c r="Z1332" s="9"/>
      <c r="AA1332" s="10"/>
      <c r="AB1332" s="11"/>
      <c r="AC1332" s="10"/>
      <c r="AD1332" s="7">
        <f>SUM(F1332+H1332+J1332+L1332+N1332+P1332+R1332+T1332+V1332+X1332+Z1332+AB1332)</f>
        <v>0</v>
      </c>
      <c r="AE1332" s="7">
        <f>E1332+AD1332</f>
        <v>0</v>
      </c>
      <c r="AF1332" s="8">
        <f>G1332+I1332+K1332+M1332+O1332+Q1332+S1332+U1332+W1332+Y1332+AA1332+AC1332</f>
        <v>0</v>
      </c>
      <c r="AG1332" s="153">
        <f>SUM(AE1332-AF1332)</f>
        <v>0</v>
      </c>
    </row>
    <row r="1333" spans="1:42" customHeight="1" ht="11.5">
      <c r="A1333" s="5"/>
      <c r="B1333" s="173"/>
      <c r="C1333" s="167"/>
      <c r="D1333" s="88"/>
      <c r="E1333" s="174"/>
      <c r="F1333" s="9"/>
      <c r="G1333" s="10"/>
      <c r="H1333" s="9"/>
      <c r="I1333" s="10"/>
      <c r="J1333" s="152"/>
      <c r="K1333" s="10"/>
      <c r="L1333" s="152"/>
      <c r="M1333" s="10"/>
      <c r="N1333" s="152"/>
      <c r="O1333" s="10"/>
      <c r="P1333" s="152"/>
      <c r="Q1333" s="10"/>
      <c r="R1333" s="9"/>
      <c r="S1333" s="10"/>
      <c r="T1333" s="9"/>
      <c r="U1333" s="10"/>
      <c r="V1333" s="9"/>
      <c r="W1333" s="10"/>
      <c r="X1333" s="9"/>
      <c r="Y1333" s="10"/>
      <c r="Z1333" s="9"/>
      <c r="AA1333" s="10"/>
      <c r="AB1333" s="11"/>
      <c r="AC1333" s="10"/>
      <c r="AD1333" s="7">
        <f>SUM(F1333+H1333+J1333+L1333+N1333+P1333+R1333+T1333+V1333+X1333+Z1333+AB1333)</f>
        <v>0</v>
      </c>
      <c r="AE1333" s="7">
        <f>E1333+AD1333</f>
        <v>0</v>
      </c>
      <c r="AF1333" s="8">
        <f>G1333+I1333+K1333+M1333+O1333+Q1333+S1333+U1333+W1333+Y1333+AA1333+AC1333</f>
        <v>0</v>
      </c>
      <c r="AG1333" s="153">
        <f>SUM(AE1333-AF1333)</f>
        <v>0</v>
      </c>
    </row>
    <row r="1334" spans="1:42" customHeight="1" ht="11.5">
      <c r="A1334" s="5"/>
      <c r="B1334" s="173"/>
      <c r="C1334" s="167"/>
      <c r="D1334" s="88"/>
      <c r="E1334" s="174"/>
      <c r="F1334" s="9"/>
      <c r="G1334" s="10"/>
      <c r="H1334" s="9"/>
      <c r="I1334" s="10"/>
      <c r="J1334" s="152"/>
      <c r="K1334" s="10"/>
      <c r="L1334" s="152"/>
      <c r="M1334" s="10"/>
      <c r="N1334" s="152"/>
      <c r="O1334" s="10"/>
      <c r="P1334" s="152"/>
      <c r="Q1334" s="10"/>
      <c r="R1334" s="9"/>
      <c r="S1334" s="10"/>
      <c r="T1334" s="9"/>
      <c r="U1334" s="10"/>
      <c r="V1334" s="9"/>
      <c r="W1334" s="10"/>
      <c r="X1334" s="9"/>
      <c r="Y1334" s="10"/>
      <c r="Z1334" s="9"/>
      <c r="AA1334" s="10"/>
      <c r="AB1334" s="11"/>
      <c r="AC1334" s="10"/>
      <c r="AD1334" s="7">
        <f>SUM(F1334+H1334+J1334+L1334+N1334+P1334+R1334+T1334+V1334+X1334+Z1334+AB1334)</f>
        <v>0</v>
      </c>
      <c r="AE1334" s="7">
        <f>E1334+AD1334</f>
        <v>0</v>
      </c>
      <c r="AF1334" s="8">
        <f>G1334+I1334+K1334+M1334+O1334+Q1334+S1334+U1334+W1334+Y1334+AA1334+AC1334</f>
        <v>0</v>
      </c>
      <c r="AG1334" s="153">
        <f>SUM(AE1334-AF1334)</f>
        <v>0</v>
      </c>
    </row>
    <row r="1335" spans="1:42" customHeight="1" ht="11.5">
      <c r="A1335" s="5"/>
      <c r="B1335" s="173"/>
      <c r="C1335" s="167"/>
      <c r="D1335" s="88"/>
      <c r="E1335" s="174"/>
      <c r="F1335" s="9"/>
      <c r="G1335" s="10"/>
      <c r="H1335" s="9"/>
      <c r="I1335" s="10"/>
      <c r="J1335" s="152"/>
      <c r="K1335" s="10"/>
      <c r="L1335" s="152"/>
      <c r="M1335" s="10"/>
      <c r="N1335" s="152"/>
      <c r="O1335" s="10"/>
      <c r="P1335" s="152"/>
      <c r="Q1335" s="10"/>
      <c r="R1335" s="9"/>
      <c r="S1335" s="10"/>
      <c r="T1335" s="9"/>
      <c r="U1335" s="10"/>
      <c r="V1335" s="9"/>
      <c r="W1335" s="10"/>
      <c r="X1335" s="9"/>
      <c r="Y1335" s="10"/>
      <c r="Z1335" s="9"/>
      <c r="AA1335" s="10"/>
      <c r="AB1335" s="11"/>
      <c r="AC1335" s="10"/>
      <c r="AD1335" s="7">
        <f>SUM(F1335+H1335+J1335+L1335+N1335+P1335+R1335+T1335+V1335+X1335+Z1335+AB1335)</f>
        <v>0</v>
      </c>
      <c r="AE1335" s="7">
        <f>E1335+AD1335</f>
        <v>0</v>
      </c>
      <c r="AF1335" s="8">
        <f>G1335+I1335+K1335+M1335+O1335+Q1335+S1335+U1335+W1335+Y1335+AA1335+AC1335</f>
        <v>0</v>
      </c>
      <c r="AG1335" s="153">
        <f>SUM(AE1335-AF1335)</f>
        <v>0</v>
      </c>
    </row>
    <row r="1336" spans="1:42" customHeight="1" ht="11.5">
      <c r="A1336" s="5"/>
      <c r="B1336" s="173"/>
      <c r="C1336" s="167"/>
      <c r="D1336" s="88"/>
      <c r="E1336" s="174"/>
      <c r="F1336" s="9"/>
      <c r="G1336" s="10"/>
      <c r="H1336" s="9"/>
      <c r="I1336" s="10"/>
      <c r="J1336" s="152"/>
      <c r="K1336" s="10"/>
      <c r="L1336" s="152"/>
      <c r="M1336" s="10"/>
      <c r="N1336" s="152"/>
      <c r="O1336" s="10"/>
      <c r="P1336" s="152"/>
      <c r="Q1336" s="10"/>
      <c r="R1336" s="9"/>
      <c r="S1336" s="10"/>
      <c r="T1336" s="9"/>
      <c r="U1336" s="10"/>
      <c r="V1336" s="9"/>
      <c r="W1336" s="10"/>
      <c r="X1336" s="9"/>
      <c r="Y1336" s="10"/>
      <c r="Z1336" s="9"/>
      <c r="AA1336" s="10"/>
      <c r="AB1336" s="11"/>
      <c r="AC1336" s="10"/>
      <c r="AD1336" s="7">
        <f>SUM(F1336+H1336+J1336+L1336+N1336+P1336+R1336+T1336+V1336+X1336+Z1336+AB1336)</f>
        <v>0</v>
      </c>
      <c r="AE1336" s="7">
        <f>E1336+AD1336</f>
        <v>0</v>
      </c>
      <c r="AF1336" s="8">
        <f>G1336+I1336+K1336+M1336+O1336+Q1336+S1336+U1336+W1336+Y1336+AA1336+AC1336</f>
        <v>0</v>
      </c>
      <c r="AG1336" s="153">
        <f>SUM(AE1336-AF1336)</f>
        <v>0</v>
      </c>
    </row>
    <row r="1337" spans="1:42" customHeight="1" ht="11.5">
      <c r="A1337" s="5"/>
      <c r="B1337" s="173"/>
      <c r="C1337" s="167"/>
      <c r="D1337" s="88"/>
      <c r="E1337" s="174"/>
      <c r="F1337" s="9"/>
      <c r="G1337" s="10"/>
      <c r="H1337" s="9"/>
      <c r="I1337" s="10"/>
      <c r="J1337" s="152"/>
      <c r="K1337" s="10"/>
      <c r="L1337" s="152"/>
      <c r="M1337" s="10"/>
      <c r="N1337" s="152"/>
      <c r="O1337" s="10"/>
      <c r="P1337" s="152"/>
      <c r="Q1337" s="10"/>
      <c r="R1337" s="9"/>
      <c r="S1337" s="10"/>
      <c r="T1337" s="9"/>
      <c r="U1337" s="10"/>
      <c r="V1337" s="9"/>
      <c r="W1337" s="10"/>
      <c r="X1337" s="9"/>
      <c r="Y1337" s="10"/>
      <c r="Z1337" s="9"/>
      <c r="AA1337" s="10"/>
      <c r="AB1337" s="11"/>
      <c r="AC1337" s="10"/>
      <c r="AD1337" s="7">
        <f>SUM(F1337+H1337+J1337+L1337+N1337+P1337+R1337+T1337+V1337+X1337+Z1337+AB1337)</f>
        <v>0</v>
      </c>
      <c r="AE1337" s="7">
        <f>E1337+AD1337</f>
        <v>0</v>
      </c>
      <c r="AF1337" s="8">
        <f>G1337+I1337+K1337+M1337+O1337+Q1337+S1337+U1337+W1337+Y1337+AA1337+AC1337</f>
        <v>0</v>
      </c>
      <c r="AG1337" s="153">
        <f>SUM(AE1337-AF1337)</f>
        <v>0</v>
      </c>
    </row>
    <row r="1338" spans="1:42" customHeight="1" ht="11.5">
      <c r="A1338" s="5"/>
      <c r="B1338" s="173"/>
      <c r="C1338" s="167"/>
      <c r="D1338" s="88"/>
      <c r="E1338" s="174"/>
      <c r="F1338" s="9"/>
      <c r="G1338" s="10"/>
      <c r="H1338" s="9"/>
      <c r="I1338" s="10"/>
      <c r="J1338" s="152"/>
      <c r="K1338" s="10"/>
      <c r="L1338" s="152"/>
      <c r="M1338" s="10"/>
      <c r="N1338" s="152"/>
      <c r="O1338" s="10"/>
      <c r="P1338" s="152"/>
      <c r="Q1338" s="10"/>
      <c r="R1338" s="9"/>
      <c r="S1338" s="10"/>
      <c r="T1338" s="9"/>
      <c r="U1338" s="10"/>
      <c r="V1338" s="9"/>
      <c r="W1338" s="10"/>
      <c r="X1338" s="9"/>
      <c r="Y1338" s="10"/>
      <c r="Z1338" s="9"/>
      <c r="AA1338" s="10"/>
      <c r="AB1338" s="11"/>
      <c r="AC1338" s="10"/>
      <c r="AD1338" s="7">
        <f>SUM(F1338+H1338+J1338+L1338+N1338+P1338+R1338+T1338+V1338+X1338+Z1338+AB1338)</f>
        <v>0</v>
      </c>
      <c r="AE1338" s="7">
        <f>E1338+AD1338</f>
        <v>0</v>
      </c>
      <c r="AF1338" s="8">
        <f>G1338+I1338+K1338+M1338+O1338+Q1338+S1338+U1338+W1338+Y1338+AA1338+AC1338</f>
        <v>0</v>
      </c>
      <c r="AG1338" s="153">
        <f>SUM(AE1338-AF1338)</f>
        <v>0</v>
      </c>
    </row>
    <row r="1339" spans="1:42" customHeight="1" ht="11.5">
      <c r="A1339" s="5"/>
      <c r="B1339" s="173"/>
      <c r="C1339" s="167"/>
      <c r="D1339" s="88"/>
      <c r="E1339" s="174"/>
      <c r="F1339" s="9"/>
      <c r="G1339" s="10"/>
      <c r="H1339" s="9"/>
      <c r="I1339" s="10"/>
      <c r="J1339" s="152"/>
      <c r="K1339" s="10"/>
      <c r="L1339" s="152"/>
      <c r="M1339" s="10"/>
      <c r="N1339" s="152"/>
      <c r="O1339" s="10"/>
      <c r="P1339" s="152"/>
      <c r="Q1339" s="10"/>
      <c r="R1339" s="9"/>
      <c r="S1339" s="10"/>
      <c r="T1339" s="9"/>
      <c r="U1339" s="10"/>
      <c r="V1339" s="9"/>
      <c r="W1339" s="10"/>
      <c r="X1339" s="9"/>
      <c r="Y1339" s="10"/>
      <c r="Z1339" s="9"/>
      <c r="AA1339" s="10"/>
      <c r="AB1339" s="11"/>
      <c r="AC1339" s="10"/>
      <c r="AD1339" s="7">
        <f>SUM(F1339+H1339+J1339+L1339+N1339+P1339+R1339+T1339+V1339+X1339+Z1339+AB1339)</f>
        <v>0</v>
      </c>
      <c r="AE1339" s="7">
        <f>E1339+AD1339</f>
        <v>0</v>
      </c>
      <c r="AF1339" s="8">
        <f>G1339+I1339+K1339+M1339+O1339+Q1339+S1339+U1339+W1339+Y1339+AA1339+AC1339</f>
        <v>0</v>
      </c>
      <c r="AG1339" s="153">
        <f>SUM(AE1339-AF1339)</f>
        <v>0</v>
      </c>
    </row>
    <row r="1340" spans="1:42" customHeight="1" ht="11.5">
      <c r="A1340" s="5"/>
      <c r="B1340" s="173"/>
      <c r="C1340" s="167"/>
      <c r="D1340" s="88"/>
      <c r="E1340" s="174"/>
      <c r="F1340" s="9"/>
      <c r="G1340" s="10"/>
      <c r="H1340" s="9"/>
      <c r="I1340" s="10"/>
      <c r="J1340" s="152"/>
      <c r="K1340" s="10"/>
      <c r="L1340" s="152"/>
      <c r="M1340" s="10"/>
      <c r="N1340" s="152"/>
      <c r="O1340" s="10"/>
      <c r="P1340" s="152"/>
      <c r="Q1340" s="10"/>
      <c r="R1340" s="9"/>
      <c r="S1340" s="10"/>
      <c r="T1340" s="9"/>
      <c r="U1340" s="10"/>
      <c r="V1340" s="9"/>
      <c r="W1340" s="10"/>
      <c r="X1340" s="9"/>
      <c r="Y1340" s="10"/>
      <c r="Z1340" s="9"/>
      <c r="AA1340" s="10"/>
      <c r="AB1340" s="11"/>
      <c r="AC1340" s="10"/>
      <c r="AD1340" s="7">
        <f>SUM(F1340+H1340+J1340+L1340+N1340+P1340+R1340+T1340+V1340+X1340+Z1340+AB1340)</f>
        <v>0</v>
      </c>
      <c r="AE1340" s="7">
        <f>E1340+AD1340</f>
        <v>0</v>
      </c>
      <c r="AF1340" s="8">
        <f>G1340+I1340+K1340+M1340+O1340+Q1340+S1340+U1340+W1340+Y1340+AA1340+AC1340</f>
        <v>0</v>
      </c>
      <c r="AG1340" s="153">
        <f>SUM(AE1340-AF1340)</f>
        <v>0</v>
      </c>
    </row>
    <row r="1341" spans="1:42" customHeight="1" ht="11.5">
      <c r="A1341" s="5"/>
      <c r="B1341" s="173"/>
      <c r="C1341" s="167"/>
      <c r="D1341" s="88"/>
      <c r="E1341" s="174"/>
      <c r="F1341" s="9"/>
      <c r="G1341" s="10"/>
      <c r="H1341" s="9"/>
      <c r="I1341" s="10"/>
      <c r="J1341" s="152"/>
      <c r="K1341" s="10"/>
      <c r="L1341" s="152"/>
      <c r="M1341" s="10"/>
      <c r="N1341" s="152"/>
      <c r="O1341" s="10"/>
      <c r="P1341" s="152"/>
      <c r="Q1341" s="10"/>
      <c r="R1341" s="9"/>
      <c r="S1341" s="10"/>
      <c r="T1341" s="9"/>
      <c r="U1341" s="10"/>
      <c r="V1341" s="9"/>
      <c r="W1341" s="10"/>
      <c r="X1341" s="9"/>
      <c r="Y1341" s="10"/>
      <c r="Z1341" s="9"/>
      <c r="AA1341" s="10"/>
      <c r="AB1341" s="11"/>
      <c r="AC1341" s="10"/>
      <c r="AD1341" s="7">
        <f>SUM(F1341+H1341+J1341+L1341+N1341+P1341+R1341+T1341+V1341+X1341+Z1341+AB1341)</f>
        <v>0</v>
      </c>
      <c r="AE1341" s="7">
        <f>E1341+AD1341</f>
        <v>0</v>
      </c>
      <c r="AF1341" s="8">
        <f>G1341+I1341+K1341+M1341+O1341+Q1341+S1341+U1341+W1341+Y1341+AA1341+AC1341</f>
        <v>0</v>
      </c>
      <c r="AG1341" s="153">
        <f>SUM(AE1341-AF1341)</f>
        <v>0</v>
      </c>
    </row>
    <row r="1342" spans="1:42" customHeight="1" ht="11.5">
      <c r="A1342" s="5"/>
      <c r="B1342" s="173"/>
      <c r="C1342" s="167"/>
      <c r="D1342" s="88"/>
      <c r="E1342" s="174"/>
      <c r="F1342" s="9"/>
      <c r="G1342" s="10"/>
      <c r="H1342" s="9"/>
      <c r="I1342" s="10"/>
      <c r="J1342" s="152"/>
      <c r="K1342" s="10"/>
      <c r="L1342" s="152"/>
      <c r="M1342" s="10"/>
      <c r="N1342" s="152"/>
      <c r="O1342" s="10"/>
      <c r="P1342" s="152"/>
      <c r="Q1342" s="10"/>
      <c r="R1342" s="9"/>
      <c r="S1342" s="10"/>
      <c r="T1342" s="9"/>
      <c r="U1342" s="10"/>
      <c r="V1342" s="9"/>
      <c r="W1342" s="10"/>
      <c r="X1342" s="9"/>
      <c r="Y1342" s="10"/>
      <c r="Z1342" s="9"/>
      <c r="AA1342" s="10"/>
      <c r="AB1342" s="11"/>
      <c r="AC1342" s="10"/>
      <c r="AD1342" s="7">
        <f>SUM(F1342+H1342+J1342+L1342+N1342+P1342+R1342+T1342+V1342+X1342+Z1342+AB1342)</f>
        <v>0</v>
      </c>
      <c r="AE1342" s="7">
        <f>E1342+AD1342</f>
        <v>0</v>
      </c>
      <c r="AF1342" s="8">
        <f>G1342+I1342+K1342+M1342+O1342+Q1342+S1342+U1342+W1342+Y1342+AA1342+AC1342</f>
        <v>0</v>
      </c>
      <c r="AG1342" s="153">
        <f>SUM(AE1342-AF1342)</f>
        <v>0</v>
      </c>
    </row>
    <row r="1343" spans="1:42" customHeight="1" ht="11.5">
      <c r="A1343" s="5"/>
      <c r="B1343" s="173"/>
      <c r="C1343" s="167"/>
      <c r="D1343" s="88"/>
      <c r="E1343" s="174"/>
      <c r="F1343" s="9"/>
      <c r="G1343" s="10"/>
      <c r="H1343" s="9"/>
      <c r="I1343" s="10"/>
      <c r="J1343" s="152"/>
      <c r="K1343" s="10"/>
      <c r="L1343" s="152"/>
      <c r="M1343" s="10"/>
      <c r="N1343" s="152"/>
      <c r="O1343" s="10"/>
      <c r="P1343" s="152"/>
      <c r="Q1343" s="10"/>
      <c r="R1343" s="9"/>
      <c r="S1343" s="10"/>
      <c r="T1343" s="9"/>
      <c r="U1343" s="10"/>
      <c r="V1343" s="9"/>
      <c r="W1343" s="10"/>
      <c r="X1343" s="9"/>
      <c r="Y1343" s="10"/>
      <c r="Z1343" s="9"/>
      <c r="AA1343" s="10"/>
      <c r="AB1343" s="11"/>
      <c r="AC1343" s="10"/>
      <c r="AD1343" s="7">
        <f>SUM(F1343+H1343+J1343+L1343+N1343+P1343+R1343+T1343+V1343+X1343+Z1343+AB1343)</f>
        <v>0</v>
      </c>
      <c r="AE1343" s="7">
        <f>E1343+AD1343</f>
        <v>0</v>
      </c>
      <c r="AF1343" s="8">
        <f>G1343+I1343+K1343+M1343+O1343+Q1343+S1343+U1343+W1343+Y1343+AA1343+AC1343</f>
        <v>0</v>
      </c>
      <c r="AG1343" s="153">
        <f>SUM(AE1343-AF1343)</f>
        <v>0</v>
      </c>
    </row>
    <row r="1344" spans="1:42" customHeight="1" ht="11.5">
      <c r="A1344" s="5"/>
      <c r="B1344" s="173"/>
      <c r="C1344" s="167"/>
      <c r="D1344" s="88"/>
      <c r="E1344" s="174"/>
      <c r="F1344" s="9"/>
      <c r="G1344" s="10"/>
      <c r="H1344" s="9"/>
      <c r="I1344" s="10"/>
      <c r="J1344" s="152"/>
      <c r="K1344" s="10"/>
      <c r="L1344" s="152"/>
      <c r="M1344" s="10"/>
      <c r="N1344" s="152"/>
      <c r="O1344" s="10"/>
      <c r="P1344" s="152"/>
      <c r="Q1344" s="10"/>
      <c r="R1344" s="9"/>
      <c r="S1344" s="10"/>
      <c r="T1344" s="9"/>
      <c r="U1344" s="10"/>
      <c r="V1344" s="9"/>
      <c r="W1344" s="10"/>
      <c r="X1344" s="9"/>
      <c r="Y1344" s="10"/>
      <c r="Z1344" s="9"/>
      <c r="AA1344" s="10"/>
      <c r="AB1344" s="11"/>
      <c r="AC1344" s="10"/>
      <c r="AD1344" s="7">
        <f>SUM(F1344+H1344+J1344+L1344+N1344+P1344+R1344+T1344+V1344+X1344+Z1344+AB1344)</f>
        <v>0</v>
      </c>
      <c r="AE1344" s="7">
        <f>E1344+AD1344</f>
        <v>0</v>
      </c>
      <c r="AF1344" s="8">
        <f>G1344+I1344+K1344+M1344+O1344+Q1344+S1344+U1344+W1344+Y1344+AA1344+AC1344</f>
        <v>0</v>
      </c>
      <c r="AG1344" s="153">
        <f>SUM(AE1344-AF1344)</f>
        <v>0</v>
      </c>
    </row>
    <row r="1345" spans="1:42" customHeight="1" ht="11.5">
      <c r="A1345" s="5"/>
      <c r="B1345" s="173"/>
      <c r="C1345" s="167"/>
      <c r="D1345" s="88"/>
      <c r="E1345" s="174"/>
      <c r="F1345" s="9"/>
      <c r="G1345" s="10"/>
      <c r="H1345" s="9"/>
      <c r="I1345" s="10"/>
      <c r="J1345" s="152"/>
      <c r="K1345" s="10"/>
      <c r="L1345" s="152"/>
      <c r="M1345" s="10"/>
      <c r="N1345" s="152"/>
      <c r="O1345" s="10"/>
      <c r="P1345" s="152"/>
      <c r="Q1345" s="10"/>
      <c r="R1345" s="9"/>
      <c r="S1345" s="10"/>
      <c r="T1345" s="9"/>
      <c r="U1345" s="10"/>
      <c r="V1345" s="9"/>
      <c r="W1345" s="10"/>
      <c r="X1345" s="9"/>
      <c r="Y1345" s="10"/>
      <c r="Z1345" s="9"/>
      <c r="AA1345" s="10"/>
      <c r="AB1345" s="11"/>
      <c r="AC1345" s="10"/>
      <c r="AD1345" s="7">
        <f>SUM(F1345+H1345+J1345+L1345+N1345+P1345+R1345+T1345+V1345+X1345+Z1345+AB1345)</f>
        <v>0</v>
      </c>
      <c r="AE1345" s="7">
        <f>E1345+AD1345</f>
        <v>0</v>
      </c>
      <c r="AF1345" s="8">
        <f>G1345+I1345+K1345+M1345+O1345+Q1345+S1345+U1345+W1345+Y1345+AA1345+AC1345</f>
        <v>0</v>
      </c>
      <c r="AG1345" s="153">
        <f>SUM(AE1345-AF1345)</f>
        <v>0</v>
      </c>
    </row>
    <row r="1346" spans="1:42" customHeight="1" ht="11.5">
      <c r="A1346" s="5"/>
      <c r="B1346" s="173"/>
      <c r="C1346" s="167"/>
      <c r="D1346" s="88"/>
      <c r="E1346" s="174"/>
      <c r="F1346" s="9"/>
      <c r="G1346" s="10"/>
      <c r="H1346" s="9"/>
      <c r="I1346" s="10"/>
      <c r="J1346" s="152"/>
      <c r="K1346" s="10"/>
      <c r="L1346" s="152"/>
      <c r="M1346" s="10"/>
      <c r="N1346" s="152"/>
      <c r="O1346" s="10"/>
      <c r="P1346" s="152"/>
      <c r="Q1346" s="10"/>
      <c r="R1346" s="9"/>
      <c r="S1346" s="10"/>
      <c r="T1346" s="9"/>
      <c r="U1346" s="10"/>
      <c r="V1346" s="9"/>
      <c r="W1346" s="10"/>
      <c r="X1346" s="9"/>
      <c r="Y1346" s="10"/>
      <c r="Z1346" s="9"/>
      <c r="AA1346" s="10"/>
      <c r="AB1346" s="11"/>
      <c r="AC1346" s="10"/>
      <c r="AD1346" s="7">
        <f>SUM(F1346+H1346+J1346+L1346+N1346+P1346+R1346+T1346+V1346+X1346+Z1346+AB1346)</f>
        <v>0</v>
      </c>
      <c r="AE1346" s="7">
        <f>E1346+AD1346</f>
        <v>0</v>
      </c>
      <c r="AF1346" s="8">
        <f>G1346+I1346+K1346+M1346+O1346+Q1346+S1346+U1346+W1346+Y1346+AA1346+AC1346</f>
        <v>0</v>
      </c>
      <c r="AG1346" s="153">
        <f>SUM(AE1346-AF1346)</f>
        <v>0</v>
      </c>
    </row>
    <row r="1347" spans="1:42" customHeight="1" ht="11.5">
      <c r="A1347" s="5"/>
      <c r="B1347" s="173"/>
      <c r="C1347" s="167"/>
      <c r="D1347" s="88"/>
      <c r="E1347" s="174"/>
      <c r="F1347" s="9"/>
      <c r="G1347" s="10"/>
      <c r="H1347" s="9"/>
      <c r="I1347" s="10"/>
      <c r="J1347" s="152"/>
      <c r="K1347" s="10"/>
      <c r="L1347" s="152"/>
      <c r="M1347" s="10"/>
      <c r="N1347" s="152"/>
      <c r="O1347" s="10"/>
      <c r="P1347" s="152"/>
      <c r="Q1347" s="10"/>
      <c r="R1347" s="9"/>
      <c r="S1347" s="10"/>
      <c r="T1347" s="9"/>
      <c r="U1347" s="10"/>
      <c r="V1347" s="9"/>
      <c r="W1347" s="10"/>
      <c r="X1347" s="9"/>
      <c r="Y1347" s="10"/>
      <c r="Z1347" s="9"/>
      <c r="AA1347" s="10"/>
      <c r="AB1347" s="11"/>
      <c r="AC1347" s="10"/>
      <c r="AD1347" s="7">
        <f>SUM(F1347+H1347+J1347+L1347+N1347+P1347+R1347+T1347+V1347+X1347+Z1347+AB1347)</f>
        <v>0</v>
      </c>
      <c r="AE1347" s="7">
        <f>E1347+AD1347</f>
        <v>0</v>
      </c>
      <c r="AF1347" s="8">
        <f>G1347+I1347+K1347+M1347+O1347+Q1347+S1347+U1347+W1347+Y1347+AA1347+AC1347</f>
        <v>0</v>
      </c>
      <c r="AG1347" s="153">
        <f>SUM(AE1347-AF1347)</f>
        <v>0</v>
      </c>
    </row>
    <row r="1348" spans="1:42" customHeight="1" ht="11.5">
      <c r="A1348" s="5"/>
      <c r="B1348" s="173"/>
      <c r="C1348" s="167"/>
      <c r="D1348" s="88"/>
      <c r="E1348" s="174"/>
      <c r="F1348" s="9"/>
      <c r="G1348" s="10"/>
      <c r="H1348" s="9"/>
      <c r="I1348" s="10"/>
      <c r="J1348" s="152"/>
      <c r="K1348" s="10"/>
      <c r="L1348" s="152"/>
      <c r="M1348" s="10"/>
      <c r="N1348" s="152"/>
      <c r="O1348" s="10"/>
      <c r="P1348" s="152"/>
      <c r="Q1348" s="10"/>
      <c r="R1348" s="9"/>
      <c r="S1348" s="10"/>
      <c r="T1348" s="9"/>
      <c r="U1348" s="10"/>
      <c r="V1348" s="9"/>
      <c r="W1348" s="10"/>
      <c r="X1348" s="9"/>
      <c r="Y1348" s="10"/>
      <c r="Z1348" s="9"/>
      <c r="AA1348" s="10"/>
      <c r="AB1348" s="11"/>
      <c r="AC1348" s="10"/>
      <c r="AD1348" s="7">
        <f>SUM(F1348+H1348+J1348+L1348+N1348+P1348+R1348+T1348+V1348+X1348+Z1348+AB1348)</f>
        <v>0</v>
      </c>
      <c r="AE1348" s="7">
        <f>E1348+AD1348</f>
        <v>0</v>
      </c>
      <c r="AF1348" s="8">
        <f>G1348+I1348+K1348+M1348+O1348+Q1348+S1348+U1348+W1348+Y1348+AA1348+AC1348</f>
        <v>0</v>
      </c>
      <c r="AG1348" s="153">
        <f>SUM(AE1348-AF1348)</f>
        <v>0</v>
      </c>
    </row>
    <row r="1349" spans="1:42" customHeight="1" ht="11.5">
      <c r="A1349" s="5"/>
      <c r="B1349" s="173"/>
      <c r="C1349" s="167"/>
      <c r="D1349" s="88"/>
      <c r="E1349" s="174"/>
      <c r="F1349" s="9"/>
      <c r="G1349" s="10"/>
      <c r="H1349" s="9"/>
      <c r="I1349" s="10"/>
      <c r="J1349" s="152"/>
      <c r="K1349" s="10"/>
      <c r="L1349" s="152"/>
      <c r="M1349" s="10"/>
      <c r="N1349" s="152"/>
      <c r="O1349" s="10"/>
      <c r="P1349" s="152"/>
      <c r="Q1349" s="10"/>
      <c r="R1349" s="9"/>
      <c r="S1349" s="10"/>
      <c r="T1349" s="9"/>
      <c r="U1349" s="10"/>
      <c r="V1349" s="9"/>
      <c r="W1349" s="10"/>
      <c r="X1349" s="9"/>
      <c r="Y1349" s="10"/>
      <c r="Z1349" s="9"/>
      <c r="AA1349" s="10"/>
      <c r="AB1349" s="11"/>
      <c r="AC1349" s="10"/>
      <c r="AD1349" s="7">
        <f>SUM(F1349+H1349+J1349+L1349+N1349+P1349+R1349+T1349+V1349+X1349+Z1349+AB1349)</f>
        <v>0</v>
      </c>
      <c r="AE1349" s="7">
        <f>E1349+AD1349</f>
        <v>0</v>
      </c>
      <c r="AF1349" s="8">
        <f>G1349+I1349+K1349+M1349+O1349+Q1349+S1349+U1349+W1349+Y1349+AA1349+AC1349</f>
        <v>0</v>
      </c>
      <c r="AG1349" s="153">
        <f>SUM(AE1349-AF1349)</f>
        <v>0</v>
      </c>
    </row>
    <row r="1350" spans="1:42" customHeight="1" ht="11.5">
      <c r="A1350" s="5"/>
      <c r="B1350" s="173"/>
      <c r="C1350" s="167"/>
      <c r="D1350" s="88"/>
      <c r="E1350" s="174"/>
      <c r="F1350" s="9"/>
      <c r="G1350" s="10"/>
      <c r="H1350" s="9"/>
      <c r="I1350" s="10"/>
      <c r="J1350" s="152"/>
      <c r="K1350" s="10"/>
      <c r="L1350" s="152"/>
      <c r="M1350" s="10"/>
      <c r="N1350" s="152"/>
      <c r="O1350" s="10"/>
      <c r="P1350" s="152"/>
      <c r="Q1350" s="10"/>
      <c r="R1350" s="9"/>
      <c r="S1350" s="10"/>
      <c r="T1350" s="9"/>
      <c r="U1350" s="10"/>
      <c r="V1350" s="9"/>
      <c r="W1350" s="10"/>
      <c r="X1350" s="9"/>
      <c r="Y1350" s="10"/>
      <c r="Z1350" s="9"/>
      <c r="AA1350" s="10"/>
      <c r="AB1350" s="11"/>
      <c r="AC1350" s="10"/>
      <c r="AD1350" s="7">
        <f>SUM(F1350+H1350+J1350+L1350+N1350+P1350+R1350+T1350+V1350+X1350+Z1350+AB1350)</f>
        <v>0</v>
      </c>
      <c r="AE1350" s="7">
        <f>E1350+AD1350</f>
        <v>0</v>
      </c>
      <c r="AF1350" s="8">
        <f>G1350+I1350+K1350+M1350+O1350+Q1350+S1350+U1350+W1350+Y1350+AA1350+AC1350</f>
        <v>0</v>
      </c>
      <c r="AG1350" s="153">
        <f>SUM(AE1350-AF1350)</f>
        <v>0</v>
      </c>
    </row>
    <row r="1351" spans="1:42" customHeight="1" ht="11.5">
      <c r="A1351" s="5"/>
      <c r="B1351" s="173"/>
      <c r="C1351" s="167"/>
      <c r="D1351" s="88"/>
      <c r="E1351" s="174"/>
      <c r="F1351" s="9"/>
      <c r="G1351" s="10"/>
      <c r="H1351" s="9"/>
      <c r="I1351" s="10"/>
      <c r="J1351" s="152"/>
      <c r="K1351" s="10"/>
      <c r="L1351" s="152"/>
      <c r="M1351" s="10"/>
      <c r="N1351" s="152"/>
      <c r="O1351" s="10"/>
      <c r="P1351" s="152"/>
      <c r="Q1351" s="10"/>
      <c r="R1351" s="9"/>
      <c r="S1351" s="10"/>
      <c r="T1351" s="9"/>
      <c r="U1351" s="10"/>
      <c r="V1351" s="9"/>
      <c r="W1351" s="10"/>
      <c r="X1351" s="9"/>
      <c r="Y1351" s="10"/>
      <c r="Z1351" s="9"/>
      <c r="AA1351" s="10"/>
      <c r="AB1351" s="11"/>
      <c r="AC1351" s="10"/>
      <c r="AD1351" s="7">
        <f>SUM(F1351+H1351+J1351+L1351+N1351+P1351+R1351+T1351+V1351+X1351+Z1351+AB1351)</f>
        <v>0</v>
      </c>
      <c r="AE1351" s="7">
        <f>E1351+AD1351</f>
        <v>0</v>
      </c>
      <c r="AF1351" s="8">
        <f>G1351+I1351+K1351+M1351+O1351+Q1351+S1351+U1351+W1351+Y1351+AA1351+AC1351</f>
        <v>0</v>
      </c>
      <c r="AG1351" s="153">
        <f>SUM(AE1351-AF1351)</f>
        <v>0</v>
      </c>
    </row>
    <row r="1352" spans="1:42" customHeight="1" ht="11.5">
      <c r="A1352" s="5"/>
      <c r="B1352" s="173"/>
      <c r="C1352" s="167"/>
      <c r="D1352" s="88"/>
      <c r="E1352" s="174"/>
      <c r="F1352" s="9"/>
      <c r="G1352" s="10"/>
      <c r="H1352" s="9"/>
      <c r="I1352" s="10"/>
      <c r="J1352" s="152"/>
      <c r="K1352" s="10"/>
      <c r="L1352" s="152"/>
      <c r="M1352" s="10"/>
      <c r="N1352" s="152"/>
      <c r="O1352" s="10"/>
      <c r="P1352" s="152"/>
      <c r="Q1352" s="10"/>
      <c r="R1352" s="9"/>
      <c r="S1352" s="10"/>
      <c r="T1352" s="9"/>
      <c r="U1352" s="10"/>
      <c r="V1352" s="9"/>
      <c r="W1352" s="10"/>
      <c r="X1352" s="9"/>
      <c r="Y1352" s="10"/>
      <c r="Z1352" s="9"/>
      <c r="AA1352" s="10"/>
      <c r="AB1352" s="11"/>
      <c r="AC1352" s="10"/>
      <c r="AD1352" s="7">
        <f>SUM(F1352+H1352+J1352+L1352+N1352+P1352+R1352+T1352+V1352+X1352+Z1352+AB1352)</f>
        <v>0</v>
      </c>
      <c r="AE1352" s="7">
        <f>E1352+AD1352</f>
        <v>0</v>
      </c>
      <c r="AF1352" s="8">
        <f>G1352+I1352+K1352+M1352+O1352+Q1352+S1352+U1352+W1352+Y1352+AA1352+AC1352</f>
        <v>0</v>
      </c>
      <c r="AG1352" s="153">
        <f>SUM(AE1352-AF1352)</f>
        <v>0</v>
      </c>
    </row>
    <row r="1353" spans="1:42" customHeight="1" ht="11.5">
      <c r="A1353" s="5"/>
      <c r="B1353" s="173"/>
      <c r="C1353" s="167"/>
      <c r="D1353" s="88"/>
      <c r="E1353" s="174"/>
      <c r="F1353" s="9"/>
      <c r="G1353" s="10"/>
      <c r="H1353" s="9"/>
      <c r="I1353" s="10"/>
      <c r="J1353" s="152"/>
      <c r="K1353" s="10"/>
      <c r="L1353" s="152"/>
      <c r="M1353" s="10"/>
      <c r="N1353" s="152"/>
      <c r="O1353" s="10"/>
      <c r="P1353" s="152"/>
      <c r="Q1353" s="10"/>
      <c r="R1353" s="9"/>
      <c r="S1353" s="10"/>
      <c r="T1353" s="9"/>
      <c r="U1353" s="10"/>
      <c r="V1353" s="9"/>
      <c r="W1353" s="10"/>
      <c r="X1353" s="9"/>
      <c r="Y1353" s="10"/>
      <c r="Z1353" s="9"/>
      <c r="AA1353" s="10"/>
      <c r="AB1353" s="11"/>
      <c r="AC1353" s="10"/>
      <c r="AD1353" s="7">
        <f>SUM(F1353+H1353+J1353+L1353+N1353+P1353+R1353+T1353+V1353+X1353+Z1353+AB1353)</f>
        <v>0</v>
      </c>
      <c r="AE1353" s="7">
        <f>E1353+AD1353</f>
        <v>0</v>
      </c>
      <c r="AF1353" s="8">
        <f>G1353+I1353+K1353+M1353+O1353+Q1353+S1353+U1353+W1353+Y1353+AA1353+AC1353</f>
        <v>0</v>
      </c>
      <c r="AG1353" s="153">
        <f>SUM(AE1353-AF1353)</f>
        <v>0</v>
      </c>
    </row>
    <row r="1354" spans="1:42" customHeight="1" ht="11.5">
      <c r="A1354" s="5"/>
      <c r="B1354" s="173"/>
      <c r="C1354" s="167"/>
      <c r="D1354" s="88"/>
      <c r="E1354" s="174"/>
      <c r="F1354" s="9"/>
      <c r="G1354" s="10"/>
      <c r="H1354" s="9"/>
      <c r="I1354" s="10"/>
      <c r="J1354" s="152"/>
      <c r="K1354" s="10"/>
      <c r="L1354" s="152"/>
      <c r="M1354" s="10"/>
      <c r="N1354" s="152"/>
      <c r="O1354" s="10"/>
      <c r="P1354" s="152"/>
      <c r="Q1354" s="10"/>
      <c r="R1354" s="9"/>
      <c r="S1354" s="10"/>
      <c r="T1354" s="9"/>
      <c r="U1354" s="10"/>
      <c r="V1354" s="9"/>
      <c r="W1354" s="10"/>
      <c r="X1354" s="9"/>
      <c r="Y1354" s="10"/>
      <c r="Z1354" s="9"/>
      <c r="AA1354" s="10"/>
      <c r="AB1354" s="11"/>
      <c r="AC1354" s="10"/>
      <c r="AD1354" s="7">
        <f>SUM(F1354+H1354+J1354+L1354+N1354+P1354+R1354+T1354+V1354+X1354+Z1354+AB1354)</f>
        <v>0</v>
      </c>
      <c r="AE1354" s="7">
        <f>E1354+AD1354</f>
        <v>0</v>
      </c>
      <c r="AF1354" s="8">
        <f>G1354+I1354+K1354+M1354+O1354+Q1354+S1354+U1354+W1354+Y1354+AA1354+AC1354</f>
        <v>0</v>
      </c>
      <c r="AG1354" s="153">
        <f>SUM(AE1354-AF1354)</f>
        <v>0</v>
      </c>
    </row>
    <row r="1355" spans="1:42" customHeight="1" ht="11.5">
      <c r="A1355" s="5"/>
      <c r="B1355" s="173"/>
      <c r="C1355" s="167"/>
      <c r="D1355" s="88"/>
      <c r="E1355" s="174"/>
      <c r="F1355" s="9"/>
      <c r="G1355" s="10"/>
      <c r="H1355" s="9"/>
      <c r="I1355" s="10"/>
      <c r="J1355" s="152"/>
      <c r="K1355" s="10"/>
      <c r="L1355" s="152"/>
      <c r="M1355" s="10"/>
      <c r="N1355" s="152"/>
      <c r="O1355" s="10"/>
      <c r="P1355" s="152"/>
      <c r="Q1355" s="10"/>
      <c r="R1355" s="9"/>
      <c r="S1355" s="10"/>
      <c r="T1355" s="9"/>
      <c r="U1355" s="10"/>
      <c r="V1355" s="9"/>
      <c r="W1355" s="10"/>
      <c r="X1355" s="9"/>
      <c r="Y1355" s="10"/>
      <c r="Z1355" s="9"/>
      <c r="AA1355" s="10"/>
      <c r="AB1355" s="11"/>
      <c r="AC1355" s="10"/>
      <c r="AD1355" s="7">
        <f>SUM(F1355+H1355+J1355+L1355+N1355+P1355+R1355+T1355+V1355+X1355+Z1355+AB1355)</f>
        <v>0</v>
      </c>
      <c r="AE1355" s="7">
        <f>E1355+AD1355</f>
        <v>0</v>
      </c>
      <c r="AF1355" s="8">
        <f>G1355+I1355+K1355+M1355+O1355+Q1355+S1355+U1355+W1355+Y1355+AA1355+AC1355</f>
        <v>0</v>
      </c>
      <c r="AG1355" s="153">
        <f>SUM(AE1355-AF1355)</f>
        <v>0</v>
      </c>
    </row>
    <row r="1356" spans="1:42" customHeight="1" ht="11.5">
      <c r="A1356" s="5"/>
      <c r="B1356" s="173"/>
      <c r="C1356" s="167"/>
      <c r="D1356" s="88"/>
      <c r="E1356" s="174"/>
      <c r="F1356" s="9"/>
      <c r="G1356" s="10"/>
      <c r="H1356" s="9"/>
      <c r="I1356" s="10"/>
      <c r="J1356" s="152"/>
      <c r="K1356" s="10"/>
      <c r="L1356" s="152"/>
      <c r="M1356" s="10"/>
      <c r="N1356" s="152"/>
      <c r="O1356" s="10"/>
      <c r="P1356" s="152"/>
      <c r="Q1356" s="10"/>
      <c r="R1356" s="9"/>
      <c r="S1356" s="10"/>
      <c r="T1356" s="9"/>
      <c r="U1356" s="10"/>
      <c r="V1356" s="9"/>
      <c r="W1356" s="10"/>
      <c r="X1356" s="9"/>
      <c r="Y1356" s="10"/>
      <c r="Z1356" s="9"/>
      <c r="AA1356" s="10"/>
      <c r="AB1356" s="11"/>
      <c r="AC1356" s="10"/>
      <c r="AD1356" s="7">
        <f>SUM(F1356+H1356+J1356+L1356+N1356+P1356+R1356+T1356+V1356+X1356+Z1356+AB1356)</f>
        <v>0</v>
      </c>
      <c r="AE1356" s="7">
        <f>E1356+AD1356</f>
        <v>0</v>
      </c>
      <c r="AF1356" s="8">
        <f>G1356+I1356+K1356+M1356+O1356+Q1356+S1356+U1356+W1356+Y1356+AA1356+AC1356</f>
        <v>0</v>
      </c>
      <c r="AG1356" s="153">
        <f>SUM(AE1356-AF1356)</f>
        <v>0</v>
      </c>
    </row>
    <row r="1357" spans="1:42" customHeight="1" ht="11.5">
      <c r="A1357" s="5"/>
      <c r="B1357" s="173"/>
      <c r="C1357" s="167"/>
      <c r="D1357" s="88"/>
      <c r="E1357" s="174"/>
      <c r="F1357" s="9"/>
      <c r="G1357" s="10"/>
      <c r="H1357" s="9"/>
      <c r="I1357" s="10"/>
      <c r="J1357" s="152"/>
      <c r="K1357" s="10"/>
      <c r="L1357" s="152"/>
      <c r="M1357" s="10"/>
      <c r="N1357" s="152"/>
      <c r="O1357" s="10"/>
      <c r="P1357" s="152"/>
      <c r="Q1357" s="10"/>
      <c r="R1357" s="9"/>
      <c r="S1357" s="10"/>
      <c r="T1357" s="9"/>
      <c r="U1357" s="10"/>
      <c r="V1357" s="9"/>
      <c r="W1357" s="10"/>
      <c r="X1357" s="9"/>
      <c r="Y1357" s="10"/>
      <c r="Z1357" s="9"/>
      <c r="AA1357" s="10"/>
      <c r="AB1357" s="11"/>
      <c r="AC1357" s="10"/>
      <c r="AD1357" s="7">
        <f>SUM(F1357+H1357+J1357+L1357+N1357+P1357+R1357+T1357+V1357+X1357+Z1357+AB1357)</f>
        <v>0</v>
      </c>
      <c r="AE1357" s="7">
        <f>E1357+AD1357</f>
        <v>0</v>
      </c>
      <c r="AF1357" s="8">
        <f>G1357+I1357+K1357+M1357+O1357+Q1357+S1357+U1357+W1357+Y1357+AA1357+AC1357</f>
        <v>0</v>
      </c>
      <c r="AG1357" s="153">
        <f>SUM(AE1357-AF1357)</f>
        <v>0</v>
      </c>
    </row>
    <row r="1358" spans="1:42" customHeight="1" ht="11.5">
      <c r="A1358" s="5"/>
      <c r="B1358" s="173"/>
      <c r="C1358" s="167"/>
      <c r="D1358" s="88"/>
      <c r="E1358" s="174"/>
      <c r="F1358" s="9"/>
      <c r="G1358" s="10"/>
      <c r="H1358" s="9"/>
      <c r="I1358" s="10"/>
      <c r="J1358" s="152"/>
      <c r="K1358" s="10"/>
      <c r="L1358" s="152"/>
      <c r="M1358" s="10"/>
      <c r="N1358" s="152"/>
      <c r="O1358" s="10"/>
      <c r="P1358" s="152"/>
      <c r="Q1358" s="10"/>
      <c r="R1358" s="9"/>
      <c r="S1358" s="10"/>
      <c r="T1358" s="9"/>
      <c r="U1358" s="10"/>
      <c r="V1358" s="9"/>
      <c r="W1358" s="10"/>
      <c r="X1358" s="9"/>
      <c r="Y1358" s="10"/>
      <c r="Z1358" s="9"/>
      <c r="AA1358" s="10"/>
      <c r="AB1358" s="11"/>
      <c r="AC1358" s="10"/>
      <c r="AD1358" s="7">
        <f>SUM(F1358+H1358+J1358+L1358+N1358+P1358+R1358+T1358+V1358+X1358+Z1358+AB1358)</f>
        <v>0</v>
      </c>
      <c r="AE1358" s="7">
        <f>E1358+AD1358</f>
        <v>0</v>
      </c>
      <c r="AF1358" s="8">
        <f>G1358+I1358+K1358+M1358+O1358+Q1358+S1358+U1358+W1358+Y1358+AA1358+AC1358</f>
        <v>0</v>
      </c>
      <c r="AG1358" s="153">
        <f>SUM(AE1358-AF1358)</f>
        <v>0</v>
      </c>
    </row>
    <row r="1359" spans="1:42" customHeight="1" ht="11.5">
      <c r="A1359" s="5"/>
      <c r="B1359" s="173"/>
      <c r="C1359" s="167"/>
      <c r="D1359" s="88"/>
      <c r="E1359" s="174"/>
      <c r="F1359" s="9"/>
      <c r="G1359" s="10"/>
      <c r="H1359" s="9"/>
      <c r="I1359" s="10"/>
      <c r="J1359" s="152"/>
      <c r="K1359" s="10"/>
      <c r="L1359" s="152"/>
      <c r="M1359" s="10"/>
      <c r="N1359" s="152"/>
      <c r="O1359" s="10"/>
      <c r="P1359" s="152"/>
      <c r="Q1359" s="10"/>
      <c r="R1359" s="9"/>
      <c r="S1359" s="10"/>
      <c r="T1359" s="9"/>
      <c r="U1359" s="10"/>
      <c r="V1359" s="9"/>
      <c r="W1359" s="10"/>
      <c r="X1359" s="9"/>
      <c r="Y1359" s="10"/>
      <c r="Z1359" s="9"/>
      <c r="AA1359" s="10"/>
      <c r="AB1359" s="11"/>
      <c r="AC1359" s="10"/>
      <c r="AD1359" s="7">
        <f>SUM(F1359+H1359+J1359+L1359+N1359+P1359+R1359+T1359+V1359+X1359+Z1359+AB1359)</f>
        <v>0</v>
      </c>
      <c r="AE1359" s="7">
        <f>E1359+AD1359</f>
        <v>0</v>
      </c>
      <c r="AF1359" s="8">
        <f>G1359+I1359+K1359+M1359+O1359+Q1359+S1359+U1359+W1359+Y1359+AA1359+AC1359</f>
        <v>0</v>
      </c>
      <c r="AG1359" s="153">
        <f>SUM(AE1359-AF1359)</f>
        <v>0</v>
      </c>
    </row>
    <row r="1360" spans="1:42" customHeight="1" ht="11.5">
      <c r="A1360" s="5"/>
      <c r="B1360" s="173"/>
      <c r="C1360" s="167"/>
      <c r="D1360" s="88"/>
      <c r="E1360" s="174"/>
      <c r="F1360" s="9"/>
      <c r="G1360" s="10"/>
      <c r="H1360" s="9"/>
      <c r="I1360" s="10"/>
      <c r="J1360" s="152"/>
      <c r="K1360" s="10"/>
      <c r="L1360" s="152"/>
      <c r="M1360" s="10"/>
      <c r="N1360" s="152"/>
      <c r="O1360" s="10"/>
      <c r="P1360" s="152"/>
      <c r="Q1360" s="10"/>
      <c r="R1360" s="9"/>
      <c r="S1360" s="10"/>
      <c r="T1360" s="9"/>
      <c r="U1360" s="10"/>
      <c r="V1360" s="9"/>
      <c r="W1360" s="10"/>
      <c r="X1360" s="9"/>
      <c r="Y1360" s="10"/>
      <c r="Z1360" s="9"/>
      <c r="AA1360" s="10"/>
      <c r="AB1360" s="11"/>
      <c r="AC1360" s="10"/>
      <c r="AD1360" s="7">
        <f>SUM(F1360+H1360+J1360+L1360+N1360+P1360+R1360+T1360+V1360+X1360+Z1360+AB1360)</f>
        <v>0</v>
      </c>
      <c r="AE1360" s="7">
        <f>E1360+AD1360</f>
        <v>0</v>
      </c>
      <c r="AF1360" s="8">
        <f>G1360+I1360+K1360+M1360+O1360+Q1360+S1360+U1360+W1360+Y1360+AA1360+AC1360</f>
        <v>0</v>
      </c>
      <c r="AG1360" s="153">
        <f>SUM(AE1360-AF1360)</f>
        <v>0</v>
      </c>
    </row>
    <row r="1361" spans="1:42" customHeight="1" ht="11.5">
      <c r="A1361" s="5"/>
      <c r="B1361" s="173"/>
      <c r="C1361" s="167"/>
      <c r="D1361" s="88"/>
      <c r="E1361" s="174"/>
      <c r="F1361" s="9"/>
      <c r="G1361" s="10"/>
      <c r="H1361" s="9"/>
      <c r="I1361" s="10"/>
      <c r="J1361" s="152"/>
      <c r="K1361" s="10"/>
      <c r="L1361" s="152"/>
      <c r="M1361" s="10"/>
      <c r="N1361" s="152"/>
      <c r="O1361" s="10"/>
      <c r="P1361" s="152"/>
      <c r="Q1361" s="10"/>
      <c r="R1361" s="9"/>
      <c r="S1361" s="10"/>
      <c r="T1361" s="9"/>
      <c r="U1361" s="10"/>
      <c r="V1361" s="9"/>
      <c r="W1361" s="10"/>
      <c r="X1361" s="9"/>
      <c r="Y1361" s="10"/>
      <c r="Z1361" s="9"/>
      <c r="AA1361" s="10"/>
      <c r="AB1361" s="11"/>
      <c r="AC1361" s="10"/>
      <c r="AD1361" s="7">
        <f>SUM(F1361+H1361+J1361+L1361+N1361+P1361+R1361+T1361+V1361+X1361+Z1361+AB1361)</f>
        <v>0</v>
      </c>
      <c r="AE1361" s="7">
        <f>E1361+AD1361</f>
        <v>0</v>
      </c>
      <c r="AF1361" s="8">
        <f>G1361+I1361+K1361+M1361+O1361+Q1361+S1361+U1361+W1361+Y1361+AA1361+AC1361</f>
        <v>0</v>
      </c>
      <c r="AG1361" s="153">
        <f>SUM(AE1361-AF1361)</f>
        <v>0</v>
      </c>
    </row>
    <row r="1362" spans="1:42" customHeight="1" ht="11.5">
      <c r="A1362" s="5"/>
      <c r="B1362" s="173"/>
      <c r="C1362" s="167"/>
      <c r="D1362" s="88"/>
      <c r="E1362" s="174"/>
      <c r="F1362" s="9"/>
      <c r="G1362" s="10"/>
      <c r="H1362" s="9"/>
      <c r="I1362" s="10"/>
      <c r="J1362" s="152"/>
      <c r="K1362" s="10"/>
      <c r="L1362" s="152"/>
      <c r="M1362" s="10"/>
      <c r="N1362" s="152"/>
      <c r="O1362" s="10"/>
      <c r="P1362" s="152"/>
      <c r="Q1362" s="10"/>
      <c r="R1362" s="9"/>
      <c r="S1362" s="10"/>
      <c r="T1362" s="9"/>
      <c r="U1362" s="10"/>
      <c r="V1362" s="9"/>
      <c r="W1362" s="10"/>
      <c r="X1362" s="9"/>
      <c r="Y1362" s="10"/>
      <c r="Z1362" s="9"/>
      <c r="AA1362" s="10"/>
      <c r="AB1362" s="11"/>
      <c r="AC1362" s="10"/>
      <c r="AD1362" s="7">
        <f>SUM(F1362+H1362+J1362+L1362+N1362+P1362+R1362+T1362+V1362+X1362+Z1362+AB1362)</f>
        <v>0</v>
      </c>
      <c r="AE1362" s="7">
        <f>E1362+AD1362</f>
        <v>0</v>
      </c>
      <c r="AF1362" s="8">
        <f>G1362+I1362+K1362+M1362+O1362+Q1362+S1362+U1362+W1362+Y1362+AA1362+AC1362</f>
        <v>0</v>
      </c>
      <c r="AG1362" s="153">
        <f>SUM(AE1362-AF1362)</f>
        <v>0</v>
      </c>
    </row>
    <row r="1363" spans="1:42" customHeight="1" ht="11.5">
      <c r="A1363" s="5"/>
      <c r="B1363" s="173"/>
      <c r="C1363" s="167"/>
      <c r="D1363" s="88"/>
      <c r="E1363" s="174"/>
      <c r="F1363" s="9"/>
      <c r="G1363" s="10"/>
      <c r="H1363" s="9"/>
      <c r="I1363" s="10"/>
      <c r="J1363" s="152"/>
      <c r="K1363" s="10"/>
      <c r="L1363" s="152"/>
      <c r="M1363" s="10"/>
      <c r="N1363" s="152"/>
      <c r="O1363" s="10"/>
      <c r="P1363" s="152"/>
      <c r="Q1363" s="10"/>
      <c r="R1363" s="9"/>
      <c r="S1363" s="10"/>
      <c r="T1363" s="9"/>
      <c r="U1363" s="10"/>
      <c r="V1363" s="9"/>
      <c r="W1363" s="10"/>
      <c r="X1363" s="9"/>
      <c r="Y1363" s="10"/>
      <c r="Z1363" s="9"/>
      <c r="AA1363" s="10"/>
      <c r="AB1363" s="11"/>
      <c r="AC1363" s="10"/>
      <c r="AD1363" s="7">
        <f>SUM(F1363+H1363+J1363+L1363+N1363+P1363+R1363+T1363+V1363+X1363+Z1363+AB1363)</f>
        <v>0</v>
      </c>
      <c r="AE1363" s="7">
        <f>E1363+AD1363</f>
        <v>0</v>
      </c>
      <c r="AF1363" s="8">
        <f>G1363+I1363+K1363+M1363+O1363+Q1363+S1363+U1363+W1363+Y1363+AA1363+AC1363</f>
        <v>0</v>
      </c>
      <c r="AG1363" s="153">
        <f>SUM(AE1363-AF1363)</f>
        <v>0</v>
      </c>
    </row>
    <row r="1364" spans="1:42" customHeight="1" ht="11.5">
      <c r="A1364" s="5"/>
      <c r="B1364" s="173"/>
      <c r="C1364" s="167"/>
      <c r="D1364" s="88"/>
      <c r="E1364" s="174"/>
      <c r="F1364" s="9"/>
      <c r="G1364" s="10"/>
      <c r="H1364" s="9"/>
      <c r="I1364" s="10"/>
      <c r="J1364" s="152"/>
      <c r="K1364" s="10"/>
      <c r="L1364" s="152"/>
      <c r="M1364" s="10"/>
      <c r="N1364" s="152"/>
      <c r="O1364" s="10"/>
      <c r="P1364" s="152"/>
      <c r="Q1364" s="10"/>
      <c r="R1364" s="9"/>
      <c r="S1364" s="10"/>
      <c r="T1364" s="9"/>
      <c r="U1364" s="10"/>
      <c r="V1364" s="9"/>
      <c r="W1364" s="10"/>
      <c r="X1364" s="9"/>
      <c r="Y1364" s="10"/>
      <c r="Z1364" s="9"/>
      <c r="AA1364" s="10"/>
      <c r="AB1364" s="11"/>
      <c r="AC1364" s="10"/>
      <c r="AD1364" s="7">
        <f>SUM(F1364+H1364+J1364+L1364+N1364+P1364+R1364+T1364+V1364+X1364+Z1364+AB1364)</f>
        <v>0</v>
      </c>
      <c r="AE1364" s="7">
        <f>E1364+AD1364</f>
        <v>0</v>
      </c>
      <c r="AF1364" s="8">
        <f>G1364+I1364+K1364+M1364+O1364+Q1364+S1364+U1364+W1364+Y1364+AA1364+AC1364</f>
        <v>0</v>
      </c>
      <c r="AG1364" s="153">
        <f>SUM(AE1364-AF1364)</f>
        <v>0</v>
      </c>
    </row>
    <row r="1365" spans="1:42" customHeight="1" ht="11.5">
      <c r="A1365" s="5"/>
      <c r="B1365" s="173"/>
      <c r="C1365" s="167"/>
      <c r="D1365" s="88"/>
      <c r="E1365" s="174"/>
      <c r="F1365" s="9"/>
      <c r="G1365" s="10"/>
      <c r="H1365" s="9"/>
      <c r="I1365" s="10"/>
      <c r="J1365" s="152"/>
      <c r="K1365" s="10"/>
      <c r="L1365" s="152"/>
      <c r="M1365" s="10"/>
      <c r="N1365" s="152"/>
      <c r="O1365" s="10"/>
      <c r="P1365" s="152"/>
      <c r="Q1365" s="10"/>
      <c r="R1365" s="9"/>
      <c r="S1365" s="10"/>
      <c r="T1365" s="9"/>
      <c r="U1365" s="10"/>
      <c r="V1365" s="9"/>
      <c r="W1365" s="10"/>
      <c r="X1365" s="9"/>
      <c r="Y1365" s="10"/>
      <c r="Z1365" s="9"/>
      <c r="AA1365" s="10"/>
      <c r="AB1365" s="11"/>
      <c r="AC1365" s="10"/>
      <c r="AD1365" s="7">
        <f>SUM(F1365+H1365+J1365+L1365+N1365+P1365+R1365+T1365+V1365+X1365+Z1365+AB1365)</f>
        <v>0</v>
      </c>
      <c r="AE1365" s="7">
        <f>E1365+AD1365</f>
        <v>0</v>
      </c>
      <c r="AF1365" s="8">
        <f>G1365+I1365+K1365+M1365+O1365+Q1365+S1365+U1365+W1365+Y1365+AA1365+AC1365</f>
        <v>0</v>
      </c>
      <c r="AG1365" s="153">
        <f>SUM(AE1365-AF1365)</f>
        <v>0</v>
      </c>
    </row>
    <row r="1366" spans="1:42" customHeight="1" ht="11.5">
      <c r="A1366" s="5"/>
      <c r="B1366" s="173"/>
      <c r="C1366" s="167"/>
      <c r="D1366" s="88"/>
      <c r="E1366" s="174"/>
      <c r="F1366" s="9"/>
      <c r="G1366" s="10"/>
      <c r="H1366" s="9"/>
      <c r="I1366" s="10"/>
      <c r="J1366" s="152"/>
      <c r="K1366" s="10"/>
      <c r="L1366" s="152"/>
      <c r="M1366" s="10"/>
      <c r="N1366" s="152"/>
      <c r="O1366" s="10"/>
      <c r="P1366" s="152"/>
      <c r="Q1366" s="10"/>
      <c r="R1366" s="9"/>
      <c r="S1366" s="10"/>
      <c r="T1366" s="9"/>
      <c r="U1366" s="10"/>
      <c r="V1366" s="9"/>
      <c r="W1366" s="10"/>
      <c r="X1366" s="9"/>
      <c r="Y1366" s="10"/>
      <c r="Z1366" s="9"/>
      <c r="AA1366" s="10"/>
      <c r="AB1366" s="11"/>
      <c r="AC1366" s="10"/>
      <c r="AD1366" s="7">
        <f>SUM(F1366+H1366+J1366+L1366+N1366+P1366+R1366+T1366+V1366+X1366+Z1366+AB1366)</f>
        <v>0</v>
      </c>
      <c r="AE1366" s="7">
        <f>E1366+AD1366</f>
        <v>0</v>
      </c>
      <c r="AF1366" s="8">
        <f>G1366+I1366+K1366+M1366+O1366+Q1366+S1366+U1366+W1366+Y1366+AA1366+AC1366</f>
        <v>0</v>
      </c>
      <c r="AG1366" s="153">
        <f>SUM(AE1366-AF1366)</f>
        <v>0</v>
      </c>
    </row>
    <row r="1367" spans="1:42" customHeight="1" ht="11.5">
      <c r="A1367" s="5"/>
      <c r="B1367" s="173"/>
      <c r="C1367" s="167"/>
      <c r="D1367" s="88"/>
      <c r="E1367" s="174"/>
      <c r="F1367" s="9"/>
      <c r="G1367" s="10"/>
      <c r="H1367" s="9"/>
      <c r="I1367" s="10"/>
      <c r="J1367" s="152"/>
      <c r="K1367" s="10"/>
      <c r="L1367" s="152"/>
      <c r="M1367" s="10"/>
      <c r="N1367" s="152"/>
      <c r="O1367" s="10"/>
      <c r="P1367" s="152"/>
      <c r="Q1367" s="10"/>
      <c r="R1367" s="9"/>
      <c r="S1367" s="10"/>
      <c r="T1367" s="9"/>
      <c r="U1367" s="10"/>
      <c r="V1367" s="9"/>
      <c r="W1367" s="10"/>
      <c r="X1367" s="9"/>
      <c r="Y1367" s="10"/>
      <c r="Z1367" s="9"/>
      <c r="AA1367" s="10"/>
      <c r="AB1367" s="11"/>
      <c r="AC1367" s="10"/>
      <c r="AD1367" s="7">
        <f>SUM(F1367+H1367+J1367+L1367+N1367+P1367+R1367+T1367+V1367+X1367+Z1367+AB1367)</f>
        <v>0</v>
      </c>
      <c r="AE1367" s="7">
        <f>E1367+AD1367</f>
        <v>0</v>
      </c>
      <c r="AF1367" s="8">
        <f>G1367+I1367+K1367+M1367+O1367+Q1367+S1367+U1367+W1367+Y1367+AA1367+AC1367</f>
        <v>0</v>
      </c>
      <c r="AG1367" s="153">
        <f>SUM(AE1367-AF1367)</f>
        <v>0</v>
      </c>
    </row>
    <row r="1368" spans="1:42" customHeight="1" ht="11.5">
      <c r="A1368" s="5"/>
      <c r="B1368" s="173"/>
      <c r="C1368" s="167"/>
      <c r="D1368" s="88"/>
      <c r="E1368" s="174"/>
      <c r="F1368" s="9"/>
      <c r="G1368" s="10"/>
      <c r="H1368" s="9"/>
      <c r="I1368" s="10"/>
      <c r="J1368" s="152"/>
      <c r="K1368" s="10"/>
      <c r="L1368" s="152"/>
      <c r="M1368" s="10"/>
      <c r="N1368" s="152"/>
      <c r="O1368" s="10"/>
      <c r="P1368" s="152"/>
      <c r="Q1368" s="10"/>
      <c r="R1368" s="9"/>
      <c r="S1368" s="10"/>
      <c r="T1368" s="9"/>
      <c r="U1368" s="10"/>
      <c r="V1368" s="9"/>
      <c r="W1368" s="10"/>
      <c r="X1368" s="9"/>
      <c r="Y1368" s="10"/>
      <c r="Z1368" s="9"/>
      <c r="AA1368" s="10"/>
      <c r="AB1368" s="11"/>
      <c r="AC1368" s="10"/>
      <c r="AD1368" s="7">
        <f>SUM(F1368+H1368+J1368+L1368+N1368+P1368+R1368+T1368+V1368+X1368+Z1368+AB1368)</f>
        <v>0</v>
      </c>
      <c r="AE1368" s="7">
        <f>E1368+AD1368</f>
        <v>0</v>
      </c>
      <c r="AF1368" s="8">
        <f>G1368+I1368+K1368+M1368+O1368+Q1368+S1368+U1368+W1368+Y1368+AA1368+AC1368</f>
        <v>0</v>
      </c>
      <c r="AG1368" s="153">
        <f>SUM(AE1368-AF1368)</f>
        <v>0</v>
      </c>
    </row>
    <row r="1369" spans="1:42" customHeight="1" ht="11.5">
      <c r="A1369" s="5"/>
      <c r="B1369" s="173"/>
      <c r="C1369" s="167"/>
      <c r="D1369" s="88"/>
      <c r="E1369" s="174"/>
      <c r="F1369" s="9"/>
      <c r="G1369" s="10"/>
      <c r="H1369" s="9"/>
      <c r="I1369" s="10"/>
      <c r="J1369" s="152"/>
      <c r="K1369" s="10"/>
      <c r="L1369" s="152"/>
      <c r="M1369" s="10"/>
      <c r="N1369" s="152"/>
      <c r="O1369" s="10"/>
      <c r="P1369" s="152"/>
      <c r="Q1369" s="10"/>
      <c r="R1369" s="9"/>
      <c r="S1369" s="10"/>
      <c r="T1369" s="9"/>
      <c r="U1369" s="10"/>
      <c r="V1369" s="9"/>
      <c r="W1369" s="10"/>
      <c r="X1369" s="9"/>
      <c r="Y1369" s="10"/>
      <c r="Z1369" s="9"/>
      <c r="AA1369" s="10"/>
      <c r="AB1369" s="11"/>
      <c r="AC1369" s="10"/>
      <c r="AD1369" s="7">
        <f>SUM(F1369+H1369+J1369+L1369+N1369+P1369+R1369+T1369+V1369+X1369+Z1369+AB1369)</f>
        <v>0</v>
      </c>
      <c r="AE1369" s="7">
        <f>E1369+AD1369</f>
        <v>0</v>
      </c>
      <c r="AF1369" s="8">
        <f>G1369+I1369+K1369+M1369+O1369+Q1369+S1369+U1369+W1369+Y1369+AA1369+AC1369</f>
        <v>0</v>
      </c>
      <c r="AG1369" s="153">
        <f>SUM(AE1369-AF1369)</f>
        <v>0</v>
      </c>
    </row>
    <row r="1370" spans="1:42" customHeight="1" ht="11.5">
      <c r="A1370" s="5"/>
      <c r="B1370" s="173"/>
      <c r="C1370" s="167"/>
      <c r="D1370" s="88"/>
      <c r="E1370" s="174"/>
      <c r="F1370" s="9"/>
      <c r="G1370" s="10"/>
      <c r="H1370" s="9"/>
      <c r="I1370" s="10"/>
      <c r="J1370" s="152"/>
      <c r="K1370" s="10"/>
      <c r="L1370" s="152"/>
      <c r="M1370" s="10"/>
      <c r="N1370" s="152"/>
      <c r="O1370" s="10"/>
      <c r="P1370" s="152"/>
      <c r="Q1370" s="10"/>
      <c r="R1370" s="9"/>
      <c r="S1370" s="10"/>
      <c r="T1370" s="9"/>
      <c r="U1370" s="10"/>
      <c r="V1370" s="9"/>
      <c r="W1370" s="10"/>
      <c r="X1370" s="9"/>
      <c r="Y1370" s="10"/>
      <c r="Z1370" s="9"/>
      <c r="AA1370" s="10"/>
      <c r="AB1370" s="11"/>
      <c r="AC1370" s="10"/>
      <c r="AD1370" s="7">
        <f>SUM(F1370+H1370+J1370+L1370+N1370+P1370+R1370+T1370+V1370+X1370+Z1370+AB1370)</f>
        <v>0</v>
      </c>
      <c r="AE1370" s="7">
        <f>E1370+AD1370</f>
        <v>0</v>
      </c>
      <c r="AF1370" s="8">
        <f>G1370+I1370+K1370+M1370+O1370+Q1370+S1370+U1370+W1370+Y1370+AA1370+AC1370</f>
        <v>0</v>
      </c>
      <c r="AG1370" s="153">
        <f>SUM(AE1370-AF1370)</f>
        <v>0</v>
      </c>
    </row>
    <row r="1371" spans="1:42" customHeight="1" ht="11.5">
      <c r="A1371" s="5"/>
      <c r="B1371" s="173"/>
      <c r="C1371" s="167"/>
      <c r="D1371" s="88"/>
      <c r="E1371" s="174"/>
      <c r="F1371" s="9"/>
      <c r="G1371" s="10"/>
      <c r="H1371" s="9"/>
      <c r="I1371" s="10"/>
      <c r="J1371" s="152"/>
      <c r="K1371" s="10"/>
      <c r="L1371" s="152"/>
      <c r="M1371" s="10"/>
      <c r="N1371" s="152"/>
      <c r="O1371" s="10"/>
      <c r="P1371" s="152"/>
      <c r="Q1371" s="10"/>
      <c r="R1371" s="9"/>
      <c r="S1371" s="10"/>
      <c r="T1371" s="9"/>
      <c r="U1371" s="10"/>
      <c r="V1371" s="9"/>
      <c r="W1371" s="10"/>
      <c r="X1371" s="9"/>
      <c r="Y1371" s="10"/>
      <c r="Z1371" s="9"/>
      <c r="AA1371" s="10"/>
      <c r="AB1371" s="11"/>
      <c r="AC1371" s="10"/>
      <c r="AD1371" s="7">
        <f>SUM(F1371+H1371+J1371+L1371+N1371+P1371+R1371+T1371+V1371+X1371+Z1371+AB1371)</f>
        <v>0</v>
      </c>
      <c r="AE1371" s="7">
        <f>E1371+AD1371</f>
        <v>0</v>
      </c>
      <c r="AF1371" s="8">
        <f>G1371+I1371+K1371+M1371+O1371+Q1371+S1371+U1371+W1371+Y1371+AA1371+AC1371</f>
        <v>0</v>
      </c>
      <c r="AG1371" s="153">
        <f>SUM(AE1371-AF1371)</f>
        <v>0</v>
      </c>
    </row>
    <row r="1372" spans="1:42" customHeight="1" ht="11.5">
      <c r="A1372" s="5"/>
      <c r="B1372" s="173"/>
      <c r="C1372" s="167"/>
      <c r="D1372" s="88"/>
      <c r="E1372" s="174"/>
      <c r="F1372" s="9"/>
      <c r="G1372" s="10"/>
      <c r="H1372" s="9"/>
      <c r="I1372" s="10"/>
      <c r="J1372" s="152"/>
      <c r="K1372" s="10"/>
      <c r="L1372" s="152"/>
      <c r="M1372" s="10"/>
      <c r="N1372" s="152"/>
      <c r="O1372" s="10"/>
      <c r="P1372" s="152"/>
      <c r="Q1372" s="10"/>
      <c r="R1372" s="9"/>
      <c r="S1372" s="10"/>
      <c r="T1372" s="9"/>
      <c r="U1372" s="10"/>
      <c r="V1372" s="9"/>
      <c r="W1372" s="10"/>
      <c r="X1372" s="9"/>
      <c r="Y1372" s="10"/>
      <c r="Z1372" s="9"/>
      <c r="AA1372" s="10"/>
      <c r="AB1372" s="11"/>
      <c r="AC1372" s="10"/>
      <c r="AD1372" s="7">
        <f>SUM(F1372+H1372+J1372+L1372+N1372+P1372+R1372+T1372+V1372+X1372+Z1372+AB1372)</f>
        <v>0</v>
      </c>
      <c r="AE1372" s="7">
        <f>E1372+AD1372</f>
        <v>0</v>
      </c>
      <c r="AF1372" s="8">
        <f>G1372+I1372+K1372+M1372+O1372+Q1372+S1372+U1372+W1372+Y1372+AA1372+AC1372</f>
        <v>0</v>
      </c>
      <c r="AG1372" s="153">
        <f>SUM(AE1372-AF1372)</f>
        <v>0</v>
      </c>
    </row>
    <row r="1373" spans="1:42" customHeight="1" ht="11.5">
      <c r="A1373" s="5"/>
      <c r="B1373" s="173"/>
      <c r="C1373" s="167"/>
      <c r="D1373" s="88"/>
      <c r="E1373" s="174"/>
      <c r="F1373" s="9"/>
      <c r="G1373" s="10"/>
      <c r="H1373" s="9"/>
      <c r="I1373" s="10"/>
      <c r="J1373" s="152"/>
      <c r="K1373" s="10"/>
      <c r="L1373" s="152"/>
      <c r="M1373" s="10"/>
      <c r="N1373" s="152"/>
      <c r="O1373" s="10"/>
      <c r="P1373" s="152"/>
      <c r="Q1373" s="10"/>
      <c r="R1373" s="9"/>
      <c r="S1373" s="10"/>
      <c r="T1373" s="9"/>
      <c r="U1373" s="10"/>
      <c r="V1373" s="9"/>
      <c r="W1373" s="10"/>
      <c r="X1373" s="9"/>
      <c r="Y1373" s="10"/>
      <c r="Z1373" s="9"/>
      <c r="AA1373" s="10"/>
      <c r="AB1373" s="11"/>
      <c r="AC1373" s="10"/>
      <c r="AD1373" s="7">
        <f>SUM(F1373+H1373+J1373+L1373+N1373+P1373+R1373+T1373+V1373+X1373+Z1373+AB1373)</f>
        <v>0</v>
      </c>
      <c r="AE1373" s="7">
        <f>E1373+AD1373</f>
        <v>0</v>
      </c>
      <c r="AF1373" s="8">
        <f>G1373+I1373+K1373+M1373+O1373+Q1373+S1373+U1373+W1373+Y1373+AA1373+AC1373</f>
        <v>0</v>
      </c>
      <c r="AG1373" s="153">
        <f>SUM(AE1373-AF1373)</f>
        <v>0</v>
      </c>
    </row>
    <row r="1374" spans="1:42" customHeight="1" ht="11.5">
      <c r="A1374" s="5"/>
      <c r="B1374" s="173"/>
      <c r="C1374" s="167"/>
      <c r="D1374" s="88"/>
      <c r="E1374" s="174"/>
      <c r="F1374" s="9"/>
      <c r="G1374" s="10"/>
      <c r="H1374" s="9"/>
      <c r="I1374" s="10"/>
      <c r="J1374" s="152"/>
      <c r="K1374" s="10"/>
      <c r="L1374" s="152"/>
      <c r="M1374" s="10"/>
      <c r="N1374" s="152"/>
      <c r="O1374" s="10"/>
      <c r="P1374" s="152"/>
      <c r="Q1374" s="10"/>
      <c r="R1374" s="9"/>
      <c r="S1374" s="10"/>
      <c r="T1374" s="9"/>
      <c r="U1374" s="10"/>
      <c r="V1374" s="9"/>
      <c r="W1374" s="10"/>
      <c r="X1374" s="9"/>
      <c r="Y1374" s="10"/>
      <c r="Z1374" s="9"/>
      <c r="AA1374" s="10"/>
      <c r="AB1374" s="11"/>
      <c r="AC1374" s="10"/>
      <c r="AD1374" s="7">
        <f>SUM(F1374+H1374+J1374+L1374+N1374+P1374+R1374+T1374+V1374+X1374+Z1374+AB1374)</f>
        <v>0</v>
      </c>
      <c r="AE1374" s="7">
        <f>E1374+AD1374</f>
        <v>0</v>
      </c>
      <c r="AF1374" s="8">
        <f>G1374+I1374+K1374+M1374+O1374+Q1374+S1374+U1374+W1374+Y1374+AA1374+AC1374</f>
        <v>0</v>
      </c>
      <c r="AG1374" s="153">
        <f>SUM(AE1374-AF1374)</f>
        <v>0</v>
      </c>
    </row>
    <row r="1375" spans="1:42" customHeight="1" ht="11.5">
      <c r="A1375" s="5"/>
      <c r="B1375" s="173"/>
      <c r="C1375" s="167"/>
      <c r="D1375" s="88"/>
      <c r="E1375" s="174"/>
      <c r="F1375" s="9"/>
      <c r="G1375" s="10"/>
      <c r="H1375" s="9"/>
      <c r="I1375" s="10"/>
      <c r="J1375" s="152"/>
      <c r="K1375" s="10"/>
      <c r="L1375" s="152"/>
      <c r="M1375" s="10"/>
      <c r="N1375" s="152"/>
      <c r="O1375" s="10"/>
      <c r="P1375" s="152"/>
      <c r="Q1375" s="10"/>
      <c r="R1375" s="9"/>
      <c r="S1375" s="10"/>
      <c r="T1375" s="9"/>
      <c r="U1375" s="10"/>
      <c r="V1375" s="9"/>
      <c r="W1375" s="10"/>
      <c r="X1375" s="9"/>
      <c r="Y1375" s="10"/>
      <c r="Z1375" s="9"/>
      <c r="AA1375" s="10"/>
      <c r="AB1375" s="11"/>
      <c r="AC1375" s="10"/>
      <c r="AD1375" s="7">
        <f>SUM(F1375+H1375+J1375+L1375+N1375+P1375+R1375+T1375+V1375+X1375+Z1375+AB1375)</f>
        <v>0</v>
      </c>
      <c r="AE1375" s="7">
        <f>E1375+AD1375</f>
        <v>0</v>
      </c>
      <c r="AF1375" s="8">
        <f>G1375+I1375+K1375+M1375+O1375+Q1375+S1375+U1375+W1375+Y1375+AA1375+AC1375</f>
        <v>0</v>
      </c>
      <c r="AG1375" s="153">
        <f>SUM(AE1375-AF1375)</f>
        <v>0</v>
      </c>
    </row>
    <row r="1376" spans="1:42" customHeight="1" ht="11.5">
      <c r="A1376" s="5"/>
      <c r="B1376" s="173"/>
      <c r="C1376" s="167"/>
      <c r="D1376" s="88"/>
      <c r="E1376" s="174"/>
      <c r="F1376" s="9"/>
      <c r="G1376" s="10"/>
      <c r="H1376" s="9"/>
      <c r="I1376" s="10"/>
      <c r="J1376" s="152"/>
      <c r="K1376" s="10"/>
      <c r="L1376" s="152"/>
      <c r="M1376" s="10"/>
      <c r="N1376" s="152"/>
      <c r="O1376" s="10"/>
      <c r="P1376" s="152"/>
      <c r="Q1376" s="10"/>
      <c r="R1376" s="9"/>
      <c r="S1376" s="10"/>
      <c r="T1376" s="9"/>
      <c r="U1376" s="10"/>
      <c r="V1376" s="9"/>
      <c r="W1376" s="10"/>
      <c r="X1376" s="9"/>
      <c r="Y1376" s="10"/>
      <c r="Z1376" s="9"/>
      <c r="AA1376" s="10"/>
      <c r="AB1376" s="11"/>
      <c r="AC1376" s="10"/>
      <c r="AD1376" s="7">
        <f>SUM(F1376+H1376+J1376+L1376+N1376+P1376+R1376+T1376+V1376+X1376+Z1376+AB1376)</f>
        <v>0</v>
      </c>
      <c r="AE1376" s="7">
        <f>E1376+AD1376</f>
        <v>0</v>
      </c>
      <c r="AF1376" s="8">
        <f>G1376+I1376+K1376+M1376+O1376+Q1376+S1376+U1376+W1376+Y1376+AA1376+AC1376</f>
        <v>0</v>
      </c>
      <c r="AG1376" s="153">
        <f>SUM(AE1376-AF1376)</f>
        <v>0</v>
      </c>
    </row>
    <row r="1377" spans="1:42" customHeight="1" ht="11.5">
      <c r="A1377" s="5"/>
      <c r="B1377" s="173"/>
      <c r="C1377" s="167"/>
      <c r="D1377" s="88"/>
      <c r="E1377" s="174"/>
      <c r="F1377" s="9"/>
      <c r="G1377" s="10"/>
      <c r="H1377" s="9"/>
      <c r="I1377" s="10"/>
      <c r="J1377" s="152"/>
      <c r="K1377" s="10"/>
      <c r="L1377" s="152"/>
      <c r="M1377" s="10"/>
      <c r="N1377" s="152"/>
      <c r="O1377" s="10"/>
      <c r="P1377" s="152"/>
      <c r="Q1377" s="10"/>
      <c r="R1377" s="9"/>
      <c r="S1377" s="10"/>
      <c r="T1377" s="9"/>
      <c r="U1377" s="10"/>
      <c r="V1377" s="9"/>
      <c r="W1377" s="10"/>
      <c r="X1377" s="9"/>
      <c r="Y1377" s="10"/>
      <c r="Z1377" s="9"/>
      <c r="AA1377" s="10"/>
      <c r="AB1377" s="11"/>
      <c r="AC1377" s="10"/>
      <c r="AD1377" s="7">
        <f>SUM(F1377+H1377+J1377+L1377+N1377+P1377+R1377+T1377+V1377+X1377+Z1377+AB1377)</f>
        <v>0</v>
      </c>
      <c r="AE1377" s="7">
        <f>E1377+AD1377</f>
        <v>0</v>
      </c>
      <c r="AF1377" s="8">
        <f>G1377+I1377+K1377+M1377+O1377+Q1377+S1377+U1377+W1377+Y1377+AA1377+AC1377</f>
        <v>0</v>
      </c>
      <c r="AG1377" s="153">
        <f>SUM(AE1377-AF1377)</f>
        <v>0</v>
      </c>
    </row>
    <row r="1378" spans="1:42" customHeight="1" ht="11.5">
      <c r="A1378" s="5"/>
      <c r="B1378" s="173"/>
      <c r="C1378" s="167"/>
      <c r="D1378" s="88"/>
      <c r="E1378" s="174"/>
      <c r="F1378" s="9"/>
      <c r="G1378" s="10"/>
      <c r="H1378" s="9"/>
      <c r="I1378" s="10"/>
      <c r="J1378" s="152"/>
      <c r="K1378" s="10"/>
      <c r="L1378" s="152"/>
      <c r="M1378" s="10"/>
      <c r="N1378" s="152"/>
      <c r="O1378" s="10"/>
      <c r="P1378" s="152"/>
      <c r="Q1378" s="10"/>
      <c r="R1378" s="9"/>
      <c r="S1378" s="10"/>
      <c r="T1378" s="9"/>
      <c r="U1378" s="10"/>
      <c r="V1378" s="9"/>
      <c r="W1378" s="10"/>
      <c r="X1378" s="9"/>
      <c r="Y1378" s="10"/>
      <c r="Z1378" s="9"/>
      <c r="AA1378" s="10"/>
      <c r="AB1378" s="11"/>
      <c r="AC1378" s="10"/>
      <c r="AD1378" s="7">
        <f>SUM(F1378+H1378+J1378+L1378+N1378+P1378+R1378+T1378+V1378+X1378+Z1378+AB1378)</f>
        <v>0</v>
      </c>
      <c r="AE1378" s="7">
        <f>E1378+AD1378</f>
        <v>0</v>
      </c>
      <c r="AF1378" s="8">
        <f>G1378+I1378+K1378+M1378+O1378+Q1378+S1378+U1378+W1378+Y1378+AA1378+AC1378</f>
        <v>0</v>
      </c>
      <c r="AG1378" s="153">
        <f>SUM(AE1378-AF1378)</f>
        <v>0</v>
      </c>
    </row>
    <row r="1379" spans="1:42" customHeight="1" ht="11.5">
      <c r="A1379" s="5"/>
      <c r="B1379" s="173"/>
      <c r="C1379" s="167"/>
      <c r="D1379" s="88"/>
      <c r="E1379" s="174"/>
      <c r="F1379" s="9"/>
      <c r="G1379" s="10"/>
      <c r="H1379" s="9"/>
      <c r="I1379" s="10"/>
      <c r="J1379" s="152"/>
      <c r="K1379" s="10"/>
      <c r="L1379" s="152"/>
      <c r="M1379" s="10"/>
      <c r="N1379" s="152"/>
      <c r="O1379" s="10"/>
      <c r="P1379" s="152"/>
      <c r="Q1379" s="10"/>
      <c r="R1379" s="9"/>
      <c r="S1379" s="10"/>
      <c r="T1379" s="9"/>
      <c r="U1379" s="10"/>
      <c r="V1379" s="9"/>
      <c r="W1379" s="10"/>
      <c r="X1379" s="9"/>
      <c r="Y1379" s="10"/>
      <c r="Z1379" s="9"/>
      <c r="AA1379" s="10"/>
      <c r="AB1379" s="11"/>
      <c r="AC1379" s="10"/>
      <c r="AD1379" s="7">
        <f>SUM(F1379+H1379+J1379+L1379+N1379+P1379+R1379+T1379+V1379+X1379+Z1379+AB1379)</f>
        <v>0</v>
      </c>
      <c r="AE1379" s="7">
        <f>E1379+AD1379</f>
        <v>0</v>
      </c>
      <c r="AF1379" s="8">
        <f>G1379+I1379+K1379+M1379+O1379+Q1379+S1379+U1379+W1379+Y1379+AA1379+AC1379</f>
        <v>0</v>
      </c>
      <c r="AG1379" s="153">
        <f>SUM(AE1379-AF1379)</f>
        <v>0</v>
      </c>
    </row>
    <row r="1380" spans="1:42" customHeight="1" ht="11.5">
      <c r="A1380" s="5"/>
      <c r="B1380" s="173"/>
      <c r="C1380" s="167"/>
      <c r="D1380" s="88"/>
      <c r="E1380" s="174"/>
      <c r="F1380" s="9"/>
      <c r="G1380" s="10"/>
      <c r="H1380" s="9"/>
      <c r="I1380" s="10"/>
      <c r="J1380" s="152"/>
      <c r="K1380" s="10"/>
      <c r="L1380" s="152"/>
      <c r="M1380" s="10"/>
      <c r="N1380" s="152"/>
      <c r="O1380" s="10"/>
      <c r="P1380" s="152"/>
      <c r="Q1380" s="10"/>
      <c r="R1380" s="9"/>
      <c r="S1380" s="10"/>
      <c r="T1380" s="9"/>
      <c r="U1380" s="10"/>
      <c r="V1380" s="9"/>
      <c r="W1380" s="10"/>
      <c r="X1380" s="9"/>
      <c r="Y1380" s="10"/>
      <c r="Z1380" s="9"/>
      <c r="AA1380" s="10"/>
      <c r="AB1380" s="11"/>
      <c r="AC1380" s="10"/>
      <c r="AD1380" s="7">
        <f>SUM(F1380+H1380+J1380+L1380+N1380+P1380+R1380+T1380+V1380+X1380+Z1380+AB1380)</f>
        <v>0</v>
      </c>
      <c r="AE1380" s="7">
        <f>E1380+AD1380</f>
        <v>0</v>
      </c>
      <c r="AF1380" s="8">
        <f>G1380+I1380+K1380+M1380+O1380+Q1380+S1380+U1380+W1380+Y1380+AA1380+AC1380</f>
        <v>0</v>
      </c>
      <c r="AG1380" s="153">
        <f>SUM(AE1380-AF1380)</f>
        <v>0</v>
      </c>
    </row>
    <row r="1381" spans="1:42" customHeight="1" ht="11.5">
      <c r="A1381" s="5"/>
      <c r="B1381" s="173"/>
      <c r="C1381" s="167"/>
      <c r="D1381" s="88"/>
      <c r="E1381" s="174"/>
      <c r="F1381" s="9"/>
      <c r="G1381" s="10"/>
      <c r="H1381" s="9"/>
      <c r="I1381" s="10"/>
      <c r="J1381" s="152"/>
      <c r="K1381" s="10"/>
      <c r="L1381" s="152"/>
      <c r="M1381" s="10"/>
      <c r="N1381" s="152"/>
      <c r="O1381" s="10"/>
      <c r="P1381" s="152"/>
      <c r="Q1381" s="10"/>
      <c r="R1381" s="9"/>
      <c r="S1381" s="10"/>
      <c r="T1381" s="9"/>
      <c r="U1381" s="10"/>
      <c r="V1381" s="9"/>
      <c r="W1381" s="10"/>
      <c r="X1381" s="9"/>
      <c r="Y1381" s="10"/>
      <c r="Z1381" s="9"/>
      <c r="AA1381" s="10"/>
      <c r="AB1381" s="11"/>
      <c r="AC1381" s="10"/>
      <c r="AD1381" s="7">
        <f>SUM(F1381+H1381+J1381+L1381+N1381+P1381+R1381+T1381+V1381+X1381+Z1381+AB1381)</f>
        <v>0</v>
      </c>
      <c r="AE1381" s="7">
        <f>E1381+AD1381</f>
        <v>0</v>
      </c>
      <c r="AF1381" s="8">
        <f>G1381+I1381+K1381+M1381+O1381+Q1381+S1381+U1381+W1381+Y1381+AA1381+AC1381</f>
        <v>0</v>
      </c>
      <c r="AG1381" s="153">
        <f>SUM(AE1381-AF1381)</f>
        <v>0</v>
      </c>
    </row>
    <row r="1382" spans="1:42" customHeight="1" ht="11.5">
      <c r="A1382" s="5"/>
      <c r="B1382" s="173"/>
      <c r="C1382" s="167"/>
      <c r="D1382" s="88"/>
      <c r="E1382" s="174"/>
      <c r="F1382" s="9"/>
      <c r="G1382" s="10"/>
      <c r="H1382" s="9"/>
      <c r="I1382" s="10"/>
      <c r="J1382" s="152"/>
      <c r="K1382" s="10"/>
      <c r="L1382" s="152"/>
      <c r="M1382" s="10"/>
      <c r="N1382" s="152"/>
      <c r="O1382" s="10"/>
      <c r="P1382" s="152"/>
      <c r="Q1382" s="10"/>
      <c r="R1382" s="9"/>
      <c r="S1382" s="10"/>
      <c r="T1382" s="9"/>
      <c r="U1382" s="10"/>
      <c r="V1382" s="9"/>
      <c r="W1382" s="10"/>
      <c r="X1382" s="9"/>
      <c r="Y1382" s="10"/>
      <c r="Z1382" s="9"/>
      <c r="AA1382" s="10"/>
      <c r="AB1382" s="11"/>
      <c r="AC1382" s="10"/>
      <c r="AD1382" s="7">
        <f>SUM(F1382+H1382+J1382+L1382+N1382+P1382+R1382+T1382+V1382+X1382+Z1382+AB1382)</f>
        <v>0</v>
      </c>
      <c r="AE1382" s="7">
        <f>E1382+AD1382</f>
        <v>0</v>
      </c>
      <c r="AF1382" s="8">
        <f>G1382+I1382+K1382+M1382+O1382+Q1382+S1382+U1382+W1382+Y1382+AA1382+AC1382</f>
        <v>0</v>
      </c>
      <c r="AG1382" s="153">
        <f>SUM(AE1382-AF1382)</f>
        <v>0</v>
      </c>
    </row>
    <row r="1383" spans="1:42" customHeight="1" ht="11.5">
      <c r="A1383" s="5"/>
      <c r="B1383" s="173"/>
      <c r="C1383" s="167"/>
      <c r="D1383" s="88"/>
      <c r="E1383" s="174"/>
      <c r="F1383" s="9"/>
      <c r="G1383" s="10"/>
      <c r="H1383" s="9"/>
      <c r="I1383" s="10"/>
      <c r="J1383" s="152"/>
      <c r="K1383" s="10"/>
      <c r="L1383" s="152"/>
      <c r="M1383" s="10"/>
      <c r="N1383" s="152"/>
      <c r="O1383" s="10"/>
      <c r="P1383" s="152"/>
      <c r="Q1383" s="10"/>
      <c r="R1383" s="9"/>
      <c r="S1383" s="10"/>
      <c r="T1383" s="9"/>
      <c r="U1383" s="10"/>
      <c r="V1383" s="9"/>
      <c r="W1383" s="10"/>
      <c r="X1383" s="9"/>
      <c r="Y1383" s="10"/>
      <c r="Z1383" s="9"/>
      <c r="AA1383" s="10"/>
      <c r="AB1383" s="11"/>
      <c r="AC1383" s="10"/>
      <c r="AD1383" s="7">
        <f>SUM(F1383+H1383+J1383+L1383+N1383+P1383+R1383+T1383+V1383+X1383+Z1383+AB1383)</f>
        <v>0</v>
      </c>
      <c r="AE1383" s="7">
        <f>E1383+AD1383</f>
        <v>0</v>
      </c>
      <c r="AF1383" s="8">
        <f>G1383+I1383+K1383+M1383+O1383+Q1383+S1383+U1383+W1383+Y1383+AA1383+AC1383</f>
        <v>0</v>
      </c>
      <c r="AG1383" s="153">
        <f>SUM(AE1383-AF1383)</f>
        <v>0</v>
      </c>
    </row>
    <row r="1384" spans="1:42" customHeight="1" ht="11.5">
      <c r="A1384" s="5"/>
      <c r="B1384" s="173"/>
      <c r="C1384" s="167"/>
      <c r="D1384" s="88"/>
      <c r="E1384" s="174"/>
      <c r="F1384" s="9"/>
      <c r="G1384" s="10"/>
      <c r="H1384" s="9"/>
      <c r="I1384" s="10"/>
      <c r="J1384" s="152"/>
      <c r="K1384" s="10"/>
      <c r="L1384" s="152"/>
      <c r="M1384" s="10"/>
      <c r="N1384" s="152"/>
      <c r="O1384" s="10"/>
      <c r="P1384" s="152"/>
      <c r="Q1384" s="10"/>
      <c r="R1384" s="9"/>
      <c r="S1384" s="10"/>
      <c r="T1384" s="9"/>
      <c r="U1384" s="10"/>
      <c r="V1384" s="9"/>
      <c r="W1384" s="10"/>
      <c r="X1384" s="9"/>
      <c r="Y1384" s="10"/>
      <c r="Z1384" s="9"/>
      <c r="AA1384" s="10"/>
      <c r="AB1384" s="11"/>
      <c r="AC1384" s="10"/>
      <c r="AD1384" s="7">
        <f>SUM(F1384+H1384+J1384+L1384+N1384+P1384+R1384+T1384+V1384+X1384+Z1384+AB1384)</f>
        <v>0</v>
      </c>
      <c r="AE1384" s="7">
        <f>E1384+AD1384</f>
        <v>0</v>
      </c>
      <c r="AF1384" s="8">
        <f>G1384+I1384+K1384+M1384+O1384+Q1384+S1384+U1384+W1384+Y1384+AA1384+AC1384</f>
        <v>0</v>
      </c>
      <c r="AG1384" s="153">
        <f>SUM(AE1384-AF1384)</f>
        <v>0</v>
      </c>
    </row>
    <row r="1385" spans="1:42" customHeight="1" ht="11.5">
      <c r="A1385" s="5"/>
      <c r="B1385" s="173"/>
      <c r="C1385" s="167"/>
      <c r="D1385" s="88"/>
      <c r="E1385" s="174"/>
      <c r="F1385" s="9"/>
      <c r="G1385" s="10"/>
      <c r="H1385" s="9"/>
      <c r="I1385" s="10"/>
      <c r="J1385" s="152"/>
      <c r="K1385" s="10"/>
      <c r="L1385" s="152"/>
      <c r="M1385" s="10"/>
      <c r="N1385" s="152"/>
      <c r="O1385" s="10"/>
      <c r="P1385" s="152"/>
      <c r="Q1385" s="10"/>
      <c r="R1385" s="9"/>
      <c r="S1385" s="10"/>
      <c r="T1385" s="9"/>
      <c r="U1385" s="10"/>
      <c r="V1385" s="9"/>
      <c r="W1385" s="10"/>
      <c r="X1385" s="9"/>
      <c r="Y1385" s="10"/>
      <c r="Z1385" s="9"/>
      <c r="AA1385" s="10"/>
      <c r="AB1385" s="11"/>
      <c r="AC1385" s="10"/>
      <c r="AD1385" s="7">
        <f>SUM(F1385+H1385+J1385+L1385+N1385+P1385+R1385+T1385+V1385+X1385+Z1385+AB1385)</f>
        <v>0</v>
      </c>
      <c r="AE1385" s="7">
        <f>E1385+AD1385</f>
        <v>0</v>
      </c>
      <c r="AF1385" s="8">
        <f>G1385+I1385+K1385+M1385+O1385+Q1385+S1385+U1385+W1385+Y1385+AA1385+AC1385</f>
        <v>0</v>
      </c>
      <c r="AG1385" s="153">
        <f>SUM(AE1385-AF1385)</f>
        <v>0</v>
      </c>
    </row>
    <row r="1386" spans="1:42" customHeight="1" ht="11.5">
      <c r="A1386" s="5"/>
      <c r="B1386" s="173"/>
      <c r="C1386" s="167"/>
      <c r="D1386" s="88"/>
      <c r="E1386" s="174"/>
      <c r="F1386" s="9"/>
      <c r="G1386" s="10"/>
      <c r="H1386" s="9"/>
      <c r="I1386" s="10"/>
      <c r="J1386" s="152"/>
      <c r="K1386" s="10"/>
      <c r="L1386" s="152"/>
      <c r="M1386" s="10"/>
      <c r="N1386" s="152"/>
      <c r="O1386" s="10"/>
      <c r="P1386" s="152"/>
      <c r="Q1386" s="10"/>
      <c r="R1386" s="9"/>
      <c r="S1386" s="10"/>
      <c r="T1386" s="9"/>
      <c r="U1386" s="10"/>
      <c r="V1386" s="9"/>
      <c r="W1386" s="10"/>
      <c r="X1386" s="9"/>
      <c r="Y1386" s="10"/>
      <c r="Z1386" s="9"/>
      <c r="AA1386" s="10"/>
      <c r="AB1386" s="11"/>
      <c r="AC1386" s="10"/>
      <c r="AD1386" s="7">
        <f>SUM(F1386+H1386+J1386+L1386+N1386+P1386+R1386+T1386+V1386+X1386+Z1386+AB1386)</f>
        <v>0</v>
      </c>
      <c r="AE1386" s="7">
        <f>E1386+AD1386</f>
        <v>0</v>
      </c>
      <c r="AF1386" s="8">
        <f>G1386+I1386+K1386+M1386+O1386+Q1386+S1386+U1386+W1386+Y1386+AA1386+AC1386</f>
        <v>0</v>
      </c>
      <c r="AG1386" s="153">
        <f>SUM(AE1386-AF1386)</f>
        <v>0</v>
      </c>
    </row>
    <row r="1387" spans="1:42" customHeight="1" ht="11.5">
      <c r="A1387" s="5"/>
      <c r="B1387" s="173"/>
      <c r="C1387" s="167"/>
      <c r="D1387" s="88"/>
      <c r="E1387" s="174"/>
      <c r="F1387" s="9"/>
      <c r="G1387" s="10"/>
      <c r="H1387" s="9"/>
      <c r="I1387" s="10"/>
      <c r="J1387" s="152"/>
      <c r="K1387" s="10"/>
      <c r="L1387" s="152"/>
      <c r="M1387" s="10"/>
      <c r="N1387" s="152"/>
      <c r="O1387" s="10"/>
      <c r="P1387" s="152"/>
      <c r="Q1387" s="10"/>
      <c r="R1387" s="9"/>
      <c r="S1387" s="10"/>
      <c r="T1387" s="9"/>
      <c r="U1387" s="10"/>
      <c r="V1387" s="9"/>
      <c r="W1387" s="10"/>
      <c r="X1387" s="9"/>
      <c r="Y1387" s="10"/>
      <c r="Z1387" s="9"/>
      <c r="AA1387" s="10"/>
      <c r="AB1387" s="11"/>
      <c r="AC1387" s="10"/>
      <c r="AD1387" s="7">
        <f>SUM(F1387+H1387+J1387+L1387+N1387+P1387+R1387+T1387+V1387+X1387+Z1387+AB1387)</f>
        <v>0</v>
      </c>
      <c r="AE1387" s="7">
        <f>E1387+AD1387</f>
        <v>0</v>
      </c>
      <c r="AF1387" s="8">
        <f>G1387+I1387+K1387+M1387+O1387+Q1387+S1387+U1387+W1387+Y1387+AA1387+AC1387</f>
        <v>0</v>
      </c>
      <c r="AG1387" s="153">
        <f>SUM(AE1387-AF1387)</f>
        <v>0</v>
      </c>
    </row>
    <row r="1388" spans="1:42" customHeight="1" ht="11.5">
      <c r="A1388" s="5"/>
      <c r="B1388" s="173"/>
      <c r="C1388" s="167"/>
      <c r="D1388" s="88"/>
      <c r="E1388" s="174"/>
      <c r="F1388" s="9"/>
      <c r="G1388" s="10"/>
      <c r="H1388" s="9"/>
      <c r="I1388" s="10"/>
      <c r="J1388" s="152"/>
      <c r="K1388" s="10"/>
      <c r="L1388" s="152"/>
      <c r="M1388" s="10"/>
      <c r="N1388" s="152"/>
      <c r="O1388" s="10"/>
      <c r="P1388" s="152"/>
      <c r="Q1388" s="10"/>
      <c r="R1388" s="9"/>
      <c r="S1388" s="10"/>
      <c r="T1388" s="9"/>
      <c r="U1388" s="10"/>
      <c r="V1388" s="9"/>
      <c r="W1388" s="10"/>
      <c r="X1388" s="9"/>
      <c r="Y1388" s="10"/>
      <c r="Z1388" s="9"/>
      <c r="AA1388" s="10"/>
      <c r="AB1388" s="11"/>
      <c r="AC1388" s="10"/>
      <c r="AD1388" s="7">
        <f>SUM(F1388+H1388+J1388+L1388+N1388+P1388+R1388+T1388+V1388+X1388+Z1388+AB1388)</f>
        <v>0</v>
      </c>
      <c r="AE1388" s="7">
        <f>E1388+AD1388</f>
        <v>0</v>
      </c>
      <c r="AF1388" s="8">
        <f>G1388+I1388+K1388+M1388+O1388+Q1388+S1388+U1388+W1388+Y1388+AA1388+AC1388</f>
        <v>0</v>
      </c>
      <c r="AG1388" s="153">
        <f>SUM(AE1388-AF1388)</f>
        <v>0</v>
      </c>
    </row>
    <row r="1389" spans="1:42" customHeight="1" ht="11.5">
      <c r="A1389" s="5"/>
      <c r="B1389" s="173"/>
      <c r="C1389" s="167"/>
      <c r="D1389" s="88"/>
      <c r="E1389" s="174"/>
      <c r="F1389" s="9"/>
      <c r="G1389" s="10"/>
      <c r="H1389" s="9"/>
      <c r="I1389" s="10"/>
      <c r="J1389" s="152"/>
      <c r="K1389" s="10"/>
      <c r="L1389" s="152"/>
      <c r="M1389" s="10"/>
      <c r="N1389" s="152"/>
      <c r="O1389" s="10"/>
      <c r="P1389" s="152"/>
      <c r="Q1389" s="10"/>
      <c r="R1389" s="9"/>
      <c r="S1389" s="10"/>
      <c r="T1389" s="9"/>
      <c r="U1389" s="10"/>
      <c r="V1389" s="9"/>
      <c r="W1389" s="10"/>
      <c r="X1389" s="9"/>
      <c r="Y1389" s="10"/>
      <c r="Z1389" s="9"/>
      <c r="AA1389" s="10"/>
      <c r="AB1389" s="11"/>
      <c r="AC1389" s="10"/>
      <c r="AD1389" s="7">
        <f>SUM(F1389+H1389+J1389+L1389+N1389+P1389+R1389+T1389+V1389+X1389+Z1389+AB1389)</f>
        <v>0</v>
      </c>
      <c r="AE1389" s="7">
        <f>E1389+AD1389</f>
        <v>0</v>
      </c>
      <c r="AF1389" s="8">
        <f>G1389+I1389+K1389+M1389+O1389+Q1389+S1389+U1389+W1389+Y1389+AA1389+AC1389</f>
        <v>0</v>
      </c>
      <c r="AG1389" s="153">
        <f>SUM(AE1389-AF1389)</f>
        <v>0</v>
      </c>
    </row>
    <row r="1390" spans="1:42" customHeight="1" ht="11.5">
      <c r="A1390" s="5"/>
      <c r="B1390" s="173"/>
      <c r="C1390" s="167"/>
      <c r="D1390" s="88"/>
      <c r="E1390" s="174"/>
      <c r="F1390" s="9"/>
      <c r="G1390" s="10"/>
      <c r="H1390" s="9"/>
      <c r="I1390" s="10"/>
      <c r="J1390" s="152"/>
      <c r="K1390" s="10"/>
      <c r="L1390" s="152"/>
      <c r="M1390" s="10"/>
      <c r="N1390" s="152"/>
      <c r="O1390" s="10"/>
      <c r="P1390" s="152"/>
      <c r="Q1390" s="10"/>
      <c r="R1390" s="9"/>
      <c r="S1390" s="10"/>
      <c r="T1390" s="9"/>
      <c r="U1390" s="10"/>
      <c r="V1390" s="9"/>
      <c r="W1390" s="10"/>
      <c r="X1390" s="9"/>
      <c r="Y1390" s="10"/>
      <c r="Z1390" s="9"/>
      <c r="AA1390" s="10"/>
      <c r="AB1390" s="11"/>
      <c r="AC1390" s="10"/>
      <c r="AD1390" s="7">
        <f>SUM(F1390+H1390+J1390+L1390+N1390+P1390+R1390+T1390+V1390+X1390+Z1390+AB1390)</f>
        <v>0</v>
      </c>
      <c r="AE1390" s="7">
        <f>E1390+AD1390</f>
        <v>0</v>
      </c>
      <c r="AF1390" s="8">
        <f>G1390+I1390+K1390+M1390+O1390+Q1390+S1390+U1390+W1390+Y1390+AA1390+AC1390</f>
        <v>0</v>
      </c>
      <c r="AG1390" s="153">
        <f>SUM(AE1390-AF1390)</f>
        <v>0</v>
      </c>
    </row>
    <row r="1391" spans="1:42" customHeight="1" ht="11.5">
      <c r="A1391" s="5"/>
      <c r="B1391" s="173"/>
      <c r="C1391" s="167"/>
      <c r="D1391" s="88"/>
      <c r="E1391" s="174"/>
      <c r="F1391" s="9"/>
      <c r="G1391" s="10"/>
      <c r="H1391" s="9"/>
      <c r="I1391" s="10"/>
      <c r="J1391" s="152"/>
      <c r="K1391" s="10"/>
      <c r="L1391" s="152"/>
      <c r="M1391" s="10"/>
      <c r="N1391" s="152"/>
      <c r="O1391" s="10"/>
      <c r="P1391" s="152"/>
      <c r="Q1391" s="10"/>
      <c r="R1391" s="9"/>
      <c r="S1391" s="10"/>
      <c r="T1391" s="9"/>
      <c r="U1391" s="10"/>
      <c r="V1391" s="9"/>
      <c r="W1391" s="10"/>
      <c r="X1391" s="9"/>
      <c r="Y1391" s="10"/>
      <c r="Z1391" s="9"/>
      <c r="AA1391" s="10"/>
      <c r="AB1391" s="11"/>
      <c r="AC1391" s="10"/>
      <c r="AD1391" s="7">
        <f>SUM(F1391+H1391+J1391+L1391+N1391+P1391+R1391+T1391+V1391+X1391+Z1391+AB1391)</f>
        <v>0</v>
      </c>
      <c r="AE1391" s="7">
        <f>E1391+AD1391</f>
        <v>0</v>
      </c>
      <c r="AF1391" s="8">
        <f>G1391+I1391+K1391+M1391+O1391+Q1391+S1391+U1391+W1391+Y1391+AA1391+AC1391</f>
        <v>0</v>
      </c>
      <c r="AG1391" s="153">
        <f>SUM(AE1391-AF1391)</f>
        <v>0</v>
      </c>
    </row>
    <row r="1392" spans="1:42" customHeight="1" ht="11.5">
      <c r="A1392" s="5"/>
      <c r="B1392" s="173"/>
      <c r="C1392" s="167"/>
      <c r="D1392" s="88"/>
      <c r="E1392" s="174"/>
      <c r="F1392" s="9"/>
      <c r="G1392" s="10"/>
      <c r="H1392" s="9"/>
      <c r="I1392" s="10"/>
      <c r="J1392" s="152"/>
      <c r="K1392" s="10"/>
      <c r="L1392" s="152"/>
      <c r="M1392" s="10"/>
      <c r="N1392" s="152"/>
      <c r="O1392" s="10"/>
      <c r="P1392" s="152"/>
      <c r="Q1392" s="10"/>
      <c r="R1392" s="9"/>
      <c r="S1392" s="10"/>
      <c r="T1392" s="9"/>
      <c r="U1392" s="10"/>
      <c r="V1392" s="9"/>
      <c r="W1392" s="10"/>
      <c r="X1392" s="9"/>
      <c r="Y1392" s="10"/>
      <c r="Z1392" s="9"/>
      <c r="AA1392" s="10"/>
      <c r="AB1392" s="11"/>
      <c r="AC1392" s="10"/>
      <c r="AD1392" s="7">
        <f>SUM(F1392+H1392+J1392+L1392+N1392+P1392+R1392+T1392+V1392+X1392+Z1392+AB1392)</f>
        <v>0</v>
      </c>
      <c r="AE1392" s="7">
        <f>E1392+AD1392</f>
        <v>0</v>
      </c>
      <c r="AF1392" s="8">
        <f>G1392+I1392+K1392+M1392+O1392+Q1392+S1392+U1392+W1392+Y1392+AA1392+AC1392</f>
        <v>0</v>
      </c>
      <c r="AG1392" s="153">
        <f>SUM(AE1392-AF1392)</f>
        <v>0</v>
      </c>
    </row>
    <row r="1393" spans="1:42" customHeight="1" ht="11.5">
      <c r="A1393" s="5"/>
      <c r="B1393" s="173"/>
      <c r="C1393" s="167"/>
      <c r="D1393" s="88"/>
      <c r="E1393" s="174"/>
      <c r="F1393" s="9"/>
      <c r="G1393" s="10"/>
      <c r="H1393" s="9"/>
      <c r="I1393" s="10"/>
      <c r="J1393" s="152"/>
      <c r="K1393" s="10"/>
      <c r="L1393" s="152"/>
      <c r="M1393" s="10"/>
      <c r="N1393" s="152"/>
      <c r="O1393" s="10"/>
      <c r="P1393" s="152"/>
      <c r="Q1393" s="10"/>
      <c r="R1393" s="9"/>
      <c r="S1393" s="10"/>
      <c r="T1393" s="9"/>
      <c r="U1393" s="10"/>
      <c r="V1393" s="9"/>
      <c r="W1393" s="10"/>
      <c r="X1393" s="9"/>
      <c r="Y1393" s="10"/>
      <c r="Z1393" s="9"/>
      <c r="AA1393" s="10"/>
      <c r="AB1393" s="11"/>
      <c r="AC1393" s="10"/>
      <c r="AD1393" s="7">
        <f>SUM(F1393+H1393+J1393+L1393+N1393+P1393+R1393+T1393+V1393+X1393+Z1393+AB1393)</f>
        <v>0</v>
      </c>
      <c r="AE1393" s="7">
        <f>E1393+AD1393</f>
        <v>0</v>
      </c>
      <c r="AF1393" s="8">
        <f>G1393+I1393+K1393+M1393+O1393+Q1393+S1393+U1393+W1393+Y1393+AA1393+AC1393</f>
        <v>0</v>
      </c>
      <c r="AG1393" s="153">
        <f>SUM(AE1393-AF1393)</f>
        <v>0</v>
      </c>
    </row>
    <row r="1394" spans="1:42" customHeight="1" ht="11.5">
      <c r="A1394" s="5"/>
      <c r="B1394" s="173"/>
      <c r="C1394" s="167"/>
      <c r="D1394" s="88"/>
      <c r="E1394" s="174"/>
      <c r="F1394" s="9"/>
      <c r="G1394" s="10"/>
      <c r="H1394" s="9"/>
      <c r="I1394" s="10"/>
      <c r="J1394" s="152"/>
      <c r="K1394" s="10"/>
      <c r="L1394" s="152"/>
      <c r="M1394" s="10"/>
      <c r="N1394" s="152"/>
      <c r="O1394" s="10"/>
      <c r="P1394" s="152"/>
      <c r="Q1394" s="10"/>
      <c r="R1394" s="9"/>
      <c r="S1394" s="10"/>
      <c r="T1394" s="9"/>
      <c r="U1394" s="10"/>
      <c r="V1394" s="9"/>
      <c r="W1394" s="10"/>
      <c r="X1394" s="9"/>
      <c r="Y1394" s="10"/>
      <c r="Z1394" s="9"/>
      <c r="AA1394" s="10"/>
      <c r="AB1394" s="11"/>
      <c r="AC1394" s="10"/>
      <c r="AD1394" s="7">
        <f>SUM(F1394+H1394+J1394+L1394+N1394+P1394+R1394+T1394+V1394+X1394+Z1394+AB1394)</f>
        <v>0</v>
      </c>
      <c r="AE1394" s="7">
        <f>E1394+AD1394</f>
        <v>0</v>
      </c>
      <c r="AF1394" s="8">
        <f>G1394+I1394+K1394+M1394+O1394+Q1394+S1394+U1394+W1394+Y1394+AA1394+AC1394</f>
        <v>0</v>
      </c>
      <c r="AG1394" s="153">
        <f>SUM(AE1394-AF1394)</f>
        <v>0</v>
      </c>
    </row>
    <row r="1395" spans="1:42" customHeight="1" ht="11.5">
      <c r="A1395" s="5"/>
      <c r="B1395" s="173"/>
      <c r="C1395" s="167"/>
      <c r="D1395" s="88"/>
      <c r="E1395" s="174"/>
      <c r="F1395" s="9"/>
      <c r="G1395" s="10"/>
      <c r="H1395" s="9"/>
      <c r="I1395" s="10"/>
      <c r="J1395" s="152"/>
      <c r="K1395" s="10"/>
      <c r="L1395" s="152"/>
      <c r="M1395" s="10"/>
      <c r="N1395" s="152"/>
      <c r="O1395" s="10"/>
      <c r="P1395" s="152"/>
      <c r="Q1395" s="10"/>
      <c r="R1395" s="9"/>
      <c r="S1395" s="10"/>
      <c r="T1395" s="9"/>
      <c r="U1395" s="10"/>
      <c r="V1395" s="9"/>
      <c r="W1395" s="10"/>
      <c r="X1395" s="9"/>
      <c r="Y1395" s="10"/>
      <c r="Z1395" s="9"/>
      <c r="AA1395" s="10"/>
      <c r="AB1395" s="11"/>
      <c r="AC1395" s="10"/>
      <c r="AD1395" s="7">
        <f>SUM(F1395+H1395+J1395+L1395+N1395+P1395+R1395+T1395+V1395+X1395+Z1395+AB1395)</f>
        <v>0</v>
      </c>
      <c r="AE1395" s="7">
        <f>E1395+AD1395</f>
        <v>0</v>
      </c>
      <c r="AF1395" s="8">
        <f>G1395+I1395+K1395+M1395+O1395+Q1395+S1395+U1395+W1395+Y1395+AA1395+AC1395</f>
        <v>0</v>
      </c>
      <c r="AG1395" s="153">
        <f>SUM(AE1395-AF1395)</f>
        <v>0</v>
      </c>
    </row>
    <row r="1396" spans="1:42" customHeight="1" ht="11.5">
      <c r="A1396" s="5"/>
      <c r="B1396" s="173"/>
      <c r="C1396" s="167"/>
      <c r="D1396" s="88"/>
      <c r="E1396" s="174"/>
      <c r="F1396" s="9"/>
      <c r="G1396" s="10"/>
      <c r="H1396" s="9"/>
      <c r="I1396" s="10"/>
      <c r="J1396" s="152"/>
      <c r="K1396" s="10"/>
      <c r="L1396" s="152"/>
      <c r="M1396" s="10"/>
      <c r="N1396" s="152"/>
      <c r="O1396" s="10"/>
      <c r="P1396" s="152"/>
      <c r="Q1396" s="10"/>
      <c r="R1396" s="9"/>
      <c r="S1396" s="10"/>
      <c r="T1396" s="9"/>
      <c r="U1396" s="10"/>
      <c r="V1396" s="9"/>
      <c r="W1396" s="10"/>
      <c r="X1396" s="9"/>
      <c r="Y1396" s="10"/>
      <c r="Z1396" s="9"/>
      <c r="AA1396" s="10"/>
      <c r="AB1396" s="11"/>
      <c r="AC1396" s="10"/>
      <c r="AD1396" s="7">
        <f>SUM(F1396+H1396+J1396+L1396+N1396+P1396+R1396+T1396+V1396+X1396+Z1396+AB1396)</f>
        <v>0</v>
      </c>
      <c r="AE1396" s="7">
        <f>E1396+AD1396</f>
        <v>0</v>
      </c>
      <c r="AF1396" s="8">
        <f>G1396+I1396+K1396+M1396+O1396+Q1396+S1396+U1396+W1396+Y1396+AA1396+AC1396</f>
        <v>0</v>
      </c>
      <c r="AG1396" s="153">
        <f>SUM(AE1396-AF1396)</f>
        <v>0</v>
      </c>
    </row>
    <row r="1397" spans="1:42" customHeight="1" ht="11.5">
      <c r="A1397" s="5"/>
      <c r="B1397" s="173"/>
      <c r="C1397" s="167"/>
      <c r="D1397" s="88"/>
      <c r="E1397" s="174"/>
      <c r="F1397" s="9"/>
      <c r="G1397" s="10"/>
      <c r="H1397" s="9"/>
      <c r="I1397" s="10"/>
      <c r="J1397" s="152"/>
      <c r="K1397" s="10"/>
      <c r="L1397" s="152"/>
      <c r="M1397" s="10"/>
      <c r="N1397" s="152"/>
      <c r="O1397" s="10"/>
      <c r="P1397" s="152"/>
      <c r="Q1397" s="10"/>
      <c r="R1397" s="9"/>
      <c r="S1397" s="10"/>
      <c r="T1397" s="9"/>
      <c r="U1397" s="10"/>
      <c r="V1397" s="9"/>
      <c r="W1397" s="10"/>
      <c r="X1397" s="9"/>
      <c r="Y1397" s="10"/>
      <c r="Z1397" s="9"/>
      <c r="AA1397" s="10"/>
      <c r="AB1397" s="11"/>
      <c r="AC1397" s="10"/>
      <c r="AD1397" s="7">
        <f>SUM(F1397+H1397+J1397+L1397+N1397+P1397+R1397+T1397+V1397+X1397+Z1397+AB1397)</f>
        <v>0</v>
      </c>
      <c r="AE1397" s="7">
        <f>E1397+AD1397</f>
        <v>0</v>
      </c>
      <c r="AF1397" s="8">
        <f>G1397+I1397+K1397+M1397+O1397+Q1397+S1397+U1397+W1397+Y1397+AA1397+AC1397</f>
        <v>0</v>
      </c>
      <c r="AG1397" s="153">
        <f>SUM(AE1397-AF1397)</f>
        <v>0</v>
      </c>
    </row>
    <row r="1398" spans="1:42" customHeight="1" ht="11.5">
      <c r="A1398" s="5"/>
      <c r="B1398" s="173"/>
      <c r="C1398" s="167"/>
      <c r="D1398" s="88"/>
      <c r="E1398" s="174"/>
      <c r="F1398" s="9"/>
      <c r="G1398" s="10"/>
      <c r="H1398" s="9"/>
      <c r="I1398" s="10"/>
      <c r="J1398" s="152"/>
      <c r="K1398" s="10"/>
      <c r="L1398" s="152"/>
      <c r="M1398" s="10"/>
      <c r="N1398" s="152"/>
      <c r="O1398" s="10"/>
      <c r="P1398" s="152"/>
      <c r="Q1398" s="10"/>
      <c r="R1398" s="9"/>
      <c r="S1398" s="10"/>
      <c r="T1398" s="9"/>
      <c r="U1398" s="10"/>
      <c r="V1398" s="9"/>
      <c r="W1398" s="10"/>
      <c r="X1398" s="9"/>
      <c r="Y1398" s="10"/>
      <c r="Z1398" s="9"/>
      <c r="AA1398" s="10"/>
      <c r="AB1398" s="11"/>
      <c r="AC1398" s="10"/>
      <c r="AD1398" s="7">
        <f>SUM(F1398+H1398+J1398+L1398+N1398+P1398+R1398+T1398+V1398+X1398+Z1398+AB1398)</f>
        <v>0</v>
      </c>
      <c r="AE1398" s="7">
        <f>E1398+AD1398</f>
        <v>0</v>
      </c>
      <c r="AF1398" s="8">
        <f>G1398+I1398+K1398+M1398+O1398+Q1398+S1398+U1398+W1398+Y1398+AA1398+AC1398</f>
        <v>0</v>
      </c>
      <c r="AG1398" s="153">
        <f>SUM(AE1398-AF1398)</f>
        <v>0</v>
      </c>
    </row>
    <row r="1399" spans="1:42" customHeight="1" ht="11.5">
      <c r="A1399" s="5"/>
      <c r="B1399" s="173"/>
      <c r="C1399" s="167"/>
      <c r="D1399" s="88"/>
      <c r="E1399" s="174"/>
      <c r="F1399" s="9"/>
      <c r="G1399" s="10"/>
      <c r="H1399" s="9"/>
      <c r="I1399" s="10"/>
      <c r="J1399" s="152"/>
      <c r="K1399" s="10"/>
      <c r="L1399" s="152"/>
      <c r="M1399" s="10"/>
      <c r="N1399" s="152"/>
      <c r="O1399" s="10"/>
      <c r="P1399" s="152"/>
      <c r="Q1399" s="10"/>
      <c r="R1399" s="9"/>
      <c r="S1399" s="10"/>
      <c r="T1399" s="9"/>
      <c r="U1399" s="10"/>
      <c r="V1399" s="9"/>
      <c r="W1399" s="10"/>
      <c r="X1399" s="9"/>
      <c r="Y1399" s="10"/>
      <c r="Z1399" s="9"/>
      <c r="AA1399" s="10"/>
      <c r="AB1399" s="11"/>
      <c r="AC1399" s="10"/>
      <c r="AD1399" s="7">
        <f>SUM(F1399+H1399+J1399+L1399+N1399+P1399+R1399+T1399+V1399+X1399+Z1399+AB1399)</f>
        <v>0</v>
      </c>
      <c r="AE1399" s="7">
        <f>E1399+AD1399</f>
        <v>0</v>
      </c>
      <c r="AF1399" s="8">
        <f>G1399+I1399+K1399+M1399+O1399+Q1399+S1399+U1399+W1399+Y1399+AA1399+AC1399</f>
        <v>0</v>
      </c>
      <c r="AG1399" s="153">
        <f>SUM(AE1399-AF1399)</f>
        <v>0</v>
      </c>
    </row>
    <row r="1400" spans="1:42" customHeight="1" ht="11.5">
      <c r="A1400" s="5"/>
      <c r="B1400" s="173"/>
      <c r="C1400" s="167"/>
      <c r="D1400" s="88"/>
      <c r="E1400" s="174"/>
      <c r="F1400" s="9"/>
      <c r="G1400" s="10"/>
      <c r="H1400" s="9"/>
      <c r="I1400" s="10"/>
      <c r="J1400" s="152"/>
      <c r="K1400" s="10"/>
      <c r="L1400" s="152"/>
      <c r="M1400" s="10"/>
      <c r="N1400" s="152"/>
      <c r="O1400" s="10"/>
      <c r="P1400" s="152"/>
      <c r="Q1400" s="10"/>
      <c r="R1400" s="9"/>
      <c r="S1400" s="10"/>
      <c r="T1400" s="9"/>
      <c r="U1400" s="10"/>
      <c r="V1400" s="9"/>
      <c r="W1400" s="10"/>
      <c r="X1400" s="9"/>
      <c r="Y1400" s="10"/>
      <c r="Z1400" s="9"/>
      <c r="AA1400" s="10"/>
      <c r="AB1400" s="11"/>
      <c r="AC1400" s="10"/>
      <c r="AD1400" s="7">
        <f>SUM(F1400+H1400+J1400+L1400+N1400+P1400+R1400+T1400+V1400+X1400+Z1400+AB1400)</f>
        <v>0</v>
      </c>
      <c r="AE1400" s="7">
        <f>E1400+AD1400</f>
        <v>0</v>
      </c>
      <c r="AF1400" s="8">
        <f>G1400+I1400+K1400+M1400+O1400+Q1400+S1400+U1400+W1400+Y1400+AA1400+AC1400</f>
        <v>0</v>
      </c>
      <c r="AG1400" s="153">
        <f>SUM(AE1400-AF1400)</f>
        <v>0</v>
      </c>
    </row>
    <row r="1401" spans="1:42" customHeight="1" ht="11.5">
      <c r="A1401" s="5"/>
      <c r="B1401" s="173"/>
      <c r="C1401" s="167"/>
      <c r="D1401" s="88"/>
      <c r="E1401" s="174"/>
      <c r="F1401" s="9"/>
      <c r="G1401" s="10"/>
      <c r="H1401" s="9"/>
      <c r="I1401" s="10"/>
      <c r="J1401" s="152"/>
      <c r="K1401" s="10"/>
      <c r="L1401" s="152"/>
      <c r="M1401" s="10"/>
      <c r="N1401" s="152"/>
      <c r="O1401" s="10"/>
      <c r="P1401" s="152"/>
      <c r="Q1401" s="10"/>
      <c r="R1401" s="9"/>
      <c r="S1401" s="10"/>
      <c r="T1401" s="9"/>
      <c r="U1401" s="10"/>
      <c r="V1401" s="9"/>
      <c r="W1401" s="10"/>
      <c r="X1401" s="9"/>
      <c r="Y1401" s="10"/>
      <c r="Z1401" s="9"/>
      <c r="AA1401" s="10"/>
      <c r="AB1401" s="11"/>
      <c r="AC1401" s="10"/>
      <c r="AD1401" s="7">
        <f>SUM(F1401+H1401+J1401+L1401+N1401+P1401+R1401+T1401+V1401+X1401+Z1401+AB1401)</f>
        <v>0</v>
      </c>
      <c r="AE1401" s="7">
        <f>E1401+AD1401</f>
        <v>0</v>
      </c>
      <c r="AF1401" s="8">
        <f>G1401+I1401+K1401+M1401+O1401+Q1401+S1401+U1401+W1401+Y1401+AA1401+AC1401</f>
        <v>0</v>
      </c>
      <c r="AG1401" s="153">
        <f>SUM(AE1401-AF1401)</f>
        <v>0</v>
      </c>
    </row>
    <row r="1402" spans="1:42" customHeight="1" ht="11.5">
      <c r="A1402" s="5"/>
      <c r="B1402" s="173"/>
      <c r="C1402" s="167"/>
      <c r="D1402" s="88"/>
      <c r="E1402" s="174"/>
      <c r="F1402" s="9"/>
      <c r="G1402" s="10"/>
      <c r="H1402" s="9"/>
      <c r="I1402" s="10"/>
      <c r="J1402" s="152"/>
      <c r="K1402" s="10"/>
      <c r="L1402" s="152"/>
      <c r="M1402" s="10"/>
      <c r="N1402" s="152"/>
      <c r="O1402" s="10"/>
      <c r="P1402" s="152"/>
      <c r="Q1402" s="10"/>
      <c r="R1402" s="9"/>
      <c r="S1402" s="10"/>
      <c r="T1402" s="9"/>
      <c r="U1402" s="10"/>
      <c r="V1402" s="9"/>
      <c r="W1402" s="10"/>
      <c r="X1402" s="9"/>
      <c r="Y1402" s="10"/>
      <c r="Z1402" s="9"/>
      <c r="AA1402" s="10"/>
      <c r="AB1402" s="11"/>
      <c r="AC1402" s="10"/>
      <c r="AD1402" s="7">
        <f>SUM(F1402+H1402+J1402+L1402+N1402+P1402+R1402+T1402+V1402+X1402+Z1402+AB1402)</f>
        <v>0</v>
      </c>
      <c r="AE1402" s="7">
        <f>E1402+AD1402</f>
        <v>0</v>
      </c>
      <c r="AF1402" s="8">
        <f>G1402+I1402+K1402+M1402+O1402+Q1402+S1402+U1402+W1402+Y1402+AA1402+AC1402</f>
        <v>0</v>
      </c>
      <c r="AG1402" s="153">
        <f>SUM(AE1402-AF1402)</f>
        <v>0</v>
      </c>
    </row>
    <row r="1403" spans="1:42" customHeight="1" ht="11.5">
      <c r="A1403" s="5"/>
      <c r="B1403" s="173"/>
      <c r="C1403" s="167"/>
      <c r="D1403" s="88"/>
      <c r="E1403" s="174"/>
      <c r="F1403" s="9"/>
      <c r="G1403" s="10"/>
      <c r="H1403" s="9"/>
      <c r="I1403" s="10"/>
      <c r="J1403" s="152"/>
      <c r="K1403" s="10"/>
      <c r="L1403" s="152"/>
      <c r="M1403" s="10"/>
      <c r="N1403" s="152"/>
      <c r="O1403" s="10"/>
      <c r="P1403" s="152"/>
      <c r="Q1403" s="10"/>
      <c r="R1403" s="9"/>
      <c r="S1403" s="10"/>
      <c r="T1403" s="9"/>
      <c r="U1403" s="10"/>
      <c r="V1403" s="9"/>
      <c r="W1403" s="10"/>
      <c r="X1403" s="9"/>
      <c r="Y1403" s="10"/>
      <c r="Z1403" s="9"/>
      <c r="AA1403" s="10"/>
      <c r="AB1403" s="11"/>
      <c r="AC1403" s="10"/>
      <c r="AD1403" s="7">
        <f>SUM(F1403+H1403+J1403+L1403+N1403+P1403+R1403+T1403+V1403+X1403+Z1403+AB1403)</f>
        <v>0</v>
      </c>
      <c r="AE1403" s="7">
        <f>E1403+AD1403</f>
        <v>0</v>
      </c>
      <c r="AF1403" s="8">
        <f>G1403+I1403+K1403+M1403+O1403+Q1403+S1403+U1403+W1403+Y1403+AA1403+AC1403</f>
        <v>0</v>
      </c>
      <c r="AG1403" s="153">
        <f>SUM(AE1403-AF1403)</f>
        <v>0</v>
      </c>
    </row>
    <row r="1404" spans="1:42" customHeight="1" ht="11.5">
      <c r="A1404" s="5"/>
      <c r="B1404" s="173"/>
      <c r="C1404" s="167"/>
      <c r="D1404" s="88"/>
      <c r="E1404" s="174"/>
      <c r="F1404" s="9"/>
      <c r="G1404" s="10"/>
      <c r="H1404" s="9"/>
      <c r="I1404" s="10"/>
      <c r="J1404" s="152"/>
      <c r="K1404" s="10"/>
      <c r="L1404" s="152"/>
      <c r="M1404" s="10"/>
      <c r="N1404" s="152"/>
      <c r="O1404" s="10"/>
      <c r="P1404" s="152"/>
      <c r="Q1404" s="10"/>
      <c r="R1404" s="9"/>
      <c r="S1404" s="10"/>
      <c r="T1404" s="9"/>
      <c r="U1404" s="10"/>
      <c r="V1404" s="9"/>
      <c r="W1404" s="10"/>
      <c r="X1404" s="9"/>
      <c r="Y1404" s="10"/>
      <c r="Z1404" s="9"/>
      <c r="AA1404" s="10"/>
      <c r="AB1404" s="11"/>
      <c r="AC1404" s="10"/>
      <c r="AD1404" s="7">
        <f>SUM(F1404+H1404+J1404+L1404+N1404+P1404+R1404+T1404+V1404+X1404+Z1404+AB1404)</f>
        <v>0</v>
      </c>
      <c r="AE1404" s="7">
        <f>E1404+AD1404</f>
        <v>0</v>
      </c>
      <c r="AF1404" s="8">
        <f>G1404+I1404+K1404+M1404+O1404+Q1404+S1404+U1404+W1404+Y1404+AA1404+AC1404</f>
        <v>0</v>
      </c>
      <c r="AG1404" s="153">
        <f>SUM(AE1404-AF1404)</f>
        <v>0</v>
      </c>
    </row>
    <row r="1405" spans="1:42" customHeight="1" ht="11.5">
      <c r="A1405" s="5"/>
      <c r="B1405" s="173"/>
      <c r="C1405" s="167"/>
      <c r="D1405" s="88"/>
      <c r="E1405" s="174"/>
      <c r="F1405" s="9"/>
      <c r="G1405" s="10"/>
      <c r="H1405" s="9"/>
      <c r="I1405" s="10"/>
      <c r="J1405" s="152"/>
      <c r="K1405" s="10"/>
      <c r="L1405" s="152"/>
      <c r="M1405" s="10"/>
      <c r="N1405" s="152"/>
      <c r="O1405" s="10"/>
      <c r="P1405" s="152"/>
      <c r="Q1405" s="10"/>
      <c r="R1405" s="9"/>
      <c r="S1405" s="10"/>
      <c r="T1405" s="9"/>
      <c r="U1405" s="10"/>
      <c r="V1405" s="9"/>
      <c r="W1405" s="10"/>
      <c r="X1405" s="9"/>
      <c r="Y1405" s="10"/>
      <c r="Z1405" s="9"/>
      <c r="AA1405" s="10"/>
      <c r="AB1405" s="11"/>
      <c r="AC1405" s="10"/>
      <c r="AD1405" s="7">
        <f>SUM(F1405+H1405+J1405+L1405+N1405+P1405+R1405+T1405+V1405+X1405+Z1405+AB1405)</f>
        <v>0</v>
      </c>
      <c r="AE1405" s="7">
        <f>E1405+AD1405</f>
        <v>0</v>
      </c>
      <c r="AF1405" s="8">
        <f>G1405+I1405+K1405+M1405+O1405+Q1405+S1405+U1405+W1405+Y1405+AA1405+AC1405</f>
        <v>0</v>
      </c>
      <c r="AG1405" s="153">
        <f>SUM(AE1405-AF1405)</f>
        <v>0</v>
      </c>
    </row>
    <row r="1406" spans="1:42" customHeight="1" ht="11.5">
      <c r="A1406" s="5"/>
      <c r="B1406" s="173"/>
      <c r="C1406" s="167"/>
      <c r="D1406" s="88"/>
      <c r="E1406" s="174"/>
      <c r="F1406" s="9"/>
      <c r="G1406" s="10"/>
      <c r="H1406" s="9"/>
      <c r="I1406" s="10"/>
      <c r="J1406" s="152"/>
      <c r="K1406" s="10"/>
      <c r="L1406" s="152"/>
      <c r="M1406" s="10"/>
      <c r="N1406" s="152"/>
      <c r="O1406" s="10"/>
      <c r="P1406" s="152"/>
      <c r="Q1406" s="10"/>
      <c r="R1406" s="9"/>
      <c r="S1406" s="10"/>
      <c r="T1406" s="9"/>
      <c r="U1406" s="10"/>
      <c r="V1406" s="9"/>
      <c r="W1406" s="10"/>
      <c r="X1406" s="9"/>
      <c r="Y1406" s="10"/>
      <c r="Z1406" s="9"/>
      <c r="AA1406" s="10"/>
      <c r="AB1406" s="11"/>
      <c r="AC1406" s="10"/>
      <c r="AD1406" s="7">
        <f>SUM(F1406+H1406+J1406+L1406+N1406+P1406+R1406+T1406+V1406+X1406+Z1406+AB1406)</f>
        <v>0</v>
      </c>
      <c r="AE1406" s="7">
        <f>E1406+AD1406</f>
        <v>0</v>
      </c>
      <c r="AF1406" s="8">
        <f>G1406+I1406+K1406+M1406+O1406+Q1406+S1406+U1406+W1406+Y1406+AA1406+AC1406</f>
        <v>0</v>
      </c>
      <c r="AG1406" s="153">
        <f>SUM(AE1406-AF1406)</f>
        <v>0</v>
      </c>
    </row>
    <row r="1407" spans="1:42" customHeight="1" ht="11.5">
      <c r="A1407" s="5"/>
      <c r="B1407" s="173"/>
      <c r="C1407" s="167"/>
      <c r="D1407" s="88"/>
      <c r="E1407" s="174"/>
      <c r="F1407" s="9"/>
      <c r="G1407" s="10"/>
      <c r="H1407" s="9"/>
      <c r="I1407" s="10"/>
      <c r="J1407" s="152"/>
      <c r="K1407" s="10"/>
      <c r="L1407" s="152"/>
      <c r="M1407" s="10"/>
      <c r="N1407" s="152"/>
      <c r="O1407" s="10"/>
      <c r="P1407" s="152"/>
      <c r="Q1407" s="10"/>
      <c r="R1407" s="9"/>
      <c r="S1407" s="10"/>
      <c r="T1407" s="9"/>
      <c r="U1407" s="10"/>
      <c r="V1407" s="9"/>
      <c r="W1407" s="10"/>
      <c r="X1407" s="9"/>
      <c r="Y1407" s="10"/>
      <c r="Z1407" s="9"/>
      <c r="AA1407" s="10"/>
      <c r="AB1407" s="11"/>
      <c r="AC1407" s="10"/>
      <c r="AD1407" s="7">
        <f>SUM(F1407+H1407+J1407+L1407+N1407+P1407+R1407+T1407+V1407+X1407+Z1407+AB1407)</f>
        <v>0</v>
      </c>
      <c r="AE1407" s="7">
        <f>E1407+AD1407</f>
        <v>0</v>
      </c>
      <c r="AF1407" s="8">
        <f>G1407+I1407+K1407+M1407+O1407+Q1407+S1407+U1407+W1407+Y1407+AA1407+AC1407</f>
        <v>0</v>
      </c>
      <c r="AG1407" s="153">
        <f>SUM(AE1407-AF1407)</f>
        <v>0</v>
      </c>
    </row>
    <row r="1408" spans="1:42" customHeight="1" ht="11.5">
      <c r="A1408" s="5"/>
      <c r="B1408" s="173"/>
      <c r="C1408" s="167"/>
      <c r="D1408" s="88"/>
      <c r="E1408" s="174"/>
      <c r="F1408" s="9"/>
      <c r="G1408" s="10"/>
      <c r="H1408" s="9"/>
      <c r="I1408" s="10"/>
      <c r="J1408" s="152"/>
      <c r="K1408" s="10"/>
      <c r="L1408" s="152"/>
      <c r="M1408" s="10"/>
      <c r="N1408" s="152"/>
      <c r="O1408" s="10"/>
      <c r="P1408" s="152"/>
      <c r="Q1408" s="10"/>
      <c r="R1408" s="9"/>
      <c r="S1408" s="10"/>
      <c r="T1408" s="9"/>
      <c r="U1408" s="10"/>
      <c r="V1408" s="9"/>
      <c r="W1408" s="10"/>
      <c r="X1408" s="9"/>
      <c r="Y1408" s="10"/>
      <c r="Z1408" s="9"/>
      <c r="AA1408" s="10"/>
      <c r="AB1408" s="11"/>
      <c r="AC1408" s="10"/>
      <c r="AD1408" s="7">
        <f>SUM(F1408+H1408+J1408+L1408+N1408+P1408+R1408+T1408+V1408+X1408+Z1408+AB1408)</f>
        <v>0</v>
      </c>
      <c r="AE1408" s="7">
        <f>E1408+AD1408</f>
        <v>0</v>
      </c>
      <c r="AF1408" s="8">
        <f>G1408+I1408+K1408+M1408+O1408+Q1408+S1408+U1408+W1408+Y1408+AA1408+AC1408</f>
        <v>0</v>
      </c>
      <c r="AG1408" s="153">
        <f>SUM(AE1408-AF1408)</f>
        <v>0</v>
      </c>
    </row>
    <row r="1409" spans="1:42" customHeight="1" ht="11.5">
      <c r="A1409" s="5"/>
      <c r="B1409" s="173"/>
      <c r="C1409" s="167"/>
      <c r="D1409" s="88"/>
      <c r="E1409" s="174"/>
      <c r="F1409" s="9"/>
      <c r="G1409" s="10"/>
      <c r="H1409" s="9"/>
      <c r="I1409" s="10"/>
      <c r="J1409" s="152"/>
      <c r="K1409" s="10"/>
      <c r="L1409" s="152"/>
      <c r="M1409" s="10"/>
      <c r="N1409" s="152"/>
      <c r="O1409" s="10"/>
      <c r="P1409" s="152"/>
      <c r="Q1409" s="10"/>
      <c r="R1409" s="9"/>
      <c r="S1409" s="10"/>
      <c r="T1409" s="9"/>
      <c r="U1409" s="10"/>
      <c r="V1409" s="9"/>
      <c r="W1409" s="10"/>
      <c r="X1409" s="9"/>
      <c r="Y1409" s="10"/>
      <c r="Z1409" s="9"/>
      <c r="AA1409" s="10"/>
      <c r="AB1409" s="11"/>
      <c r="AC1409" s="10"/>
      <c r="AD1409" s="7">
        <f>SUM(F1409+H1409+J1409+L1409+N1409+P1409+R1409+T1409+V1409+X1409+Z1409+AB1409)</f>
        <v>0</v>
      </c>
      <c r="AE1409" s="7">
        <f>E1409+AD1409</f>
        <v>0</v>
      </c>
      <c r="AF1409" s="8">
        <f>G1409+I1409+K1409+M1409+O1409+Q1409+S1409+U1409+W1409+Y1409+AA1409+AC1409</f>
        <v>0</v>
      </c>
      <c r="AG1409" s="153">
        <f>SUM(AE1409-AF1409)</f>
        <v>0</v>
      </c>
    </row>
    <row r="1410" spans="1:42" customHeight="1" ht="11.5">
      <c r="A1410" s="5"/>
      <c r="B1410" s="173"/>
      <c r="C1410" s="167"/>
      <c r="D1410" s="88"/>
      <c r="E1410" s="174"/>
      <c r="F1410" s="9"/>
      <c r="G1410" s="10"/>
      <c r="H1410" s="9"/>
      <c r="I1410" s="10"/>
      <c r="J1410" s="152"/>
      <c r="K1410" s="10"/>
      <c r="L1410" s="152"/>
      <c r="M1410" s="10"/>
      <c r="N1410" s="152"/>
      <c r="O1410" s="10"/>
      <c r="P1410" s="152"/>
      <c r="Q1410" s="10"/>
      <c r="R1410" s="9"/>
      <c r="S1410" s="10"/>
      <c r="T1410" s="9"/>
      <c r="U1410" s="10"/>
      <c r="V1410" s="9"/>
      <c r="W1410" s="10"/>
      <c r="X1410" s="9"/>
      <c r="Y1410" s="10"/>
      <c r="Z1410" s="9"/>
      <c r="AA1410" s="10"/>
      <c r="AB1410" s="11"/>
      <c r="AC1410" s="10"/>
      <c r="AD1410" s="7">
        <f>SUM(F1410+H1410+J1410+L1410+N1410+P1410+R1410+T1410+V1410+X1410+Z1410+AB1410)</f>
        <v>0</v>
      </c>
      <c r="AE1410" s="7">
        <f>E1410+AD1410</f>
        <v>0</v>
      </c>
      <c r="AF1410" s="8">
        <f>G1410+I1410+K1410+M1410+O1410+Q1410+S1410+U1410+W1410+Y1410+AA1410+AC1410</f>
        <v>0</v>
      </c>
      <c r="AG1410" s="153">
        <f>SUM(AE1410-AF1410)</f>
        <v>0</v>
      </c>
    </row>
    <row r="1411" spans="1:42" customHeight="1" ht="11.5">
      <c r="A1411" s="5"/>
      <c r="B1411" s="173"/>
      <c r="C1411" s="167"/>
      <c r="D1411" s="88"/>
      <c r="E1411" s="174"/>
      <c r="F1411" s="9"/>
      <c r="G1411" s="10"/>
      <c r="H1411" s="9"/>
      <c r="I1411" s="10"/>
      <c r="J1411" s="152"/>
      <c r="K1411" s="10"/>
      <c r="L1411" s="152"/>
      <c r="M1411" s="10"/>
      <c r="N1411" s="152"/>
      <c r="O1411" s="10"/>
      <c r="P1411" s="152"/>
      <c r="Q1411" s="10"/>
      <c r="R1411" s="9"/>
      <c r="S1411" s="10"/>
      <c r="T1411" s="9"/>
      <c r="U1411" s="10"/>
      <c r="V1411" s="9"/>
      <c r="W1411" s="10"/>
      <c r="X1411" s="9"/>
      <c r="Y1411" s="10"/>
      <c r="Z1411" s="9"/>
      <c r="AA1411" s="10"/>
      <c r="AB1411" s="11"/>
      <c r="AC1411" s="10"/>
      <c r="AD1411" s="7">
        <f>SUM(F1411+H1411+J1411+L1411+N1411+P1411+R1411+T1411+V1411+X1411+Z1411+AB1411)</f>
        <v>0</v>
      </c>
      <c r="AE1411" s="7">
        <f>E1411+AD1411</f>
        <v>0</v>
      </c>
      <c r="AF1411" s="8">
        <f>G1411+I1411+K1411+M1411+O1411+Q1411+S1411+U1411+W1411+Y1411+AA1411+AC1411</f>
        <v>0</v>
      </c>
      <c r="AG1411" s="153">
        <f>SUM(AE1411-AF1411)</f>
        <v>0</v>
      </c>
    </row>
    <row r="1412" spans="1:42" customHeight="1" ht="11.5">
      <c r="A1412" s="5"/>
      <c r="B1412" s="173"/>
      <c r="C1412" s="167"/>
      <c r="D1412" s="88"/>
      <c r="E1412" s="174"/>
      <c r="F1412" s="9"/>
      <c r="G1412" s="10"/>
      <c r="H1412" s="9"/>
      <c r="I1412" s="10"/>
      <c r="J1412" s="152"/>
      <c r="K1412" s="10"/>
      <c r="L1412" s="152"/>
      <c r="M1412" s="10"/>
      <c r="N1412" s="152"/>
      <c r="O1412" s="10"/>
      <c r="P1412" s="152"/>
      <c r="Q1412" s="10"/>
      <c r="R1412" s="9"/>
      <c r="S1412" s="10"/>
      <c r="T1412" s="9"/>
      <c r="U1412" s="10"/>
      <c r="V1412" s="9"/>
      <c r="W1412" s="10"/>
      <c r="X1412" s="9"/>
      <c r="Y1412" s="10"/>
      <c r="Z1412" s="9"/>
      <c r="AA1412" s="10"/>
      <c r="AB1412" s="11"/>
      <c r="AC1412" s="10"/>
      <c r="AD1412" s="7">
        <f>SUM(F1412+H1412+J1412+L1412+N1412+P1412+R1412+T1412+V1412+X1412+Z1412+AB1412)</f>
        <v>0</v>
      </c>
      <c r="AE1412" s="7">
        <f>E1412+AD1412</f>
        <v>0</v>
      </c>
      <c r="AF1412" s="8">
        <f>G1412+I1412+K1412+M1412+O1412+Q1412+S1412+U1412+W1412+Y1412+AA1412+AC1412</f>
        <v>0</v>
      </c>
      <c r="AG1412" s="153">
        <f>SUM(AE1412-AF1412)</f>
        <v>0</v>
      </c>
    </row>
    <row r="1413" spans="1:42" customHeight="1" ht="11.5">
      <c r="A1413" s="5"/>
      <c r="B1413" s="173"/>
      <c r="C1413" s="167"/>
      <c r="D1413" s="88"/>
      <c r="E1413" s="174"/>
      <c r="F1413" s="9"/>
      <c r="G1413" s="10"/>
      <c r="H1413" s="9"/>
      <c r="I1413" s="10"/>
      <c r="J1413" s="152"/>
      <c r="K1413" s="10"/>
      <c r="L1413" s="152"/>
      <c r="M1413" s="10"/>
      <c r="N1413" s="152"/>
      <c r="O1413" s="10"/>
      <c r="P1413" s="152"/>
      <c r="Q1413" s="10"/>
      <c r="R1413" s="9"/>
      <c r="S1413" s="10"/>
      <c r="T1413" s="9"/>
      <c r="U1413" s="10"/>
      <c r="V1413" s="9"/>
      <c r="W1413" s="10"/>
      <c r="X1413" s="9"/>
      <c r="Y1413" s="10"/>
      <c r="Z1413" s="9"/>
      <c r="AA1413" s="10"/>
      <c r="AB1413" s="11"/>
      <c r="AC1413" s="10"/>
      <c r="AD1413" s="7">
        <f>SUM(F1413+H1413+J1413+L1413+N1413+P1413+R1413+T1413+V1413+X1413+Z1413+AB1413)</f>
        <v>0</v>
      </c>
      <c r="AE1413" s="7">
        <f>E1413+AD1413</f>
        <v>0</v>
      </c>
      <c r="AF1413" s="8">
        <f>G1413+I1413+K1413+M1413+O1413+Q1413+S1413+U1413+W1413+Y1413+AA1413+AC1413</f>
        <v>0</v>
      </c>
      <c r="AG1413" s="153">
        <f>SUM(AE1413-AF1413)</f>
        <v>0</v>
      </c>
    </row>
    <row r="1414" spans="1:42" customHeight="1" ht="11.5">
      <c r="A1414" s="5"/>
      <c r="B1414" s="173"/>
      <c r="C1414" s="167"/>
      <c r="D1414" s="88"/>
      <c r="E1414" s="174"/>
      <c r="F1414" s="9"/>
      <c r="G1414" s="10"/>
      <c r="H1414" s="9"/>
      <c r="I1414" s="10"/>
      <c r="J1414" s="152"/>
      <c r="K1414" s="10"/>
      <c r="L1414" s="152"/>
      <c r="M1414" s="10"/>
      <c r="N1414" s="152"/>
      <c r="O1414" s="10"/>
      <c r="P1414" s="152"/>
      <c r="Q1414" s="10"/>
      <c r="R1414" s="9"/>
      <c r="S1414" s="10"/>
      <c r="T1414" s="9"/>
      <c r="U1414" s="10"/>
      <c r="V1414" s="9"/>
      <c r="W1414" s="10"/>
      <c r="X1414" s="9"/>
      <c r="Y1414" s="10"/>
      <c r="Z1414" s="9"/>
      <c r="AA1414" s="10"/>
      <c r="AB1414" s="11"/>
      <c r="AC1414" s="10"/>
      <c r="AD1414" s="7">
        <f>SUM(F1414+H1414+J1414+L1414+N1414+P1414+R1414+T1414+V1414+X1414+Z1414+AB1414)</f>
        <v>0</v>
      </c>
      <c r="AE1414" s="7">
        <f>E1414+AD1414</f>
        <v>0</v>
      </c>
      <c r="AF1414" s="8">
        <f>G1414+I1414+K1414+M1414+O1414+Q1414+S1414+U1414+W1414+Y1414+AA1414+AC1414</f>
        <v>0</v>
      </c>
      <c r="AG1414" s="153">
        <f>SUM(AE1414-AF1414)</f>
        <v>0</v>
      </c>
    </row>
    <row r="1415" spans="1:42" customHeight="1" ht="11.5">
      <c r="A1415" s="5"/>
      <c r="B1415" s="173"/>
      <c r="C1415" s="167"/>
      <c r="D1415" s="88"/>
      <c r="E1415" s="174"/>
      <c r="F1415" s="9"/>
      <c r="G1415" s="10"/>
      <c r="H1415" s="9"/>
      <c r="I1415" s="10"/>
      <c r="J1415" s="152"/>
      <c r="K1415" s="10"/>
      <c r="L1415" s="152"/>
      <c r="M1415" s="10"/>
      <c r="N1415" s="152"/>
      <c r="O1415" s="10"/>
      <c r="P1415" s="152"/>
      <c r="Q1415" s="10"/>
      <c r="R1415" s="9"/>
      <c r="S1415" s="10"/>
      <c r="T1415" s="9"/>
      <c r="U1415" s="10"/>
      <c r="V1415" s="9"/>
      <c r="W1415" s="10"/>
      <c r="X1415" s="9"/>
      <c r="Y1415" s="10"/>
      <c r="Z1415" s="9"/>
      <c r="AA1415" s="10"/>
      <c r="AB1415" s="11"/>
      <c r="AC1415" s="10"/>
      <c r="AD1415" s="7">
        <f>SUM(F1415+H1415+J1415+L1415+N1415+P1415+R1415+T1415+V1415+X1415+Z1415+AB1415)</f>
        <v>0</v>
      </c>
      <c r="AE1415" s="7">
        <f>E1415+AD1415</f>
        <v>0</v>
      </c>
      <c r="AF1415" s="8">
        <f>G1415+I1415+K1415+M1415+O1415+Q1415+S1415+U1415+W1415+Y1415+AA1415+AC1415</f>
        <v>0</v>
      </c>
      <c r="AG1415" s="153">
        <f>SUM(AE1415-AF1415)</f>
        <v>0</v>
      </c>
    </row>
    <row r="1416" spans="1:42" customHeight="1" ht="11.5">
      <c r="A1416" s="5"/>
      <c r="B1416" s="173"/>
      <c r="C1416" s="167"/>
      <c r="D1416" s="88"/>
      <c r="E1416" s="174"/>
      <c r="F1416" s="9"/>
      <c r="G1416" s="10"/>
      <c r="H1416" s="9"/>
      <c r="I1416" s="10"/>
      <c r="J1416" s="152"/>
      <c r="K1416" s="10"/>
      <c r="L1416" s="152"/>
      <c r="M1416" s="10"/>
      <c r="N1416" s="152"/>
      <c r="O1416" s="10"/>
      <c r="P1416" s="152"/>
      <c r="Q1416" s="10"/>
      <c r="R1416" s="9"/>
      <c r="S1416" s="10"/>
      <c r="T1416" s="9"/>
      <c r="U1416" s="10"/>
      <c r="V1416" s="9"/>
      <c r="W1416" s="10"/>
      <c r="X1416" s="9"/>
      <c r="Y1416" s="10"/>
      <c r="Z1416" s="9"/>
      <c r="AA1416" s="10"/>
      <c r="AB1416" s="11"/>
      <c r="AC1416" s="10"/>
      <c r="AD1416" s="7">
        <f>SUM(F1416+H1416+J1416+L1416+N1416+P1416+R1416+T1416+V1416+X1416+Z1416+AB1416)</f>
        <v>0</v>
      </c>
      <c r="AE1416" s="7">
        <f>E1416+AD1416</f>
        <v>0</v>
      </c>
      <c r="AF1416" s="8">
        <f>G1416+I1416+K1416+M1416+O1416+Q1416+S1416+U1416+W1416+Y1416+AA1416+AC1416</f>
        <v>0</v>
      </c>
      <c r="AG1416" s="153">
        <f>SUM(AE1416-AF1416)</f>
        <v>0</v>
      </c>
    </row>
    <row r="1417" spans="1:42" customHeight="1" ht="11.5">
      <c r="A1417" s="5"/>
      <c r="B1417" s="173"/>
      <c r="C1417" s="167"/>
      <c r="D1417" s="88"/>
      <c r="E1417" s="174"/>
      <c r="F1417" s="9"/>
      <c r="G1417" s="10"/>
      <c r="H1417" s="9"/>
      <c r="I1417" s="10"/>
      <c r="J1417" s="152"/>
      <c r="K1417" s="10"/>
      <c r="L1417" s="152"/>
      <c r="M1417" s="10"/>
      <c r="N1417" s="152"/>
      <c r="O1417" s="10"/>
      <c r="P1417" s="152"/>
      <c r="Q1417" s="10"/>
      <c r="R1417" s="9"/>
      <c r="S1417" s="10"/>
      <c r="T1417" s="9"/>
      <c r="U1417" s="10"/>
      <c r="V1417" s="9"/>
      <c r="W1417" s="10"/>
      <c r="X1417" s="9"/>
      <c r="Y1417" s="10"/>
      <c r="Z1417" s="9"/>
      <c r="AA1417" s="10"/>
      <c r="AB1417" s="11"/>
      <c r="AC1417" s="10"/>
      <c r="AD1417" s="7">
        <f>SUM(F1417+H1417+J1417+L1417+N1417+P1417+R1417+T1417+V1417+X1417+Z1417+AB1417)</f>
        <v>0</v>
      </c>
      <c r="AE1417" s="7">
        <f>E1417+AD1417</f>
        <v>0</v>
      </c>
      <c r="AF1417" s="8">
        <f>G1417+I1417+K1417+M1417+O1417+Q1417+S1417+U1417+W1417+Y1417+AA1417+AC1417</f>
        <v>0</v>
      </c>
      <c r="AG1417" s="153">
        <f>SUM(AE1417-AF1417)</f>
        <v>0</v>
      </c>
    </row>
    <row r="1418" spans="1:42" customHeight="1" ht="11.5">
      <c r="A1418" s="5"/>
      <c r="B1418" s="173"/>
      <c r="C1418" s="167"/>
      <c r="D1418" s="88"/>
      <c r="E1418" s="174"/>
      <c r="F1418" s="9"/>
      <c r="G1418" s="10"/>
      <c r="H1418" s="9"/>
      <c r="I1418" s="10"/>
      <c r="J1418" s="152"/>
      <c r="K1418" s="10"/>
      <c r="L1418" s="152"/>
      <c r="M1418" s="10"/>
      <c r="N1418" s="152"/>
      <c r="O1418" s="10"/>
      <c r="P1418" s="152"/>
      <c r="Q1418" s="10"/>
      <c r="R1418" s="9"/>
      <c r="S1418" s="10"/>
      <c r="T1418" s="9"/>
      <c r="U1418" s="10"/>
      <c r="V1418" s="9"/>
      <c r="W1418" s="10"/>
      <c r="X1418" s="9"/>
      <c r="Y1418" s="10"/>
      <c r="Z1418" s="9"/>
      <c r="AA1418" s="10"/>
      <c r="AB1418" s="11"/>
      <c r="AC1418" s="10"/>
      <c r="AD1418" s="7">
        <f>SUM(F1418+H1418+J1418+L1418+N1418+P1418+R1418+T1418+V1418+X1418+Z1418+AB1418)</f>
        <v>0</v>
      </c>
      <c r="AE1418" s="7">
        <f>E1418+AD1418</f>
        <v>0</v>
      </c>
      <c r="AF1418" s="8">
        <f>G1418+I1418+K1418+M1418+O1418+Q1418+S1418+U1418+W1418+Y1418+AA1418+AC1418</f>
        <v>0</v>
      </c>
      <c r="AG1418" s="153">
        <f>SUM(AE1418-AF1418)</f>
        <v>0</v>
      </c>
    </row>
    <row r="1419" spans="1:42" customHeight="1" ht="11.5">
      <c r="A1419" s="5"/>
      <c r="B1419" s="173"/>
      <c r="C1419" s="167"/>
      <c r="D1419" s="88"/>
      <c r="E1419" s="174"/>
      <c r="F1419" s="9"/>
      <c r="G1419" s="10"/>
      <c r="H1419" s="9"/>
      <c r="I1419" s="10"/>
      <c r="J1419" s="152"/>
      <c r="K1419" s="10"/>
      <c r="L1419" s="152"/>
      <c r="M1419" s="10"/>
      <c r="N1419" s="152"/>
      <c r="O1419" s="10"/>
      <c r="P1419" s="152"/>
      <c r="Q1419" s="10"/>
      <c r="R1419" s="9"/>
      <c r="S1419" s="10"/>
      <c r="T1419" s="9"/>
      <c r="U1419" s="10"/>
      <c r="V1419" s="9"/>
      <c r="W1419" s="10"/>
      <c r="X1419" s="9"/>
      <c r="Y1419" s="10"/>
      <c r="Z1419" s="9"/>
      <c r="AA1419" s="10"/>
      <c r="AB1419" s="11"/>
      <c r="AC1419" s="10"/>
      <c r="AD1419" s="7">
        <f>SUM(F1419+H1419+J1419+L1419+N1419+P1419+R1419+T1419+V1419+X1419+Z1419+AB1419)</f>
        <v>0</v>
      </c>
      <c r="AE1419" s="7">
        <f>E1419+AD1419</f>
        <v>0</v>
      </c>
      <c r="AF1419" s="8">
        <f>G1419+I1419+K1419+M1419+O1419+Q1419+S1419+U1419+W1419+Y1419+AA1419+AC1419</f>
        <v>0</v>
      </c>
      <c r="AG1419" s="153">
        <f>SUM(AE1419-AF1419)</f>
        <v>0</v>
      </c>
    </row>
    <row r="1420" spans="1:42" customHeight="1" ht="11.5">
      <c r="A1420" s="5"/>
      <c r="B1420" s="173"/>
      <c r="C1420" s="167"/>
      <c r="D1420" s="88"/>
      <c r="E1420" s="174"/>
      <c r="F1420" s="9"/>
      <c r="G1420" s="10"/>
      <c r="H1420" s="9"/>
      <c r="I1420" s="10"/>
      <c r="J1420" s="152"/>
      <c r="K1420" s="10"/>
      <c r="L1420" s="152"/>
      <c r="M1420" s="10"/>
      <c r="N1420" s="152"/>
      <c r="O1420" s="10"/>
      <c r="P1420" s="152"/>
      <c r="Q1420" s="10"/>
      <c r="R1420" s="9"/>
      <c r="S1420" s="10"/>
      <c r="T1420" s="9"/>
      <c r="U1420" s="10"/>
      <c r="V1420" s="9"/>
      <c r="W1420" s="10"/>
      <c r="X1420" s="9"/>
      <c r="Y1420" s="10"/>
      <c r="Z1420" s="9"/>
      <c r="AA1420" s="10"/>
      <c r="AB1420" s="11"/>
      <c r="AC1420" s="10"/>
      <c r="AD1420" s="7">
        <f>SUM(F1420+H1420+J1420+L1420+N1420+P1420+R1420+T1420+V1420+X1420+Z1420+AB1420)</f>
        <v>0</v>
      </c>
      <c r="AE1420" s="7">
        <f>E1420+AD1420</f>
        <v>0</v>
      </c>
      <c r="AF1420" s="8">
        <f>G1420+I1420+K1420+M1420+O1420+Q1420+S1420+U1420+W1420+Y1420+AA1420+AC1420</f>
        <v>0</v>
      </c>
      <c r="AG1420" s="153">
        <f>SUM(AE1420-AF1420)</f>
        <v>0</v>
      </c>
    </row>
    <row r="1421" spans="1:42" customHeight="1" ht="11.5">
      <c r="A1421" s="5"/>
      <c r="B1421" s="173"/>
      <c r="C1421" s="167"/>
      <c r="D1421" s="88"/>
      <c r="E1421" s="174"/>
      <c r="F1421" s="9"/>
      <c r="G1421" s="10"/>
      <c r="H1421" s="9"/>
      <c r="I1421" s="10"/>
      <c r="J1421" s="152"/>
      <c r="K1421" s="10"/>
      <c r="L1421" s="152"/>
      <c r="M1421" s="10"/>
      <c r="N1421" s="152"/>
      <c r="O1421" s="10"/>
      <c r="P1421" s="152"/>
      <c r="Q1421" s="10"/>
      <c r="R1421" s="9"/>
      <c r="S1421" s="10"/>
      <c r="T1421" s="9"/>
      <c r="U1421" s="10"/>
      <c r="V1421" s="9"/>
      <c r="W1421" s="10"/>
      <c r="X1421" s="9"/>
      <c r="Y1421" s="10"/>
      <c r="Z1421" s="9"/>
      <c r="AA1421" s="10"/>
      <c r="AB1421" s="11"/>
      <c r="AC1421" s="10"/>
      <c r="AD1421" s="7">
        <f>SUM(F1421+H1421+J1421+L1421+N1421+P1421+R1421+T1421+V1421+X1421+Z1421+AB1421)</f>
        <v>0</v>
      </c>
      <c r="AE1421" s="7">
        <f>E1421+AD1421</f>
        <v>0</v>
      </c>
      <c r="AF1421" s="8">
        <f>G1421+I1421+K1421+M1421+O1421+Q1421+S1421+U1421+W1421+Y1421+AA1421+AC1421</f>
        <v>0</v>
      </c>
      <c r="AG1421" s="153">
        <f>SUM(AE1421-AF1421)</f>
        <v>0</v>
      </c>
    </row>
    <row r="1422" spans="1:42" customHeight="1" ht="11.5">
      <c r="A1422" s="5"/>
      <c r="B1422" s="173"/>
      <c r="C1422" s="167"/>
      <c r="D1422" s="88"/>
      <c r="E1422" s="174"/>
      <c r="F1422" s="9"/>
      <c r="G1422" s="10"/>
      <c r="H1422" s="9"/>
      <c r="I1422" s="10"/>
      <c r="J1422" s="152"/>
      <c r="K1422" s="10"/>
      <c r="L1422" s="152"/>
      <c r="M1422" s="10"/>
      <c r="N1422" s="152"/>
      <c r="O1422" s="10"/>
      <c r="P1422" s="152"/>
      <c r="Q1422" s="10"/>
      <c r="R1422" s="9"/>
      <c r="S1422" s="10"/>
      <c r="T1422" s="9"/>
      <c r="U1422" s="10"/>
      <c r="V1422" s="9"/>
      <c r="W1422" s="10"/>
      <c r="X1422" s="9"/>
      <c r="Y1422" s="10"/>
      <c r="Z1422" s="9"/>
      <c r="AA1422" s="10"/>
      <c r="AB1422" s="11"/>
      <c r="AC1422" s="10"/>
      <c r="AD1422" s="7">
        <f>SUM(F1422+H1422+J1422+L1422+N1422+P1422+R1422+T1422+V1422+X1422+Z1422+AB1422)</f>
        <v>0</v>
      </c>
      <c r="AE1422" s="7">
        <f>E1422+AD1422</f>
        <v>0</v>
      </c>
      <c r="AF1422" s="8">
        <f>G1422+I1422+K1422+M1422+O1422+Q1422+S1422+U1422+W1422+Y1422+AA1422+AC1422</f>
        <v>0</v>
      </c>
      <c r="AG1422" s="153">
        <f>SUM(AE1422-AF1422)</f>
        <v>0</v>
      </c>
    </row>
    <row r="1423" spans="1:42" customHeight="1" ht="11.5">
      <c r="A1423" s="5"/>
      <c r="B1423" s="173"/>
      <c r="C1423" s="167"/>
      <c r="D1423" s="88"/>
      <c r="E1423" s="174"/>
      <c r="F1423" s="9"/>
      <c r="G1423" s="10"/>
      <c r="H1423" s="9"/>
      <c r="I1423" s="10"/>
      <c r="J1423" s="152"/>
      <c r="K1423" s="10"/>
      <c r="L1423" s="152"/>
      <c r="M1423" s="10"/>
      <c r="N1423" s="152"/>
      <c r="O1423" s="10"/>
      <c r="P1423" s="152"/>
      <c r="Q1423" s="10"/>
      <c r="R1423" s="9"/>
      <c r="S1423" s="10"/>
      <c r="T1423" s="9"/>
      <c r="U1423" s="10"/>
      <c r="V1423" s="9"/>
      <c r="W1423" s="10"/>
      <c r="X1423" s="9"/>
      <c r="Y1423" s="10"/>
      <c r="Z1423" s="9"/>
      <c r="AA1423" s="10"/>
      <c r="AB1423" s="11"/>
      <c r="AC1423" s="10"/>
      <c r="AD1423" s="7">
        <f>SUM(F1423+H1423+J1423+L1423+N1423+P1423+R1423+T1423+V1423+X1423+Z1423+AB1423)</f>
        <v>0</v>
      </c>
      <c r="AE1423" s="7">
        <f>E1423+AD1423</f>
        <v>0</v>
      </c>
      <c r="AF1423" s="8">
        <f>G1423+I1423+K1423+M1423+O1423+Q1423+S1423+U1423+W1423+Y1423+AA1423+AC1423</f>
        <v>0</v>
      </c>
      <c r="AG1423" s="153">
        <f>SUM(AE1423-AF1423)</f>
        <v>0</v>
      </c>
    </row>
    <row r="1424" spans="1:42" customHeight="1" ht="11.5">
      <c r="A1424" s="5"/>
      <c r="B1424" s="173"/>
      <c r="C1424" s="167"/>
      <c r="D1424" s="88"/>
      <c r="E1424" s="174"/>
      <c r="F1424" s="9"/>
      <c r="G1424" s="10"/>
      <c r="H1424" s="9"/>
      <c r="I1424" s="10"/>
      <c r="J1424" s="152"/>
      <c r="K1424" s="10"/>
      <c r="L1424" s="152"/>
      <c r="M1424" s="10"/>
      <c r="N1424" s="152"/>
      <c r="O1424" s="10"/>
      <c r="P1424" s="152"/>
      <c r="Q1424" s="10"/>
      <c r="R1424" s="9"/>
      <c r="S1424" s="10"/>
      <c r="T1424" s="9"/>
      <c r="U1424" s="10"/>
      <c r="V1424" s="9"/>
      <c r="W1424" s="10"/>
      <c r="X1424" s="9"/>
      <c r="Y1424" s="10"/>
      <c r="Z1424" s="9"/>
      <c r="AA1424" s="10"/>
      <c r="AB1424" s="11"/>
      <c r="AC1424" s="10"/>
      <c r="AD1424" s="7">
        <f>SUM(F1424+H1424+J1424+L1424+N1424+P1424+R1424+T1424+V1424+X1424+Z1424+AB1424)</f>
        <v>0</v>
      </c>
      <c r="AE1424" s="7">
        <f>E1424+AD1424</f>
        <v>0</v>
      </c>
      <c r="AF1424" s="8">
        <f>G1424+I1424+K1424+M1424+O1424+Q1424+S1424+U1424+W1424+Y1424+AA1424+AC1424</f>
        <v>0</v>
      </c>
      <c r="AG1424" s="153">
        <f>SUM(AE1424-AF1424)</f>
        <v>0</v>
      </c>
    </row>
    <row r="1425" spans="1:42" customHeight="1" ht="11.5">
      <c r="A1425" s="5"/>
      <c r="B1425" s="173"/>
      <c r="C1425" s="167"/>
      <c r="D1425" s="88"/>
      <c r="E1425" s="174"/>
      <c r="F1425" s="9"/>
      <c r="G1425" s="10"/>
      <c r="H1425" s="9"/>
      <c r="I1425" s="10"/>
      <c r="J1425" s="152"/>
      <c r="K1425" s="10"/>
      <c r="L1425" s="152"/>
      <c r="M1425" s="10"/>
      <c r="N1425" s="152"/>
      <c r="O1425" s="10"/>
      <c r="P1425" s="152"/>
      <c r="Q1425" s="10"/>
      <c r="R1425" s="9"/>
      <c r="S1425" s="10"/>
      <c r="T1425" s="9"/>
      <c r="U1425" s="10"/>
      <c r="V1425" s="9"/>
      <c r="W1425" s="10"/>
      <c r="X1425" s="9"/>
      <c r="Y1425" s="10"/>
      <c r="Z1425" s="9"/>
      <c r="AA1425" s="10"/>
      <c r="AB1425" s="11"/>
      <c r="AC1425" s="10"/>
      <c r="AD1425" s="7">
        <f>SUM(F1425+H1425+J1425+L1425+N1425+P1425+R1425+T1425+V1425+X1425+Z1425+AB1425)</f>
        <v>0</v>
      </c>
      <c r="AE1425" s="7">
        <f>E1425+AD1425</f>
        <v>0</v>
      </c>
      <c r="AF1425" s="8">
        <f>G1425+I1425+K1425+M1425+O1425+Q1425+S1425+U1425+W1425+Y1425+AA1425+AC1425</f>
        <v>0</v>
      </c>
      <c r="AG1425" s="153">
        <f>SUM(AE1425-AF1425)</f>
        <v>0</v>
      </c>
    </row>
    <row r="1426" spans="1:42" customHeight="1" ht="11.5">
      <c r="A1426" s="5"/>
      <c r="B1426" s="173"/>
      <c r="C1426" s="167"/>
      <c r="D1426" s="88"/>
      <c r="E1426" s="174"/>
      <c r="F1426" s="9"/>
      <c r="G1426" s="10"/>
      <c r="H1426" s="9"/>
      <c r="I1426" s="10"/>
      <c r="J1426" s="152"/>
      <c r="K1426" s="10"/>
      <c r="L1426" s="152"/>
      <c r="M1426" s="10"/>
      <c r="N1426" s="152"/>
      <c r="O1426" s="10"/>
      <c r="P1426" s="152"/>
      <c r="Q1426" s="10"/>
      <c r="R1426" s="9"/>
      <c r="S1426" s="10"/>
      <c r="T1426" s="9"/>
      <c r="U1426" s="10"/>
      <c r="V1426" s="9"/>
      <c r="W1426" s="10"/>
      <c r="X1426" s="9"/>
      <c r="Y1426" s="10"/>
      <c r="Z1426" s="9"/>
      <c r="AA1426" s="10"/>
      <c r="AB1426" s="11"/>
      <c r="AC1426" s="10"/>
      <c r="AD1426" s="7">
        <f>SUM(F1426+H1426+J1426+L1426+N1426+P1426+R1426+T1426+V1426+X1426+Z1426+AB1426)</f>
        <v>0</v>
      </c>
      <c r="AE1426" s="7">
        <f>E1426+AD1426</f>
        <v>0</v>
      </c>
      <c r="AF1426" s="8">
        <f>G1426+I1426+K1426+M1426+O1426+Q1426+S1426+U1426+W1426+Y1426+AA1426+AC1426</f>
        <v>0</v>
      </c>
      <c r="AG1426" s="153">
        <f>SUM(AE1426-AF1426)</f>
        <v>0</v>
      </c>
    </row>
    <row r="1427" spans="1:42" customHeight="1" ht="11.5">
      <c r="A1427" s="5"/>
      <c r="B1427" s="173"/>
      <c r="C1427" s="167"/>
      <c r="D1427" s="88"/>
      <c r="E1427" s="174"/>
      <c r="F1427" s="9"/>
      <c r="G1427" s="10"/>
      <c r="H1427" s="9"/>
      <c r="I1427" s="10"/>
      <c r="J1427" s="152"/>
      <c r="K1427" s="10"/>
      <c r="L1427" s="152"/>
      <c r="M1427" s="10"/>
      <c r="N1427" s="152"/>
      <c r="O1427" s="10"/>
      <c r="P1427" s="152"/>
      <c r="Q1427" s="10"/>
      <c r="R1427" s="9"/>
      <c r="S1427" s="10"/>
      <c r="T1427" s="9"/>
      <c r="U1427" s="10"/>
      <c r="V1427" s="9"/>
      <c r="W1427" s="10"/>
      <c r="X1427" s="9"/>
      <c r="Y1427" s="10"/>
      <c r="Z1427" s="9"/>
      <c r="AA1427" s="10"/>
      <c r="AB1427" s="11"/>
      <c r="AC1427" s="10"/>
      <c r="AD1427" s="7">
        <f>SUM(F1427+H1427+J1427+L1427+N1427+P1427+R1427+T1427+V1427+X1427+Z1427+AB1427)</f>
        <v>0</v>
      </c>
      <c r="AE1427" s="7">
        <f>E1427+AD1427</f>
        <v>0</v>
      </c>
      <c r="AF1427" s="8">
        <f>G1427+I1427+K1427+M1427+O1427+Q1427+S1427+U1427+W1427+Y1427+AA1427+AC1427</f>
        <v>0</v>
      </c>
      <c r="AG1427" s="153">
        <f>SUM(AE1427-AF1427)</f>
        <v>0</v>
      </c>
    </row>
    <row r="1428" spans="1:42" customHeight="1" ht="11.5">
      <c r="A1428" s="5"/>
      <c r="B1428" s="173"/>
      <c r="C1428" s="167"/>
      <c r="D1428" s="88"/>
      <c r="E1428" s="174"/>
      <c r="F1428" s="9"/>
      <c r="G1428" s="10"/>
      <c r="H1428" s="9"/>
      <c r="I1428" s="10"/>
      <c r="J1428" s="152"/>
      <c r="K1428" s="10"/>
      <c r="L1428" s="152"/>
      <c r="M1428" s="10"/>
      <c r="N1428" s="152"/>
      <c r="O1428" s="10"/>
      <c r="P1428" s="152"/>
      <c r="Q1428" s="10"/>
      <c r="R1428" s="9"/>
      <c r="S1428" s="10"/>
      <c r="T1428" s="9"/>
      <c r="U1428" s="10"/>
      <c r="V1428" s="9"/>
      <c r="W1428" s="10"/>
      <c r="X1428" s="9"/>
      <c r="Y1428" s="10"/>
      <c r="Z1428" s="9"/>
      <c r="AA1428" s="10"/>
      <c r="AB1428" s="11"/>
      <c r="AC1428" s="10"/>
      <c r="AD1428" s="7">
        <f>SUM(F1428+H1428+J1428+L1428+N1428+P1428+R1428+T1428+V1428+X1428+Z1428+AB1428)</f>
        <v>0</v>
      </c>
      <c r="AE1428" s="7">
        <f>E1428+AD1428</f>
        <v>0</v>
      </c>
      <c r="AF1428" s="8">
        <f>G1428+I1428+K1428+M1428+O1428+Q1428+S1428+U1428+W1428+Y1428+AA1428+AC1428</f>
        <v>0</v>
      </c>
      <c r="AG1428" s="153">
        <f>SUM(AE1428-AF1428)</f>
        <v>0</v>
      </c>
    </row>
    <row r="1429" spans="1:42" customHeight="1" ht="11.5">
      <c r="A1429" s="5"/>
      <c r="B1429" s="173"/>
      <c r="C1429" s="167"/>
      <c r="D1429" s="88"/>
      <c r="E1429" s="174"/>
      <c r="F1429" s="9"/>
      <c r="G1429" s="10"/>
      <c r="H1429" s="9"/>
      <c r="I1429" s="10"/>
      <c r="J1429" s="152"/>
      <c r="K1429" s="10"/>
      <c r="L1429" s="152"/>
      <c r="M1429" s="10"/>
      <c r="N1429" s="152"/>
      <c r="O1429" s="10"/>
      <c r="P1429" s="152"/>
      <c r="Q1429" s="10"/>
      <c r="R1429" s="9"/>
      <c r="S1429" s="10"/>
      <c r="T1429" s="9"/>
      <c r="U1429" s="10"/>
      <c r="V1429" s="9"/>
      <c r="W1429" s="10"/>
      <c r="X1429" s="9"/>
      <c r="Y1429" s="10"/>
      <c r="Z1429" s="9"/>
      <c r="AA1429" s="10"/>
      <c r="AB1429" s="11"/>
      <c r="AC1429" s="10"/>
      <c r="AD1429" s="7">
        <f>SUM(F1429+H1429+J1429+L1429+N1429+P1429+R1429+T1429+V1429+X1429+Z1429+AB1429)</f>
        <v>0</v>
      </c>
      <c r="AE1429" s="7">
        <f>E1429+AD1429</f>
        <v>0</v>
      </c>
      <c r="AF1429" s="8">
        <f>G1429+I1429+K1429+M1429+O1429+Q1429+S1429+U1429+W1429+Y1429+AA1429+AC1429</f>
        <v>0</v>
      </c>
      <c r="AG1429" s="153">
        <f>SUM(AE1429-AF1429)</f>
        <v>0</v>
      </c>
    </row>
    <row r="1430" spans="1:42" customHeight="1" ht="11.5">
      <c r="A1430" s="5"/>
      <c r="B1430" s="173"/>
      <c r="C1430" s="167"/>
      <c r="D1430" s="88"/>
      <c r="E1430" s="174"/>
      <c r="F1430" s="9"/>
      <c r="G1430" s="10"/>
      <c r="H1430" s="9"/>
      <c r="I1430" s="10"/>
      <c r="J1430" s="152"/>
      <c r="K1430" s="10"/>
      <c r="L1430" s="152"/>
      <c r="M1430" s="10"/>
      <c r="N1430" s="152"/>
      <c r="O1430" s="10"/>
      <c r="P1430" s="152"/>
      <c r="Q1430" s="10"/>
      <c r="R1430" s="9"/>
      <c r="S1430" s="10"/>
      <c r="T1430" s="9"/>
      <c r="U1430" s="10"/>
      <c r="V1430" s="9"/>
      <c r="W1430" s="10"/>
      <c r="X1430" s="9"/>
      <c r="Y1430" s="10"/>
      <c r="Z1430" s="9"/>
      <c r="AA1430" s="10"/>
      <c r="AB1430" s="11"/>
      <c r="AC1430" s="10"/>
      <c r="AD1430" s="7">
        <f>SUM(F1430+H1430+J1430+L1430+N1430+P1430+R1430+T1430+V1430+X1430+Z1430+AB1430)</f>
        <v>0</v>
      </c>
      <c r="AE1430" s="7">
        <f>E1430+AD1430</f>
        <v>0</v>
      </c>
      <c r="AF1430" s="8">
        <f>G1430+I1430+K1430+M1430+O1430+Q1430+S1430+U1430+W1430+Y1430+AA1430+AC1430</f>
        <v>0</v>
      </c>
      <c r="AG1430" s="153">
        <f>SUM(AE1430-AF1430)</f>
        <v>0</v>
      </c>
    </row>
    <row r="1431" spans="1:42" customHeight="1" ht="11.5">
      <c r="A1431" s="5"/>
      <c r="B1431" s="173"/>
      <c r="C1431" s="167"/>
      <c r="D1431" s="88"/>
      <c r="E1431" s="174"/>
      <c r="F1431" s="9"/>
      <c r="G1431" s="10"/>
      <c r="H1431" s="9"/>
      <c r="I1431" s="10"/>
      <c r="J1431" s="152"/>
      <c r="K1431" s="10"/>
      <c r="L1431" s="152"/>
      <c r="M1431" s="10"/>
      <c r="N1431" s="152"/>
      <c r="O1431" s="10"/>
      <c r="P1431" s="152"/>
      <c r="Q1431" s="10"/>
      <c r="R1431" s="9"/>
      <c r="S1431" s="10"/>
      <c r="T1431" s="9"/>
      <c r="U1431" s="10"/>
      <c r="V1431" s="9"/>
      <c r="W1431" s="10"/>
      <c r="X1431" s="9"/>
      <c r="Y1431" s="10"/>
      <c r="Z1431" s="9"/>
      <c r="AA1431" s="10"/>
      <c r="AB1431" s="11"/>
      <c r="AC1431" s="10"/>
      <c r="AD1431" s="7">
        <f>SUM(F1431+H1431+J1431+L1431+N1431+P1431+R1431+T1431+V1431+X1431+Z1431+AB1431)</f>
        <v>0</v>
      </c>
      <c r="AE1431" s="7">
        <f>E1431+AD1431</f>
        <v>0</v>
      </c>
      <c r="AF1431" s="8">
        <f>G1431+I1431+K1431+M1431+O1431+Q1431+S1431+U1431+W1431+Y1431+AA1431+AC1431</f>
        <v>0</v>
      </c>
      <c r="AG1431" s="153">
        <f>SUM(AE1431-AF1431)</f>
        <v>0</v>
      </c>
    </row>
    <row r="1432" spans="1:42" customHeight="1" ht="11.5">
      <c r="A1432" s="5"/>
      <c r="B1432" s="173"/>
      <c r="C1432" s="167"/>
      <c r="D1432" s="88"/>
      <c r="E1432" s="174"/>
      <c r="F1432" s="9"/>
      <c r="G1432" s="10"/>
      <c r="H1432" s="9"/>
      <c r="I1432" s="10"/>
      <c r="J1432" s="152"/>
      <c r="K1432" s="10"/>
      <c r="L1432" s="152"/>
      <c r="M1432" s="10"/>
      <c r="N1432" s="152"/>
      <c r="O1432" s="10"/>
      <c r="P1432" s="152"/>
      <c r="Q1432" s="10"/>
      <c r="R1432" s="9"/>
      <c r="S1432" s="10"/>
      <c r="T1432" s="9"/>
      <c r="U1432" s="10"/>
      <c r="V1432" s="9"/>
      <c r="W1432" s="10"/>
      <c r="X1432" s="9"/>
      <c r="Y1432" s="10"/>
      <c r="Z1432" s="9"/>
      <c r="AA1432" s="10"/>
      <c r="AB1432" s="11"/>
      <c r="AC1432" s="10"/>
      <c r="AD1432" s="7">
        <f>SUM(F1432+H1432+J1432+L1432+N1432+P1432+R1432+T1432+V1432+X1432+Z1432+AB1432)</f>
        <v>0</v>
      </c>
      <c r="AE1432" s="7">
        <f>E1432+AD1432</f>
        <v>0</v>
      </c>
      <c r="AF1432" s="8">
        <f>G1432+I1432+K1432+M1432+O1432+Q1432+S1432+U1432+W1432+Y1432+AA1432+AC1432</f>
        <v>0</v>
      </c>
      <c r="AG1432" s="153">
        <f>SUM(AE1432-AF1432)</f>
        <v>0</v>
      </c>
    </row>
    <row r="1433" spans="1:42" customHeight="1" ht="11.5">
      <c r="A1433" s="5"/>
      <c r="B1433" s="173"/>
      <c r="C1433" s="167"/>
      <c r="D1433" s="88"/>
      <c r="E1433" s="174"/>
      <c r="F1433" s="9"/>
      <c r="G1433" s="10"/>
      <c r="H1433" s="9"/>
      <c r="I1433" s="10"/>
      <c r="J1433" s="152"/>
      <c r="K1433" s="10"/>
      <c r="L1433" s="152"/>
      <c r="M1433" s="10"/>
      <c r="N1433" s="152"/>
      <c r="O1433" s="10"/>
      <c r="P1433" s="152"/>
      <c r="Q1433" s="10"/>
      <c r="R1433" s="9"/>
      <c r="S1433" s="10"/>
      <c r="T1433" s="9"/>
      <c r="U1433" s="10"/>
      <c r="V1433" s="9"/>
      <c r="W1433" s="10"/>
      <c r="X1433" s="9"/>
      <c r="Y1433" s="10"/>
      <c r="Z1433" s="9"/>
      <c r="AA1433" s="10"/>
      <c r="AB1433" s="11"/>
      <c r="AC1433" s="10"/>
      <c r="AD1433" s="7">
        <f>SUM(F1433+H1433+J1433+L1433+N1433+P1433+R1433+T1433+V1433+X1433+Z1433+AB1433)</f>
        <v>0</v>
      </c>
      <c r="AE1433" s="7">
        <f>E1433+AD1433</f>
        <v>0</v>
      </c>
      <c r="AF1433" s="8">
        <f>G1433+I1433+K1433+M1433+O1433+Q1433+S1433+U1433+W1433+Y1433+AA1433+AC1433</f>
        <v>0</v>
      </c>
      <c r="AG1433" s="153">
        <f>SUM(AE1433-AF1433)</f>
        <v>0</v>
      </c>
    </row>
    <row r="1434" spans="1:42" customHeight="1" ht="11.5">
      <c r="A1434" s="5"/>
      <c r="B1434" s="173"/>
      <c r="C1434" s="167"/>
      <c r="D1434" s="88"/>
      <c r="E1434" s="174"/>
      <c r="F1434" s="9"/>
      <c r="G1434" s="10"/>
      <c r="H1434" s="9"/>
      <c r="I1434" s="10"/>
      <c r="J1434" s="152"/>
      <c r="K1434" s="10"/>
      <c r="L1434" s="152"/>
      <c r="M1434" s="10"/>
      <c r="N1434" s="152"/>
      <c r="O1434" s="10"/>
      <c r="P1434" s="152"/>
      <c r="Q1434" s="10"/>
      <c r="R1434" s="9"/>
      <c r="S1434" s="10"/>
      <c r="T1434" s="9"/>
      <c r="U1434" s="10"/>
      <c r="V1434" s="9"/>
      <c r="W1434" s="10"/>
      <c r="X1434" s="9"/>
      <c r="Y1434" s="10"/>
      <c r="Z1434" s="9"/>
      <c r="AA1434" s="10"/>
      <c r="AB1434" s="11"/>
      <c r="AC1434" s="10"/>
      <c r="AD1434" s="7">
        <f>SUM(F1434+H1434+J1434+L1434+N1434+P1434+R1434+T1434+V1434+X1434+Z1434+AB1434)</f>
        <v>0</v>
      </c>
      <c r="AE1434" s="7">
        <f>E1434+AD1434</f>
        <v>0</v>
      </c>
      <c r="AF1434" s="8">
        <f>G1434+I1434+K1434+M1434+O1434+Q1434+S1434+U1434+W1434+Y1434+AA1434+AC1434</f>
        <v>0</v>
      </c>
      <c r="AG1434" s="153">
        <f>SUM(AE1434-AF1434)</f>
        <v>0</v>
      </c>
    </row>
    <row r="1435" spans="1:42" customHeight="1" ht="11.5">
      <c r="A1435" s="5"/>
      <c r="B1435" s="173"/>
      <c r="C1435" s="167"/>
      <c r="D1435" s="88"/>
      <c r="E1435" s="174"/>
      <c r="F1435" s="9"/>
      <c r="G1435" s="10"/>
      <c r="H1435" s="9"/>
      <c r="I1435" s="10"/>
      <c r="J1435" s="152"/>
      <c r="K1435" s="10"/>
      <c r="L1435" s="152"/>
      <c r="M1435" s="10"/>
      <c r="N1435" s="152"/>
      <c r="O1435" s="10"/>
      <c r="P1435" s="152"/>
      <c r="Q1435" s="10"/>
      <c r="R1435" s="9"/>
      <c r="S1435" s="10"/>
      <c r="T1435" s="9"/>
      <c r="U1435" s="10"/>
      <c r="V1435" s="9"/>
      <c r="W1435" s="10"/>
      <c r="X1435" s="9"/>
      <c r="Y1435" s="10"/>
      <c r="Z1435" s="9"/>
      <c r="AA1435" s="10"/>
      <c r="AB1435" s="11"/>
      <c r="AC1435" s="10"/>
      <c r="AD1435" s="7">
        <f>SUM(F1435+H1435+J1435+L1435+N1435+P1435+R1435+T1435+V1435+X1435+Z1435+AB1435)</f>
        <v>0</v>
      </c>
      <c r="AE1435" s="7">
        <f>E1435+AD1435</f>
        <v>0</v>
      </c>
      <c r="AF1435" s="8">
        <f>G1435+I1435+K1435+M1435+O1435+Q1435+S1435+U1435+W1435+Y1435+AA1435+AC1435</f>
        <v>0</v>
      </c>
      <c r="AG1435" s="153">
        <f>SUM(AE1435-AF1435)</f>
        <v>0</v>
      </c>
    </row>
    <row r="1436" spans="1:42" customHeight="1" ht="11.5">
      <c r="A1436" s="5"/>
      <c r="B1436" s="173"/>
      <c r="C1436" s="167"/>
      <c r="D1436" s="88"/>
      <c r="E1436" s="174"/>
      <c r="F1436" s="9"/>
      <c r="G1436" s="10"/>
      <c r="H1436" s="9"/>
      <c r="I1436" s="10"/>
      <c r="J1436" s="152"/>
      <c r="K1436" s="10"/>
      <c r="L1436" s="152"/>
      <c r="M1436" s="10"/>
      <c r="N1436" s="152"/>
      <c r="O1436" s="10"/>
      <c r="P1436" s="152"/>
      <c r="Q1436" s="10"/>
      <c r="R1436" s="9"/>
      <c r="S1436" s="10"/>
      <c r="T1436" s="9"/>
      <c r="U1436" s="10"/>
      <c r="V1436" s="9"/>
      <c r="W1436" s="10"/>
      <c r="X1436" s="9"/>
      <c r="Y1436" s="10"/>
      <c r="Z1436" s="9"/>
      <c r="AA1436" s="10"/>
      <c r="AB1436" s="11"/>
      <c r="AC1436" s="10"/>
      <c r="AD1436" s="7">
        <f>SUM(F1436+H1436+J1436+L1436+N1436+P1436+R1436+T1436+V1436+X1436+Z1436+AB1436)</f>
        <v>0</v>
      </c>
      <c r="AE1436" s="7">
        <f>E1436+AD1436</f>
        <v>0</v>
      </c>
      <c r="AF1436" s="8">
        <f>G1436+I1436+K1436+M1436+O1436+Q1436+S1436+U1436+W1436+Y1436+AA1436+AC1436</f>
        <v>0</v>
      </c>
      <c r="AG1436" s="153">
        <f>SUM(AE1436-AF1436)</f>
        <v>0</v>
      </c>
    </row>
    <row r="1437" spans="1:42" customHeight="1" ht="11.5">
      <c r="A1437" s="5"/>
      <c r="B1437" s="173"/>
      <c r="C1437" s="167"/>
      <c r="D1437" s="88"/>
      <c r="E1437" s="174"/>
      <c r="F1437" s="9"/>
      <c r="G1437" s="10"/>
      <c r="H1437" s="9"/>
      <c r="I1437" s="10"/>
      <c r="J1437" s="152"/>
      <c r="K1437" s="10"/>
      <c r="L1437" s="152"/>
      <c r="M1437" s="10"/>
      <c r="N1437" s="152"/>
      <c r="O1437" s="10"/>
      <c r="P1437" s="152"/>
      <c r="Q1437" s="10"/>
      <c r="R1437" s="9"/>
      <c r="S1437" s="10"/>
      <c r="T1437" s="9"/>
      <c r="U1437" s="10"/>
      <c r="V1437" s="9"/>
      <c r="W1437" s="10"/>
      <c r="X1437" s="9"/>
      <c r="Y1437" s="10"/>
      <c r="Z1437" s="9"/>
      <c r="AA1437" s="10"/>
      <c r="AB1437" s="11"/>
      <c r="AC1437" s="10"/>
      <c r="AD1437" s="7">
        <f>SUM(F1437+H1437+J1437+L1437+N1437+P1437+R1437+T1437+V1437+X1437+Z1437+AB1437)</f>
        <v>0</v>
      </c>
      <c r="AE1437" s="7">
        <f>E1437+AD1437</f>
        <v>0</v>
      </c>
      <c r="AF1437" s="8">
        <f>G1437+I1437+K1437+M1437+O1437+Q1437+S1437+U1437+W1437+Y1437+AA1437+AC1437</f>
        <v>0</v>
      </c>
      <c r="AG1437" s="153">
        <f>SUM(AE1437-AF1437)</f>
        <v>0</v>
      </c>
    </row>
    <row r="1438" spans="1:42" customHeight="1" ht="11.5">
      <c r="A1438" s="5"/>
      <c r="B1438" s="173"/>
      <c r="C1438" s="167"/>
      <c r="D1438" s="88"/>
      <c r="E1438" s="174"/>
      <c r="F1438" s="9"/>
      <c r="G1438" s="10"/>
      <c r="H1438" s="9"/>
      <c r="I1438" s="10"/>
      <c r="J1438" s="152"/>
      <c r="K1438" s="10"/>
      <c r="L1438" s="152"/>
      <c r="M1438" s="10"/>
      <c r="N1438" s="152"/>
      <c r="O1438" s="10"/>
      <c r="P1438" s="152"/>
      <c r="Q1438" s="10"/>
      <c r="R1438" s="9"/>
      <c r="S1438" s="10"/>
      <c r="T1438" s="9"/>
      <c r="U1438" s="10"/>
      <c r="V1438" s="9"/>
      <c r="W1438" s="10"/>
      <c r="X1438" s="9"/>
      <c r="Y1438" s="10"/>
      <c r="Z1438" s="9"/>
      <c r="AA1438" s="10"/>
      <c r="AB1438" s="11"/>
      <c r="AC1438" s="10"/>
      <c r="AD1438" s="7">
        <f>SUM(F1438+H1438+J1438+L1438+N1438+P1438+R1438+T1438+V1438+X1438+Z1438+AB1438)</f>
        <v>0</v>
      </c>
      <c r="AE1438" s="7">
        <f>E1438+AD1438</f>
        <v>0</v>
      </c>
      <c r="AF1438" s="8">
        <f>G1438+I1438+K1438+M1438+O1438+Q1438+S1438+U1438+W1438+Y1438+AA1438+AC1438</f>
        <v>0</v>
      </c>
      <c r="AG1438" s="153">
        <f>SUM(AE1438-AF1438)</f>
        <v>0</v>
      </c>
    </row>
    <row r="1439" spans="1:42" customHeight="1" ht="11.5">
      <c r="A1439" s="5"/>
      <c r="B1439" s="173"/>
      <c r="C1439" s="167"/>
      <c r="D1439" s="88"/>
      <c r="E1439" s="174"/>
      <c r="F1439" s="9"/>
      <c r="G1439" s="10"/>
      <c r="H1439" s="9"/>
      <c r="I1439" s="10"/>
      <c r="J1439" s="152"/>
      <c r="K1439" s="10"/>
      <c r="L1439" s="152"/>
      <c r="M1439" s="10"/>
      <c r="N1439" s="152"/>
      <c r="O1439" s="10"/>
      <c r="P1439" s="152"/>
      <c r="Q1439" s="10"/>
      <c r="R1439" s="9"/>
      <c r="S1439" s="10"/>
      <c r="T1439" s="9"/>
      <c r="U1439" s="10"/>
      <c r="V1439" s="9"/>
      <c r="W1439" s="10"/>
      <c r="X1439" s="9"/>
      <c r="Y1439" s="10"/>
      <c r="Z1439" s="9"/>
      <c r="AA1439" s="10"/>
      <c r="AB1439" s="11"/>
      <c r="AC1439" s="10"/>
      <c r="AD1439" s="7">
        <f>SUM(F1439+H1439+J1439+L1439+N1439+P1439+R1439+T1439+V1439+X1439+Z1439+AB1439)</f>
        <v>0</v>
      </c>
      <c r="AE1439" s="7">
        <f>E1439+AD1439</f>
        <v>0</v>
      </c>
      <c r="AF1439" s="8">
        <f>G1439+I1439+K1439+M1439+O1439+Q1439+S1439+U1439+W1439+Y1439+AA1439+AC1439</f>
        <v>0</v>
      </c>
      <c r="AG1439" s="153">
        <f>SUM(AE1439-AF1439)</f>
        <v>0</v>
      </c>
    </row>
    <row r="1440" spans="1:42" customHeight="1" ht="11.5">
      <c r="A1440" s="5"/>
      <c r="B1440" s="173"/>
      <c r="C1440" s="167"/>
      <c r="D1440" s="88"/>
      <c r="E1440" s="174"/>
      <c r="F1440" s="9"/>
      <c r="G1440" s="10"/>
      <c r="H1440" s="9"/>
      <c r="I1440" s="10"/>
      <c r="J1440" s="152"/>
      <c r="K1440" s="10"/>
      <c r="L1440" s="152"/>
      <c r="M1440" s="10"/>
      <c r="N1440" s="152"/>
      <c r="O1440" s="10"/>
      <c r="P1440" s="152"/>
      <c r="Q1440" s="10"/>
      <c r="R1440" s="9"/>
      <c r="S1440" s="10"/>
      <c r="T1440" s="9"/>
      <c r="U1440" s="10"/>
      <c r="V1440" s="9"/>
      <c r="W1440" s="10"/>
      <c r="X1440" s="9"/>
      <c r="Y1440" s="10"/>
      <c r="Z1440" s="9"/>
      <c r="AA1440" s="10"/>
      <c r="AB1440" s="11"/>
      <c r="AC1440" s="10"/>
      <c r="AD1440" s="7">
        <f>SUM(F1440+H1440+J1440+L1440+N1440+P1440+R1440+T1440+V1440+X1440+Z1440+AB1440)</f>
        <v>0</v>
      </c>
      <c r="AE1440" s="7">
        <f>E1440+AD1440</f>
        <v>0</v>
      </c>
      <c r="AF1440" s="8">
        <f>G1440+I1440+K1440+M1440+O1440+Q1440+S1440+U1440+W1440+Y1440+AA1440+AC1440</f>
        <v>0</v>
      </c>
      <c r="AG1440" s="153">
        <f>SUM(AE1440-AF1440)</f>
        <v>0</v>
      </c>
    </row>
    <row r="1441" spans="1:42" customHeight="1" ht="11.5">
      <c r="A1441" s="5"/>
      <c r="B1441" s="173"/>
      <c r="C1441" s="167"/>
      <c r="D1441" s="88"/>
      <c r="E1441" s="174"/>
      <c r="F1441" s="9"/>
      <c r="G1441" s="10"/>
      <c r="H1441" s="9"/>
      <c r="I1441" s="10"/>
      <c r="J1441" s="152"/>
      <c r="K1441" s="10"/>
      <c r="L1441" s="152"/>
      <c r="M1441" s="10"/>
      <c r="N1441" s="152"/>
      <c r="O1441" s="10"/>
      <c r="P1441" s="152"/>
      <c r="Q1441" s="10"/>
      <c r="R1441" s="9"/>
      <c r="S1441" s="10"/>
      <c r="T1441" s="9"/>
      <c r="U1441" s="10"/>
      <c r="V1441" s="9"/>
      <c r="W1441" s="10"/>
      <c r="X1441" s="9"/>
      <c r="Y1441" s="10"/>
      <c r="Z1441" s="9"/>
      <c r="AA1441" s="10"/>
      <c r="AB1441" s="11"/>
      <c r="AC1441" s="10"/>
      <c r="AD1441" s="7">
        <f>SUM(F1441+H1441+J1441+L1441+N1441+P1441+R1441+T1441+V1441+X1441+Z1441+AB1441)</f>
        <v>0</v>
      </c>
      <c r="AE1441" s="7">
        <f>E1441+AD1441</f>
        <v>0</v>
      </c>
      <c r="AF1441" s="8">
        <f>G1441+I1441+K1441+M1441+O1441+Q1441+S1441+U1441+W1441+Y1441+AA1441+AC1441</f>
        <v>0</v>
      </c>
      <c r="AG1441" s="153">
        <f>SUM(AE1441-AF1441)</f>
        <v>0</v>
      </c>
    </row>
    <row r="1442" spans="1:42" customHeight="1" ht="11.5">
      <c r="A1442" s="5"/>
      <c r="B1442" s="173"/>
      <c r="C1442" s="167"/>
      <c r="D1442" s="88"/>
      <c r="E1442" s="174"/>
      <c r="F1442" s="9"/>
      <c r="G1442" s="10"/>
      <c r="H1442" s="9"/>
      <c r="I1442" s="10"/>
      <c r="J1442" s="152"/>
      <c r="K1442" s="10"/>
      <c r="L1442" s="152"/>
      <c r="M1442" s="10"/>
      <c r="N1442" s="152"/>
      <c r="O1442" s="10"/>
      <c r="P1442" s="152"/>
      <c r="Q1442" s="10"/>
      <c r="R1442" s="9"/>
      <c r="S1442" s="10"/>
      <c r="T1442" s="9"/>
      <c r="U1442" s="10"/>
      <c r="V1442" s="9"/>
      <c r="W1442" s="10"/>
      <c r="X1442" s="9"/>
      <c r="Y1442" s="10"/>
      <c r="Z1442" s="9"/>
      <c r="AA1442" s="10"/>
      <c r="AB1442" s="11"/>
      <c r="AC1442" s="10"/>
      <c r="AD1442" s="7">
        <f>SUM(F1442+H1442+J1442+L1442+N1442+P1442+R1442+T1442+V1442+X1442+Z1442+AB1442)</f>
        <v>0</v>
      </c>
      <c r="AE1442" s="7">
        <f>E1442+AD1442</f>
        <v>0</v>
      </c>
      <c r="AF1442" s="8">
        <f>G1442+I1442+K1442+M1442+O1442+Q1442+S1442+U1442+W1442+Y1442+AA1442+AC1442</f>
        <v>0</v>
      </c>
      <c r="AG1442" s="153">
        <f>SUM(AE1442-AF1442)</f>
        <v>0</v>
      </c>
    </row>
    <row r="1443" spans="1:42" customHeight="1" ht="11.5">
      <c r="A1443" s="5"/>
      <c r="B1443" s="173"/>
      <c r="C1443" s="167"/>
      <c r="D1443" s="88"/>
      <c r="E1443" s="174"/>
      <c r="F1443" s="9"/>
      <c r="G1443" s="10"/>
      <c r="H1443" s="9"/>
      <c r="I1443" s="10"/>
      <c r="J1443" s="152"/>
      <c r="K1443" s="10"/>
      <c r="L1443" s="152"/>
      <c r="M1443" s="10"/>
      <c r="N1443" s="152"/>
      <c r="O1443" s="10"/>
      <c r="P1443" s="152"/>
      <c r="Q1443" s="10"/>
      <c r="R1443" s="9"/>
      <c r="S1443" s="10"/>
      <c r="T1443" s="9"/>
      <c r="U1443" s="10"/>
      <c r="V1443" s="9"/>
      <c r="W1443" s="10"/>
      <c r="X1443" s="9"/>
      <c r="Y1443" s="10"/>
      <c r="Z1443" s="9"/>
      <c r="AA1443" s="10"/>
      <c r="AB1443" s="11"/>
      <c r="AC1443" s="10"/>
      <c r="AD1443" s="7">
        <f>SUM(F1443+H1443+J1443+L1443+N1443+P1443+R1443+T1443+V1443+X1443+Z1443+AB1443)</f>
        <v>0</v>
      </c>
      <c r="AE1443" s="7">
        <f>E1443+AD1443</f>
        <v>0</v>
      </c>
      <c r="AF1443" s="8">
        <f>G1443+I1443+K1443+M1443+O1443+Q1443+S1443+U1443+W1443+Y1443+AA1443+AC1443</f>
        <v>0</v>
      </c>
      <c r="AG1443" s="153">
        <f>SUM(AE1443-AF1443)</f>
        <v>0</v>
      </c>
    </row>
    <row r="1444" spans="1:42" customHeight="1" ht="11.5">
      <c r="A1444" s="5"/>
      <c r="B1444" s="173"/>
      <c r="C1444" s="167"/>
      <c r="D1444" s="88"/>
      <c r="E1444" s="174"/>
      <c r="F1444" s="9"/>
      <c r="G1444" s="10"/>
      <c r="H1444" s="9"/>
      <c r="I1444" s="10"/>
      <c r="J1444" s="152"/>
      <c r="K1444" s="10"/>
      <c r="L1444" s="152"/>
      <c r="M1444" s="10"/>
      <c r="N1444" s="152"/>
      <c r="O1444" s="10"/>
      <c r="P1444" s="152"/>
      <c r="Q1444" s="10"/>
      <c r="R1444" s="9"/>
      <c r="S1444" s="10"/>
      <c r="T1444" s="9"/>
      <c r="U1444" s="10"/>
      <c r="V1444" s="9"/>
      <c r="W1444" s="10"/>
      <c r="X1444" s="9"/>
      <c r="Y1444" s="10"/>
      <c r="Z1444" s="9"/>
      <c r="AA1444" s="10"/>
      <c r="AB1444" s="11"/>
      <c r="AC1444" s="10"/>
      <c r="AD1444" s="7">
        <f>SUM(F1444+H1444+J1444+L1444+N1444+P1444+R1444+T1444+V1444+X1444+Z1444+AB1444)</f>
        <v>0</v>
      </c>
      <c r="AE1444" s="7">
        <f>E1444+AD1444</f>
        <v>0</v>
      </c>
      <c r="AF1444" s="8">
        <f>G1444+I1444+K1444+M1444+O1444+Q1444+S1444+U1444+W1444+Y1444+AA1444+AC1444</f>
        <v>0</v>
      </c>
      <c r="AG1444" s="153">
        <f>SUM(AE1444-AF1444)</f>
        <v>0</v>
      </c>
    </row>
    <row r="1445" spans="1:42" customHeight="1" ht="11.5">
      <c r="A1445" s="5"/>
      <c r="B1445" s="173"/>
      <c r="C1445" s="167"/>
      <c r="D1445" s="88"/>
      <c r="E1445" s="174"/>
      <c r="F1445" s="9"/>
      <c r="G1445" s="10"/>
      <c r="H1445" s="9"/>
      <c r="I1445" s="10"/>
      <c r="J1445" s="152"/>
      <c r="K1445" s="10"/>
      <c r="L1445" s="152"/>
      <c r="M1445" s="10"/>
      <c r="N1445" s="152"/>
      <c r="O1445" s="10"/>
      <c r="P1445" s="152"/>
      <c r="Q1445" s="10"/>
      <c r="R1445" s="9"/>
      <c r="S1445" s="10"/>
      <c r="T1445" s="9"/>
      <c r="U1445" s="10"/>
      <c r="V1445" s="9"/>
      <c r="W1445" s="10"/>
      <c r="X1445" s="9"/>
      <c r="Y1445" s="10"/>
      <c r="Z1445" s="9"/>
      <c r="AA1445" s="10"/>
      <c r="AB1445" s="11"/>
      <c r="AC1445" s="10"/>
      <c r="AD1445" s="7">
        <f>SUM(F1445+H1445+J1445+L1445+N1445+P1445+R1445+T1445+V1445+X1445+Z1445+AB1445)</f>
        <v>0</v>
      </c>
      <c r="AE1445" s="7">
        <f>E1445+AD1445</f>
        <v>0</v>
      </c>
      <c r="AF1445" s="8">
        <f>G1445+I1445+K1445+M1445+O1445+Q1445+S1445+U1445+W1445+Y1445+AA1445+AC1445</f>
        <v>0</v>
      </c>
      <c r="AG1445" s="153">
        <f>SUM(AE1445-AF1445)</f>
        <v>0</v>
      </c>
    </row>
    <row r="1446" spans="1:42" customHeight="1" ht="11.5">
      <c r="A1446" s="5"/>
      <c r="B1446" s="173"/>
      <c r="C1446" s="167"/>
      <c r="D1446" s="88"/>
      <c r="E1446" s="174"/>
      <c r="F1446" s="9"/>
      <c r="G1446" s="10"/>
      <c r="H1446" s="9"/>
      <c r="I1446" s="10"/>
      <c r="J1446" s="152"/>
      <c r="K1446" s="10"/>
      <c r="L1446" s="152"/>
      <c r="M1446" s="10"/>
      <c r="N1446" s="152"/>
      <c r="O1446" s="10"/>
      <c r="P1446" s="152"/>
      <c r="Q1446" s="10"/>
      <c r="R1446" s="9"/>
      <c r="S1446" s="10"/>
      <c r="T1446" s="9"/>
      <c r="U1446" s="10"/>
      <c r="V1446" s="9"/>
      <c r="W1446" s="10"/>
      <c r="X1446" s="9"/>
      <c r="Y1446" s="10"/>
      <c r="Z1446" s="9"/>
      <c r="AA1446" s="10"/>
      <c r="AB1446" s="11"/>
      <c r="AC1446" s="10"/>
      <c r="AD1446" s="7">
        <f>SUM(F1446+H1446+J1446+L1446+N1446+P1446+R1446+T1446+V1446+X1446+Z1446+AB1446)</f>
        <v>0</v>
      </c>
      <c r="AE1446" s="7">
        <f>E1446+AD1446</f>
        <v>0</v>
      </c>
      <c r="AF1446" s="8">
        <f>G1446+I1446+K1446+M1446+O1446+Q1446+S1446+U1446+W1446+Y1446+AA1446+AC1446</f>
        <v>0</v>
      </c>
      <c r="AG1446" s="153">
        <f>SUM(AE1446-AF1446)</f>
        <v>0</v>
      </c>
    </row>
    <row r="1447" spans="1:42" customHeight="1" ht="11.5">
      <c r="A1447" s="5"/>
      <c r="B1447" s="173"/>
      <c r="C1447" s="167"/>
      <c r="D1447" s="88"/>
      <c r="E1447" s="174"/>
      <c r="F1447" s="9"/>
      <c r="G1447" s="10"/>
      <c r="H1447" s="9"/>
      <c r="I1447" s="10"/>
      <c r="J1447" s="152"/>
      <c r="K1447" s="10"/>
      <c r="L1447" s="152"/>
      <c r="M1447" s="10"/>
      <c r="N1447" s="152"/>
      <c r="O1447" s="10"/>
      <c r="P1447" s="152"/>
      <c r="Q1447" s="10"/>
      <c r="R1447" s="9"/>
      <c r="S1447" s="10"/>
      <c r="T1447" s="9"/>
      <c r="U1447" s="10"/>
      <c r="V1447" s="9"/>
      <c r="W1447" s="10"/>
      <c r="X1447" s="9"/>
      <c r="Y1447" s="10"/>
      <c r="Z1447" s="9"/>
      <c r="AA1447" s="10"/>
      <c r="AB1447" s="11"/>
      <c r="AC1447" s="10"/>
      <c r="AD1447" s="7">
        <f>SUM(F1447+H1447+J1447+L1447+N1447+P1447+R1447+T1447+V1447+X1447+Z1447+AB1447)</f>
        <v>0</v>
      </c>
      <c r="AE1447" s="7">
        <f>E1447+AD1447</f>
        <v>0</v>
      </c>
      <c r="AF1447" s="8">
        <f>G1447+I1447+K1447+M1447+O1447+Q1447+S1447+U1447+W1447+Y1447+AA1447+AC1447</f>
        <v>0</v>
      </c>
      <c r="AG1447" s="153">
        <f>SUM(AE1447-AF1447)</f>
        <v>0</v>
      </c>
    </row>
    <row r="1448" spans="1:42" customHeight="1" ht="11.5">
      <c r="A1448" s="5"/>
      <c r="B1448" s="173"/>
      <c r="C1448" s="167"/>
      <c r="D1448" s="88"/>
      <c r="E1448" s="174"/>
      <c r="F1448" s="9"/>
      <c r="G1448" s="10"/>
      <c r="H1448" s="9"/>
      <c r="I1448" s="10"/>
      <c r="J1448" s="152"/>
      <c r="K1448" s="10"/>
      <c r="L1448" s="152"/>
      <c r="M1448" s="10"/>
      <c r="N1448" s="152"/>
      <c r="O1448" s="10"/>
      <c r="P1448" s="152"/>
      <c r="Q1448" s="10"/>
      <c r="R1448" s="9"/>
      <c r="S1448" s="10"/>
      <c r="T1448" s="9"/>
      <c r="U1448" s="10"/>
      <c r="V1448" s="9"/>
      <c r="W1448" s="10"/>
      <c r="X1448" s="9"/>
      <c r="Y1448" s="10"/>
      <c r="Z1448" s="9"/>
      <c r="AA1448" s="10"/>
      <c r="AB1448" s="11"/>
      <c r="AC1448" s="10"/>
      <c r="AD1448" s="7">
        <f>SUM(F1448+H1448+J1448+L1448+N1448+P1448+R1448+T1448+V1448+X1448+Z1448+AB1448)</f>
        <v>0</v>
      </c>
      <c r="AE1448" s="7">
        <f>E1448+AD1448</f>
        <v>0</v>
      </c>
      <c r="AF1448" s="8">
        <f>G1448+I1448+K1448+M1448+O1448+Q1448+S1448+U1448+W1448+Y1448+AA1448+AC1448</f>
        <v>0</v>
      </c>
      <c r="AG1448" s="153">
        <f>SUM(AE1448-AF1448)</f>
        <v>0</v>
      </c>
    </row>
    <row r="1449" spans="1:42" customHeight="1" ht="11.5">
      <c r="A1449" s="5"/>
      <c r="B1449" s="173"/>
      <c r="C1449" s="167"/>
      <c r="D1449" s="88"/>
      <c r="E1449" s="174"/>
      <c r="F1449" s="9"/>
      <c r="G1449" s="10"/>
      <c r="H1449" s="9"/>
      <c r="I1449" s="10"/>
      <c r="J1449" s="152"/>
      <c r="K1449" s="10"/>
      <c r="L1449" s="152"/>
      <c r="M1449" s="10"/>
      <c r="N1449" s="152"/>
      <c r="O1449" s="10"/>
      <c r="P1449" s="152"/>
      <c r="Q1449" s="10"/>
      <c r="R1449" s="9"/>
      <c r="S1449" s="10"/>
      <c r="T1449" s="9"/>
      <c r="U1449" s="10"/>
      <c r="V1449" s="9"/>
      <c r="W1449" s="10"/>
      <c r="X1449" s="9"/>
      <c r="Y1449" s="10"/>
      <c r="Z1449" s="9"/>
      <c r="AA1449" s="10"/>
      <c r="AB1449" s="11"/>
      <c r="AC1449" s="10"/>
      <c r="AD1449" s="7">
        <f>SUM(F1449+H1449+J1449+L1449+N1449+P1449+R1449+T1449+V1449+X1449+Z1449+AB1449)</f>
        <v>0</v>
      </c>
      <c r="AE1449" s="7">
        <f>E1449+AD1449</f>
        <v>0</v>
      </c>
      <c r="AF1449" s="8">
        <f>G1449+I1449+K1449+M1449+O1449+Q1449+S1449+U1449+W1449+Y1449+AA1449+AC1449</f>
        <v>0</v>
      </c>
      <c r="AG1449" s="153">
        <f>SUM(AE1449-AF1449)</f>
        <v>0</v>
      </c>
    </row>
    <row r="1450" spans="1:42" customHeight="1" ht="11.5">
      <c r="A1450" s="5"/>
      <c r="B1450" s="173"/>
      <c r="C1450" s="167"/>
      <c r="D1450" s="88"/>
      <c r="E1450" s="174"/>
      <c r="F1450" s="9"/>
      <c r="G1450" s="10"/>
      <c r="H1450" s="9"/>
      <c r="I1450" s="10"/>
      <c r="J1450" s="152"/>
      <c r="K1450" s="10"/>
      <c r="L1450" s="152"/>
      <c r="M1450" s="10"/>
      <c r="N1450" s="152"/>
      <c r="O1450" s="10"/>
      <c r="P1450" s="152"/>
      <c r="Q1450" s="10"/>
      <c r="R1450" s="9"/>
      <c r="S1450" s="10"/>
      <c r="T1450" s="9"/>
      <c r="U1450" s="10"/>
      <c r="V1450" s="9"/>
      <c r="W1450" s="10"/>
      <c r="X1450" s="9"/>
      <c r="Y1450" s="10"/>
      <c r="Z1450" s="9"/>
      <c r="AA1450" s="10"/>
      <c r="AB1450" s="11"/>
      <c r="AC1450" s="10"/>
      <c r="AD1450" s="7">
        <f>SUM(F1450+H1450+J1450+L1450+N1450+P1450+R1450+T1450+V1450+X1450+Z1450+AB1450)</f>
        <v>0</v>
      </c>
      <c r="AE1450" s="7">
        <f>E1450+AD1450</f>
        <v>0</v>
      </c>
      <c r="AF1450" s="8">
        <f>G1450+I1450+K1450+M1450+O1450+Q1450+S1450+U1450+W1450+Y1450+AA1450+AC1450</f>
        <v>0</v>
      </c>
      <c r="AG1450" s="153">
        <f>SUM(AE1450-AF1450)</f>
        <v>0</v>
      </c>
    </row>
    <row r="1451" spans="1:42" customHeight="1" ht="11.5">
      <c r="A1451" s="5"/>
      <c r="B1451" s="173"/>
      <c r="C1451" s="167"/>
      <c r="D1451" s="88"/>
      <c r="E1451" s="174"/>
      <c r="F1451" s="9"/>
      <c r="G1451" s="10"/>
      <c r="H1451" s="9"/>
      <c r="I1451" s="10"/>
      <c r="J1451" s="152"/>
      <c r="K1451" s="10"/>
      <c r="L1451" s="152"/>
      <c r="M1451" s="10"/>
      <c r="N1451" s="152"/>
      <c r="O1451" s="10"/>
      <c r="P1451" s="152"/>
      <c r="Q1451" s="10"/>
      <c r="R1451" s="9"/>
      <c r="S1451" s="10"/>
      <c r="T1451" s="9"/>
      <c r="U1451" s="10"/>
      <c r="V1451" s="9"/>
      <c r="W1451" s="10"/>
      <c r="X1451" s="9"/>
      <c r="Y1451" s="10"/>
      <c r="Z1451" s="9"/>
      <c r="AA1451" s="10"/>
      <c r="AB1451" s="11"/>
      <c r="AC1451" s="10"/>
      <c r="AD1451" s="7">
        <f>SUM(F1451+H1451+J1451+L1451+N1451+P1451+R1451+T1451+V1451+X1451+Z1451+AB1451)</f>
        <v>0</v>
      </c>
      <c r="AE1451" s="7">
        <f>E1451+AD1451</f>
        <v>0</v>
      </c>
      <c r="AF1451" s="8">
        <f>G1451+I1451+K1451+M1451+O1451+Q1451+S1451+U1451+W1451+Y1451+AA1451+AC1451</f>
        <v>0</v>
      </c>
      <c r="AG1451" s="153">
        <f>SUM(AE1451-AF1451)</f>
        <v>0</v>
      </c>
    </row>
    <row r="1452" spans="1:42" customHeight="1" ht="11.5">
      <c r="A1452" s="5"/>
      <c r="B1452" s="173"/>
      <c r="C1452" s="167"/>
      <c r="D1452" s="88"/>
      <c r="E1452" s="174"/>
      <c r="F1452" s="9"/>
      <c r="G1452" s="10"/>
      <c r="H1452" s="9"/>
      <c r="I1452" s="10"/>
      <c r="J1452" s="152"/>
      <c r="K1452" s="10"/>
      <c r="L1452" s="152"/>
      <c r="M1452" s="10"/>
      <c r="N1452" s="152"/>
      <c r="O1452" s="10"/>
      <c r="P1452" s="152"/>
      <c r="Q1452" s="10"/>
      <c r="R1452" s="9"/>
      <c r="S1452" s="10"/>
      <c r="T1452" s="9"/>
      <c r="U1452" s="10"/>
      <c r="V1452" s="9"/>
      <c r="W1452" s="10"/>
      <c r="X1452" s="9"/>
      <c r="Y1452" s="10"/>
      <c r="Z1452" s="9"/>
      <c r="AA1452" s="10"/>
      <c r="AB1452" s="11"/>
      <c r="AC1452" s="10"/>
      <c r="AD1452" s="7">
        <f>SUM(F1452+H1452+J1452+L1452+N1452+P1452+R1452+T1452+V1452+X1452+Z1452+AB1452)</f>
        <v>0</v>
      </c>
      <c r="AE1452" s="7">
        <f>E1452+AD1452</f>
        <v>0</v>
      </c>
      <c r="AF1452" s="8">
        <f>G1452+I1452+K1452+M1452+O1452+Q1452+S1452+U1452+W1452+Y1452+AA1452+AC1452</f>
        <v>0</v>
      </c>
      <c r="AG1452" s="153">
        <f>SUM(AE1452-AF1452)</f>
        <v>0</v>
      </c>
    </row>
    <row r="1453" spans="1:42" customHeight="1" ht="11.5">
      <c r="A1453" s="5"/>
      <c r="B1453" s="173"/>
      <c r="C1453" s="167"/>
      <c r="D1453" s="88"/>
      <c r="E1453" s="174"/>
      <c r="F1453" s="9"/>
      <c r="G1453" s="10"/>
      <c r="H1453" s="9"/>
      <c r="I1453" s="10"/>
      <c r="J1453" s="152"/>
      <c r="K1453" s="10"/>
      <c r="L1453" s="152"/>
      <c r="M1453" s="10"/>
      <c r="N1453" s="152"/>
      <c r="O1453" s="10"/>
      <c r="P1453" s="152"/>
      <c r="Q1453" s="10"/>
      <c r="R1453" s="9"/>
      <c r="S1453" s="10"/>
      <c r="T1453" s="9"/>
      <c r="U1453" s="10"/>
      <c r="V1453" s="9"/>
      <c r="W1453" s="10"/>
      <c r="X1453" s="9"/>
      <c r="Y1453" s="10"/>
      <c r="Z1453" s="9"/>
      <c r="AA1453" s="10"/>
      <c r="AB1453" s="11"/>
      <c r="AC1453" s="10"/>
      <c r="AD1453" s="7">
        <f>SUM(F1453+H1453+J1453+L1453+N1453+P1453+R1453+T1453+V1453+X1453+Z1453+AB1453)</f>
        <v>0</v>
      </c>
      <c r="AE1453" s="7">
        <f>E1453+AD1453</f>
        <v>0</v>
      </c>
      <c r="AF1453" s="8">
        <f>G1453+I1453+K1453+M1453+O1453+Q1453+S1453+U1453+W1453+Y1453+AA1453+AC1453</f>
        <v>0</v>
      </c>
      <c r="AG1453" s="153">
        <f>SUM(AE1453-AF1453)</f>
        <v>0</v>
      </c>
    </row>
    <row r="1454" spans="1:42" customHeight="1" ht="11.5">
      <c r="A1454" s="5"/>
      <c r="B1454" s="173"/>
      <c r="C1454" s="167"/>
      <c r="D1454" s="88"/>
      <c r="E1454" s="174"/>
      <c r="F1454" s="9"/>
      <c r="G1454" s="10"/>
      <c r="H1454" s="9"/>
      <c r="I1454" s="10"/>
      <c r="J1454" s="152"/>
      <c r="K1454" s="10"/>
      <c r="L1454" s="152"/>
      <c r="M1454" s="10"/>
      <c r="N1454" s="152"/>
      <c r="O1454" s="10"/>
      <c r="P1454" s="152"/>
      <c r="Q1454" s="10"/>
      <c r="R1454" s="9"/>
      <c r="S1454" s="10"/>
      <c r="T1454" s="9"/>
      <c r="U1454" s="10"/>
      <c r="V1454" s="9"/>
      <c r="W1454" s="10"/>
      <c r="X1454" s="9"/>
      <c r="Y1454" s="10"/>
      <c r="Z1454" s="9"/>
      <c r="AA1454" s="10"/>
      <c r="AB1454" s="11"/>
      <c r="AC1454" s="10"/>
      <c r="AD1454" s="7">
        <f>SUM(F1454+H1454+J1454+L1454+N1454+P1454+R1454+T1454+V1454+X1454+Z1454+AB1454)</f>
        <v>0</v>
      </c>
      <c r="AE1454" s="7">
        <f>E1454+AD1454</f>
        <v>0</v>
      </c>
      <c r="AF1454" s="8">
        <f>G1454+I1454+K1454+M1454+O1454+Q1454+S1454+U1454+W1454+Y1454+AA1454+AC1454</f>
        <v>0</v>
      </c>
      <c r="AG1454" s="153">
        <f>SUM(AE1454-AF1454)</f>
        <v>0</v>
      </c>
    </row>
    <row r="1455" spans="1:42" customHeight="1" ht="11.5">
      <c r="A1455" s="5"/>
      <c r="B1455" s="173"/>
      <c r="C1455" s="167"/>
      <c r="D1455" s="88"/>
      <c r="E1455" s="174"/>
      <c r="F1455" s="9"/>
      <c r="G1455" s="10"/>
      <c r="H1455" s="9"/>
      <c r="I1455" s="10"/>
      <c r="J1455" s="152"/>
      <c r="K1455" s="10"/>
      <c r="L1455" s="152"/>
      <c r="M1455" s="10"/>
      <c r="N1455" s="152"/>
      <c r="O1455" s="10"/>
      <c r="P1455" s="152"/>
      <c r="Q1455" s="10"/>
      <c r="R1455" s="9"/>
      <c r="S1455" s="10"/>
      <c r="T1455" s="9"/>
      <c r="U1455" s="10"/>
      <c r="V1455" s="9"/>
      <c r="W1455" s="10"/>
      <c r="X1455" s="9"/>
      <c r="Y1455" s="10"/>
      <c r="Z1455" s="9"/>
      <c r="AA1455" s="10"/>
      <c r="AB1455" s="11"/>
      <c r="AC1455" s="10"/>
      <c r="AD1455" s="7">
        <f>SUM(F1455+H1455+J1455+L1455+N1455+P1455+R1455+T1455+V1455+X1455+Z1455+AB1455)</f>
        <v>0</v>
      </c>
      <c r="AE1455" s="7">
        <f>E1455+AD1455</f>
        <v>0</v>
      </c>
      <c r="AF1455" s="8">
        <f>G1455+I1455+K1455+M1455+O1455+Q1455+S1455+U1455+W1455+Y1455+AA1455+AC1455</f>
        <v>0</v>
      </c>
      <c r="AG1455" s="153">
        <f>SUM(AE1455-AF1455)</f>
        <v>0</v>
      </c>
    </row>
    <row r="1456" spans="1:42" customHeight="1" ht="11.5">
      <c r="A1456" s="5"/>
      <c r="B1456" s="173"/>
      <c r="C1456" s="167"/>
      <c r="D1456" s="88"/>
      <c r="E1456" s="174"/>
      <c r="F1456" s="9"/>
      <c r="G1456" s="10"/>
      <c r="H1456" s="9"/>
      <c r="I1456" s="10"/>
      <c r="J1456" s="152"/>
      <c r="K1456" s="10"/>
      <c r="L1456" s="152"/>
      <c r="M1456" s="10"/>
      <c r="N1456" s="152"/>
      <c r="O1456" s="10"/>
      <c r="P1456" s="152"/>
      <c r="Q1456" s="10"/>
      <c r="R1456" s="9"/>
      <c r="S1456" s="10"/>
      <c r="T1456" s="9"/>
      <c r="U1456" s="10"/>
      <c r="V1456" s="9"/>
      <c r="W1456" s="10"/>
      <c r="X1456" s="9"/>
      <c r="Y1456" s="10"/>
      <c r="Z1456" s="9"/>
      <c r="AA1456" s="10"/>
      <c r="AB1456" s="11"/>
      <c r="AC1456" s="10"/>
      <c r="AD1456" s="7">
        <f>SUM(F1456+H1456+J1456+L1456+N1456+P1456+R1456+T1456+V1456+X1456+Z1456+AB1456)</f>
        <v>0</v>
      </c>
      <c r="AE1456" s="7">
        <f>E1456+AD1456</f>
        <v>0</v>
      </c>
      <c r="AF1456" s="8">
        <f>G1456+I1456+K1456+M1456+O1456+Q1456+S1456+U1456+W1456+Y1456+AA1456+AC1456</f>
        <v>0</v>
      </c>
      <c r="AG1456" s="153">
        <f>SUM(AE1456-AF1456)</f>
        <v>0</v>
      </c>
    </row>
    <row r="1457" spans="1:42" customHeight="1" ht="11.5">
      <c r="A1457" s="5"/>
      <c r="B1457" s="173"/>
      <c r="C1457" s="167"/>
      <c r="D1457" s="88"/>
      <c r="E1457" s="174"/>
      <c r="F1457" s="9"/>
      <c r="G1457" s="10"/>
      <c r="H1457" s="9"/>
      <c r="I1457" s="10"/>
      <c r="J1457" s="152"/>
      <c r="K1457" s="10"/>
      <c r="L1457" s="152"/>
      <c r="M1457" s="10"/>
      <c r="N1457" s="152"/>
      <c r="O1457" s="10"/>
      <c r="P1457" s="152"/>
      <c r="Q1457" s="10"/>
      <c r="R1457" s="9"/>
      <c r="S1457" s="10"/>
      <c r="T1457" s="9"/>
      <c r="U1457" s="10"/>
      <c r="V1457" s="9"/>
      <c r="W1457" s="10"/>
      <c r="X1457" s="9"/>
      <c r="Y1457" s="10"/>
      <c r="Z1457" s="9"/>
      <c r="AA1457" s="10"/>
      <c r="AB1457" s="11"/>
      <c r="AC1457" s="10"/>
      <c r="AD1457" s="7">
        <f>SUM(F1457+H1457+J1457+L1457+N1457+P1457+R1457+T1457+V1457+X1457+Z1457+AB1457)</f>
        <v>0</v>
      </c>
      <c r="AE1457" s="7">
        <f>E1457+AD1457</f>
        <v>0</v>
      </c>
      <c r="AF1457" s="8">
        <f>G1457+I1457+K1457+M1457+O1457+Q1457+S1457+U1457+W1457+Y1457+AA1457+AC1457</f>
        <v>0</v>
      </c>
      <c r="AG1457" s="153">
        <f>SUM(AE1457-AF1457)</f>
        <v>0</v>
      </c>
    </row>
    <row r="1458" spans="1:42" customHeight="1" ht="11.5">
      <c r="A1458" s="5"/>
      <c r="B1458" s="173"/>
      <c r="C1458" s="167"/>
      <c r="D1458" s="88"/>
      <c r="E1458" s="174"/>
      <c r="F1458" s="9"/>
      <c r="G1458" s="10"/>
      <c r="H1458" s="9"/>
      <c r="I1458" s="10"/>
      <c r="J1458" s="152"/>
      <c r="K1458" s="10"/>
      <c r="L1458" s="152"/>
      <c r="M1458" s="10"/>
      <c r="N1458" s="152"/>
      <c r="O1458" s="10"/>
      <c r="P1458" s="152"/>
      <c r="Q1458" s="10"/>
      <c r="R1458" s="9"/>
      <c r="S1458" s="10"/>
      <c r="T1458" s="9"/>
      <c r="U1458" s="10"/>
      <c r="V1458" s="9"/>
      <c r="W1458" s="10"/>
      <c r="X1458" s="9"/>
      <c r="Y1458" s="10"/>
      <c r="Z1458" s="9"/>
      <c r="AA1458" s="10"/>
      <c r="AB1458" s="11"/>
      <c r="AC1458" s="10"/>
      <c r="AD1458" s="7">
        <f>SUM(F1458+H1458+J1458+L1458+N1458+P1458+R1458+T1458+V1458+X1458+Z1458+AB1458)</f>
        <v>0</v>
      </c>
      <c r="AE1458" s="7">
        <f>E1458+AD1458</f>
        <v>0</v>
      </c>
      <c r="AF1458" s="8">
        <f>G1458+I1458+K1458+M1458+O1458+Q1458+S1458+U1458+W1458+Y1458+AA1458+AC1458</f>
        <v>0</v>
      </c>
      <c r="AG1458" s="153">
        <f>SUM(AE1458-AF1458)</f>
        <v>0</v>
      </c>
    </row>
    <row r="1459" spans="1:42" customHeight="1" ht="11.5">
      <c r="A1459" s="5"/>
      <c r="B1459" s="173"/>
      <c r="C1459" s="167"/>
      <c r="D1459" s="88"/>
      <c r="E1459" s="174"/>
      <c r="F1459" s="9"/>
      <c r="G1459" s="10"/>
      <c r="H1459" s="9"/>
      <c r="I1459" s="10"/>
      <c r="J1459" s="152"/>
      <c r="K1459" s="10"/>
      <c r="L1459" s="152"/>
      <c r="M1459" s="10"/>
      <c r="N1459" s="152"/>
      <c r="O1459" s="10"/>
      <c r="P1459" s="152"/>
      <c r="Q1459" s="10"/>
      <c r="R1459" s="9"/>
      <c r="S1459" s="10"/>
      <c r="T1459" s="9"/>
      <c r="U1459" s="10"/>
      <c r="V1459" s="9"/>
      <c r="W1459" s="10"/>
      <c r="X1459" s="9"/>
      <c r="Y1459" s="10"/>
      <c r="Z1459" s="9"/>
      <c r="AA1459" s="10"/>
      <c r="AB1459" s="11"/>
      <c r="AC1459" s="10"/>
      <c r="AD1459" s="7">
        <f>SUM(F1459+H1459+J1459+L1459+N1459+P1459+R1459+T1459+V1459+X1459+Z1459+AB1459)</f>
        <v>0</v>
      </c>
      <c r="AE1459" s="7">
        <f>E1459+AD1459</f>
        <v>0</v>
      </c>
      <c r="AF1459" s="8">
        <f>G1459+I1459+K1459+M1459+O1459+Q1459+S1459+U1459+W1459+Y1459+AA1459+AC1459</f>
        <v>0</v>
      </c>
      <c r="AG1459" s="153">
        <f>SUM(AE1459-AF1459)</f>
        <v>0</v>
      </c>
    </row>
    <row r="1460" spans="1:42" customHeight="1" ht="11.5">
      <c r="A1460" s="5"/>
      <c r="B1460" s="173"/>
      <c r="C1460" s="167"/>
      <c r="D1460" s="88"/>
      <c r="E1460" s="174"/>
      <c r="F1460" s="9"/>
      <c r="G1460" s="10"/>
      <c r="H1460" s="9"/>
      <c r="I1460" s="10"/>
      <c r="J1460" s="152"/>
      <c r="K1460" s="10"/>
      <c r="L1460" s="152"/>
      <c r="M1460" s="10"/>
      <c r="N1460" s="152"/>
      <c r="O1460" s="10"/>
      <c r="P1460" s="152"/>
      <c r="Q1460" s="10"/>
      <c r="R1460" s="9"/>
      <c r="S1460" s="10"/>
      <c r="T1460" s="9"/>
      <c r="U1460" s="10"/>
      <c r="V1460" s="9"/>
      <c r="W1460" s="10"/>
      <c r="X1460" s="9"/>
      <c r="Y1460" s="10"/>
      <c r="Z1460" s="9"/>
      <c r="AA1460" s="10"/>
      <c r="AB1460" s="11"/>
      <c r="AC1460" s="10"/>
      <c r="AD1460" s="7">
        <f>SUM(F1460+H1460+J1460+L1460+N1460+P1460+R1460+T1460+V1460+X1460+Z1460+AB1460)</f>
        <v>0</v>
      </c>
      <c r="AE1460" s="7">
        <f>E1460+AD1460</f>
        <v>0</v>
      </c>
      <c r="AF1460" s="8">
        <f>G1460+I1460+K1460+M1460+O1460+Q1460+S1460+U1460+W1460+Y1460+AA1460+AC1460</f>
        <v>0</v>
      </c>
      <c r="AG1460" s="153">
        <f>SUM(AE1460-AF1460)</f>
        <v>0</v>
      </c>
    </row>
    <row r="1461" spans="1:42" customHeight="1" ht="11.5">
      <c r="A1461" s="5"/>
      <c r="B1461" s="173"/>
      <c r="C1461" s="167"/>
      <c r="D1461" s="88"/>
      <c r="E1461" s="174"/>
      <c r="F1461" s="9"/>
      <c r="G1461" s="10"/>
      <c r="H1461" s="9"/>
      <c r="I1461" s="10"/>
      <c r="J1461" s="152"/>
      <c r="K1461" s="10"/>
      <c r="L1461" s="152"/>
      <c r="M1461" s="10"/>
      <c r="N1461" s="152"/>
      <c r="O1461" s="10"/>
      <c r="P1461" s="152"/>
      <c r="Q1461" s="10"/>
      <c r="R1461" s="9"/>
      <c r="S1461" s="10"/>
      <c r="T1461" s="9"/>
      <c r="U1461" s="10"/>
      <c r="V1461" s="9"/>
      <c r="W1461" s="10"/>
      <c r="X1461" s="9"/>
      <c r="Y1461" s="10"/>
      <c r="Z1461" s="9"/>
      <c r="AA1461" s="10"/>
      <c r="AB1461" s="11"/>
      <c r="AC1461" s="10"/>
      <c r="AD1461" s="7">
        <f>SUM(F1461+H1461+J1461+L1461+N1461+P1461+R1461+T1461+V1461+X1461+Z1461+AB1461)</f>
        <v>0</v>
      </c>
      <c r="AE1461" s="7">
        <f>E1461+AD1461</f>
        <v>0</v>
      </c>
      <c r="AF1461" s="8">
        <f>G1461+I1461+K1461+M1461+O1461+Q1461+S1461+U1461+W1461+Y1461+AA1461+AC1461</f>
        <v>0</v>
      </c>
      <c r="AG1461" s="153">
        <f>SUM(AE1461-AF1461)</f>
        <v>0</v>
      </c>
    </row>
    <row r="1462" spans="1:42" customHeight="1" ht="11.5">
      <c r="A1462" s="5"/>
      <c r="B1462" s="173"/>
      <c r="C1462" s="167"/>
      <c r="D1462" s="88"/>
      <c r="E1462" s="174"/>
      <c r="F1462" s="9"/>
      <c r="G1462" s="10"/>
      <c r="H1462" s="9"/>
      <c r="I1462" s="10"/>
      <c r="J1462" s="152"/>
      <c r="K1462" s="10"/>
      <c r="L1462" s="152"/>
      <c r="M1462" s="10"/>
      <c r="N1462" s="152"/>
      <c r="O1462" s="10"/>
      <c r="P1462" s="152"/>
      <c r="Q1462" s="10"/>
      <c r="R1462" s="9"/>
      <c r="S1462" s="10"/>
      <c r="T1462" s="9"/>
      <c r="U1462" s="10"/>
      <c r="V1462" s="9"/>
      <c r="W1462" s="10"/>
      <c r="X1462" s="9"/>
      <c r="Y1462" s="10"/>
      <c r="Z1462" s="9"/>
      <c r="AA1462" s="10"/>
      <c r="AB1462" s="11"/>
      <c r="AC1462" s="10"/>
      <c r="AD1462" s="7">
        <f>SUM(F1462+H1462+J1462+L1462+N1462+P1462+R1462+T1462+V1462+X1462+Z1462+AB1462)</f>
        <v>0</v>
      </c>
      <c r="AE1462" s="7">
        <f>E1462+AD1462</f>
        <v>0</v>
      </c>
      <c r="AF1462" s="8">
        <f>G1462+I1462+K1462+M1462+O1462+Q1462+S1462+U1462+W1462+Y1462+AA1462+AC1462</f>
        <v>0</v>
      </c>
      <c r="AG1462" s="153">
        <f>SUM(AE1462-AF1462)</f>
        <v>0</v>
      </c>
    </row>
    <row r="1463" spans="1:42" customHeight="1" ht="11.5">
      <c r="A1463" s="5"/>
      <c r="B1463" s="173"/>
      <c r="C1463" s="167"/>
      <c r="D1463" s="88"/>
      <c r="E1463" s="174"/>
      <c r="F1463" s="9"/>
      <c r="G1463" s="10"/>
      <c r="H1463" s="9"/>
      <c r="I1463" s="10"/>
      <c r="J1463" s="152"/>
      <c r="K1463" s="10"/>
      <c r="L1463" s="152"/>
      <c r="M1463" s="10"/>
      <c r="N1463" s="152"/>
      <c r="O1463" s="10"/>
      <c r="P1463" s="152"/>
      <c r="Q1463" s="10"/>
      <c r="R1463" s="9"/>
      <c r="S1463" s="10"/>
      <c r="T1463" s="9"/>
      <c r="U1463" s="10"/>
      <c r="V1463" s="9"/>
      <c r="W1463" s="10"/>
      <c r="X1463" s="9"/>
      <c r="Y1463" s="10"/>
      <c r="Z1463" s="9"/>
      <c r="AA1463" s="10"/>
      <c r="AB1463" s="11"/>
      <c r="AC1463" s="10"/>
      <c r="AD1463" s="7">
        <f>SUM(F1463+H1463+J1463+L1463+N1463+P1463+R1463+T1463+V1463+X1463+Z1463+AB1463)</f>
        <v>0</v>
      </c>
      <c r="AE1463" s="7">
        <f>E1463+AD1463</f>
        <v>0</v>
      </c>
      <c r="AF1463" s="8">
        <f>G1463+I1463+K1463+M1463+O1463+Q1463+S1463+U1463+W1463+Y1463+AA1463+AC1463</f>
        <v>0</v>
      </c>
      <c r="AG1463" s="153">
        <f>SUM(AE1463-AF1463)</f>
        <v>0</v>
      </c>
    </row>
    <row r="1464" spans="1:42" customHeight="1" ht="11.5">
      <c r="A1464" s="5"/>
      <c r="B1464" s="173"/>
      <c r="C1464" s="167"/>
      <c r="D1464" s="88"/>
      <c r="E1464" s="174"/>
      <c r="F1464" s="9"/>
      <c r="G1464" s="10"/>
      <c r="H1464" s="9"/>
      <c r="I1464" s="10"/>
      <c r="J1464" s="152"/>
      <c r="K1464" s="10"/>
      <c r="L1464" s="152"/>
      <c r="M1464" s="10"/>
      <c r="N1464" s="152"/>
      <c r="O1464" s="10"/>
      <c r="P1464" s="152"/>
      <c r="Q1464" s="10"/>
      <c r="R1464" s="9"/>
      <c r="S1464" s="10"/>
      <c r="T1464" s="9"/>
      <c r="U1464" s="10"/>
      <c r="V1464" s="9"/>
      <c r="W1464" s="10"/>
      <c r="X1464" s="9"/>
      <c r="Y1464" s="10"/>
      <c r="Z1464" s="9"/>
      <c r="AA1464" s="10"/>
      <c r="AB1464" s="11"/>
      <c r="AC1464" s="10"/>
      <c r="AD1464" s="7">
        <f>SUM(F1464+H1464+J1464+L1464+N1464+P1464+R1464+T1464+V1464+X1464+Z1464+AB1464)</f>
        <v>0</v>
      </c>
      <c r="AE1464" s="7">
        <f>E1464+AD1464</f>
        <v>0</v>
      </c>
      <c r="AF1464" s="8">
        <f>G1464+I1464+K1464+M1464+O1464+Q1464+S1464+U1464+W1464+Y1464+AA1464+AC1464</f>
        <v>0</v>
      </c>
      <c r="AG1464" s="153">
        <f>SUM(AE1464-AF1464)</f>
        <v>0</v>
      </c>
    </row>
    <row r="1465" spans="1:42" customHeight="1" ht="11.5">
      <c r="A1465" s="5"/>
      <c r="B1465" s="173"/>
      <c r="C1465" s="167"/>
      <c r="D1465" s="88"/>
      <c r="E1465" s="174"/>
      <c r="F1465" s="9"/>
      <c r="G1465" s="10"/>
      <c r="H1465" s="9"/>
      <c r="I1465" s="10"/>
      <c r="J1465" s="152"/>
      <c r="K1465" s="10"/>
      <c r="L1465" s="152"/>
      <c r="M1465" s="10"/>
      <c r="N1465" s="152"/>
      <c r="O1465" s="10"/>
      <c r="P1465" s="152"/>
      <c r="Q1465" s="10"/>
      <c r="R1465" s="9"/>
      <c r="S1465" s="10"/>
      <c r="T1465" s="9"/>
      <c r="U1465" s="10"/>
      <c r="V1465" s="9"/>
      <c r="W1465" s="10"/>
      <c r="X1465" s="9"/>
      <c r="Y1465" s="10"/>
      <c r="Z1465" s="9"/>
      <c r="AA1465" s="10"/>
      <c r="AB1465" s="11"/>
      <c r="AC1465" s="10"/>
      <c r="AD1465" s="7">
        <f>SUM(F1465+H1465+J1465+L1465+N1465+P1465+R1465+T1465+V1465+X1465+Z1465+AB1465)</f>
        <v>0</v>
      </c>
      <c r="AE1465" s="7">
        <f>E1465+AD1465</f>
        <v>0</v>
      </c>
      <c r="AF1465" s="8">
        <f>G1465+I1465+K1465+M1465+O1465+Q1465+S1465+U1465+W1465+Y1465+AA1465+AC1465</f>
        <v>0</v>
      </c>
      <c r="AG1465" s="153">
        <f>SUM(AE1465-AF1465)</f>
        <v>0</v>
      </c>
    </row>
    <row r="1466" spans="1:42" customHeight="1" ht="11.5">
      <c r="A1466" s="5"/>
      <c r="B1466" s="173"/>
      <c r="C1466" s="167"/>
      <c r="D1466" s="88"/>
      <c r="E1466" s="174"/>
      <c r="F1466" s="9"/>
      <c r="G1466" s="10"/>
      <c r="H1466" s="9"/>
      <c r="I1466" s="10"/>
      <c r="J1466" s="152"/>
      <c r="K1466" s="10"/>
      <c r="L1466" s="152"/>
      <c r="M1466" s="10"/>
      <c r="N1466" s="152"/>
      <c r="O1466" s="10"/>
      <c r="P1466" s="152"/>
      <c r="Q1466" s="10"/>
      <c r="R1466" s="9"/>
      <c r="S1466" s="10"/>
      <c r="T1466" s="9"/>
      <c r="U1466" s="10"/>
      <c r="V1466" s="9"/>
      <c r="W1466" s="10"/>
      <c r="X1466" s="9"/>
      <c r="Y1466" s="10"/>
      <c r="Z1466" s="9"/>
      <c r="AA1466" s="10"/>
      <c r="AB1466" s="11"/>
      <c r="AC1466" s="10"/>
      <c r="AD1466" s="7">
        <f>SUM(F1466+H1466+J1466+L1466+N1466+P1466+R1466+T1466+V1466+X1466+Z1466+AB1466)</f>
        <v>0</v>
      </c>
      <c r="AE1466" s="7">
        <f>E1466+AD1466</f>
        <v>0</v>
      </c>
      <c r="AF1466" s="8">
        <f>G1466+I1466+K1466+M1466+O1466+Q1466+S1466+U1466+W1466+Y1466+AA1466+AC1466</f>
        <v>0</v>
      </c>
      <c r="AG1466" s="153">
        <f>SUM(AE1466-AF1466)</f>
        <v>0</v>
      </c>
    </row>
    <row r="1467" spans="1:42" customHeight="1" ht="11.5">
      <c r="A1467" s="5"/>
      <c r="B1467" s="173"/>
      <c r="C1467" s="167"/>
      <c r="D1467" s="88"/>
      <c r="E1467" s="174"/>
      <c r="F1467" s="9"/>
      <c r="G1467" s="10"/>
      <c r="H1467" s="9"/>
      <c r="I1467" s="10"/>
      <c r="J1467" s="152"/>
      <c r="K1467" s="10"/>
      <c r="L1467" s="152"/>
      <c r="M1467" s="10"/>
      <c r="N1467" s="152"/>
      <c r="O1467" s="10"/>
      <c r="P1467" s="152"/>
      <c r="Q1467" s="10"/>
      <c r="R1467" s="9"/>
      <c r="S1467" s="10"/>
      <c r="T1467" s="9"/>
      <c r="U1467" s="10"/>
      <c r="V1467" s="9"/>
      <c r="W1467" s="10"/>
      <c r="X1467" s="9"/>
      <c r="Y1467" s="10"/>
      <c r="Z1467" s="9"/>
      <c r="AA1467" s="10"/>
      <c r="AB1467" s="11"/>
      <c r="AC1467" s="10"/>
      <c r="AD1467" s="7">
        <f>SUM(F1467+H1467+J1467+L1467+N1467+P1467+R1467+T1467+V1467+X1467+Z1467+AB1467)</f>
        <v>0</v>
      </c>
      <c r="AE1467" s="7">
        <f>E1467+AD1467</f>
        <v>0</v>
      </c>
      <c r="AF1467" s="8">
        <f>G1467+I1467+K1467+M1467+O1467+Q1467+S1467+U1467+W1467+Y1467+AA1467+AC1467</f>
        <v>0</v>
      </c>
      <c r="AG1467" s="153">
        <f>SUM(AE1467-AF1467)</f>
        <v>0</v>
      </c>
    </row>
    <row r="1468" spans="1:42" customHeight="1" ht="11.5">
      <c r="A1468" s="5"/>
      <c r="B1468" s="173"/>
      <c r="C1468" s="167"/>
      <c r="D1468" s="88"/>
      <c r="E1468" s="174"/>
      <c r="F1468" s="9"/>
      <c r="G1468" s="10"/>
      <c r="H1468" s="9"/>
      <c r="I1468" s="10"/>
      <c r="J1468" s="152"/>
      <c r="K1468" s="10"/>
      <c r="L1468" s="152"/>
      <c r="M1468" s="10"/>
      <c r="N1468" s="152"/>
      <c r="O1468" s="10"/>
      <c r="P1468" s="152"/>
      <c r="Q1468" s="10"/>
      <c r="R1468" s="9"/>
      <c r="S1468" s="10"/>
      <c r="T1468" s="9"/>
      <c r="U1468" s="10"/>
      <c r="V1468" s="9"/>
      <c r="W1468" s="10"/>
      <c r="X1468" s="9"/>
      <c r="Y1468" s="10"/>
      <c r="Z1468" s="9"/>
      <c r="AA1468" s="10"/>
      <c r="AB1468" s="11"/>
      <c r="AC1468" s="10"/>
      <c r="AD1468" s="7">
        <f>SUM(F1468+H1468+J1468+L1468+N1468+P1468+R1468+T1468+V1468+X1468+Z1468+AB1468)</f>
        <v>0</v>
      </c>
      <c r="AE1468" s="7">
        <f>E1468+AD1468</f>
        <v>0</v>
      </c>
      <c r="AF1468" s="8">
        <f>G1468+I1468+K1468+M1468+O1468+Q1468+S1468+U1468+W1468+Y1468+AA1468+AC1468</f>
        <v>0</v>
      </c>
      <c r="AG1468" s="153">
        <f>SUM(AE1468-AF1468)</f>
        <v>0</v>
      </c>
    </row>
    <row r="1469" spans="1:42" customHeight="1" ht="11.5">
      <c r="A1469" s="5"/>
      <c r="B1469" s="173"/>
      <c r="C1469" s="167"/>
      <c r="D1469" s="88"/>
      <c r="E1469" s="174"/>
      <c r="F1469" s="9"/>
      <c r="G1469" s="10"/>
      <c r="H1469" s="9"/>
      <c r="I1469" s="10"/>
      <c r="J1469" s="152"/>
      <c r="K1469" s="10"/>
      <c r="L1469" s="152"/>
      <c r="M1469" s="10"/>
      <c r="N1469" s="152"/>
      <c r="O1469" s="10"/>
      <c r="P1469" s="152"/>
      <c r="Q1469" s="10"/>
      <c r="R1469" s="9"/>
      <c r="S1469" s="10"/>
      <c r="T1469" s="9"/>
      <c r="U1469" s="10"/>
      <c r="V1469" s="9"/>
      <c r="W1469" s="10"/>
      <c r="X1469" s="9"/>
      <c r="Y1469" s="10"/>
      <c r="Z1469" s="9"/>
      <c r="AA1469" s="10"/>
      <c r="AB1469" s="11"/>
      <c r="AC1469" s="10"/>
      <c r="AD1469" s="7">
        <f>SUM(F1469+H1469+J1469+L1469+N1469+P1469+R1469+T1469+V1469+X1469+Z1469+AB1469)</f>
        <v>0</v>
      </c>
      <c r="AE1469" s="7">
        <f>E1469+AD1469</f>
        <v>0</v>
      </c>
      <c r="AF1469" s="8">
        <f>G1469+I1469+K1469+M1469+O1469+Q1469+S1469+U1469+W1469+Y1469+AA1469+AC1469</f>
        <v>0</v>
      </c>
      <c r="AG1469" s="153">
        <f>SUM(AE1469-AF1469)</f>
        <v>0</v>
      </c>
    </row>
    <row r="1470" spans="1:42" customHeight="1" ht="11.5">
      <c r="A1470" s="5"/>
      <c r="B1470" s="173"/>
      <c r="C1470" s="167"/>
      <c r="D1470" s="88"/>
      <c r="E1470" s="174"/>
      <c r="F1470" s="9"/>
      <c r="G1470" s="10"/>
      <c r="H1470" s="9"/>
      <c r="I1470" s="10"/>
      <c r="J1470" s="152"/>
      <c r="K1470" s="10"/>
      <c r="L1470" s="152"/>
      <c r="M1470" s="10"/>
      <c r="N1470" s="152"/>
      <c r="O1470" s="10"/>
      <c r="P1470" s="152"/>
      <c r="Q1470" s="10"/>
      <c r="R1470" s="9"/>
      <c r="S1470" s="10"/>
      <c r="T1470" s="9"/>
      <c r="U1470" s="10"/>
      <c r="V1470" s="9"/>
      <c r="W1470" s="10"/>
      <c r="X1470" s="9"/>
      <c r="Y1470" s="10"/>
      <c r="Z1470" s="9"/>
      <c r="AA1470" s="10"/>
      <c r="AB1470" s="11"/>
      <c r="AC1470" s="10"/>
      <c r="AD1470" s="7">
        <f>SUM(F1470+H1470+J1470+L1470+N1470+P1470+R1470+T1470+V1470+X1470+Z1470+AB1470)</f>
        <v>0</v>
      </c>
      <c r="AE1470" s="7">
        <f>E1470+AD1470</f>
        <v>0</v>
      </c>
      <c r="AF1470" s="8">
        <f>G1470+I1470+K1470+M1470+O1470+Q1470+S1470+U1470+W1470+Y1470+AA1470+AC1470</f>
        <v>0</v>
      </c>
      <c r="AG1470" s="153">
        <f>SUM(AE1470-AF1470)</f>
        <v>0</v>
      </c>
    </row>
    <row r="1471" spans="1:42" customHeight="1" ht="11.5">
      <c r="A1471" s="5"/>
      <c r="B1471" s="173"/>
      <c r="C1471" s="167"/>
      <c r="D1471" s="88"/>
      <c r="E1471" s="174"/>
      <c r="F1471" s="9"/>
      <c r="G1471" s="10"/>
      <c r="H1471" s="9"/>
      <c r="I1471" s="10"/>
      <c r="J1471" s="152"/>
      <c r="K1471" s="10"/>
      <c r="L1471" s="152"/>
      <c r="M1471" s="10"/>
      <c r="N1471" s="152"/>
      <c r="O1471" s="10"/>
      <c r="P1471" s="152"/>
      <c r="Q1471" s="10"/>
      <c r="R1471" s="9"/>
      <c r="S1471" s="10"/>
      <c r="T1471" s="9"/>
      <c r="U1471" s="10"/>
      <c r="V1471" s="9"/>
      <c r="W1471" s="10"/>
      <c r="X1471" s="9"/>
      <c r="Y1471" s="10"/>
      <c r="Z1471" s="9"/>
      <c r="AA1471" s="10"/>
      <c r="AB1471" s="11"/>
      <c r="AC1471" s="10"/>
      <c r="AD1471" s="7">
        <f>SUM(F1471+H1471+J1471+L1471+N1471+P1471+R1471+T1471+V1471+X1471+Z1471+AB1471)</f>
        <v>0</v>
      </c>
      <c r="AE1471" s="7">
        <f>E1471+AD1471</f>
        <v>0</v>
      </c>
      <c r="AF1471" s="8">
        <f>G1471+I1471+K1471+M1471+O1471+Q1471+S1471+U1471+W1471+Y1471+AA1471+AC1471</f>
        <v>0</v>
      </c>
      <c r="AG1471" s="153">
        <f>SUM(AE1471-AF1471)</f>
        <v>0</v>
      </c>
    </row>
    <row r="1472" spans="1:42" customHeight="1" ht="11.5">
      <c r="A1472" s="5"/>
      <c r="B1472" s="173"/>
      <c r="C1472" s="167"/>
      <c r="D1472" s="88"/>
      <c r="E1472" s="174"/>
      <c r="F1472" s="9"/>
      <c r="G1472" s="10"/>
      <c r="H1472" s="9"/>
      <c r="I1472" s="10"/>
      <c r="J1472" s="152"/>
      <c r="K1472" s="10"/>
      <c r="L1472" s="152"/>
      <c r="M1472" s="10"/>
      <c r="N1472" s="152"/>
      <c r="O1472" s="10"/>
      <c r="P1472" s="152"/>
      <c r="Q1472" s="10"/>
      <c r="R1472" s="9"/>
      <c r="S1472" s="10"/>
      <c r="T1472" s="9"/>
      <c r="U1472" s="10"/>
      <c r="V1472" s="9"/>
      <c r="W1472" s="10"/>
      <c r="X1472" s="9"/>
      <c r="Y1472" s="10"/>
      <c r="Z1472" s="9"/>
      <c r="AA1472" s="10"/>
      <c r="AB1472" s="11"/>
      <c r="AC1472" s="10"/>
      <c r="AD1472" s="7">
        <f>SUM(F1472+H1472+J1472+L1472+N1472+P1472+R1472+T1472+V1472+X1472+Z1472+AB1472)</f>
        <v>0</v>
      </c>
      <c r="AE1472" s="7">
        <f>E1472+AD1472</f>
        <v>0</v>
      </c>
      <c r="AF1472" s="8">
        <f>G1472+I1472+K1472+M1472+O1472+Q1472+S1472+U1472+W1472+Y1472+AA1472+AC1472</f>
        <v>0</v>
      </c>
      <c r="AG1472" s="153">
        <f>SUM(AE1472-AF1472)</f>
        <v>0</v>
      </c>
    </row>
    <row r="1473" spans="1:42" customHeight="1" ht="11.5">
      <c r="A1473" s="5"/>
      <c r="B1473" s="173"/>
      <c r="C1473" s="167"/>
      <c r="D1473" s="88"/>
      <c r="E1473" s="174"/>
      <c r="F1473" s="9"/>
      <c r="G1473" s="10"/>
      <c r="H1473" s="9"/>
      <c r="I1473" s="10"/>
      <c r="J1473" s="152"/>
      <c r="K1473" s="10"/>
      <c r="L1473" s="152"/>
      <c r="M1473" s="10"/>
      <c r="N1473" s="152"/>
      <c r="O1473" s="10"/>
      <c r="P1473" s="152"/>
      <c r="Q1473" s="10"/>
      <c r="R1473" s="9"/>
      <c r="S1473" s="10"/>
      <c r="T1473" s="9"/>
      <c r="U1473" s="10"/>
      <c r="V1473" s="9"/>
      <c r="W1473" s="10"/>
      <c r="X1473" s="9"/>
      <c r="Y1473" s="10"/>
      <c r="Z1473" s="9"/>
      <c r="AA1473" s="10"/>
      <c r="AB1473" s="11"/>
      <c r="AC1473" s="10"/>
      <c r="AD1473" s="7">
        <f>SUM(F1473+H1473+J1473+L1473+N1473+P1473+R1473+T1473+V1473+X1473+Z1473+AB1473)</f>
        <v>0</v>
      </c>
      <c r="AE1473" s="7">
        <f>E1473+AD1473</f>
        <v>0</v>
      </c>
      <c r="AF1473" s="8">
        <f>G1473+I1473+K1473+M1473+O1473+Q1473+S1473+U1473+W1473+Y1473+AA1473+AC1473</f>
        <v>0</v>
      </c>
      <c r="AG1473" s="153">
        <f>SUM(AE1473-AF1473)</f>
        <v>0</v>
      </c>
    </row>
    <row r="1474" spans="1:42" customHeight="1" ht="11.5">
      <c r="A1474" s="5"/>
      <c r="B1474" s="173"/>
      <c r="C1474" s="167"/>
      <c r="D1474" s="88"/>
      <c r="E1474" s="174"/>
      <c r="F1474" s="9"/>
      <c r="G1474" s="10"/>
      <c r="H1474" s="9"/>
      <c r="I1474" s="10"/>
      <c r="J1474" s="152"/>
      <c r="K1474" s="10"/>
      <c r="L1474" s="152"/>
      <c r="M1474" s="10"/>
      <c r="N1474" s="152"/>
      <c r="O1474" s="10"/>
      <c r="P1474" s="152"/>
      <c r="Q1474" s="10"/>
      <c r="R1474" s="9"/>
      <c r="S1474" s="10"/>
      <c r="T1474" s="9"/>
      <c r="U1474" s="10"/>
      <c r="V1474" s="9"/>
      <c r="W1474" s="10"/>
      <c r="X1474" s="9"/>
      <c r="Y1474" s="10"/>
      <c r="Z1474" s="9"/>
      <c r="AA1474" s="10"/>
      <c r="AB1474" s="11"/>
      <c r="AC1474" s="10"/>
      <c r="AD1474" s="7">
        <f>SUM(F1474+H1474+J1474+L1474+N1474+P1474+R1474+T1474+V1474+X1474+Z1474+AB1474)</f>
        <v>0</v>
      </c>
      <c r="AE1474" s="7">
        <f>E1474+AD1474</f>
        <v>0</v>
      </c>
      <c r="AF1474" s="8">
        <f>G1474+I1474+K1474+M1474+O1474+Q1474+S1474+U1474+W1474+Y1474+AA1474+AC1474</f>
        <v>0</v>
      </c>
      <c r="AG1474" s="153">
        <f>SUM(AE1474-AF1474)</f>
        <v>0</v>
      </c>
    </row>
    <row r="1475" spans="1:42" customHeight="1" ht="11.5">
      <c r="A1475" s="5"/>
      <c r="B1475" s="173"/>
      <c r="C1475" s="167"/>
      <c r="D1475" s="88"/>
      <c r="E1475" s="174"/>
      <c r="F1475" s="9"/>
      <c r="G1475" s="10"/>
      <c r="H1475" s="9"/>
      <c r="I1475" s="10"/>
      <c r="J1475" s="152"/>
      <c r="K1475" s="10"/>
      <c r="L1475" s="152"/>
      <c r="M1475" s="10"/>
      <c r="N1475" s="152"/>
      <c r="O1475" s="10"/>
      <c r="P1475" s="152"/>
      <c r="Q1475" s="10"/>
      <c r="R1475" s="9"/>
      <c r="S1475" s="10"/>
      <c r="T1475" s="9"/>
      <c r="U1475" s="10"/>
      <c r="V1475" s="9"/>
      <c r="W1475" s="10"/>
      <c r="X1475" s="9"/>
      <c r="Y1475" s="10"/>
      <c r="Z1475" s="9"/>
      <c r="AA1475" s="10"/>
      <c r="AB1475" s="11"/>
      <c r="AC1475" s="10"/>
      <c r="AD1475" s="7">
        <f>SUM(F1475+H1475+J1475+L1475+N1475+P1475+R1475+T1475+V1475+X1475+Z1475+AB1475)</f>
        <v>0</v>
      </c>
      <c r="AE1475" s="7">
        <f>E1475+AD1475</f>
        <v>0</v>
      </c>
      <c r="AF1475" s="8">
        <f>G1475+I1475+K1475+M1475+O1475+Q1475+S1475+U1475+W1475+Y1475+AA1475+AC1475</f>
        <v>0</v>
      </c>
      <c r="AG1475" s="153">
        <f>SUM(AE1475-AF1475)</f>
        <v>0</v>
      </c>
    </row>
    <row r="1476" spans="1:42" customHeight="1" ht="11.5">
      <c r="A1476" s="5"/>
      <c r="B1476" s="173"/>
      <c r="C1476" s="167"/>
      <c r="D1476" s="88"/>
      <c r="E1476" s="174"/>
      <c r="F1476" s="9"/>
      <c r="G1476" s="10"/>
      <c r="H1476" s="9"/>
      <c r="I1476" s="10"/>
      <c r="J1476" s="152"/>
      <c r="K1476" s="10"/>
      <c r="L1476" s="152"/>
      <c r="M1476" s="10"/>
      <c r="N1476" s="152"/>
      <c r="O1476" s="10"/>
      <c r="P1476" s="152"/>
      <c r="Q1476" s="10"/>
      <c r="R1476" s="9"/>
      <c r="S1476" s="10"/>
      <c r="T1476" s="9"/>
      <c r="U1476" s="10"/>
      <c r="V1476" s="9"/>
      <c r="W1476" s="10"/>
      <c r="X1476" s="9"/>
      <c r="Y1476" s="10"/>
      <c r="Z1476" s="9"/>
      <c r="AA1476" s="10"/>
      <c r="AB1476" s="11"/>
      <c r="AC1476" s="10"/>
      <c r="AD1476" s="7">
        <f>SUM(F1476+H1476+J1476+L1476+N1476+P1476+R1476+T1476+V1476+X1476+Z1476+AB1476)</f>
        <v>0</v>
      </c>
      <c r="AE1476" s="7">
        <f>E1476+AD1476</f>
        <v>0</v>
      </c>
      <c r="AF1476" s="8">
        <f>G1476+I1476+K1476+M1476+O1476+Q1476+S1476+U1476+W1476+Y1476+AA1476+AC1476</f>
        <v>0</v>
      </c>
      <c r="AG1476" s="153">
        <f>SUM(AE1476-AF1476)</f>
        <v>0</v>
      </c>
    </row>
    <row r="1477" spans="1:42" customHeight="1" ht="11.5">
      <c r="A1477" s="5"/>
      <c r="B1477" s="173"/>
      <c r="C1477" s="167"/>
      <c r="D1477" s="88"/>
      <c r="E1477" s="174"/>
      <c r="F1477" s="9"/>
      <c r="G1477" s="10"/>
      <c r="H1477" s="9"/>
      <c r="I1477" s="10"/>
      <c r="J1477" s="152"/>
      <c r="K1477" s="10"/>
      <c r="L1477" s="152"/>
      <c r="M1477" s="10"/>
      <c r="N1477" s="152"/>
      <c r="O1477" s="10"/>
      <c r="P1477" s="152"/>
      <c r="Q1477" s="10"/>
      <c r="R1477" s="9"/>
      <c r="S1477" s="10"/>
      <c r="T1477" s="9"/>
      <c r="U1477" s="10"/>
      <c r="V1477" s="9"/>
      <c r="W1477" s="10"/>
      <c r="X1477" s="9"/>
      <c r="Y1477" s="10"/>
      <c r="Z1477" s="9"/>
      <c r="AA1477" s="10"/>
      <c r="AB1477" s="11"/>
      <c r="AC1477" s="10"/>
      <c r="AD1477" s="7">
        <f>SUM(F1477+H1477+J1477+L1477+N1477+P1477+R1477+T1477+V1477+X1477+Z1477+AB1477)</f>
        <v>0</v>
      </c>
      <c r="AE1477" s="7">
        <f>E1477+AD1477</f>
        <v>0</v>
      </c>
      <c r="AF1477" s="8">
        <f>G1477+I1477+K1477+M1477+O1477+Q1477+S1477+U1477+W1477+Y1477+AA1477+AC1477</f>
        <v>0</v>
      </c>
      <c r="AG1477" s="153">
        <f>SUM(AE1477-AF1477)</f>
        <v>0</v>
      </c>
    </row>
    <row r="1478" spans="1:42" customHeight="1" ht="11.5">
      <c r="A1478" s="5"/>
      <c r="B1478" s="173"/>
      <c r="C1478" s="167"/>
      <c r="D1478" s="88"/>
      <c r="E1478" s="174"/>
      <c r="F1478" s="9"/>
      <c r="G1478" s="10"/>
      <c r="H1478" s="9"/>
      <c r="I1478" s="10"/>
      <c r="J1478" s="152"/>
      <c r="K1478" s="10"/>
      <c r="L1478" s="152"/>
      <c r="M1478" s="10"/>
      <c r="N1478" s="152"/>
      <c r="O1478" s="10"/>
      <c r="P1478" s="152"/>
      <c r="Q1478" s="10"/>
      <c r="R1478" s="9"/>
      <c r="S1478" s="10"/>
      <c r="T1478" s="9"/>
      <c r="U1478" s="10"/>
      <c r="V1478" s="9"/>
      <c r="W1478" s="10"/>
      <c r="X1478" s="9"/>
      <c r="Y1478" s="10"/>
      <c r="Z1478" s="9"/>
      <c r="AA1478" s="10"/>
      <c r="AB1478" s="11"/>
      <c r="AC1478" s="10"/>
      <c r="AD1478" s="7">
        <f>SUM(F1478+H1478+J1478+L1478+N1478+P1478+R1478+T1478+V1478+X1478+Z1478+AB1478)</f>
        <v>0</v>
      </c>
      <c r="AE1478" s="7">
        <f>E1478+AD1478</f>
        <v>0</v>
      </c>
      <c r="AF1478" s="8">
        <f>G1478+I1478+K1478+M1478+O1478+Q1478+S1478+U1478+W1478+Y1478+AA1478+AC1478</f>
        <v>0</v>
      </c>
      <c r="AG1478" s="153">
        <f>SUM(AE1478-AF1478)</f>
        <v>0</v>
      </c>
    </row>
    <row r="1479" spans="1:42" customHeight="1" ht="11.5">
      <c r="A1479" s="5"/>
      <c r="B1479" s="173"/>
      <c r="C1479" s="167"/>
      <c r="D1479" s="88"/>
      <c r="E1479" s="174"/>
      <c r="F1479" s="9"/>
      <c r="G1479" s="10"/>
      <c r="H1479" s="9"/>
      <c r="I1479" s="10"/>
      <c r="J1479" s="152"/>
      <c r="K1479" s="10"/>
      <c r="L1479" s="152"/>
      <c r="M1479" s="10"/>
      <c r="N1479" s="152"/>
      <c r="O1479" s="10"/>
      <c r="P1479" s="152"/>
      <c r="Q1479" s="10"/>
      <c r="R1479" s="9"/>
      <c r="S1479" s="10"/>
      <c r="T1479" s="9"/>
      <c r="U1479" s="10"/>
      <c r="V1479" s="9"/>
      <c r="W1479" s="10"/>
      <c r="X1479" s="9"/>
      <c r="Y1479" s="10"/>
      <c r="Z1479" s="9"/>
      <c r="AA1479" s="10"/>
      <c r="AB1479" s="11"/>
      <c r="AC1479" s="10"/>
      <c r="AD1479" s="7">
        <f>SUM(F1479+H1479+J1479+L1479+N1479+P1479+R1479+T1479+V1479+X1479+Z1479+AB1479)</f>
        <v>0</v>
      </c>
      <c r="AE1479" s="7">
        <f>E1479+AD1479</f>
        <v>0</v>
      </c>
      <c r="AF1479" s="8">
        <f>G1479+I1479+K1479+M1479+O1479+Q1479+S1479+U1479+W1479+Y1479+AA1479+AC1479</f>
        <v>0</v>
      </c>
      <c r="AG1479" s="153">
        <f>SUM(AE1479-AF1479)</f>
        <v>0</v>
      </c>
    </row>
    <row r="1480" spans="1:42" customHeight="1" ht="11.5">
      <c r="A1480" s="5"/>
      <c r="B1480" s="173"/>
      <c r="C1480" s="167"/>
      <c r="D1480" s="88"/>
      <c r="E1480" s="174"/>
      <c r="F1480" s="9"/>
      <c r="G1480" s="10"/>
      <c r="H1480" s="9"/>
      <c r="I1480" s="10"/>
      <c r="J1480" s="152"/>
      <c r="K1480" s="10"/>
      <c r="L1480" s="152"/>
      <c r="M1480" s="10"/>
      <c r="N1480" s="152"/>
      <c r="O1480" s="10"/>
      <c r="P1480" s="152"/>
      <c r="Q1480" s="10"/>
      <c r="R1480" s="9"/>
      <c r="S1480" s="10"/>
      <c r="T1480" s="9"/>
      <c r="U1480" s="10"/>
      <c r="V1480" s="9"/>
      <c r="W1480" s="10"/>
      <c r="X1480" s="9"/>
      <c r="Y1480" s="10"/>
      <c r="Z1480" s="9"/>
      <c r="AA1480" s="10"/>
      <c r="AB1480" s="11"/>
      <c r="AC1480" s="10"/>
      <c r="AD1480" s="7">
        <f>SUM(F1480+H1480+J1480+L1480+N1480+P1480+R1480+T1480+V1480+X1480+Z1480+AB1480)</f>
        <v>0</v>
      </c>
      <c r="AE1480" s="7">
        <f>E1480+AD1480</f>
        <v>0</v>
      </c>
      <c r="AF1480" s="8">
        <f>G1480+I1480+K1480+M1480+O1480+Q1480+S1480+U1480+W1480+Y1480+AA1480+AC1480</f>
        <v>0</v>
      </c>
      <c r="AG1480" s="153">
        <f>SUM(AE1480-AF1480)</f>
        <v>0</v>
      </c>
    </row>
    <row r="1481" spans="1:42" customHeight="1" ht="11.5">
      <c r="A1481" s="5"/>
      <c r="B1481" s="173"/>
      <c r="C1481" s="167"/>
      <c r="D1481" s="88"/>
      <c r="E1481" s="174"/>
      <c r="F1481" s="9"/>
      <c r="G1481" s="10"/>
      <c r="H1481" s="9"/>
      <c r="I1481" s="10"/>
      <c r="J1481" s="152"/>
      <c r="K1481" s="10"/>
      <c r="L1481" s="152"/>
      <c r="M1481" s="10"/>
      <c r="N1481" s="152"/>
      <c r="O1481" s="10"/>
      <c r="P1481" s="152"/>
      <c r="Q1481" s="10"/>
      <c r="R1481" s="9"/>
      <c r="S1481" s="10"/>
      <c r="T1481" s="9"/>
      <c r="U1481" s="10"/>
      <c r="V1481" s="9"/>
      <c r="W1481" s="10"/>
      <c r="X1481" s="9"/>
      <c r="Y1481" s="10"/>
      <c r="Z1481" s="9"/>
      <c r="AA1481" s="10"/>
      <c r="AB1481" s="11"/>
      <c r="AC1481" s="10"/>
      <c r="AD1481" s="7">
        <f>SUM(F1481+H1481+J1481+L1481+N1481+P1481+R1481+T1481+V1481+X1481+Z1481+AB1481)</f>
        <v>0</v>
      </c>
      <c r="AE1481" s="7">
        <f>E1481+AD1481</f>
        <v>0</v>
      </c>
      <c r="AF1481" s="8">
        <f>G1481+I1481+K1481+M1481+O1481+Q1481+S1481+U1481+W1481+Y1481+AA1481+AC1481</f>
        <v>0</v>
      </c>
      <c r="AG1481" s="153">
        <f>SUM(AE1481-AF1481)</f>
        <v>0</v>
      </c>
    </row>
    <row r="1482" spans="1:42" customHeight="1" ht="11.5">
      <c r="A1482" s="5"/>
      <c r="B1482" s="173"/>
      <c r="C1482" s="167"/>
      <c r="D1482" s="88"/>
      <c r="E1482" s="174"/>
      <c r="F1482" s="9"/>
      <c r="G1482" s="10"/>
      <c r="H1482" s="9"/>
      <c r="I1482" s="10"/>
      <c r="J1482" s="152"/>
      <c r="K1482" s="10"/>
      <c r="L1482" s="152"/>
      <c r="M1482" s="10"/>
      <c r="N1482" s="152"/>
      <c r="O1482" s="10"/>
      <c r="P1482" s="152"/>
      <c r="Q1482" s="10"/>
      <c r="R1482" s="9"/>
      <c r="S1482" s="10"/>
      <c r="T1482" s="9"/>
      <c r="U1482" s="10"/>
      <c r="V1482" s="9"/>
      <c r="W1482" s="10"/>
      <c r="X1482" s="9"/>
      <c r="Y1482" s="10"/>
      <c r="Z1482" s="9"/>
      <c r="AA1482" s="10"/>
      <c r="AB1482" s="11"/>
      <c r="AC1482" s="10"/>
      <c r="AD1482" s="7">
        <f>SUM(F1482+H1482+J1482+L1482+N1482+P1482+R1482+T1482+V1482+X1482+Z1482+AB1482)</f>
        <v>0</v>
      </c>
      <c r="AE1482" s="7">
        <f>E1482+AD1482</f>
        <v>0</v>
      </c>
      <c r="AF1482" s="8">
        <f>G1482+I1482+K1482+M1482+O1482+Q1482+S1482+U1482+W1482+Y1482+AA1482+AC1482</f>
        <v>0</v>
      </c>
      <c r="AG1482" s="153">
        <f>SUM(AE1482-AF1482)</f>
        <v>0</v>
      </c>
    </row>
    <row r="1483" spans="1:42" customHeight="1" ht="11.5">
      <c r="A1483" s="5"/>
      <c r="B1483" s="173"/>
      <c r="C1483" s="167"/>
      <c r="D1483" s="88"/>
      <c r="E1483" s="174"/>
      <c r="F1483" s="9"/>
      <c r="G1483" s="10"/>
      <c r="H1483" s="9"/>
      <c r="I1483" s="10"/>
      <c r="J1483" s="152"/>
      <c r="K1483" s="10"/>
      <c r="L1483" s="152"/>
      <c r="M1483" s="10"/>
      <c r="N1483" s="152"/>
      <c r="O1483" s="10"/>
      <c r="P1483" s="152"/>
      <c r="Q1483" s="10"/>
      <c r="R1483" s="9"/>
      <c r="S1483" s="10"/>
      <c r="T1483" s="9"/>
      <c r="U1483" s="10"/>
      <c r="V1483" s="9"/>
      <c r="W1483" s="10"/>
      <c r="X1483" s="9"/>
      <c r="Y1483" s="10"/>
      <c r="Z1483" s="9"/>
      <c r="AA1483" s="10"/>
      <c r="AB1483" s="11"/>
      <c r="AC1483" s="10"/>
      <c r="AD1483" s="7">
        <f>SUM(F1483+H1483+J1483+L1483+N1483+P1483+R1483+T1483+V1483+X1483+Z1483+AB1483)</f>
        <v>0</v>
      </c>
      <c r="AE1483" s="7">
        <f>E1483+AD1483</f>
        <v>0</v>
      </c>
      <c r="AF1483" s="8">
        <f>G1483+I1483+K1483+M1483+O1483+Q1483+S1483+U1483+W1483+Y1483+AA1483+AC1483</f>
        <v>0</v>
      </c>
      <c r="AG1483" s="153">
        <f>SUM(AE1483-AF1483)</f>
        <v>0</v>
      </c>
    </row>
    <row r="1484" spans="1:42" customHeight="1" ht="11.5">
      <c r="A1484" s="5"/>
      <c r="B1484" s="173"/>
      <c r="C1484" s="167"/>
      <c r="D1484" s="88"/>
      <c r="E1484" s="174"/>
      <c r="F1484" s="9"/>
      <c r="G1484" s="10"/>
      <c r="H1484" s="9"/>
      <c r="I1484" s="10"/>
      <c r="J1484" s="152"/>
      <c r="K1484" s="10"/>
      <c r="L1484" s="152"/>
      <c r="M1484" s="10"/>
      <c r="N1484" s="152"/>
      <c r="O1484" s="10"/>
      <c r="P1484" s="152"/>
      <c r="Q1484" s="10"/>
      <c r="R1484" s="9"/>
      <c r="S1484" s="10"/>
      <c r="T1484" s="9"/>
      <c r="U1484" s="10"/>
      <c r="V1484" s="9"/>
      <c r="W1484" s="10"/>
      <c r="X1484" s="9"/>
      <c r="Y1484" s="10"/>
      <c r="Z1484" s="9"/>
      <c r="AA1484" s="10"/>
      <c r="AB1484" s="11"/>
      <c r="AC1484" s="10"/>
      <c r="AD1484" s="7">
        <f>SUM(F1484+H1484+J1484+L1484+N1484+P1484+R1484+T1484+V1484+X1484+Z1484+AB1484)</f>
        <v>0</v>
      </c>
      <c r="AE1484" s="7">
        <f>E1484+AD1484</f>
        <v>0</v>
      </c>
      <c r="AF1484" s="8">
        <f>G1484+I1484+K1484+M1484+O1484+Q1484+S1484+U1484+W1484+Y1484+AA1484+AC1484</f>
        <v>0</v>
      </c>
      <c r="AG1484" s="153">
        <f>SUM(AE1484-AF1484)</f>
        <v>0</v>
      </c>
    </row>
    <row r="1485" spans="1:42" customHeight="1" ht="11.5">
      <c r="A1485" s="5"/>
      <c r="B1485" s="173"/>
      <c r="C1485" s="167"/>
      <c r="D1485" s="88"/>
      <c r="E1485" s="174"/>
      <c r="F1485" s="9"/>
      <c r="G1485" s="10"/>
      <c r="H1485" s="9"/>
      <c r="I1485" s="10"/>
      <c r="J1485" s="152"/>
      <c r="K1485" s="10"/>
      <c r="L1485" s="152"/>
      <c r="M1485" s="10"/>
      <c r="N1485" s="152"/>
      <c r="O1485" s="10"/>
      <c r="P1485" s="152"/>
      <c r="Q1485" s="10"/>
      <c r="R1485" s="9"/>
      <c r="S1485" s="10"/>
      <c r="T1485" s="9"/>
      <c r="U1485" s="10"/>
      <c r="V1485" s="9"/>
      <c r="W1485" s="10"/>
      <c r="X1485" s="9"/>
      <c r="Y1485" s="10"/>
      <c r="Z1485" s="9"/>
      <c r="AA1485" s="10"/>
      <c r="AB1485" s="11"/>
      <c r="AC1485" s="10"/>
      <c r="AD1485" s="7">
        <f>SUM(F1485+H1485+J1485+L1485+N1485+P1485+R1485+T1485+V1485+X1485+Z1485+AB1485)</f>
        <v>0</v>
      </c>
      <c r="AE1485" s="7">
        <f>E1485+AD1485</f>
        <v>0</v>
      </c>
      <c r="AF1485" s="8">
        <f>G1485+I1485+K1485+M1485+O1485+Q1485+S1485+U1485+W1485+Y1485+AA1485+AC1485</f>
        <v>0</v>
      </c>
      <c r="AG1485" s="153">
        <f>SUM(AE1485-AF1485)</f>
        <v>0</v>
      </c>
    </row>
    <row r="1486" spans="1:42" customHeight="1" ht="11.5">
      <c r="A1486" s="5"/>
      <c r="B1486" s="173"/>
      <c r="C1486" s="167"/>
      <c r="D1486" s="88"/>
      <c r="E1486" s="174"/>
      <c r="F1486" s="9"/>
      <c r="G1486" s="10"/>
      <c r="H1486" s="9"/>
      <c r="I1486" s="10"/>
      <c r="J1486" s="152"/>
      <c r="K1486" s="10"/>
      <c r="L1486" s="152"/>
      <c r="M1486" s="10"/>
      <c r="N1486" s="152"/>
      <c r="O1486" s="10"/>
      <c r="P1486" s="152"/>
      <c r="Q1486" s="10"/>
      <c r="R1486" s="9"/>
      <c r="S1486" s="10"/>
      <c r="T1486" s="9"/>
      <c r="U1486" s="10"/>
      <c r="V1486" s="9"/>
      <c r="W1486" s="10"/>
      <c r="X1486" s="9"/>
      <c r="Y1486" s="10"/>
      <c r="Z1486" s="9"/>
      <c r="AA1486" s="10"/>
      <c r="AB1486" s="11"/>
      <c r="AC1486" s="10"/>
      <c r="AD1486" s="7">
        <f>SUM(F1486+H1486+J1486+L1486+N1486+P1486+R1486+T1486+V1486+X1486+Z1486+AB1486)</f>
        <v>0</v>
      </c>
      <c r="AE1486" s="7">
        <f>E1486+AD1486</f>
        <v>0</v>
      </c>
      <c r="AF1486" s="8">
        <f>G1486+I1486+K1486+M1486+O1486+Q1486+S1486+U1486+W1486+Y1486+AA1486+AC1486</f>
        <v>0</v>
      </c>
      <c r="AG1486" s="153">
        <f>SUM(AE1486-AF1486)</f>
        <v>0</v>
      </c>
    </row>
    <row r="1487" spans="1:42" customHeight="1" ht="11.5">
      <c r="A1487" s="5"/>
      <c r="B1487" s="173"/>
      <c r="C1487" s="167"/>
      <c r="D1487" s="88"/>
      <c r="E1487" s="174"/>
      <c r="F1487" s="9"/>
      <c r="G1487" s="10"/>
      <c r="H1487" s="9"/>
      <c r="I1487" s="10"/>
      <c r="J1487" s="152"/>
      <c r="K1487" s="10"/>
      <c r="L1487" s="152"/>
      <c r="M1487" s="10"/>
      <c r="N1487" s="152"/>
      <c r="O1487" s="10"/>
      <c r="P1487" s="152"/>
      <c r="Q1487" s="10"/>
      <c r="R1487" s="9"/>
      <c r="S1487" s="10"/>
      <c r="T1487" s="9"/>
      <c r="U1487" s="10"/>
      <c r="V1487" s="9"/>
      <c r="W1487" s="10"/>
      <c r="X1487" s="9"/>
      <c r="Y1487" s="10"/>
      <c r="Z1487" s="9"/>
      <c r="AA1487" s="10"/>
      <c r="AB1487" s="11"/>
      <c r="AC1487" s="10"/>
      <c r="AD1487" s="7">
        <f>SUM(F1487+H1487+J1487+L1487+N1487+P1487+R1487+T1487+V1487+X1487+Z1487+AB1487)</f>
        <v>0</v>
      </c>
      <c r="AE1487" s="7">
        <f>E1487+AD1487</f>
        <v>0</v>
      </c>
      <c r="AF1487" s="8">
        <f>G1487+I1487+K1487+M1487+O1487+Q1487+S1487+U1487+W1487+Y1487+AA1487+AC1487</f>
        <v>0</v>
      </c>
      <c r="AG1487" s="153">
        <f>SUM(AE1487-AF1487)</f>
        <v>0</v>
      </c>
    </row>
    <row r="1488" spans="1:42" customHeight="1" ht="11.5">
      <c r="A1488" s="5"/>
      <c r="B1488" s="173"/>
      <c r="C1488" s="167"/>
      <c r="D1488" s="88"/>
      <c r="E1488" s="174"/>
      <c r="F1488" s="9"/>
      <c r="G1488" s="10"/>
      <c r="H1488" s="9"/>
      <c r="I1488" s="10"/>
      <c r="J1488" s="152"/>
      <c r="K1488" s="10"/>
      <c r="L1488" s="152"/>
      <c r="M1488" s="10"/>
      <c r="N1488" s="152"/>
      <c r="O1488" s="10"/>
      <c r="P1488" s="152"/>
      <c r="Q1488" s="10"/>
      <c r="R1488" s="9"/>
      <c r="S1488" s="10"/>
      <c r="T1488" s="9"/>
      <c r="U1488" s="10"/>
      <c r="V1488" s="9"/>
      <c r="W1488" s="10"/>
      <c r="X1488" s="9"/>
      <c r="Y1488" s="10"/>
      <c r="Z1488" s="9"/>
      <c r="AA1488" s="10"/>
      <c r="AB1488" s="11"/>
      <c r="AC1488" s="10"/>
      <c r="AD1488" s="7">
        <f>SUM(F1488+H1488+J1488+L1488+N1488+P1488+R1488+T1488+V1488+X1488+Z1488+AB1488)</f>
        <v>0</v>
      </c>
      <c r="AE1488" s="7">
        <f>E1488+AD1488</f>
        <v>0</v>
      </c>
      <c r="AF1488" s="8">
        <f>G1488+I1488+K1488+M1488+O1488+Q1488+S1488+U1488+W1488+Y1488+AA1488+AC1488</f>
        <v>0</v>
      </c>
      <c r="AG1488" s="153">
        <f>SUM(AE1488-AF1488)</f>
        <v>0</v>
      </c>
    </row>
    <row r="1489" spans="1:42" customHeight="1" ht="11.5">
      <c r="A1489" s="5"/>
      <c r="B1489" s="173"/>
      <c r="C1489" s="167"/>
      <c r="D1489" s="88"/>
      <c r="E1489" s="174"/>
      <c r="F1489" s="9"/>
      <c r="G1489" s="10"/>
      <c r="H1489" s="9"/>
      <c r="I1489" s="10"/>
      <c r="J1489" s="152"/>
      <c r="K1489" s="10"/>
      <c r="L1489" s="152"/>
      <c r="M1489" s="10"/>
      <c r="N1489" s="152"/>
      <c r="O1489" s="10"/>
      <c r="P1489" s="152"/>
      <c r="Q1489" s="10"/>
      <c r="R1489" s="9"/>
      <c r="S1489" s="10"/>
      <c r="T1489" s="9"/>
      <c r="U1489" s="10"/>
      <c r="V1489" s="9"/>
      <c r="W1489" s="10"/>
      <c r="X1489" s="9"/>
      <c r="Y1489" s="10"/>
      <c r="Z1489" s="9"/>
      <c r="AA1489" s="10"/>
      <c r="AB1489" s="11"/>
      <c r="AC1489" s="10"/>
      <c r="AD1489" s="7">
        <f>SUM(F1489+H1489+J1489+L1489+N1489+P1489+R1489+T1489+V1489+X1489+Z1489+AB1489)</f>
        <v>0</v>
      </c>
      <c r="AE1489" s="7">
        <f>E1489+AD1489</f>
        <v>0</v>
      </c>
      <c r="AF1489" s="8">
        <f>G1489+I1489+K1489+M1489+O1489+Q1489+S1489+U1489+W1489+Y1489+AA1489+AC1489</f>
        <v>0</v>
      </c>
      <c r="AG1489" s="153">
        <f>SUM(AE1489-AF1489)</f>
        <v>0</v>
      </c>
    </row>
    <row r="1490" spans="1:42" customHeight="1" ht="11.5">
      <c r="A1490" s="5"/>
      <c r="B1490" s="173"/>
      <c r="C1490" s="167"/>
      <c r="D1490" s="88"/>
      <c r="E1490" s="174"/>
      <c r="F1490" s="9"/>
      <c r="G1490" s="10"/>
      <c r="H1490" s="9"/>
      <c r="I1490" s="10"/>
      <c r="J1490" s="152"/>
      <c r="K1490" s="10"/>
      <c r="L1490" s="152"/>
      <c r="M1490" s="10"/>
      <c r="N1490" s="152"/>
      <c r="O1490" s="10"/>
      <c r="P1490" s="152"/>
      <c r="Q1490" s="10"/>
      <c r="R1490" s="9"/>
      <c r="S1490" s="10"/>
      <c r="T1490" s="9"/>
      <c r="U1490" s="10"/>
      <c r="V1490" s="9"/>
      <c r="W1490" s="10"/>
      <c r="X1490" s="9"/>
      <c r="Y1490" s="10"/>
      <c r="Z1490" s="9"/>
      <c r="AA1490" s="10"/>
      <c r="AB1490" s="11"/>
      <c r="AC1490" s="10"/>
      <c r="AD1490" s="7">
        <f>SUM(F1490+H1490+J1490+L1490+N1490+P1490+R1490+T1490+V1490+X1490+Z1490+AB1490)</f>
        <v>0</v>
      </c>
      <c r="AE1490" s="7">
        <f>E1490+AD1490</f>
        <v>0</v>
      </c>
      <c r="AF1490" s="8">
        <f>G1490+I1490+K1490+M1490+O1490+Q1490+S1490+U1490+W1490+Y1490+AA1490+AC1490</f>
        <v>0</v>
      </c>
      <c r="AG1490" s="153">
        <f>SUM(AE1490-AF1490)</f>
        <v>0</v>
      </c>
    </row>
    <row r="1491" spans="1:42" customHeight="1" ht="11.5">
      <c r="A1491" s="5"/>
      <c r="B1491" s="173"/>
      <c r="C1491" s="167"/>
      <c r="D1491" s="88"/>
      <c r="E1491" s="174"/>
      <c r="F1491" s="9"/>
      <c r="G1491" s="10"/>
      <c r="H1491" s="9"/>
      <c r="I1491" s="10"/>
      <c r="J1491" s="152"/>
      <c r="K1491" s="10"/>
      <c r="L1491" s="152"/>
      <c r="M1491" s="10"/>
      <c r="N1491" s="152"/>
      <c r="O1491" s="10"/>
      <c r="P1491" s="152"/>
      <c r="Q1491" s="10"/>
      <c r="R1491" s="9"/>
      <c r="S1491" s="10"/>
      <c r="T1491" s="9"/>
      <c r="U1491" s="10"/>
      <c r="V1491" s="9"/>
      <c r="W1491" s="10"/>
      <c r="X1491" s="9"/>
      <c r="Y1491" s="10"/>
      <c r="Z1491" s="9"/>
      <c r="AA1491" s="10"/>
      <c r="AB1491" s="11"/>
      <c r="AC1491" s="10"/>
      <c r="AD1491" s="7">
        <f>SUM(F1491+H1491+J1491+L1491+N1491+P1491+R1491+T1491+V1491+X1491+Z1491+AB1491)</f>
        <v>0</v>
      </c>
      <c r="AE1491" s="7">
        <f>E1491+AD1491</f>
        <v>0</v>
      </c>
      <c r="AF1491" s="8">
        <f>G1491+I1491+K1491+M1491+O1491+Q1491+S1491+U1491+W1491+Y1491+AA1491+AC1491</f>
        <v>0</v>
      </c>
      <c r="AG1491" s="153">
        <f>SUM(AE1491-AF1491)</f>
        <v>0</v>
      </c>
    </row>
    <row r="1492" spans="1:42" customHeight="1" ht="11.5">
      <c r="A1492" s="5"/>
      <c r="B1492" s="173"/>
      <c r="C1492" s="167"/>
      <c r="D1492" s="88"/>
      <c r="E1492" s="174"/>
      <c r="F1492" s="9"/>
      <c r="G1492" s="10"/>
      <c r="H1492" s="9"/>
      <c r="I1492" s="10"/>
      <c r="J1492" s="152"/>
      <c r="K1492" s="10"/>
      <c r="L1492" s="152"/>
      <c r="M1492" s="10"/>
      <c r="N1492" s="152"/>
      <c r="O1492" s="10"/>
      <c r="P1492" s="152"/>
      <c r="Q1492" s="10"/>
      <c r="R1492" s="9"/>
      <c r="S1492" s="10"/>
      <c r="T1492" s="9"/>
      <c r="U1492" s="10"/>
      <c r="V1492" s="9"/>
      <c r="W1492" s="10"/>
      <c r="X1492" s="9"/>
      <c r="Y1492" s="10"/>
      <c r="Z1492" s="9"/>
      <c r="AA1492" s="10"/>
      <c r="AB1492" s="11"/>
      <c r="AC1492" s="10"/>
      <c r="AD1492" s="7">
        <f>SUM(F1492+H1492+J1492+L1492+N1492+P1492+R1492+T1492+V1492+X1492+Z1492+AB1492)</f>
        <v>0</v>
      </c>
      <c r="AE1492" s="7">
        <f>E1492+AD1492</f>
        <v>0</v>
      </c>
      <c r="AF1492" s="8">
        <f>G1492+I1492+K1492+M1492+O1492+Q1492+S1492+U1492+W1492+Y1492+AA1492+AC1492</f>
        <v>0</v>
      </c>
      <c r="AG1492" s="153">
        <f>SUM(AE1492-AF1492)</f>
        <v>0</v>
      </c>
    </row>
    <row r="1493" spans="1:42" customHeight="1" ht="11.5">
      <c r="A1493" s="5"/>
      <c r="B1493" s="173"/>
      <c r="C1493" s="167"/>
      <c r="D1493" s="88"/>
      <c r="E1493" s="174"/>
      <c r="F1493" s="9"/>
      <c r="G1493" s="10"/>
      <c r="H1493" s="9"/>
      <c r="I1493" s="10"/>
      <c r="J1493" s="152"/>
      <c r="K1493" s="10"/>
      <c r="L1493" s="152"/>
      <c r="M1493" s="10"/>
      <c r="N1493" s="152"/>
      <c r="O1493" s="10"/>
      <c r="P1493" s="152"/>
      <c r="Q1493" s="10"/>
      <c r="R1493" s="9"/>
      <c r="S1493" s="10"/>
      <c r="T1493" s="9"/>
      <c r="U1493" s="10"/>
      <c r="V1493" s="9"/>
      <c r="W1493" s="10"/>
      <c r="X1493" s="9"/>
      <c r="Y1493" s="10"/>
      <c r="Z1493" s="9"/>
      <c r="AA1493" s="10"/>
      <c r="AB1493" s="11"/>
      <c r="AC1493" s="10"/>
      <c r="AD1493" s="7">
        <f>SUM(F1493+H1493+J1493+L1493+N1493+P1493+R1493+T1493+V1493+X1493+Z1493+AB1493)</f>
        <v>0</v>
      </c>
      <c r="AE1493" s="7">
        <f>E1493+AD1493</f>
        <v>0</v>
      </c>
      <c r="AF1493" s="8">
        <f>G1493+I1493+K1493+M1493+O1493+Q1493+S1493+U1493+W1493+Y1493+AA1493+AC1493</f>
        <v>0</v>
      </c>
      <c r="AG1493" s="153">
        <f>SUM(AE1493-AF1493)</f>
        <v>0</v>
      </c>
    </row>
    <row r="1494" spans="1:42" customHeight="1" ht="11.5">
      <c r="A1494" s="5"/>
      <c r="B1494" s="173"/>
      <c r="C1494" s="167"/>
      <c r="D1494" s="88"/>
      <c r="E1494" s="174"/>
      <c r="F1494" s="9"/>
      <c r="G1494" s="10"/>
      <c r="H1494" s="9"/>
      <c r="I1494" s="10"/>
      <c r="J1494" s="152"/>
      <c r="K1494" s="10"/>
      <c r="L1494" s="152"/>
      <c r="M1494" s="10"/>
      <c r="N1494" s="152"/>
      <c r="O1494" s="10"/>
      <c r="P1494" s="152"/>
      <c r="Q1494" s="10"/>
      <c r="R1494" s="9"/>
      <c r="S1494" s="10"/>
      <c r="T1494" s="9"/>
      <c r="U1494" s="10"/>
      <c r="V1494" s="9"/>
      <c r="W1494" s="10"/>
      <c r="X1494" s="9"/>
      <c r="Y1494" s="10"/>
      <c r="Z1494" s="9"/>
      <c r="AA1494" s="10"/>
      <c r="AB1494" s="11"/>
      <c r="AC1494" s="10"/>
      <c r="AD1494" s="7">
        <f>SUM(F1494+H1494+J1494+L1494+N1494+P1494+R1494+T1494+V1494+X1494+Z1494+AB1494)</f>
        <v>0</v>
      </c>
      <c r="AE1494" s="7">
        <f>E1494+AD1494</f>
        <v>0</v>
      </c>
      <c r="AF1494" s="8">
        <f>G1494+I1494+K1494+M1494+O1494+Q1494+S1494+U1494+W1494+Y1494+AA1494+AC1494</f>
        <v>0</v>
      </c>
      <c r="AG1494" s="153">
        <f>SUM(AE1494-AF1494)</f>
        <v>0</v>
      </c>
    </row>
    <row r="1495" spans="1:42" customHeight="1" ht="11.5">
      <c r="A1495" s="5"/>
      <c r="B1495" s="173"/>
      <c r="C1495" s="167"/>
      <c r="D1495" s="88"/>
      <c r="E1495" s="174"/>
      <c r="F1495" s="9"/>
      <c r="G1495" s="10"/>
      <c r="H1495" s="9"/>
      <c r="I1495" s="10"/>
      <c r="J1495" s="152"/>
      <c r="K1495" s="10"/>
      <c r="L1495" s="152"/>
      <c r="M1495" s="10"/>
      <c r="N1495" s="152"/>
      <c r="O1495" s="10"/>
      <c r="P1495" s="152"/>
      <c r="Q1495" s="10"/>
      <c r="R1495" s="9"/>
      <c r="S1495" s="10"/>
      <c r="T1495" s="9"/>
      <c r="U1495" s="10"/>
      <c r="V1495" s="9"/>
      <c r="W1495" s="10"/>
      <c r="X1495" s="9"/>
      <c r="Y1495" s="10"/>
      <c r="Z1495" s="9"/>
      <c r="AA1495" s="10"/>
      <c r="AB1495" s="11"/>
      <c r="AC1495" s="10"/>
      <c r="AD1495" s="7">
        <f>SUM(F1495+H1495+J1495+L1495+N1495+P1495+R1495+T1495+V1495+X1495+Z1495+AB1495)</f>
        <v>0</v>
      </c>
      <c r="AE1495" s="7">
        <f>E1495+AD1495</f>
        <v>0</v>
      </c>
      <c r="AF1495" s="8">
        <f>G1495+I1495+K1495+M1495+O1495+Q1495+S1495+U1495+W1495+Y1495+AA1495+AC1495</f>
        <v>0</v>
      </c>
      <c r="AG1495" s="153">
        <f>SUM(AE1495-AF1495)</f>
        <v>0</v>
      </c>
    </row>
    <row r="1496" spans="1:42" customHeight="1" ht="11.5">
      <c r="A1496" s="5"/>
      <c r="B1496" s="173"/>
      <c r="C1496" s="167"/>
      <c r="D1496" s="88"/>
      <c r="E1496" s="174"/>
      <c r="F1496" s="9"/>
      <c r="G1496" s="10"/>
      <c r="H1496" s="9"/>
      <c r="I1496" s="10"/>
      <c r="J1496" s="152"/>
      <c r="K1496" s="10"/>
      <c r="L1496" s="152"/>
      <c r="M1496" s="10"/>
      <c r="N1496" s="152"/>
      <c r="O1496" s="10"/>
      <c r="P1496" s="152"/>
      <c r="Q1496" s="10"/>
      <c r="R1496" s="9"/>
      <c r="S1496" s="10"/>
      <c r="T1496" s="9"/>
      <c r="U1496" s="10"/>
      <c r="V1496" s="9"/>
      <c r="W1496" s="10"/>
      <c r="X1496" s="9"/>
      <c r="Y1496" s="10"/>
      <c r="Z1496" s="9"/>
      <c r="AA1496" s="10"/>
      <c r="AB1496" s="11"/>
      <c r="AC1496" s="10"/>
      <c r="AD1496" s="7">
        <f>SUM(F1496+H1496+J1496+L1496+N1496+P1496+R1496+T1496+V1496+X1496+Z1496+AB1496)</f>
        <v>0</v>
      </c>
      <c r="AE1496" s="7">
        <f>E1496+AD1496</f>
        <v>0</v>
      </c>
      <c r="AF1496" s="8">
        <f>G1496+I1496+K1496+M1496+O1496+Q1496+S1496+U1496+W1496+Y1496+AA1496+AC1496</f>
        <v>0</v>
      </c>
      <c r="AG1496" s="153">
        <f>SUM(AE1496-AF1496)</f>
        <v>0</v>
      </c>
    </row>
    <row r="1497" spans="1:42" customHeight="1" ht="11.5">
      <c r="A1497" s="5"/>
      <c r="B1497" s="173"/>
      <c r="C1497" s="167"/>
      <c r="D1497" s="88"/>
      <c r="E1497" s="174"/>
      <c r="F1497" s="9"/>
      <c r="G1497" s="10"/>
      <c r="H1497" s="9"/>
      <c r="I1497" s="10"/>
      <c r="J1497" s="152"/>
      <c r="K1497" s="10"/>
      <c r="L1497" s="152"/>
      <c r="M1497" s="10"/>
      <c r="N1497" s="152"/>
      <c r="O1497" s="10"/>
      <c r="P1497" s="152"/>
      <c r="Q1497" s="10"/>
      <c r="R1497" s="9"/>
      <c r="S1497" s="10"/>
      <c r="T1497" s="9"/>
      <c r="U1497" s="10"/>
      <c r="V1497" s="9"/>
      <c r="W1497" s="10"/>
      <c r="X1497" s="9"/>
      <c r="Y1497" s="10"/>
      <c r="Z1497" s="9"/>
      <c r="AA1497" s="10"/>
      <c r="AB1497" s="11"/>
      <c r="AC1497" s="10"/>
      <c r="AD1497" s="7">
        <f>SUM(F1497+H1497+J1497+L1497+N1497+P1497+R1497+T1497+V1497+X1497+Z1497+AB1497)</f>
        <v>0</v>
      </c>
      <c r="AE1497" s="7">
        <f>E1497+AD1497</f>
        <v>0</v>
      </c>
      <c r="AF1497" s="8">
        <f>G1497+I1497+K1497+M1497+O1497+Q1497+S1497+U1497+W1497+Y1497+AA1497+AC1497</f>
        <v>0</v>
      </c>
      <c r="AG1497" s="153">
        <f>SUM(AE1497-AF1497)</f>
        <v>0</v>
      </c>
    </row>
    <row r="1498" spans="1:42" customHeight="1" ht="11.5">
      <c r="A1498" s="5"/>
      <c r="B1498" s="173"/>
      <c r="C1498" s="167"/>
      <c r="D1498" s="88"/>
      <c r="E1498" s="174"/>
      <c r="F1498" s="9"/>
      <c r="G1498" s="10"/>
      <c r="H1498" s="9"/>
      <c r="I1498" s="10"/>
      <c r="J1498" s="152"/>
      <c r="K1498" s="10"/>
      <c r="L1498" s="152"/>
      <c r="M1498" s="10"/>
      <c r="N1498" s="152"/>
      <c r="O1498" s="10"/>
      <c r="P1498" s="152"/>
      <c r="Q1498" s="10"/>
      <c r="R1498" s="9"/>
      <c r="S1498" s="10"/>
      <c r="T1498" s="9"/>
      <c r="U1498" s="10"/>
      <c r="V1498" s="9"/>
      <c r="W1498" s="10"/>
      <c r="X1498" s="9"/>
      <c r="Y1498" s="10"/>
      <c r="Z1498" s="9"/>
      <c r="AA1498" s="10"/>
      <c r="AB1498" s="11"/>
      <c r="AC1498" s="10"/>
      <c r="AD1498" s="7">
        <f>SUM(F1498+H1498+J1498+L1498+N1498+P1498+R1498+T1498+V1498+X1498+Z1498+AB1498)</f>
        <v>0</v>
      </c>
      <c r="AE1498" s="7">
        <f>E1498+AD1498</f>
        <v>0</v>
      </c>
      <c r="AF1498" s="8">
        <f>G1498+I1498+K1498+M1498+O1498+Q1498+S1498+U1498+W1498+Y1498+AA1498+AC1498</f>
        <v>0</v>
      </c>
      <c r="AG1498" s="153">
        <f>SUM(AE1498-AF1498)</f>
        <v>0</v>
      </c>
    </row>
    <row r="1499" spans="1:42" customHeight="1" ht="11.5">
      <c r="A1499" s="5"/>
      <c r="B1499" s="173"/>
      <c r="C1499" s="167"/>
      <c r="D1499" s="88"/>
      <c r="E1499" s="174"/>
      <c r="F1499" s="9"/>
      <c r="G1499" s="10"/>
      <c r="H1499" s="9"/>
      <c r="I1499" s="10"/>
      <c r="J1499" s="152"/>
      <c r="K1499" s="10"/>
      <c r="L1499" s="152"/>
      <c r="M1499" s="10"/>
      <c r="N1499" s="152"/>
      <c r="O1499" s="10"/>
      <c r="P1499" s="152"/>
      <c r="Q1499" s="10"/>
      <c r="R1499" s="9"/>
      <c r="S1499" s="10"/>
      <c r="T1499" s="9"/>
      <c r="U1499" s="10"/>
      <c r="V1499" s="9"/>
      <c r="W1499" s="10"/>
      <c r="X1499" s="9"/>
      <c r="Y1499" s="10"/>
      <c r="Z1499" s="9"/>
      <c r="AA1499" s="10"/>
      <c r="AB1499" s="11"/>
      <c r="AC1499" s="10"/>
      <c r="AD1499" s="7">
        <f>SUM(F1499+H1499+J1499+L1499+N1499+P1499+R1499+T1499+V1499+X1499+Z1499+AB1499)</f>
        <v>0</v>
      </c>
      <c r="AE1499" s="7">
        <f>E1499+AD1499</f>
        <v>0</v>
      </c>
      <c r="AF1499" s="8">
        <f>G1499+I1499+K1499+M1499+O1499+Q1499+S1499+U1499+W1499+Y1499+AA1499+AC1499</f>
        <v>0</v>
      </c>
      <c r="AG1499" s="153">
        <f>SUM(AE1499-AF1499)</f>
        <v>0</v>
      </c>
    </row>
    <row r="1500" spans="1:42" customHeight="1" ht="11.5">
      <c r="A1500" s="5"/>
      <c r="B1500" s="173"/>
      <c r="C1500" s="167"/>
      <c r="D1500" s="88"/>
      <c r="E1500" s="174"/>
      <c r="F1500" s="9"/>
      <c r="G1500" s="10"/>
      <c r="H1500" s="9"/>
      <c r="I1500" s="10"/>
      <c r="J1500" s="152"/>
      <c r="K1500" s="10"/>
      <c r="L1500" s="152"/>
      <c r="M1500" s="10"/>
      <c r="N1500" s="152"/>
      <c r="O1500" s="10"/>
      <c r="P1500" s="152"/>
      <c r="Q1500" s="10"/>
      <c r="R1500" s="9"/>
      <c r="S1500" s="10"/>
      <c r="T1500" s="9"/>
      <c r="U1500" s="10"/>
      <c r="V1500" s="9"/>
      <c r="W1500" s="10"/>
      <c r="X1500" s="9"/>
      <c r="Y1500" s="10"/>
      <c r="Z1500" s="9"/>
      <c r="AA1500" s="10"/>
      <c r="AB1500" s="11"/>
      <c r="AC1500" s="10"/>
      <c r="AD1500" s="7">
        <f>SUM(F1500+H1500+J1500+L1500+N1500+P1500+R1500+T1500+V1500+X1500+Z1500+AB1500)</f>
        <v>0</v>
      </c>
      <c r="AE1500" s="7">
        <f>E1500+AD1500</f>
        <v>0</v>
      </c>
      <c r="AF1500" s="8">
        <f>G1500+I1500+K1500+M1500+O1500+Q1500+S1500+U1500+W1500+Y1500+AA1500+AC1500</f>
        <v>0</v>
      </c>
      <c r="AG1500" s="153">
        <f>SUM(AE1500-AF1500)</f>
        <v>0</v>
      </c>
    </row>
    <row r="1501" spans="1:42" customHeight="1" ht="11.5">
      <c r="A1501" s="5"/>
      <c r="B1501" s="173"/>
      <c r="C1501" s="167"/>
      <c r="D1501" s="88"/>
      <c r="E1501" s="174"/>
      <c r="F1501" s="9"/>
      <c r="G1501" s="10"/>
      <c r="H1501" s="9"/>
      <c r="I1501" s="10"/>
      <c r="J1501" s="152"/>
      <c r="K1501" s="10"/>
      <c r="L1501" s="152"/>
      <c r="M1501" s="10"/>
      <c r="N1501" s="152"/>
      <c r="O1501" s="10"/>
      <c r="P1501" s="152"/>
      <c r="Q1501" s="10"/>
      <c r="R1501" s="9"/>
      <c r="S1501" s="10"/>
      <c r="T1501" s="9"/>
      <c r="U1501" s="10"/>
      <c r="V1501" s="9"/>
      <c r="W1501" s="10"/>
      <c r="X1501" s="9"/>
      <c r="Y1501" s="10"/>
      <c r="Z1501" s="9"/>
      <c r="AA1501" s="10"/>
      <c r="AB1501" s="11"/>
      <c r="AC1501" s="10"/>
      <c r="AD1501" s="7">
        <f>SUM(F1501+H1501+J1501+L1501+N1501+P1501+R1501+T1501+V1501+X1501+Z1501+AB1501)</f>
        <v>0</v>
      </c>
      <c r="AE1501" s="7">
        <f>E1501+AD1501</f>
        <v>0</v>
      </c>
      <c r="AF1501" s="8">
        <f>G1501+I1501+K1501+M1501+O1501+Q1501+S1501+U1501+W1501+Y1501+AA1501+AC1501</f>
        <v>0</v>
      </c>
      <c r="AG1501" s="153">
        <f>SUM(AE1501-AF1501)</f>
        <v>0</v>
      </c>
    </row>
    <row r="1502" spans="1:42" customHeight="1" ht="11.5">
      <c r="A1502" s="5"/>
      <c r="B1502" s="173"/>
      <c r="C1502" s="167"/>
      <c r="D1502" s="88"/>
      <c r="E1502" s="174"/>
      <c r="F1502" s="9"/>
      <c r="G1502" s="10"/>
      <c r="H1502" s="9"/>
      <c r="I1502" s="10"/>
      <c r="J1502" s="152"/>
      <c r="K1502" s="10"/>
      <c r="L1502" s="152"/>
      <c r="M1502" s="10"/>
      <c r="N1502" s="152"/>
      <c r="O1502" s="10"/>
      <c r="P1502" s="152"/>
      <c r="Q1502" s="10"/>
      <c r="R1502" s="9"/>
      <c r="S1502" s="10"/>
      <c r="T1502" s="9"/>
      <c r="U1502" s="10"/>
      <c r="V1502" s="9"/>
      <c r="W1502" s="10"/>
      <c r="X1502" s="9"/>
      <c r="Y1502" s="10"/>
      <c r="Z1502" s="9"/>
      <c r="AA1502" s="10"/>
      <c r="AB1502" s="11"/>
      <c r="AC1502" s="10"/>
      <c r="AD1502" s="7">
        <f>SUM(F1502+H1502+J1502+L1502+N1502+P1502+R1502+T1502+V1502+X1502+Z1502+AB1502)</f>
        <v>0</v>
      </c>
      <c r="AE1502" s="7">
        <f>E1502+AD1502</f>
        <v>0</v>
      </c>
      <c r="AF1502" s="8">
        <f>G1502+I1502+K1502+M1502+O1502+Q1502+S1502+U1502+W1502+Y1502+AA1502+AC1502</f>
        <v>0</v>
      </c>
      <c r="AG1502" s="153">
        <f>SUM(AE1502-AF1502)</f>
        <v>0</v>
      </c>
    </row>
    <row r="1503" spans="1:42" customHeight="1" ht="11.5">
      <c r="A1503" s="5"/>
      <c r="B1503" s="173"/>
      <c r="C1503" s="167"/>
      <c r="D1503" s="88"/>
      <c r="E1503" s="174"/>
      <c r="F1503" s="9"/>
      <c r="G1503" s="10"/>
      <c r="H1503" s="9"/>
      <c r="I1503" s="10"/>
      <c r="J1503" s="152"/>
      <c r="K1503" s="10"/>
      <c r="L1503" s="152"/>
      <c r="M1503" s="10"/>
      <c r="N1503" s="152"/>
      <c r="O1503" s="10"/>
      <c r="P1503" s="152"/>
      <c r="Q1503" s="10"/>
      <c r="R1503" s="9"/>
      <c r="S1503" s="10"/>
      <c r="T1503" s="9"/>
      <c r="U1503" s="10"/>
      <c r="V1503" s="9"/>
      <c r="W1503" s="10"/>
      <c r="X1503" s="9"/>
      <c r="Y1503" s="10"/>
      <c r="Z1503" s="9"/>
      <c r="AA1503" s="10"/>
      <c r="AB1503" s="11"/>
      <c r="AC1503" s="10"/>
      <c r="AD1503" s="7">
        <f>SUM(F1503+H1503+J1503+L1503+N1503+P1503+R1503+T1503+V1503+X1503+Z1503+AB1503)</f>
        <v>0</v>
      </c>
      <c r="AE1503" s="7">
        <f>E1503+AD1503</f>
        <v>0</v>
      </c>
      <c r="AF1503" s="8">
        <f>G1503+I1503+K1503+M1503+O1503+Q1503+S1503+U1503+W1503+Y1503+AA1503+AC1503</f>
        <v>0</v>
      </c>
      <c r="AG1503" s="153">
        <f>SUM(AE1503-AF1503)</f>
        <v>0</v>
      </c>
    </row>
    <row r="1504" spans="1:42" customHeight="1" ht="11.5">
      <c r="A1504" s="5"/>
      <c r="B1504" s="173"/>
      <c r="C1504" s="167"/>
      <c r="D1504" s="88"/>
      <c r="E1504" s="174"/>
      <c r="F1504" s="9"/>
      <c r="G1504" s="10"/>
      <c r="H1504" s="9"/>
      <c r="I1504" s="10"/>
      <c r="J1504" s="152"/>
      <c r="K1504" s="10"/>
      <c r="L1504" s="152"/>
      <c r="M1504" s="10"/>
      <c r="N1504" s="152"/>
      <c r="O1504" s="10"/>
      <c r="P1504" s="152"/>
      <c r="Q1504" s="10"/>
      <c r="R1504" s="9"/>
      <c r="S1504" s="10"/>
      <c r="T1504" s="9"/>
      <c r="U1504" s="10"/>
      <c r="V1504" s="9"/>
      <c r="W1504" s="10"/>
      <c r="X1504" s="9"/>
      <c r="Y1504" s="10"/>
      <c r="Z1504" s="9"/>
      <c r="AA1504" s="10"/>
      <c r="AB1504" s="11"/>
      <c r="AC1504" s="10"/>
      <c r="AD1504" s="7">
        <f>SUM(F1504+H1504+J1504+L1504+N1504+P1504+R1504+T1504+V1504+X1504+Z1504+AB1504)</f>
        <v>0</v>
      </c>
      <c r="AE1504" s="7">
        <f>E1504+AD1504</f>
        <v>0</v>
      </c>
      <c r="AF1504" s="8">
        <f>G1504+I1504+K1504+M1504+O1504+Q1504+S1504+U1504+W1504+Y1504+AA1504+AC1504</f>
        <v>0</v>
      </c>
      <c r="AG1504" s="153">
        <f>SUM(AE1504-AF1504)</f>
        <v>0</v>
      </c>
    </row>
    <row r="1505" spans="1:42" customHeight="1" ht="11.5">
      <c r="A1505" s="5"/>
      <c r="B1505" s="173"/>
      <c r="C1505" s="167"/>
      <c r="D1505" s="88"/>
      <c r="E1505" s="174"/>
      <c r="F1505" s="9"/>
      <c r="G1505" s="10"/>
      <c r="H1505" s="9"/>
      <c r="I1505" s="10"/>
      <c r="J1505" s="152"/>
      <c r="K1505" s="10"/>
      <c r="L1505" s="152"/>
      <c r="M1505" s="10"/>
      <c r="N1505" s="152"/>
      <c r="O1505" s="10"/>
      <c r="P1505" s="152"/>
      <c r="Q1505" s="10"/>
      <c r="R1505" s="9"/>
      <c r="S1505" s="10"/>
      <c r="T1505" s="9"/>
      <c r="U1505" s="10"/>
      <c r="V1505" s="9"/>
      <c r="W1505" s="10"/>
      <c r="X1505" s="9"/>
      <c r="Y1505" s="10"/>
      <c r="Z1505" s="9"/>
      <c r="AA1505" s="10"/>
      <c r="AB1505" s="11"/>
      <c r="AC1505" s="10"/>
      <c r="AD1505" s="7">
        <f>SUM(F1505+H1505+J1505+L1505+N1505+P1505+R1505+T1505+V1505+X1505+Z1505+AB1505)</f>
        <v>0</v>
      </c>
      <c r="AE1505" s="7">
        <f>E1505+AD1505</f>
        <v>0</v>
      </c>
      <c r="AF1505" s="8">
        <f>G1505+I1505+K1505+M1505+O1505+Q1505+S1505+U1505+W1505+Y1505+AA1505+AC1505</f>
        <v>0</v>
      </c>
      <c r="AG1505" s="153">
        <f>SUM(AE1505-AF1505)</f>
        <v>0</v>
      </c>
    </row>
    <row r="1506" spans="1:42" customHeight="1" ht="11.5">
      <c r="A1506" s="5"/>
      <c r="B1506" s="173"/>
      <c r="C1506" s="167"/>
      <c r="D1506" s="88"/>
      <c r="E1506" s="174"/>
      <c r="F1506" s="9"/>
      <c r="G1506" s="10"/>
      <c r="H1506" s="9"/>
      <c r="I1506" s="10"/>
      <c r="J1506" s="152"/>
      <c r="K1506" s="10"/>
      <c r="L1506" s="152"/>
      <c r="M1506" s="10"/>
      <c r="N1506" s="152"/>
      <c r="O1506" s="10"/>
      <c r="P1506" s="152"/>
      <c r="Q1506" s="10"/>
      <c r="R1506" s="9"/>
      <c r="S1506" s="10"/>
      <c r="T1506" s="9"/>
      <c r="U1506" s="10"/>
      <c r="V1506" s="9"/>
      <c r="W1506" s="10"/>
      <c r="X1506" s="9"/>
      <c r="Y1506" s="10"/>
      <c r="Z1506" s="9"/>
      <c r="AA1506" s="10"/>
      <c r="AB1506" s="11"/>
      <c r="AC1506" s="10"/>
      <c r="AD1506" s="7">
        <f>SUM(F1506+H1506+J1506+L1506+N1506+P1506+R1506+T1506+V1506+X1506+Z1506+AB1506)</f>
        <v>0</v>
      </c>
      <c r="AE1506" s="7">
        <f>E1506+AD1506</f>
        <v>0</v>
      </c>
      <c r="AF1506" s="8">
        <f>G1506+I1506+K1506+M1506+O1506+Q1506+S1506+U1506+W1506+Y1506+AA1506+AC1506</f>
        <v>0</v>
      </c>
      <c r="AG1506" s="153">
        <f>SUM(AE1506-AF1506)</f>
        <v>0</v>
      </c>
    </row>
    <row r="1507" spans="1:42" customHeight="1" ht="11.5">
      <c r="A1507" s="5"/>
      <c r="B1507" s="173"/>
      <c r="C1507" s="167"/>
      <c r="D1507" s="88"/>
      <c r="E1507" s="174"/>
      <c r="F1507" s="9"/>
      <c r="G1507" s="10"/>
      <c r="H1507" s="9"/>
      <c r="I1507" s="10"/>
      <c r="J1507" s="152"/>
      <c r="K1507" s="10"/>
      <c r="L1507" s="152"/>
      <c r="M1507" s="10"/>
      <c r="N1507" s="152"/>
      <c r="O1507" s="10"/>
      <c r="P1507" s="152"/>
      <c r="Q1507" s="10"/>
      <c r="R1507" s="9"/>
      <c r="S1507" s="10"/>
      <c r="T1507" s="9"/>
      <c r="U1507" s="10"/>
      <c r="V1507" s="9"/>
      <c r="W1507" s="10"/>
      <c r="X1507" s="9"/>
      <c r="Y1507" s="10"/>
      <c r="Z1507" s="9"/>
      <c r="AA1507" s="10"/>
      <c r="AB1507" s="11"/>
      <c r="AC1507" s="10"/>
      <c r="AD1507" s="7">
        <f>SUM(F1507+H1507+J1507+L1507+N1507+P1507+R1507+T1507+V1507+X1507+Z1507+AB1507)</f>
        <v>0</v>
      </c>
      <c r="AE1507" s="7">
        <f>E1507+AD1507</f>
        <v>0</v>
      </c>
      <c r="AF1507" s="8">
        <f>G1507+I1507+K1507+M1507+O1507+Q1507+S1507+U1507+W1507+Y1507+AA1507+AC1507</f>
        <v>0</v>
      </c>
      <c r="AG1507" s="153">
        <f>SUM(AE1507-AF1507)</f>
        <v>0</v>
      </c>
    </row>
    <row r="1508" spans="1:42" customHeight="1" ht="11.5">
      <c r="A1508" s="5"/>
      <c r="B1508" s="173"/>
      <c r="C1508" s="167"/>
      <c r="D1508" s="88"/>
      <c r="E1508" s="174"/>
      <c r="F1508" s="9"/>
      <c r="G1508" s="10"/>
      <c r="H1508" s="9"/>
      <c r="I1508" s="10"/>
      <c r="J1508" s="152"/>
      <c r="K1508" s="10"/>
      <c r="L1508" s="152"/>
      <c r="M1508" s="10"/>
      <c r="N1508" s="152"/>
      <c r="O1508" s="10"/>
      <c r="P1508" s="152"/>
      <c r="Q1508" s="10"/>
      <c r="R1508" s="9"/>
      <c r="S1508" s="10"/>
      <c r="T1508" s="9"/>
      <c r="U1508" s="10"/>
      <c r="V1508" s="9"/>
      <c r="W1508" s="10"/>
      <c r="X1508" s="9"/>
      <c r="Y1508" s="10"/>
      <c r="Z1508" s="9"/>
      <c r="AA1508" s="10"/>
      <c r="AB1508" s="11"/>
      <c r="AC1508" s="10"/>
      <c r="AD1508" s="7">
        <f>SUM(F1508+H1508+J1508+L1508+N1508+P1508+R1508+T1508+V1508+X1508+Z1508+AB1508)</f>
        <v>0</v>
      </c>
      <c r="AE1508" s="7">
        <f>E1508+AD1508</f>
        <v>0</v>
      </c>
      <c r="AF1508" s="8">
        <f>G1508+I1508+K1508+M1508+O1508+Q1508+S1508+U1508+W1508+Y1508+AA1508+AC1508</f>
        <v>0</v>
      </c>
      <c r="AG1508" s="153">
        <f>SUM(AE1508-AF1508)</f>
        <v>0</v>
      </c>
    </row>
    <row r="1509" spans="1:42" customHeight="1" ht="11.5">
      <c r="A1509" s="5"/>
      <c r="B1509" s="173"/>
      <c r="C1509" s="167"/>
      <c r="D1509" s="88"/>
      <c r="E1509" s="174"/>
      <c r="F1509" s="9"/>
      <c r="G1509" s="10"/>
      <c r="H1509" s="9"/>
      <c r="I1509" s="10"/>
      <c r="J1509" s="152"/>
      <c r="K1509" s="10"/>
      <c r="L1509" s="152"/>
      <c r="M1509" s="10"/>
      <c r="N1509" s="152"/>
      <c r="O1509" s="10"/>
      <c r="P1509" s="152"/>
      <c r="Q1509" s="10"/>
      <c r="R1509" s="9"/>
      <c r="S1509" s="10"/>
      <c r="T1509" s="9"/>
      <c r="U1509" s="10"/>
      <c r="V1509" s="9"/>
      <c r="W1509" s="10"/>
      <c r="X1509" s="9"/>
      <c r="Y1509" s="10"/>
      <c r="Z1509" s="9"/>
      <c r="AA1509" s="10"/>
      <c r="AB1509" s="11"/>
      <c r="AC1509" s="10"/>
      <c r="AD1509" s="7">
        <f>SUM(F1509+H1509+J1509+L1509+N1509+P1509+R1509+T1509+V1509+X1509+Z1509+AB1509)</f>
        <v>0</v>
      </c>
      <c r="AE1509" s="7">
        <f>E1509+AD1509</f>
        <v>0</v>
      </c>
      <c r="AF1509" s="8">
        <f>G1509+I1509+K1509+M1509+O1509+Q1509+S1509+U1509+W1509+Y1509+AA1509+AC1509</f>
        <v>0</v>
      </c>
      <c r="AG1509" s="153">
        <f>SUM(AE1509-AF1509)</f>
        <v>0</v>
      </c>
    </row>
    <row r="1510" spans="1:42" customHeight="1" ht="11.5">
      <c r="A1510" s="5"/>
      <c r="B1510" s="173"/>
      <c r="C1510" s="167"/>
      <c r="D1510" s="88"/>
      <c r="E1510" s="174"/>
      <c r="F1510" s="9"/>
      <c r="G1510" s="10"/>
      <c r="H1510" s="9"/>
      <c r="I1510" s="10"/>
      <c r="J1510" s="152"/>
      <c r="K1510" s="10"/>
      <c r="L1510" s="152"/>
      <c r="M1510" s="10"/>
      <c r="N1510" s="152"/>
      <c r="O1510" s="10"/>
      <c r="P1510" s="152"/>
      <c r="Q1510" s="10"/>
      <c r="R1510" s="9"/>
      <c r="S1510" s="10"/>
      <c r="T1510" s="9"/>
      <c r="U1510" s="10"/>
      <c r="V1510" s="9"/>
      <c r="W1510" s="10"/>
      <c r="X1510" s="9"/>
      <c r="Y1510" s="10"/>
      <c r="Z1510" s="9"/>
      <c r="AA1510" s="10"/>
      <c r="AB1510" s="11"/>
      <c r="AC1510" s="10"/>
      <c r="AD1510" s="7">
        <f>SUM(F1510+H1510+J1510+L1510+N1510+P1510+R1510+T1510+V1510+X1510+Z1510+AB1510)</f>
        <v>0</v>
      </c>
      <c r="AE1510" s="7">
        <f>E1510+AD1510</f>
        <v>0</v>
      </c>
      <c r="AF1510" s="8">
        <f>G1510+I1510+K1510+M1510+O1510+Q1510+S1510+U1510+W1510+Y1510+AA1510+AC1510</f>
        <v>0</v>
      </c>
      <c r="AG1510" s="153">
        <f>SUM(AE1510-AF1510)</f>
        <v>0</v>
      </c>
    </row>
    <row r="1511" spans="1:42" customHeight="1" ht="11.5">
      <c r="A1511" s="5"/>
      <c r="B1511" s="173"/>
      <c r="C1511" s="167"/>
      <c r="D1511" s="88"/>
      <c r="E1511" s="174"/>
      <c r="F1511" s="9"/>
      <c r="G1511" s="10"/>
      <c r="H1511" s="9"/>
      <c r="I1511" s="10"/>
      <c r="J1511" s="152"/>
      <c r="K1511" s="10"/>
      <c r="L1511" s="152"/>
      <c r="M1511" s="10"/>
      <c r="N1511" s="152"/>
      <c r="O1511" s="10"/>
      <c r="P1511" s="152"/>
      <c r="Q1511" s="10"/>
      <c r="R1511" s="9"/>
      <c r="S1511" s="10"/>
      <c r="T1511" s="9"/>
      <c r="U1511" s="10"/>
      <c r="V1511" s="9"/>
      <c r="W1511" s="10"/>
      <c r="X1511" s="9"/>
      <c r="Y1511" s="10"/>
      <c r="Z1511" s="9"/>
      <c r="AA1511" s="10"/>
      <c r="AB1511" s="11"/>
      <c r="AC1511" s="10"/>
      <c r="AD1511" s="7">
        <f>SUM(F1511+H1511+J1511+L1511+N1511+P1511+R1511+T1511+V1511+X1511+Z1511+AB1511)</f>
        <v>0</v>
      </c>
      <c r="AE1511" s="7">
        <f>E1511+AD1511</f>
        <v>0</v>
      </c>
      <c r="AF1511" s="8">
        <f>G1511+I1511+K1511+M1511+O1511+Q1511+S1511+U1511+W1511+Y1511+AA1511+AC1511</f>
        <v>0</v>
      </c>
      <c r="AG1511" s="153">
        <f>SUM(AE1511-AF1511)</f>
        <v>0</v>
      </c>
    </row>
    <row r="1512" spans="1:42" customHeight="1" ht="11.5">
      <c r="A1512" s="5"/>
      <c r="B1512" s="173"/>
      <c r="C1512" s="167"/>
      <c r="D1512" s="88"/>
      <c r="E1512" s="174"/>
      <c r="F1512" s="9"/>
      <c r="G1512" s="10"/>
      <c r="H1512" s="9"/>
      <c r="I1512" s="10"/>
      <c r="J1512" s="152"/>
      <c r="K1512" s="10"/>
      <c r="L1512" s="152"/>
      <c r="M1512" s="10"/>
      <c r="N1512" s="152"/>
      <c r="O1512" s="10"/>
      <c r="P1512" s="152"/>
      <c r="Q1512" s="10"/>
      <c r="R1512" s="9"/>
      <c r="S1512" s="10"/>
      <c r="T1512" s="9"/>
      <c r="U1512" s="10"/>
      <c r="V1512" s="9"/>
      <c r="W1512" s="10"/>
      <c r="X1512" s="9"/>
      <c r="Y1512" s="10"/>
      <c r="Z1512" s="9"/>
      <c r="AA1512" s="10"/>
      <c r="AB1512" s="11"/>
      <c r="AC1512" s="10"/>
      <c r="AD1512" s="7">
        <f>SUM(F1512+H1512+J1512+L1512+N1512+P1512+R1512+T1512+V1512+X1512+Z1512+AB1512)</f>
        <v>0</v>
      </c>
      <c r="AE1512" s="7">
        <f>E1512+AD1512</f>
        <v>0</v>
      </c>
      <c r="AF1512" s="8">
        <f>G1512+I1512+K1512+M1512+O1512+Q1512+S1512+U1512+W1512+Y1512+AA1512+AC1512</f>
        <v>0</v>
      </c>
      <c r="AG1512" s="153">
        <f>SUM(AE1512-AF1512)</f>
        <v>0</v>
      </c>
    </row>
    <row r="1513" spans="1:42" customHeight="1" ht="11.5">
      <c r="A1513" s="5"/>
      <c r="B1513" s="173"/>
      <c r="C1513" s="167"/>
      <c r="D1513" s="88"/>
      <c r="E1513" s="174"/>
      <c r="F1513" s="9"/>
      <c r="G1513" s="10"/>
      <c r="H1513" s="9"/>
      <c r="I1513" s="10"/>
      <c r="J1513" s="152"/>
      <c r="K1513" s="10"/>
      <c r="L1513" s="152"/>
      <c r="M1513" s="10"/>
      <c r="N1513" s="152"/>
      <c r="O1513" s="10"/>
      <c r="P1513" s="152"/>
      <c r="Q1513" s="10"/>
      <c r="R1513" s="9"/>
      <c r="S1513" s="10"/>
      <c r="T1513" s="9"/>
      <c r="U1513" s="10"/>
      <c r="V1513" s="9"/>
      <c r="W1513" s="10"/>
      <c r="X1513" s="9"/>
      <c r="Y1513" s="10"/>
      <c r="Z1513" s="9"/>
      <c r="AA1513" s="10"/>
      <c r="AB1513" s="11"/>
      <c r="AC1513" s="10"/>
      <c r="AD1513" s="7">
        <f>SUM(F1513+H1513+J1513+L1513+N1513+P1513+R1513+T1513+V1513+X1513+Z1513+AB1513)</f>
        <v>0</v>
      </c>
      <c r="AE1513" s="7">
        <f>E1513+AD1513</f>
        <v>0</v>
      </c>
      <c r="AF1513" s="8">
        <f>G1513+I1513+K1513+M1513+O1513+Q1513+S1513+U1513+W1513+Y1513+AA1513+AC1513</f>
        <v>0</v>
      </c>
      <c r="AG1513" s="153">
        <f>SUM(AE1513-AF1513)</f>
        <v>0</v>
      </c>
    </row>
    <row r="1514" spans="1:42" customHeight="1" ht="11.5">
      <c r="A1514" s="5"/>
      <c r="B1514" s="173"/>
      <c r="C1514" s="167"/>
      <c r="D1514" s="88"/>
      <c r="E1514" s="174"/>
      <c r="F1514" s="9"/>
      <c r="G1514" s="10"/>
      <c r="H1514" s="9"/>
      <c r="I1514" s="10"/>
      <c r="J1514" s="152"/>
      <c r="K1514" s="10"/>
      <c r="L1514" s="152"/>
      <c r="M1514" s="10"/>
      <c r="N1514" s="152"/>
      <c r="O1514" s="10"/>
      <c r="P1514" s="152"/>
      <c r="Q1514" s="10"/>
      <c r="R1514" s="9"/>
      <c r="S1514" s="10"/>
      <c r="T1514" s="9"/>
      <c r="U1514" s="10"/>
      <c r="V1514" s="9"/>
      <c r="W1514" s="10"/>
      <c r="X1514" s="9"/>
      <c r="Y1514" s="10"/>
      <c r="Z1514" s="9"/>
      <c r="AA1514" s="10"/>
      <c r="AB1514" s="11"/>
      <c r="AC1514" s="10"/>
      <c r="AD1514" s="7">
        <f>SUM(F1514+H1514+J1514+L1514+N1514+P1514+R1514+T1514+V1514+X1514+Z1514+AB1514)</f>
        <v>0</v>
      </c>
      <c r="AE1514" s="7">
        <f>E1514+AD1514</f>
        <v>0</v>
      </c>
      <c r="AF1514" s="8">
        <f>G1514+I1514+K1514+M1514+O1514+Q1514+S1514+U1514+W1514+Y1514+AA1514+AC1514</f>
        <v>0</v>
      </c>
      <c r="AG1514" s="153">
        <f>SUM(AE1514-AF1514)</f>
        <v>0</v>
      </c>
    </row>
    <row r="1515" spans="1:42" customHeight="1" ht="11.5">
      <c r="A1515" s="5"/>
      <c r="B1515" s="173"/>
      <c r="C1515" s="167"/>
      <c r="D1515" s="88"/>
      <c r="E1515" s="174"/>
      <c r="F1515" s="9"/>
      <c r="G1515" s="10"/>
      <c r="H1515" s="9"/>
      <c r="I1515" s="10"/>
      <c r="J1515" s="152"/>
      <c r="K1515" s="10"/>
      <c r="L1515" s="152"/>
      <c r="M1515" s="10"/>
      <c r="N1515" s="152"/>
      <c r="O1515" s="10"/>
      <c r="P1515" s="152"/>
      <c r="Q1515" s="10"/>
      <c r="R1515" s="9"/>
      <c r="S1515" s="10"/>
      <c r="T1515" s="9"/>
      <c r="U1515" s="10"/>
      <c r="V1515" s="9"/>
      <c r="W1515" s="10"/>
      <c r="X1515" s="9"/>
      <c r="Y1515" s="10"/>
      <c r="Z1515" s="9"/>
      <c r="AA1515" s="10"/>
      <c r="AB1515" s="11"/>
      <c r="AC1515" s="10"/>
      <c r="AD1515" s="7">
        <f>SUM(F1515+H1515+J1515+L1515+N1515+P1515+R1515+T1515+V1515+X1515+Z1515+AB1515)</f>
        <v>0</v>
      </c>
      <c r="AE1515" s="7">
        <f>E1515+AD1515</f>
        <v>0</v>
      </c>
      <c r="AF1515" s="8">
        <f>G1515+I1515+K1515+M1515+O1515+Q1515+S1515+U1515+W1515+Y1515+AA1515+AC1515</f>
        <v>0</v>
      </c>
      <c r="AG1515" s="153">
        <f>SUM(AE1515-AF1515)</f>
        <v>0</v>
      </c>
    </row>
    <row r="1516" spans="1:42" customHeight="1" ht="11.5">
      <c r="A1516" s="5"/>
      <c r="B1516" s="173"/>
      <c r="C1516" s="167"/>
      <c r="D1516" s="88"/>
      <c r="E1516" s="174"/>
      <c r="F1516" s="9"/>
      <c r="G1516" s="10"/>
      <c r="H1516" s="9"/>
      <c r="I1516" s="10"/>
      <c r="J1516" s="152"/>
      <c r="K1516" s="10"/>
      <c r="L1516" s="152"/>
      <c r="M1516" s="10"/>
      <c r="N1516" s="152"/>
      <c r="O1516" s="10"/>
      <c r="P1516" s="152"/>
      <c r="Q1516" s="10"/>
      <c r="R1516" s="9"/>
      <c r="S1516" s="10"/>
      <c r="T1516" s="9"/>
      <c r="U1516" s="10"/>
      <c r="V1516" s="9"/>
      <c r="W1516" s="10"/>
      <c r="X1516" s="9"/>
      <c r="Y1516" s="10"/>
      <c r="Z1516" s="9"/>
      <c r="AA1516" s="10"/>
      <c r="AB1516" s="11"/>
      <c r="AC1516" s="10"/>
      <c r="AD1516" s="7">
        <f>SUM(F1516+H1516+J1516+L1516+N1516+P1516+R1516+T1516+V1516+X1516+Z1516+AB1516)</f>
        <v>0</v>
      </c>
      <c r="AE1516" s="7">
        <f>E1516+AD1516</f>
        <v>0</v>
      </c>
      <c r="AF1516" s="8">
        <f>G1516+I1516+K1516+M1516+O1516+Q1516+S1516+U1516+W1516+Y1516+AA1516+AC1516</f>
        <v>0</v>
      </c>
      <c r="AG1516" s="153">
        <f>SUM(AE1516-AF1516)</f>
        <v>0</v>
      </c>
    </row>
    <row r="1517" spans="1:42" customHeight="1" ht="11.5">
      <c r="A1517" s="5"/>
      <c r="B1517" s="173"/>
      <c r="C1517" s="167"/>
      <c r="D1517" s="88"/>
      <c r="E1517" s="174"/>
      <c r="F1517" s="9"/>
      <c r="G1517" s="10"/>
      <c r="H1517" s="9"/>
      <c r="I1517" s="10"/>
      <c r="J1517" s="152"/>
      <c r="K1517" s="10"/>
      <c r="L1517" s="152"/>
      <c r="M1517" s="10"/>
      <c r="N1517" s="152"/>
      <c r="O1517" s="10"/>
      <c r="P1517" s="152"/>
      <c r="Q1517" s="10"/>
      <c r="R1517" s="9"/>
      <c r="S1517" s="10"/>
      <c r="T1517" s="9"/>
      <c r="U1517" s="10"/>
      <c r="V1517" s="9"/>
      <c r="W1517" s="10"/>
      <c r="X1517" s="9"/>
      <c r="Y1517" s="10"/>
      <c r="Z1517" s="9"/>
      <c r="AA1517" s="10"/>
      <c r="AB1517" s="11"/>
      <c r="AC1517" s="10"/>
      <c r="AD1517" s="7">
        <f>SUM(F1517+H1517+J1517+L1517+N1517+P1517+R1517+T1517+V1517+X1517+Z1517+AB1517)</f>
        <v>0</v>
      </c>
      <c r="AE1517" s="7">
        <f>E1517+AD1517</f>
        <v>0</v>
      </c>
      <c r="AF1517" s="8">
        <f>G1517+I1517+K1517+M1517+O1517+Q1517+S1517+U1517+W1517+Y1517+AA1517+AC1517</f>
        <v>0</v>
      </c>
      <c r="AG1517" s="153">
        <f>SUM(AE1517-AF1517)</f>
        <v>0</v>
      </c>
    </row>
    <row r="1518" spans="1:42" customHeight="1" ht="11.5">
      <c r="A1518" s="5"/>
      <c r="B1518" s="173"/>
      <c r="C1518" s="167"/>
      <c r="D1518" s="88"/>
      <c r="E1518" s="174"/>
      <c r="F1518" s="9"/>
      <c r="G1518" s="10"/>
      <c r="H1518" s="9"/>
      <c r="I1518" s="10"/>
      <c r="J1518" s="152"/>
      <c r="K1518" s="10"/>
      <c r="L1518" s="152"/>
      <c r="M1518" s="10"/>
      <c r="N1518" s="152"/>
      <c r="O1518" s="10"/>
      <c r="P1518" s="152"/>
      <c r="Q1518" s="10"/>
      <c r="R1518" s="9"/>
      <c r="S1518" s="10"/>
      <c r="T1518" s="9"/>
      <c r="U1518" s="10"/>
      <c r="V1518" s="9"/>
      <c r="W1518" s="10"/>
      <c r="X1518" s="9"/>
      <c r="Y1518" s="10"/>
      <c r="Z1518" s="9"/>
      <c r="AA1518" s="10"/>
      <c r="AB1518" s="11"/>
      <c r="AC1518" s="10"/>
      <c r="AD1518" s="7">
        <f>SUM(F1518+H1518+J1518+L1518+N1518+P1518+R1518+T1518+V1518+X1518+Z1518+AB1518)</f>
        <v>0</v>
      </c>
      <c r="AE1518" s="7">
        <f>E1518+AD1518</f>
        <v>0</v>
      </c>
      <c r="AF1518" s="8">
        <f>G1518+I1518+K1518+M1518+O1518+Q1518+S1518+U1518+W1518+Y1518+AA1518+AC1518</f>
        <v>0</v>
      </c>
      <c r="AG1518" s="153">
        <f>SUM(AE1518-AF1518)</f>
        <v>0</v>
      </c>
    </row>
    <row r="1519" spans="1:42" customHeight="1" ht="11.5">
      <c r="A1519" s="5"/>
      <c r="B1519" s="173"/>
      <c r="C1519" s="167"/>
      <c r="D1519" s="88"/>
      <c r="E1519" s="174"/>
      <c r="F1519" s="9"/>
      <c r="G1519" s="10"/>
      <c r="H1519" s="9"/>
      <c r="I1519" s="10"/>
      <c r="J1519" s="152"/>
      <c r="K1519" s="10"/>
      <c r="L1519" s="152"/>
      <c r="M1519" s="10"/>
      <c r="N1519" s="152"/>
      <c r="O1519" s="10"/>
      <c r="P1519" s="152"/>
      <c r="Q1519" s="10"/>
      <c r="R1519" s="9"/>
      <c r="S1519" s="10"/>
      <c r="T1519" s="9"/>
      <c r="U1519" s="10"/>
      <c r="V1519" s="9"/>
      <c r="W1519" s="10"/>
      <c r="X1519" s="9"/>
      <c r="Y1519" s="10"/>
      <c r="Z1519" s="9"/>
      <c r="AA1519" s="10"/>
      <c r="AB1519" s="11"/>
      <c r="AC1519" s="10"/>
      <c r="AD1519" s="7">
        <f>SUM(F1519+H1519+J1519+L1519+N1519+P1519+R1519+T1519+V1519+X1519+Z1519+AB1519)</f>
        <v>0</v>
      </c>
      <c r="AE1519" s="7">
        <f>E1519+AD1519</f>
        <v>0</v>
      </c>
      <c r="AF1519" s="8">
        <f>G1519+I1519+K1519+M1519+O1519+Q1519+S1519+U1519+W1519+Y1519+AA1519+AC1519</f>
        <v>0</v>
      </c>
      <c r="AG1519" s="153">
        <f>SUM(AE1519-AF1519)</f>
        <v>0</v>
      </c>
    </row>
    <row r="1520" spans="1:42" customHeight="1" ht="11.5">
      <c r="A1520" s="5"/>
      <c r="B1520" s="173"/>
      <c r="C1520" s="167"/>
      <c r="D1520" s="88"/>
      <c r="E1520" s="174"/>
      <c r="F1520" s="9"/>
      <c r="G1520" s="10"/>
      <c r="H1520" s="9"/>
      <c r="I1520" s="10"/>
      <c r="J1520" s="152"/>
      <c r="K1520" s="10"/>
      <c r="L1520" s="152"/>
      <c r="M1520" s="10"/>
      <c r="N1520" s="152"/>
      <c r="O1520" s="10"/>
      <c r="P1520" s="152"/>
      <c r="Q1520" s="10"/>
      <c r="R1520" s="9"/>
      <c r="S1520" s="10"/>
      <c r="T1520" s="9"/>
      <c r="U1520" s="10"/>
      <c r="V1520" s="9"/>
      <c r="W1520" s="10"/>
      <c r="X1520" s="9"/>
      <c r="Y1520" s="10"/>
      <c r="Z1520" s="9"/>
      <c r="AA1520" s="10"/>
      <c r="AB1520" s="11"/>
      <c r="AC1520" s="10"/>
      <c r="AD1520" s="7">
        <f>SUM(F1520+H1520+J1520+L1520+N1520+P1520+R1520+T1520+V1520+X1520+Z1520+AB1520)</f>
        <v>0</v>
      </c>
      <c r="AE1520" s="7">
        <f>E1520+AD1520</f>
        <v>0</v>
      </c>
      <c r="AF1520" s="8">
        <f>G1520+I1520+K1520+M1520+O1520+Q1520+S1520+U1520+W1520+Y1520+AA1520+AC1520</f>
        <v>0</v>
      </c>
      <c r="AG1520" s="153">
        <f>SUM(AE1520-AF1520)</f>
        <v>0</v>
      </c>
    </row>
    <row r="1521" spans="1:42" customHeight="1" ht="11.5">
      <c r="A1521" s="5"/>
      <c r="B1521" s="173"/>
      <c r="C1521" s="167"/>
      <c r="D1521" s="88"/>
      <c r="E1521" s="174"/>
      <c r="F1521" s="9"/>
      <c r="G1521" s="10"/>
      <c r="H1521" s="9"/>
      <c r="I1521" s="10"/>
      <c r="J1521" s="152"/>
      <c r="K1521" s="10"/>
      <c r="L1521" s="152"/>
      <c r="M1521" s="10"/>
      <c r="N1521" s="152"/>
      <c r="O1521" s="10"/>
      <c r="P1521" s="152"/>
      <c r="Q1521" s="10"/>
      <c r="R1521" s="9"/>
      <c r="S1521" s="10"/>
      <c r="T1521" s="9"/>
      <c r="U1521" s="10"/>
      <c r="V1521" s="9"/>
      <c r="W1521" s="10"/>
      <c r="X1521" s="9"/>
      <c r="Y1521" s="10"/>
      <c r="Z1521" s="9"/>
      <c r="AA1521" s="10"/>
      <c r="AB1521" s="11"/>
      <c r="AC1521" s="10"/>
      <c r="AD1521" s="7">
        <f>SUM(F1521+H1521+J1521+L1521+N1521+P1521+R1521+T1521+V1521+X1521+Z1521+AB1521)</f>
        <v>0</v>
      </c>
      <c r="AE1521" s="7">
        <f>E1521+AD1521</f>
        <v>0</v>
      </c>
      <c r="AF1521" s="8">
        <f>G1521+I1521+K1521+M1521+O1521+Q1521+S1521+U1521+W1521+Y1521+AA1521+AC1521</f>
        <v>0</v>
      </c>
      <c r="AG1521" s="153">
        <f>SUM(AE1521-AF1521)</f>
        <v>0</v>
      </c>
    </row>
    <row r="1522" spans="1:42" customHeight="1" ht="11.5">
      <c r="A1522" s="5"/>
      <c r="B1522" s="173"/>
      <c r="C1522" s="167"/>
      <c r="D1522" s="88"/>
      <c r="E1522" s="174"/>
      <c r="F1522" s="9"/>
      <c r="G1522" s="10"/>
      <c r="H1522" s="9"/>
      <c r="I1522" s="10"/>
      <c r="J1522" s="152"/>
      <c r="K1522" s="10"/>
      <c r="L1522" s="152"/>
      <c r="M1522" s="10"/>
      <c r="N1522" s="152"/>
      <c r="O1522" s="10"/>
      <c r="P1522" s="152"/>
      <c r="Q1522" s="10"/>
      <c r="R1522" s="9"/>
      <c r="S1522" s="10"/>
      <c r="T1522" s="9"/>
      <c r="U1522" s="10"/>
      <c r="V1522" s="9"/>
      <c r="W1522" s="10"/>
      <c r="X1522" s="9"/>
      <c r="Y1522" s="10"/>
      <c r="Z1522" s="9"/>
      <c r="AA1522" s="10"/>
      <c r="AB1522" s="11"/>
      <c r="AC1522" s="10"/>
      <c r="AD1522" s="7">
        <f>SUM(F1522+H1522+J1522+L1522+N1522+P1522+R1522+T1522+V1522+X1522+Z1522+AB1522)</f>
        <v>0</v>
      </c>
      <c r="AE1522" s="7">
        <f>E1522+AD1522</f>
        <v>0</v>
      </c>
      <c r="AF1522" s="8">
        <f>G1522+I1522+K1522+M1522+O1522+Q1522+S1522+U1522+W1522+Y1522+AA1522+AC1522</f>
        <v>0</v>
      </c>
      <c r="AG1522" s="153">
        <f>SUM(AE1522-AF1522)</f>
        <v>0</v>
      </c>
    </row>
    <row r="1523" spans="1:42" customHeight="1" ht="11.5">
      <c r="A1523" s="5"/>
      <c r="B1523" s="173"/>
      <c r="C1523" s="167"/>
      <c r="D1523" s="88"/>
      <c r="E1523" s="174"/>
      <c r="F1523" s="9"/>
      <c r="G1523" s="10"/>
      <c r="H1523" s="9"/>
      <c r="I1523" s="10"/>
      <c r="J1523" s="152"/>
      <c r="K1523" s="10"/>
      <c r="L1523" s="152"/>
      <c r="M1523" s="10"/>
      <c r="N1523" s="152"/>
      <c r="O1523" s="10"/>
      <c r="P1523" s="152"/>
      <c r="Q1523" s="10"/>
      <c r="R1523" s="9"/>
      <c r="S1523" s="10"/>
      <c r="T1523" s="9"/>
      <c r="U1523" s="10"/>
      <c r="V1523" s="9"/>
      <c r="W1523" s="10"/>
      <c r="X1523" s="9"/>
      <c r="Y1523" s="10"/>
      <c r="Z1523" s="9"/>
      <c r="AA1523" s="10"/>
      <c r="AB1523" s="11"/>
      <c r="AC1523" s="10"/>
      <c r="AD1523" s="7">
        <f>SUM(F1523+H1523+J1523+L1523+N1523+P1523+R1523+T1523+V1523+X1523+Z1523+AB1523)</f>
        <v>0</v>
      </c>
      <c r="AE1523" s="7">
        <f>E1523+AD1523</f>
        <v>0</v>
      </c>
      <c r="AF1523" s="8">
        <f>G1523+I1523+K1523+M1523+O1523+Q1523+S1523+U1523+W1523+Y1523+AA1523+AC1523</f>
        <v>0</v>
      </c>
      <c r="AG1523" s="153">
        <f>SUM(AE1523-AF1523)</f>
        <v>0</v>
      </c>
    </row>
    <row r="1524" spans="1:42" customHeight="1" ht="11.5">
      <c r="A1524" s="5"/>
      <c r="B1524" s="173"/>
      <c r="C1524" s="167"/>
      <c r="D1524" s="88"/>
      <c r="E1524" s="174"/>
      <c r="F1524" s="9"/>
      <c r="G1524" s="10"/>
      <c r="H1524" s="9"/>
      <c r="I1524" s="10"/>
      <c r="J1524" s="152"/>
      <c r="K1524" s="10"/>
      <c r="L1524" s="152"/>
      <c r="M1524" s="10"/>
      <c r="N1524" s="152"/>
      <c r="O1524" s="10"/>
      <c r="P1524" s="152"/>
      <c r="Q1524" s="10"/>
      <c r="R1524" s="9"/>
      <c r="S1524" s="10"/>
      <c r="T1524" s="9"/>
      <c r="U1524" s="10"/>
      <c r="V1524" s="9"/>
      <c r="W1524" s="10"/>
      <c r="X1524" s="9"/>
      <c r="Y1524" s="10"/>
      <c r="Z1524" s="9"/>
      <c r="AA1524" s="10"/>
      <c r="AB1524" s="11"/>
      <c r="AC1524" s="10"/>
      <c r="AD1524" s="7">
        <f>SUM(F1524+H1524+J1524+L1524+N1524+P1524+R1524+T1524+V1524+X1524+Z1524+AB1524)</f>
        <v>0</v>
      </c>
      <c r="AE1524" s="7">
        <f>E1524+AD1524</f>
        <v>0</v>
      </c>
      <c r="AF1524" s="8">
        <f>G1524+I1524+K1524+M1524+O1524+Q1524+S1524+U1524+W1524+Y1524+AA1524+AC1524</f>
        <v>0</v>
      </c>
      <c r="AG1524" s="153">
        <f>SUM(AE1524-AF1524)</f>
        <v>0</v>
      </c>
    </row>
    <row r="1525" spans="1:42" customHeight="1" ht="11.5">
      <c r="A1525" s="5"/>
      <c r="B1525" s="173"/>
      <c r="C1525" s="167"/>
      <c r="D1525" s="88"/>
      <c r="E1525" s="174"/>
      <c r="F1525" s="9"/>
      <c r="G1525" s="10"/>
      <c r="H1525" s="9"/>
      <c r="I1525" s="10"/>
      <c r="J1525" s="152"/>
      <c r="K1525" s="10"/>
      <c r="L1525" s="152"/>
      <c r="M1525" s="10"/>
      <c r="N1525" s="152"/>
      <c r="O1525" s="10"/>
      <c r="P1525" s="152"/>
      <c r="Q1525" s="10"/>
      <c r="R1525" s="9"/>
      <c r="S1525" s="10"/>
      <c r="T1525" s="9"/>
      <c r="U1525" s="10"/>
      <c r="V1525" s="9"/>
      <c r="W1525" s="10"/>
      <c r="X1525" s="9"/>
      <c r="Y1525" s="10"/>
      <c r="Z1525" s="9"/>
      <c r="AA1525" s="10"/>
      <c r="AB1525" s="11"/>
      <c r="AC1525" s="10"/>
      <c r="AD1525" s="7">
        <f>SUM(F1525+H1525+J1525+L1525+N1525+P1525+R1525+T1525+V1525+X1525+Z1525+AB1525)</f>
        <v>0</v>
      </c>
      <c r="AE1525" s="7">
        <f>E1525+AD1525</f>
        <v>0</v>
      </c>
      <c r="AF1525" s="8">
        <f>G1525+I1525+K1525+M1525+O1525+Q1525+S1525+U1525+W1525+Y1525+AA1525+AC1525</f>
        <v>0</v>
      </c>
      <c r="AG1525" s="153">
        <f>SUM(AE1525-AF1525)</f>
        <v>0</v>
      </c>
    </row>
    <row r="1526" spans="1:42" customHeight="1" ht="11.5">
      <c r="A1526" s="5"/>
      <c r="B1526" s="173"/>
      <c r="C1526" s="167"/>
      <c r="D1526" s="88"/>
      <c r="E1526" s="174"/>
      <c r="F1526" s="9"/>
      <c r="G1526" s="10"/>
      <c r="H1526" s="9"/>
      <c r="I1526" s="10"/>
      <c r="J1526" s="152"/>
      <c r="K1526" s="10"/>
      <c r="L1526" s="152"/>
      <c r="M1526" s="10"/>
      <c r="N1526" s="152"/>
      <c r="O1526" s="10"/>
      <c r="P1526" s="152"/>
      <c r="Q1526" s="10"/>
      <c r="R1526" s="9"/>
      <c r="S1526" s="10"/>
      <c r="T1526" s="9"/>
      <c r="U1526" s="10"/>
      <c r="V1526" s="9"/>
      <c r="W1526" s="10"/>
      <c r="X1526" s="9"/>
      <c r="Y1526" s="10"/>
      <c r="Z1526" s="9"/>
      <c r="AA1526" s="10"/>
      <c r="AB1526" s="11"/>
      <c r="AC1526" s="10"/>
      <c r="AD1526" s="7">
        <f>SUM(F1526+H1526+J1526+L1526+N1526+P1526+R1526+T1526+V1526+X1526+Z1526+AB1526)</f>
        <v>0</v>
      </c>
      <c r="AE1526" s="7">
        <f>E1526+AD1526</f>
        <v>0</v>
      </c>
      <c r="AF1526" s="8">
        <f>G1526+I1526+K1526+M1526+O1526+Q1526+S1526+U1526+W1526+Y1526+AA1526+AC1526</f>
        <v>0</v>
      </c>
      <c r="AG1526" s="153">
        <f>SUM(AE1526-AF1526)</f>
        <v>0</v>
      </c>
    </row>
    <row r="1527" spans="1:42" customHeight="1" ht="11.5">
      <c r="A1527" s="5"/>
      <c r="B1527" s="173"/>
      <c r="C1527" s="167"/>
      <c r="D1527" s="88"/>
      <c r="E1527" s="174"/>
      <c r="F1527" s="9"/>
      <c r="G1527" s="10"/>
      <c r="H1527" s="9"/>
      <c r="I1527" s="10"/>
      <c r="J1527" s="152"/>
      <c r="K1527" s="10"/>
      <c r="L1527" s="152"/>
      <c r="M1527" s="10"/>
      <c r="N1527" s="152"/>
      <c r="O1527" s="10"/>
      <c r="P1527" s="152"/>
      <c r="Q1527" s="10"/>
      <c r="R1527" s="9"/>
      <c r="S1527" s="10"/>
      <c r="T1527" s="9"/>
      <c r="U1527" s="10"/>
      <c r="V1527" s="9"/>
      <c r="W1527" s="10"/>
      <c r="X1527" s="9"/>
      <c r="Y1527" s="10"/>
      <c r="Z1527" s="9"/>
      <c r="AA1527" s="10"/>
      <c r="AB1527" s="11"/>
      <c r="AC1527" s="10"/>
      <c r="AD1527" s="7">
        <f>SUM(F1527+H1527+J1527+L1527+N1527+P1527+R1527+T1527+V1527+X1527+Z1527+AB1527)</f>
        <v>0</v>
      </c>
      <c r="AE1527" s="7">
        <f>E1527+AD1527</f>
        <v>0</v>
      </c>
      <c r="AF1527" s="8">
        <f>G1527+I1527+K1527+M1527+O1527+Q1527+S1527+U1527+W1527+Y1527+AA1527+AC1527</f>
        <v>0</v>
      </c>
      <c r="AG1527" s="153">
        <f>SUM(AE1527-AF1527)</f>
        <v>0</v>
      </c>
    </row>
    <row r="1528" spans="1:42" customHeight="1" ht="11.5">
      <c r="A1528" s="5"/>
      <c r="B1528" s="173"/>
      <c r="C1528" s="167"/>
      <c r="D1528" s="88"/>
      <c r="E1528" s="174"/>
      <c r="F1528" s="9"/>
      <c r="G1528" s="10"/>
      <c r="H1528" s="9"/>
      <c r="I1528" s="10"/>
      <c r="J1528" s="152"/>
      <c r="K1528" s="10"/>
      <c r="L1528" s="152"/>
      <c r="M1528" s="10"/>
      <c r="N1528" s="152"/>
      <c r="O1528" s="10"/>
      <c r="P1528" s="152"/>
      <c r="Q1528" s="10"/>
      <c r="R1528" s="9"/>
      <c r="S1528" s="10"/>
      <c r="T1528" s="9"/>
      <c r="U1528" s="10"/>
      <c r="V1528" s="9"/>
      <c r="W1528" s="10"/>
      <c r="X1528" s="9"/>
      <c r="Y1528" s="10"/>
      <c r="Z1528" s="9"/>
      <c r="AA1528" s="10"/>
      <c r="AB1528" s="11"/>
      <c r="AC1528" s="10"/>
      <c r="AD1528" s="7">
        <f>SUM(F1528+H1528+J1528+L1528+N1528+P1528+R1528+T1528+V1528+X1528+Z1528+AB1528)</f>
        <v>0</v>
      </c>
      <c r="AE1528" s="7">
        <f>E1528+AD1528</f>
        <v>0</v>
      </c>
      <c r="AF1528" s="8">
        <f>G1528+I1528+K1528+M1528+O1528+Q1528+S1528+U1528+W1528+Y1528+AA1528+AC1528</f>
        <v>0</v>
      </c>
      <c r="AG1528" s="153">
        <f>SUM(AE1528-AF1528)</f>
        <v>0</v>
      </c>
    </row>
    <row r="1529" spans="1:42" customHeight="1" ht="11.5">
      <c r="A1529" s="5"/>
      <c r="B1529" s="173"/>
      <c r="C1529" s="167"/>
      <c r="D1529" s="88"/>
      <c r="E1529" s="174"/>
      <c r="F1529" s="9"/>
      <c r="G1529" s="10"/>
      <c r="H1529" s="9"/>
      <c r="I1529" s="10"/>
      <c r="J1529" s="152"/>
      <c r="K1529" s="10"/>
      <c r="L1529" s="152"/>
      <c r="M1529" s="10"/>
      <c r="N1529" s="152"/>
      <c r="O1529" s="10"/>
      <c r="P1529" s="152"/>
      <c r="Q1529" s="10"/>
      <c r="R1529" s="9"/>
      <c r="S1529" s="10"/>
      <c r="T1529" s="9"/>
      <c r="U1529" s="10"/>
      <c r="V1529" s="9"/>
      <c r="W1529" s="10"/>
      <c r="X1529" s="9"/>
      <c r="Y1529" s="10"/>
      <c r="Z1529" s="9"/>
      <c r="AA1529" s="10"/>
      <c r="AB1529" s="11"/>
      <c r="AC1529" s="10"/>
      <c r="AD1529" s="7">
        <f>SUM(F1529+H1529+J1529+L1529+N1529+P1529+R1529+T1529+V1529+X1529+Z1529+AB1529)</f>
        <v>0</v>
      </c>
      <c r="AE1529" s="7">
        <f>E1529+AD1529</f>
        <v>0</v>
      </c>
      <c r="AF1529" s="8">
        <f>G1529+I1529+K1529+M1529+O1529+Q1529+S1529+U1529+W1529+Y1529+AA1529+AC1529</f>
        <v>0</v>
      </c>
      <c r="AG1529" s="153">
        <f>SUM(AE1529-AF1529)</f>
        <v>0</v>
      </c>
    </row>
    <row r="1530" spans="1:42" customHeight="1" ht="11.5">
      <c r="A1530" s="5"/>
      <c r="B1530" s="173"/>
      <c r="C1530" s="167"/>
      <c r="D1530" s="88"/>
      <c r="E1530" s="174"/>
      <c r="F1530" s="9"/>
      <c r="G1530" s="10"/>
      <c r="H1530" s="9"/>
      <c r="I1530" s="10"/>
      <c r="J1530" s="152"/>
      <c r="K1530" s="10"/>
      <c r="L1530" s="152"/>
      <c r="M1530" s="10"/>
      <c r="N1530" s="152"/>
      <c r="O1530" s="10"/>
      <c r="P1530" s="152"/>
      <c r="Q1530" s="10"/>
      <c r="R1530" s="9"/>
      <c r="S1530" s="10"/>
      <c r="T1530" s="9"/>
      <c r="U1530" s="10"/>
      <c r="V1530" s="9"/>
      <c r="W1530" s="10"/>
      <c r="X1530" s="9"/>
      <c r="Y1530" s="10"/>
      <c r="Z1530" s="9"/>
      <c r="AA1530" s="10"/>
      <c r="AB1530" s="11"/>
      <c r="AC1530" s="10"/>
      <c r="AD1530" s="7">
        <f>SUM(F1530+H1530+J1530+L1530+N1530+P1530+R1530+T1530+V1530+X1530+Z1530+AB1530)</f>
        <v>0</v>
      </c>
      <c r="AE1530" s="7">
        <f>E1530+AD1530</f>
        <v>0</v>
      </c>
      <c r="AF1530" s="8">
        <f>G1530+I1530+K1530+M1530+O1530+Q1530+S1530+U1530+W1530+Y1530+AA1530+AC1530</f>
        <v>0</v>
      </c>
      <c r="AG1530" s="153">
        <f>SUM(AE1530-AF1530)</f>
        <v>0</v>
      </c>
    </row>
    <row r="1531" spans="1:42" customHeight="1" ht="11.5">
      <c r="A1531" s="5"/>
      <c r="B1531" s="173"/>
      <c r="C1531" s="167"/>
      <c r="D1531" s="88"/>
      <c r="E1531" s="174"/>
      <c r="F1531" s="9"/>
      <c r="G1531" s="10"/>
      <c r="H1531" s="9"/>
      <c r="I1531" s="10"/>
      <c r="J1531" s="152"/>
      <c r="K1531" s="10"/>
      <c r="L1531" s="152"/>
      <c r="M1531" s="10"/>
      <c r="N1531" s="152"/>
      <c r="O1531" s="10"/>
      <c r="P1531" s="152"/>
      <c r="Q1531" s="10"/>
      <c r="R1531" s="9"/>
      <c r="S1531" s="10"/>
      <c r="T1531" s="9"/>
      <c r="U1531" s="10"/>
      <c r="V1531" s="9"/>
      <c r="W1531" s="10"/>
      <c r="X1531" s="9"/>
      <c r="Y1531" s="10"/>
      <c r="Z1531" s="9"/>
      <c r="AA1531" s="10"/>
      <c r="AB1531" s="11"/>
      <c r="AC1531" s="10"/>
      <c r="AD1531" s="7">
        <f>SUM(F1531+H1531+J1531+L1531+N1531+P1531+R1531+T1531+V1531+X1531+Z1531+AB1531)</f>
        <v>0</v>
      </c>
      <c r="AE1531" s="7">
        <f>E1531+AD1531</f>
        <v>0</v>
      </c>
      <c r="AF1531" s="8">
        <f>G1531+I1531+K1531+M1531+O1531+Q1531+S1531+U1531+W1531+Y1531+AA1531+AC1531</f>
        <v>0</v>
      </c>
      <c r="AG1531" s="153">
        <f>SUM(AE1531-AF1531)</f>
        <v>0</v>
      </c>
    </row>
    <row r="1532" spans="1:42" customHeight="1" ht="11.5">
      <c r="A1532" s="5"/>
      <c r="B1532" s="173"/>
      <c r="C1532" s="167"/>
      <c r="D1532" s="88"/>
      <c r="E1532" s="174"/>
      <c r="F1532" s="9"/>
      <c r="G1532" s="10"/>
      <c r="H1532" s="9"/>
      <c r="I1532" s="10"/>
      <c r="J1532" s="152"/>
      <c r="K1532" s="10"/>
      <c r="L1532" s="152"/>
      <c r="M1532" s="10"/>
      <c r="N1532" s="152"/>
      <c r="O1532" s="10"/>
      <c r="P1532" s="152"/>
      <c r="Q1532" s="10"/>
      <c r="R1532" s="9"/>
      <c r="S1532" s="10"/>
      <c r="T1532" s="9"/>
      <c r="U1532" s="10"/>
      <c r="V1532" s="9"/>
      <c r="W1532" s="10"/>
      <c r="X1532" s="9"/>
      <c r="Y1532" s="10"/>
      <c r="Z1532" s="9"/>
      <c r="AA1532" s="10"/>
      <c r="AB1532" s="11"/>
      <c r="AC1532" s="10"/>
      <c r="AD1532" s="7">
        <f>SUM(F1532+H1532+J1532+L1532+N1532+P1532+R1532+T1532+V1532+X1532+Z1532+AB1532)</f>
        <v>0</v>
      </c>
      <c r="AE1532" s="7">
        <f>E1532+AD1532</f>
        <v>0</v>
      </c>
      <c r="AF1532" s="8">
        <f>G1532+I1532+K1532+M1532+O1532+Q1532+S1532+U1532+W1532+Y1532+AA1532+AC1532</f>
        <v>0</v>
      </c>
      <c r="AG1532" s="153">
        <f>SUM(AE1532-AF1532)</f>
        <v>0</v>
      </c>
    </row>
    <row r="1533" spans="1:42" customHeight="1" ht="11.5">
      <c r="A1533" s="5"/>
      <c r="B1533" s="173"/>
      <c r="C1533" s="167"/>
      <c r="D1533" s="88"/>
      <c r="E1533" s="174"/>
      <c r="F1533" s="9"/>
      <c r="G1533" s="10"/>
      <c r="H1533" s="9"/>
      <c r="I1533" s="10"/>
      <c r="J1533" s="152"/>
      <c r="K1533" s="10"/>
      <c r="L1533" s="152"/>
      <c r="M1533" s="10"/>
      <c r="N1533" s="152"/>
      <c r="O1533" s="10"/>
      <c r="P1533" s="152"/>
      <c r="Q1533" s="10"/>
      <c r="R1533" s="9"/>
      <c r="S1533" s="10"/>
      <c r="T1533" s="9"/>
      <c r="U1533" s="10"/>
      <c r="V1533" s="9"/>
      <c r="W1533" s="10"/>
      <c r="X1533" s="9"/>
      <c r="Y1533" s="10"/>
      <c r="Z1533" s="9"/>
      <c r="AA1533" s="10"/>
      <c r="AB1533" s="11"/>
      <c r="AC1533" s="10"/>
      <c r="AD1533" s="7">
        <f>SUM(F1533+H1533+J1533+L1533+N1533+P1533+R1533+T1533+V1533+X1533+Z1533+AB1533)</f>
        <v>0</v>
      </c>
      <c r="AE1533" s="7">
        <f>E1533+AD1533</f>
        <v>0</v>
      </c>
      <c r="AF1533" s="8">
        <f>G1533+I1533+K1533+M1533+O1533+Q1533+S1533+U1533+W1533+Y1533+AA1533+AC1533</f>
        <v>0</v>
      </c>
      <c r="AG1533" s="153">
        <f>SUM(AE1533-AF1533)</f>
        <v>0</v>
      </c>
    </row>
    <row r="1534" spans="1:42" customHeight="1" ht="11.5">
      <c r="A1534" s="5"/>
      <c r="B1534" s="173"/>
      <c r="C1534" s="167"/>
      <c r="D1534" s="88"/>
      <c r="E1534" s="174"/>
      <c r="F1534" s="9"/>
      <c r="G1534" s="10"/>
      <c r="H1534" s="9"/>
      <c r="I1534" s="10"/>
      <c r="J1534" s="152"/>
      <c r="K1534" s="10"/>
      <c r="L1534" s="152"/>
      <c r="M1534" s="10"/>
      <c r="N1534" s="152"/>
      <c r="O1534" s="10"/>
      <c r="P1534" s="152"/>
      <c r="Q1534" s="10"/>
      <c r="R1534" s="9"/>
      <c r="S1534" s="10"/>
      <c r="T1534" s="9"/>
      <c r="U1534" s="10"/>
      <c r="V1534" s="9"/>
      <c r="W1534" s="10"/>
      <c r="X1534" s="9"/>
      <c r="Y1534" s="10"/>
      <c r="Z1534" s="9"/>
      <c r="AA1534" s="10"/>
      <c r="AB1534" s="11"/>
      <c r="AC1534" s="10"/>
      <c r="AD1534" s="7">
        <f>SUM(F1534+H1534+J1534+L1534+N1534+P1534+R1534+T1534+V1534+X1534+Z1534+AB1534)</f>
        <v>0</v>
      </c>
      <c r="AE1534" s="7">
        <f>E1534+AD1534</f>
        <v>0</v>
      </c>
      <c r="AF1534" s="8">
        <f>G1534+I1534+K1534+M1534+O1534+Q1534+S1534+U1534+W1534+Y1534+AA1534+AC1534</f>
        <v>0</v>
      </c>
      <c r="AG1534" s="153">
        <f>SUM(AE1534-AF1534)</f>
        <v>0</v>
      </c>
    </row>
    <row r="1535" spans="1:42" customHeight="1" ht="11.5">
      <c r="A1535" s="5"/>
      <c r="B1535" s="173"/>
      <c r="C1535" s="167"/>
      <c r="D1535" s="88"/>
      <c r="E1535" s="174"/>
      <c r="F1535" s="9"/>
      <c r="G1535" s="10"/>
      <c r="H1535" s="9"/>
      <c r="I1535" s="10"/>
      <c r="J1535" s="152"/>
      <c r="K1535" s="10"/>
      <c r="L1535" s="152"/>
      <c r="M1535" s="10"/>
      <c r="N1535" s="152"/>
      <c r="O1535" s="10"/>
      <c r="P1535" s="152"/>
      <c r="Q1535" s="10"/>
      <c r="R1535" s="9"/>
      <c r="S1535" s="10"/>
      <c r="T1535" s="9"/>
      <c r="U1535" s="10"/>
      <c r="V1535" s="9"/>
      <c r="W1535" s="10"/>
      <c r="X1535" s="9"/>
      <c r="Y1535" s="10"/>
      <c r="Z1535" s="9"/>
      <c r="AA1535" s="10"/>
      <c r="AB1535" s="11"/>
      <c r="AC1535" s="10"/>
      <c r="AD1535" s="7">
        <f>SUM(F1535+H1535+J1535+L1535+N1535+P1535+R1535+T1535+V1535+X1535+Z1535+AB1535)</f>
        <v>0</v>
      </c>
      <c r="AE1535" s="7">
        <f>E1535+AD1535</f>
        <v>0</v>
      </c>
      <c r="AF1535" s="8">
        <f>G1535+I1535+K1535+M1535+O1535+Q1535+S1535+U1535+W1535+Y1535+AA1535+AC1535</f>
        <v>0</v>
      </c>
      <c r="AG1535" s="153">
        <f>SUM(AE1535-AF1535)</f>
        <v>0</v>
      </c>
    </row>
    <row r="1536" spans="1:42" customHeight="1" ht="11.5">
      <c r="A1536" s="5"/>
      <c r="B1536" s="173"/>
      <c r="C1536" s="167"/>
      <c r="D1536" s="88"/>
      <c r="E1536" s="174"/>
      <c r="F1536" s="9"/>
      <c r="G1536" s="10"/>
      <c r="H1536" s="9"/>
      <c r="I1536" s="10"/>
      <c r="J1536" s="152"/>
      <c r="K1536" s="10"/>
      <c r="L1536" s="152"/>
      <c r="M1536" s="10"/>
      <c r="N1536" s="152"/>
      <c r="O1536" s="10"/>
      <c r="P1536" s="152"/>
      <c r="Q1536" s="10"/>
      <c r="R1536" s="9"/>
      <c r="S1536" s="10"/>
      <c r="T1536" s="9"/>
      <c r="U1536" s="10"/>
      <c r="V1536" s="9"/>
      <c r="W1536" s="10"/>
      <c r="X1536" s="9"/>
      <c r="Y1536" s="10"/>
      <c r="Z1536" s="9"/>
      <c r="AA1536" s="10"/>
      <c r="AB1536" s="11"/>
      <c r="AC1536" s="10"/>
      <c r="AD1536" s="7">
        <f>SUM(F1536+H1536+J1536+L1536+N1536+P1536+R1536+T1536+V1536+X1536+Z1536+AB1536)</f>
        <v>0</v>
      </c>
      <c r="AE1536" s="7">
        <f>E1536+AD1536</f>
        <v>0</v>
      </c>
      <c r="AF1536" s="8">
        <f>G1536+I1536+K1536+M1536+O1536+Q1536+S1536+U1536+W1536+Y1536+AA1536+AC1536</f>
        <v>0</v>
      </c>
      <c r="AG1536" s="153">
        <f>SUM(AE1536-AF1536)</f>
        <v>0</v>
      </c>
    </row>
    <row r="1537" spans="1:42" customHeight="1" ht="11.5">
      <c r="A1537" s="5"/>
      <c r="B1537" s="173"/>
      <c r="C1537" s="167"/>
      <c r="D1537" s="88"/>
      <c r="E1537" s="174"/>
      <c r="F1537" s="9"/>
      <c r="G1537" s="10"/>
      <c r="H1537" s="9"/>
      <c r="I1537" s="10"/>
      <c r="J1537" s="152"/>
      <c r="K1537" s="10"/>
      <c r="L1537" s="152"/>
      <c r="M1537" s="10"/>
      <c r="N1537" s="152"/>
      <c r="O1537" s="10"/>
      <c r="P1537" s="152"/>
      <c r="Q1537" s="10"/>
      <c r="R1537" s="9"/>
      <c r="S1537" s="10"/>
      <c r="T1537" s="9"/>
      <c r="U1537" s="10"/>
      <c r="V1537" s="9"/>
      <c r="W1537" s="10"/>
      <c r="X1537" s="9"/>
      <c r="Y1537" s="10"/>
      <c r="Z1537" s="9"/>
      <c r="AA1537" s="10"/>
      <c r="AB1537" s="11"/>
      <c r="AC1537" s="10"/>
      <c r="AD1537" s="7">
        <f>SUM(F1537+H1537+J1537+L1537+N1537+P1537+R1537+T1537+V1537+X1537+Z1537+AB1537)</f>
        <v>0</v>
      </c>
      <c r="AE1537" s="7">
        <f>E1537+AD1537</f>
        <v>0</v>
      </c>
      <c r="AF1537" s="8">
        <f>G1537+I1537+K1537+M1537+O1537+Q1537+S1537+U1537+W1537+Y1537+AA1537+AC1537</f>
        <v>0</v>
      </c>
      <c r="AG1537" s="153">
        <f>SUM(AE1537-AF1537)</f>
        <v>0</v>
      </c>
    </row>
    <row r="1538" spans="1:42" customHeight="1" ht="11.5">
      <c r="A1538" s="5"/>
      <c r="B1538" s="173"/>
      <c r="C1538" s="167"/>
      <c r="D1538" s="88"/>
      <c r="E1538" s="174"/>
      <c r="F1538" s="9"/>
      <c r="G1538" s="10"/>
      <c r="H1538" s="9"/>
      <c r="I1538" s="10"/>
      <c r="J1538" s="152"/>
      <c r="K1538" s="10"/>
      <c r="L1538" s="152"/>
      <c r="M1538" s="10"/>
      <c r="N1538" s="152"/>
      <c r="O1538" s="10"/>
      <c r="P1538" s="152"/>
      <c r="Q1538" s="10"/>
      <c r="R1538" s="9"/>
      <c r="S1538" s="10"/>
      <c r="T1538" s="9"/>
      <c r="U1538" s="10"/>
      <c r="V1538" s="9"/>
      <c r="W1538" s="10"/>
      <c r="X1538" s="9"/>
      <c r="Y1538" s="10"/>
      <c r="Z1538" s="9"/>
      <c r="AA1538" s="10"/>
      <c r="AB1538" s="11"/>
      <c r="AC1538" s="10"/>
      <c r="AD1538" s="7">
        <f>SUM(F1538+H1538+J1538+L1538+N1538+P1538+R1538+T1538+V1538+X1538+Z1538+AB1538)</f>
        <v>0</v>
      </c>
      <c r="AE1538" s="7">
        <f>E1538+AD1538</f>
        <v>0</v>
      </c>
      <c r="AF1538" s="8">
        <f>G1538+I1538+K1538+M1538+O1538+Q1538+S1538+U1538+W1538+Y1538+AA1538+AC1538</f>
        <v>0</v>
      </c>
      <c r="AG1538" s="153">
        <f>SUM(AE1538-AF1538)</f>
        <v>0</v>
      </c>
    </row>
    <row r="1539" spans="1:42" customHeight="1" ht="11.5">
      <c r="A1539" s="5"/>
      <c r="B1539" s="173"/>
      <c r="C1539" s="167"/>
      <c r="D1539" s="88"/>
      <c r="E1539" s="174"/>
      <c r="F1539" s="9"/>
      <c r="G1539" s="10"/>
      <c r="H1539" s="9"/>
      <c r="I1539" s="10"/>
      <c r="J1539" s="152"/>
      <c r="K1539" s="10"/>
      <c r="L1539" s="152"/>
      <c r="M1539" s="10"/>
      <c r="N1539" s="152"/>
      <c r="O1539" s="10"/>
      <c r="P1539" s="152"/>
      <c r="Q1539" s="10"/>
      <c r="R1539" s="9"/>
      <c r="S1539" s="10"/>
      <c r="T1539" s="9"/>
      <c r="U1539" s="10"/>
      <c r="V1539" s="9"/>
      <c r="W1539" s="10"/>
      <c r="X1539" s="9"/>
      <c r="Y1539" s="10"/>
      <c r="Z1539" s="9"/>
      <c r="AA1539" s="10"/>
      <c r="AB1539" s="11"/>
      <c r="AC1539" s="10"/>
      <c r="AD1539" s="7">
        <f>SUM(F1539+H1539+J1539+L1539+N1539+P1539+R1539+T1539+V1539+X1539+Z1539+AB1539)</f>
        <v>0</v>
      </c>
      <c r="AE1539" s="7">
        <f>E1539+AD1539</f>
        <v>0</v>
      </c>
      <c r="AF1539" s="8">
        <f>G1539+I1539+K1539+M1539+O1539+Q1539+S1539+U1539+W1539+Y1539+AA1539+AC1539</f>
        <v>0</v>
      </c>
      <c r="AG1539" s="153">
        <f>SUM(AE1539-AF1539)</f>
        <v>0</v>
      </c>
    </row>
    <row r="1540" spans="1:42" customHeight="1" ht="11.5">
      <c r="A1540" s="5"/>
      <c r="B1540" s="173"/>
      <c r="C1540" s="167"/>
      <c r="D1540" s="88"/>
      <c r="E1540" s="174"/>
      <c r="F1540" s="9"/>
      <c r="G1540" s="10"/>
      <c r="H1540" s="9"/>
      <c r="I1540" s="10"/>
      <c r="J1540" s="152"/>
      <c r="K1540" s="10"/>
      <c r="L1540" s="152"/>
      <c r="M1540" s="10"/>
      <c r="N1540" s="152"/>
      <c r="O1540" s="10"/>
      <c r="P1540" s="152"/>
      <c r="Q1540" s="10"/>
      <c r="R1540" s="9"/>
      <c r="S1540" s="10"/>
      <c r="T1540" s="9"/>
      <c r="U1540" s="10"/>
      <c r="V1540" s="9"/>
      <c r="W1540" s="10"/>
      <c r="X1540" s="9"/>
      <c r="Y1540" s="10"/>
      <c r="Z1540" s="9"/>
      <c r="AA1540" s="10"/>
      <c r="AB1540" s="11"/>
      <c r="AC1540" s="10"/>
      <c r="AD1540" s="7">
        <f>SUM(F1540+H1540+J1540+L1540+N1540+P1540+R1540+T1540+V1540+X1540+Z1540+AB1540)</f>
        <v>0</v>
      </c>
      <c r="AE1540" s="7">
        <f>E1540+AD1540</f>
        <v>0</v>
      </c>
      <c r="AF1540" s="8">
        <f>G1540+I1540+K1540+M1540+O1540+Q1540+S1540+U1540+W1540+Y1540+AA1540+AC1540</f>
        <v>0</v>
      </c>
      <c r="AG1540" s="153">
        <f>SUM(AE1540-AF1540)</f>
        <v>0</v>
      </c>
    </row>
    <row r="1541" spans="1:42" customHeight="1" ht="11.5">
      <c r="A1541" s="5"/>
      <c r="B1541" s="173"/>
      <c r="C1541" s="167"/>
      <c r="D1541" s="88"/>
      <c r="E1541" s="174"/>
      <c r="F1541" s="9"/>
      <c r="G1541" s="10"/>
      <c r="H1541" s="9"/>
      <c r="I1541" s="10"/>
      <c r="J1541" s="152"/>
      <c r="K1541" s="10"/>
      <c r="L1541" s="152"/>
      <c r="M1541" s="10"/>
      <c r="N1541" s="152"/>
      <c r="O1541" s="10"/>
      <c r="P1541" s="152"/>
      <c r="Q1541" s="10"/>
      <c r="R1541" s="9"/>
      <c r="S1541" s="10"/>
      <c r="T1541" s="9"/>
      <c r="U1541" s="10"/>
      <c r="V1541" s="9"/>
      <c r="W1541" s="10"/>
      <c r="X1541" s="9"/>
      <c r="Y1541" s="10"/>
      <c r="Z1541" s="9"/>
      <c r="AA1541" s="10"/>
      <c r="AB1541" s="11"/>
      <c r="AC1541" s="10"/>
      <c r="AD1541" s="7">
        <f>SUM(F1541+H1541+J1541+L1541+N1541+P1541+R1541+T1541+V1541+X1541+Z1541+AB1541)</f>
        <v>0</v>
      </c>
      <c r="AE1541" s="7">
        <f>E1541+AD1541</f>
        <v>0</v>
      </c>
      <c r="AF1541" s="8">
        <f>G1541+I1541+K1541+M1541+O1541+Q1541+S1541+U1541+W1541+Y1541+AA1541+AC1541</f>
        <v>0</v>
      </c>
      <c r="AG1541" s="153">
        <f>SUM(AE1541-AF1541)</f>
        <v>0</v>
      </c>
    </row>
    <row r="1542" spans="1:42" customHeight="1" ht="11.5">
      <c r="A1542" s="5"/>
      <c r="B1542" s="173"/>
      <c r="C1542" s="167"/>
      <c r="D1542" s="88"/>
      <c r="E1542" s="174"/>
      <c r="F1542" s="9"/>
      <c r="G1542" s="10"/>
      <c r="H1542" s="9"/>
      <c r="I1542" s="10"/>
      <c r="J1542" s="152"/>
      <c r="K1542" s="10"/>
      <c r="L1542" s="152"/>
      <c r="M1542" s="10"/>
      <c r="N1542" s="152"/>
      <c r="O1542" s="10"/>
      <c r="P1542" s="152"/>
      <c r="Q1542" s="10"/>
      <c r="R1542" s="9"/>
      <c r="S1542" s="10"/>
      <c r="T1542" s="9"/>
      <c r="U1542" s="10"/>
      <c r="V1542" s="9"/>
      <c r="W1542" s="10"/>
      <c r="X1542" s="9"/>
      <c r="Y1542" s="10"/>
      <c r="Z1542" s="9"/>
      <c r="AA1542" s="10"/>
      <c r="AB1542" s="11"/>
      <c r="AC1542" s="10"/>
      <c r="AD1542" s="7">
        <f>SUM(F1542+H1542+J1542+L1542+N1542+P1542+R1542+T1542+V1542+X1542+Z1542+AB1542)</f>
        <v>0</v>
      </c>
      <c r="AE1542" s="7">
        <f>E1542+AD1542</f>
        <v>0</v>
      </c>
      <c r="AF1542" s="8">
        <f>G1542+I1542+K1542+M1542+O1542+Q1542+S1542+U1542+W1542+Y1542+AA1542+AC1542</f>
        <v>0</v>
      </c>
      <c r="AG1542" s="153">
        <f>SUM(AE1542-AF1542)</f>
        <v>0</v>
      </c>
    </row>
    <row r="1543" spans="1:42" customHeight="1" ht="11.5">
      <c r="A1543" s="5"/>
      <c r="B1543" s="173"/>
      <c r="C1543" s="167"/>
      <c r="D1543" s="88"/>
      <c r="E1543" s="174"/>
      <c r="F1543" s="9"/>
      <c r="G1543" s="10"/>
      <c r="H1543" s="9"/>
      <c r="I1543" s="10"/>
      <c r="J1543" s="152"/>
      <c r="K1543" s="10"/>
      <c r="L1543" s="152"/>
      <c r="M1543" s="10"/>
      <c r="N1543" s="152"/>
      <c r="O1543" s="10"/>
      <c r="P1543" s="152"/>
      <c r="Q1543" s="10"/>
      <c r="R1543" s="9"/>
      <c r="S1543" s="10"/>
      <c r="T1543" s="9"/>
      <c r="U1543" s="10"/>
      <c r="V1543" s="9"/>
      <c r="W1543" s="10"/>
      <c r="X1543" s="9"/>
      <c r="Y1543" s="10"/>
      <c r="Z1543" s="9"/>
      <c r="AA1543" s="10"/>
      <c r="AB1543" s="11"/>
      <c r="AC1543" s="10"/>
      <c r="AD1543" s="7">
        <f>SUM(F1543+H1543+J1543+L1543+N1543+P1543+R1543+T1543+V1543+X1543+Z1543+AB1543)</f>
        <v>0</v>
      </c>
      <c r="AE1543" s="7">
        <f>E1543+AD1543</f>
        <v>0</v>
      </c>
      <c r="AF1543" s="8">
        <f>G1543+I1543+K1543+M1543+O1543+Q1543+S1543+U1543+W1543+Y1543+AA1543+AC1543</f>
        <v>0</v>
      </c>
      <c r="AG1543" s="153">
        <f>SUM(AE1543-AF1543)</f>
        <v>0</v>
      </c>
    </row>
    <row r="1544" spans="1:42" customHeight="1" ht="11.5">
      <c r="A1544" s="5"/>
      <c r="B1544" s="173"/>
      <c r="C1544" s="167"/>
      <c r="D1544" s="88"/>
      <c r="E1544" s="174"/>
      <c r="F1544" s="9"/>
      <c r="G1544" s="10"/>
      <c r="H1544" s="9"/>
      <c r="I1544" s="10"/>
      <c r="J1544" s="152"/>
      <c r="K1544" s="10"/>
      <c r="L1544" s="152"/>
      <c r="M1544" s="10"/>
      <c r="N1544" s="152"/>
      <c r="O1544" s="10"/>
      <c r="P1544" s="152"/>
      <c r="Q1544" s="10"/>
      <c r="R1544" s="9"/>
      <c r="S1544" s="10"/>
      <c r="T1544" s="9"/>
      <c r="U1544" s="10"/>
      <c r="V1544" s="9"/>
      <c r="W1544" s="10"/>
      <c r="X1544" s="9"/>
      <c r="Y1544" s="10"/>
      <c r="Z1544" s="9"/>
      <c r="AA1544" s="10"/>
      <c r="AB1544" s="11"/>
      <c r="AC1544" s="10"/>
      <c r="AD1544" s="7">
        <f>SUM(F1544+H1544+J1544+L1544+N1544+P1544+R1544+T1544+V1544+X1544+Z1544+AB1544)</f>
        <v>0</v>
      </c>
      <c r="AE1544" s="7">
        <f>E1544+AD1544</f>
        <v>0</v>
      </c>
      <c r="AF1544" s="8">
        <f>G1544+I1544+K1544+M1544+O1544+Q1544+S1544+U1544+W1544+Y1544+AA1544+AC1544</f>
        <v>0</v>
      </c>
      <c r="AG1544" s="153">
        <f>SUM(AE1544-AF1544)</f>
        <v>0</v>
      </c>
    </row>
    <row r="1545" spans="1:42" customHeight="1" ht="11.5">
      <c r="A1545" s="5"/>
      <c r="B1545" s="173"/>
      <c r="C1545" s="167"/>
      <c r="D1545" s="88"/>
      <c r="E1545" s="174"/>
      <c r="F1545" s="9"/>
      <c r="G1545" s="10"/>
      <c r="H1545" s="9"/>
      <c r="I1545" s="10"/>
      <c r="J1545" s="152"/>
      <c r="K1545" s="10"/>
      <c r="L1545" s="152"/>
      <c r="M1545" s="10"/>
      <c r="N1545" s="152"/>
      <c r="O1545" s="10"/>
      <c r="P1545" s="152"/>
      <c r="Q1545" s="10"/>
      <c r="R1545" s="9"/>
      <c r="S1545" s="10"/>
      <c r="T1545" s="9"/>
      <c r="U1545" s="10"/>
      <c r="V1545" s="9"/>
      <c r="W1545" s="10"/>
      <c r="X1545" s="9"/>
      <c r="Y1545" s="10"/>
      <c r="Z1545" s="9"/>
      <c r="AA1545" s="10"/>
      <c r="AB1545" s="11"/>
      <c r="AC1545" s="10"/>
      <c r="AD1545" s="7">
        <f>SUM(F1545+H1545+J1545+L1545+N1545+P1545+R1545+T1545+V1545+X1545+Z1545+AB1545)</f>
        <v>0</v>
      </c>
      <c r="AE1545" s="7">
        <f>E1545+AD1545</f>
        <v>0</v>
      </c>
      <c r="AF1545" s="8">
        <f>G1545+I1545+K1545+M1545+O1545+Q1545+S1545+U1545+W1545+Y1545+AA1545+AC1545</f>
        <v>0</v>
      </c>
      <c r="AG1545" s="153">
        <f>SUM(AE1545-AF1545)</f>
        <v>0</v>
      </c>
    </row>
    <row r="1546" spans="1:42" customHeight="1" ht="11.5">
      <c r="A1546" s="5"/>
      <c r="B1546" s="173"/>
      <c r="C1546" s="167"/>
      <c r="D1546" s="88"/>
      <c r="E1546" s="174"/>
      <c r="F1546" s="9"/>
      <c r="G1546" s="10"/>
      <c r="H1546" s="9"/>
      <c r="I1546" s="10"/>
      <c r="J1546" s="152"/>
      <c r="K1546" s="10"/>
      <c r="L1546" s="152"/>
      <c r="M1546" s="10"/>
      <c r="N1546" s="152"/>
      <c r="O1546" s="10"/>
      <c r="P1546" s="152"/>
      <c r="Q1546" s="10"/>
      <c r="R1546" s="9"/>
      <c r="S1546" s="10"/>
      <c r="T1546" s="9"/>
      <c r="U1546" s="10"/>
      <c r="V1546" s="9"/>
      <c r="W1546" s="10"/>
      <c r="X1546" s="9"/>
      <c r="Y1546" s="10"/>
      <c r="Z1546" s="9"/>
      <c r="AA1546" s="10"/>
      <c r="AB1546" s="11"/>
      <c r="AC1546" s="10"/>
      <c r="AD1546" s="7">
        <f>SUM(F1546+H1546+J1546+L1546+N1546+P1546+R1546+T1546+V1546+X1546+Z1546+AB1546)</f>
        <v>0</v>
      </c>
      <c r="AE1546" s="7">
        <f>E1546+AD1546</f>
        <v>0</v>
      </c>
      <c r="AF1546" s="8">
        <f>G1546+I1546+K1546+M1546+O1546+Q1546+S1546+U1546+W1546+Y1546+AA1546+AC1546</f>
        <v>0</v>
      </c>
      <c r="AG1546" s="153">
        <f>SUM(AE1546-AF1546)</f>
        <v>0</v>
      </c>
    </row>
    <row r="1547" spans="1:42" customHeight="1" ht="11.5">
      <c r="A1547" s="5"/>
      <c r="B1547" s="173"/>
      <c r="C1547" s="167"/>
      <c r="D1547" s="88"/>
      <c r="E1547" s="174"/>
      <c r="F1547" s="9"/>
      <c r="G1547" s="10"/>
      <c r="H1547" s="9"/>
      <c r="I1547" s="10"/>
      <c r="J1547" s="152"/>
      <c r="K1547" s="10"/>
      <c r="L1547" s="152"/>
      <c r="M1547" s="10"/>
      <c r="N1547" s="152"/>
      <c r="O1547" s="10"/>
      <c r="P1547" s="152"/>
      <c r="Q1547" s="10"/>
      <c r="R1547" s="9"/>
      <c r="S1547" s="10"/>
      <c r="T1547" s="9"/>
      <c r="U1547" s="10"/>
      <c r="V1547" s="9"/>
      <c r="W1547" s="10"/>
      <c r="X1547" s="9"/>
      <c r="Y1547" s="10"/>
      <c r="Z1547" s="9"/>
      <c r="AA1547" s="10"/>
      <c r="AB1547" s="11"/>
      <c r="AC1547" s="10"/>
      <c r="AD1547" s="7">
        <f>SUM(F1547+H1547+J1547+L1547+N1547+P1547+R1547+T1547+V1547+X1547+Z1547+AB1547)</f>
        <v>0</v>
      </c>
      <c r="AE1547" s="7">
        <f>E1547+AD1547</f>
        <v>0</v>
      </c>
      <c r="AF1547" s="8">
        <f>G1547+I1547+K1547+M1547+O1547+Q1547+S1547+U1547+W1547+Y1547+AA1547+AC1547</f>
        <v>0</v>
      </c>
      <c r="AG1547" s="153">
        <f>SUM(AE1547-AF1547)</f>
        <v>0</v>
      </c>
    </row>
    <row r="1548" spans="1:42" customHeight="1" ht="11.5">
      <c r="A1548" s="5"/>
      <c r="B1548" s="173"/>
      <c r="C1548" s="167"/>
      <c r="D1548" s="88"/>
      <c r="E1548" s="174"/>
      <c r="F1548" s="9"/>
      <c r="G1548" s="10"/>
      <c r="H1548" s="9"/>
      <c r="I1548" s="10"/>
      <c r="J1548" s="152"/>
      <c r="K1548" s="10"/>
      <c r="L1548" s="152"/>
      <c r="M1548" s="10"/>
      <c r="N1548" s="152"/>
      <c r="O1548" s="10"/>
      <c r="P1548" s="152"/>
      <c r="Q1548" s="10"/>
      <c r="R1548" s="9"/>
      <c r="S1548" s="10"/>
      <c r="T1548" s="9"/>
      <c r="U1548" s="10"/>
      <c r="V1548" s="9"/>
      <c r="W1548" s="10"/>
      <c r="X1548" s="9"/>
      <c r="Y1548" s="10"/>
      <c r="Z1548" s="9"/>
      <c r="AA1548" s="10"/>
      <c r="AB1548" s="11"/>
      <c r="AC1548" s="10"/>
      <c r="AD1548" s="7">
        <f>SUM(F1548+H1548+J1548+L1548+N1548+P1548+R1548+T1548+V1548+X1548+Z1548+AB1548)</f>
        <v>0</v>
      </c>
      <c r="AE1548" s="7">
        <f>E1548+AD1548</f>
        <v>0</v>
      </c>
      <c r="AF1548" s="8">
        <f>G1548+I1548+K1548+M1548+O1548+Q1548+S1548+U1548+W1548+Y1548+AA1548+AC1548</f>
        <v>0</v>
      </c>
      <c r="AG1548" s="153">
        <f>SUM(AE1548-AF1548)</f>
        <v>0</v>
      </c>
    </row>
    <row r="1549" spans="1:42" customHeight="1" ht="11.5">
      <c r="A1549" s="5"/>
      <c r="B1549" s="173"/>
      <c r="C1549" s="167"/>
      <c r="D1549" s="88"/>
      <c r="E1549" s="174"/>
      <c r="F1549" s="9"/>
      <c r="G1549" s="10"/>
      <c r="H1549" s="9"/>
      <c r="I1549" s="10"/>
      <c r="J1549" s="152"/>
      <c r="K1549" s="10"/>
      <c r="L1549" s="152"/>
      <c r="M1549" s="10"/>
      <c r="N1549" s="152"/>
      <c r="O1549" s="10"/>
      <c r="P1549" s="152"/>
      <c r="Q1549" s="10"/>
      <c r="R1549" s="9"/>
      <c r="S1549" s="10"/>
      <c r="T1549" s="9"/>
      <c r="U1549" s="10"/>
      <c r="V1549" s="9"/>
      <c r="W1549" s="10"/>
      <c r="X1549" s="9"/>
      <c r="Y1549" s="10"/>
      <c r="Z1549" s="9"/>
      <c r="AA1549" s="10"/>
      <c r="AB1549" s="11"/>
      <c r="AC1549" s="10"/>
      <c r="AD1549" s="7">
        <f>SUM(F1549+H1549+J1549+L1549+N1549+P1549+R1549+T1549+V1549+X1549+Z1549+AB1549)</f>
        <v>0</v>
      </c>
      <c r="AE1549" s="7">
        <f>E1549+AD1549</f>
        <v>0</v>
      </c>
      <c r="AF1549" s="8">
        <f>G1549+I1549+K1549+M1549+O1549+Q1549+S1549+U1549+W1549+Y1549+AA1549+AC1549</f>
        <v>0</v>
      </c>
      <c r="AG1549" s="153">
        <f>SUM(AE1549-AF1549)</f>
        <v>0</v>
      </c>
    </row>
    <row r="1550" spans="1:42" customHeight="1" ht="11.5">
      <c r="A1550" s="5"/>
      <c r="B1550" s="173"/>
      <c r="C1550" s="167"/>
      <c r="D1550" s="88"/>
      <c r="E1550" s="174"/>
      <c r="F1550" s="9"/>
      <c r="G1550" s="10"/>
      <c r="H1550" s="9"/>
      <c r="I1550" s="10"/>
      <c r="J1550" s="152"/>
      <c r="K1550" s="10"/>
      <c r="L1550" s="152"/>
      <c r="M1550" s="10"/>
      <c r="N1550" s="152"/>
      <c r="O1550" s="10"/>
      <c r="P1550" s="152"/>
      <c r="Q1550" s="10"/>
      <c r="R1550" s="9"/>
      <c r="S1550" s="10"/>
      <c r="T1550" s="9"/>
      <c r="U1550" s="10"/>
      <c r="V1550" s="9"/>
      <c r="W1550" s="10"/>
      <c r="X1550" s="9"/>
      <c r="Y1550" s="10"/>
      <c r="Z1550" s="9"/>
      <c r="AA1550" s="10"/>
      <c r="AB1550" s="11"/>
      <c r="AC1550" s="10"/>
      <c r="AD1550" s="7">
        <f>SUM(F1550+H1550+J1550+L1550+N1550+P1550+R1550+T1550+V1550+X1550+Z1550+AB1550)</f>
        <v>0</v>
      </c>
      <c r="AE1550" s="7">
        <f>E1550+AD1550</f>
        <v>0</v>
      </c>
      <c r="AF1550" s="8">
        <f>G1550+I1550+K1550+M1550+O1550+Q1550+S1550+U1550+W1550+Y1550+AA1550+AC1550</f>
        <v>0</v>
      </c>
      <c r="AG1550" s="153">
        <f>SUM(AE1550-AF1550)</f>
        <v>0</v>
      </c>
    </row>
    <row r="1551" spans="1:42" customHeight="1" ht="11.5">
      <c r="A1551" s="5"/>
      <c r="B1551" s="173"/>
      <c r="C1551" s="167"/>
      <c r="D1551" s="88"/>
      <c r="E1551" s="174"/>
      <c r="F1551" s="9"/>
      <c r="G1551" s="10"/>
      <c r="H1551" s="9"/>
      <c r="I1551" s="10"/>
      <c r="J1551" s="152"/>
      <c r="K1551" s="10"/>
      <c r="L1551" s="152"/>
      <c r="M1551" s="10"/>
      <c r="N1551" s="152"/>
      <c r="O1551" s="10"/>
      <c r="P1551" s="152"/>
      <c r="Q1551" s="10"/>
      <c r="R1551" s="9"/>
      <c r="S1551" s="10"/>
      <c r="T1551" s="9"/>
      <c r="U1551" s="10"/>
      <c r="V1551" s="9"/>
      <c r="W1551" s="10"/>
      <c r="X1551" s="9"/>
      <c r="Y1551" s="10"/>
      <c r="Z1551" s="9"/>
      <c r="AA1551" s="10"/>
      <c r="AB1551" s="11"/>
      <c r="AC1551" s="10"/>
      <c r="AD1551" s="7">
        <f>SUM(F1551+H1551+J1551+L1551+N1551+P1551+R1551+T1551+V1551+X1551+Z1551+AB1551)</f>
        <v>0</v>
      </c>
      <c r="AE1551" s="7">
        <f>E1551+AD1551</f>
        <v>0</v>
      </c>
      <c r="AF1551" s="8">
        <f>G1551+I1551+K1551+M1551+O1551+Q1551+S1551+U1551+W1551+Y1551+AA1551+AC1551</f>
        <v>0</v>
      </c>
      <c r="AG1551" s="153">
        <f>SUM(AE1551-AF1551)</f>
        <v>0</v>
      </c>
    </row>
    <row r="1552" spans="1:42" customHeight="1" ht="11.5">
      <c r="A1552" s="5"/>
      <c r="B1552" s="173"/>
      <c r="C1552" s="167"/>
      <c r="D1552" s="88"/>
      <c r="E1552" s="174"/>
      <c r="F1552" s="9"/>
      <c r="G1552" s="10"/>
      <c r="H1552" s="9"/>
      <c r="I1552" s="10"/>
      <c r="J1552" s="152"/>
      <c r="K1552" s="10"/>
      <c r="L1552" s="152"/>
      <c r="M1552" s="10"/>
      <c r="N1552" s="152"/>
      <c r="O1552" s="10"/>
      <c r="P1552" s="152"/>
      <c r="Q1552" s="10"/>
      <c r="R1552" s="9"/>
      <c r="S1552" s="10"/>
      <c r="T1552" s="9"/>
      <c r="U1552" s="10"/>
      <c r="V1552" s="9"/>
      <c r="W1552" s="10"/>
      <c r="X1552" s="9"/>
      <c r="Y1552" s="10"/>
      <c r="Z1552" s="9"/>
      <c r="AA1552" s="10"/>
      <c r="AB1552" s="11"/>
      <c r="AC1552" s="10"/>
      <c r="AD1552" s="7">
        <f>SUM(F1552+H1552+J1552+L1552+N1552+P1552+R1552+T1552+V1552+X1552+Z1552+AB1552)</f>
        <v>0</v>
      </c>
      <c r="AE1552" s="7">
        <f>E1552+AD1552</f>
        <v>0</v>
      </c>
      <c r="AF1552" s="8">
        <f>G1552+I1552+K1552+M1552+O1552+Q1552+S1552+U1552+W1552+Y1552+AA1552+AC1552</f>
        <v>0</v>
      </c>
      <c r="AG1552" s="153">
        <f>SUM(AE1552-AF1552)</f>
        <v>0</v>
      </c>
    </row>
    <row r="1553" spans="1:42" customHeight="1" ht="11.5">
      <c r="A1553" s="5"/>
      <c r="B1553" s="173"/>
      <c r="C1553" s="167"/>
      <c r="D1553" s="88"/>
      <c r="E1553" s="174"/>
      <c r="F1553" s="9"/>
      <c r="G1553" s="10"/>
      <c r="H1553" s="9"/>
      <c r="I1553" s="10"/>
      <c r="J1553" s="152"/>
      <c r="K1553" s="10"/>
      <c r="L1553" s="152"/>
      <c r="M1553" s="10"/>
      <c r="N1553" s="152"/>
      <c r="O1553" s="10"/>
      <c r="P1553" s="152"/>
      <c r="Q1553" s="10"/>
      <c r="R1553" s="9"/>
      <c r="S1553" s="10"/>
      <c r="T1553" s="9"/>
      <c r="U1553" s="10"/>
      <c r="V1553" s="9"/>
      <c r="W1553" s="10"/>
      <c r="X1553" s="9"/>
      <c r="Y1553" s="10"/>
      <c r="Z1553" s="9"/>
      <c r="AA1553" s="10"/>
      <c r="AB1553" s="11"/>
      <c r="AC1553" s="10"/>
      <c r="AD1553" s="7">
        <f>SUM(F1553+H1553+J1553+L1553+N1553+P1553+R1553+T1553+V1553+X1553+Z1553+AB1553)</f>
        <v>0</v>
      </c>
      <c r="AE1553" s="7">
        <f>E1553+AD1553</f>
        <v>0</v>
      </c>
      <c r="AF1553" s="8">
        <f>G1553+I1553+K1553+M1553+O1553+Q1553+S1553+U1553+W1553+Y1553+AA1553+AC1553</f>
        <v>0</v>
      </c>
      <c r="AG1553" s="153">
        <f>SUM(AE1553-AF1553)</f>
        <v>0</v>
      </c>
    </row>
    <row r="1554" spans="1:42" customHeight="1" ht="11.5">
      <c r="A1554" s="5"/>
      <c r="B1554" s="173"/>
      <c r="C1554" s="167"/>
      <c r="D1554" s="88"/>
      <c r="E1554" s="174"/>
      <c r="F1554" s="9"/>
      <c r="G1554" s="10"/>
      <c r="H1554" s="9"/>
      <c r="I1554" s="10"/>
      <c r="J1554" s="152"/>
      <c r="K1554" s="10"/>
      <c r="L1554" s="152"/>
      <c r="M1554" s="10"/>
      <c r="N1554" s="152"/>
      <c r="O1554" s="10"/>
      <c r="P1554" s="152"/>
      <c r="Q1554" s="10"/>
      <c r="R1554" s="9"/>
      <c r="S1554" s="10"/>
      <c r="T1554" s="9"/>
      <c r="U1554" s="10"/>
      <c r="V1554" s="9"/>
      <c r="W1554" s="10"/>
      <c r="X1554" s="9"/>
      <c r="Y1554" s="10"/>
      <c r="Z1554" s="9"/>
      <c r="AA1554" s="10"/>
      <c r="AB1554" s="11"/>
      <c r="AC1554" s="10"/>
      <c r="AD1554" s="7">
        <f>SUM(F1554+H1554+J1554+L1554+N1554+P1554+R1554+T1554+V1554+X1554+Z1554+AB1554)</f>
        <v>0</v>
      </c>
      <c r="AE1554" s="7">
        <f>E1554+AD1554</f>
        <v>0</v>
      </c>
      <c r="AF1554" s="8">
        <f>G1554+I1554+K1554+M1554+O1554+Q1554+S1554+U1554+W1554+Y1554+AA1554+AC1554</f>
        <v>0</v>
      </c>
      <c r="AG1554" s="153">
        <f>SUM(AE1554-AF1554)</f>
        <v>0</v>
      </c>
    </row>
    <row r="1555" spans="1:42" customHeight="1" ht="11.5">
      <c r="A1555" s="5"/>
      <c r="B1555" s="173"/>
      <c r="C1555" s="167"/>
      <c r="D1555" s="88"/>
      <c r="E1555" s="174"/>
      <c r="F1555" s="9"/>
      <c r="G1555" s="10"/>
      <c r="H1555" s="9"/>
      <c r="I1555" s="10"/>
      <c r="J1555" s="152"/>
      <c r="K1555" s="10"/>
      <c r="L1555" s="152"/>
      <c r="M1555" s="10"/>
      <c r="N1555" s="152"/>
      <c r="O1555" s="10"/>
      <c r="P1555" s="152"/>
      <c r="Q1555" s="10"/>
      <c r="R1555" s="9"/>
      <c r="S1555" s="10"/>
      <c r="T1555" s="9"/>
      <c r="U1555" s="10"/>
      <c r="V1555" s="9"/>
      <c r="W1555" s="10"/>
      <c r="X1555" s="9"/>
      <c r="Y1555" s="10"/>
      <c r="Z1555" s="9"/>
      <c r="AA1555" s="10"/>
      <c r="AB1555" s="11"/>
      <c r="AC1555" s="10"/>
      <c r="AD1555" s="7">
        <f>SUM(F1555+H1555+J1555+L1555+N1555+P1555+R1555+T1555+V1555+X1555+Z1555+AB1555)</f>
        <v>0</v>
      </c>
      <c r="AE1555" s="7">
        <f>E1555+AD1555</f>
        <v>0</v>
      </c>
      <c r="AF1555" s="8">
        <f>G1555+I1555+K1555+M1555+O1555+Q1555+S1555+U1555+W1555+Y1555+AA1555+AC1555</f>
        <v>0</v>
      </c>
      <c r="AG1555" s="153">
        <f>SUM(AE1555-AF1555)</f>
        <v>0</v>
      </c>
    </row>
    <row r="1556" spans="1:42" customHeight="1" ht="11.5">
      <c r="A1556" s="5"/>
      <c r="B1556" s="173"/>
      <c r="C1556" s="167"/>
      <c r="D1556" s="88"/>
      <c r="E1556" s="174"/>
      <c r="F1556" s="9"/>
      <c r="G1556" s="10"/>
      <c r="H1556" s="9"/>
      <c r="I1556" s="10"/>
      <c r="J1556" s="152"/>
      <c r="K1556" s="10"/>
      <c r="L1556" s="152"/>
      <c r="M1556" s="10"/>
      <c r="N1556" s="152"/>
      <c r="O1556" s="10"/>
      <c r="P1556" s="152"/>
      <c r="Q1556" s="10"/>
      <c r="R1556" s="9"/>
      <c r="S1556" s="10"/>
      <c r="T1556" s="9"/>
      <c r="U1556" s="10"/>
      <c r="V1556" s="9"/>
      <c r="W1556" s="10"/>
      <c r="X1556" s="9"/>
      <c r="Y1556" s="10"/>
      <c r="Z1556" s="9"/>
      <c r="AA1556" s="10"/>
      <c r="AB1556" s="11"/>
      <c r="AC1556" s="10"/>
      <c r="AD1556" s="7">
        <f>SUM(F1556+H1556+J1556+L1556+N1556+P1556+R1556+T1556+V1556+X1556+Z1556+AB1556)</f>
        <v>0</v>
      </c>
      <c r="AE1556" s="7">
        <f>E1556+AD1556</f>
        <v>0</v>
      </c>
      <c r="AF1556" s="8">
        <f>G1556+I1556+K1556+M1556+O1556+Q1556+S1556+U1556+W1556+Y1556+AA1556+AC1556</f>
        <v>0</v>
      </c>
      <c r="AG1556" s="153">
        <f>SUM(AE1556-AF1556)</f>
        <v>0</v>
      </c>
    </row>
    <row r="1557" spans="1:42" customHeight="1" ht="11.5">
      <c r="A1557" s="5"/>
      <c r="B1557" s="173"/>
      <c r="C1557" s="167"/>
      <c r="D1557" s="88"/>
      <c r="E1557" s="174"/>
      <c r="F1557" s="9"/>
      <c r="G1557" s="10"/>
      <c r="H1557" s="9"/>
      <c r="I1557" s="10"/>
      <c r="J1557" s="152"/>
      <c r="K1557" s="10"/>
      <c r="L1557" s="152"/>
      <c r="M1557" s="10"/>
      <c r="N1557" s="152"/>
      <c r="O1557" s="10"/>
      <c r="P1557" s="152"/>
      <c r="Q1557" s="10"/>
      <c r="R1557" s="9"/>
      <c r="S1557" s="10"/>
      <c r="T1557" s="9"/>
      <c r="U1557" s="10"/>
      <c r="V1557" s="9"/>
      <c r="W1557" s="10"/>
      <c r="X1557" s="9"/>
      <c r="Y1557" s="10"/>
      <c r="Z1557" s="9"/>
      <c r="AA1557" s="10"/>
      <c r="AB1557" s="11"/>
      <c r="AC1557" s="10"/>
      <c r="AD1557" s="7">
        <f>SUM(F1557+H1557+J1557+L1557+N1557+P1557+R1557+T1557+V1557+X1557+Z1557+AB1557)</f>
        <v>0</v>
      </c>
      <c r="AE1557" s="7">
        <f>E1557+AD1557</f>
        <v>0</v>
      </c>
      <c r="AF1557" s="8">
        <f>G1557+I1557+K1557+M1557+O1557+Q1557+S1557+U1557+W1557+Y1557+AA1557+AC1557</f>
        <v>0</v>
      </c>
      <c r="AG1557" s="153">
        <f>SUM(AE1557-AF1557)</f>
        <v>0</v>
      </c>
    </row>
    <row r="1558" spans="1:42" customHeight="1" ht="11.5">
      <c r="A1558" s="5"/>
      <c r="B1558" s="173"/>
      <c r="C1558" s="167"/>
      <c r="D1558" s="88"/>
      <c r="E1558" s="174"/>
      <c r="F1558" s="9"/>
      <c r="G1558" s="10"/>
      <c r="H1558" s="9"/>
      <c r="I1558" s="10"/>
      <c r="J1558" s="152"/>
      <c r="K1558" s="10"/>
      <c r="L1558" s="152"/>
      <c r="M1558" s="10"/>
      <c r="N1558" s="152"/>
      <c r="O1558" s="10"/>
      <c r="P1558" s="152"/>
      <c r="Q1558" s="10"/>
      <c r="R1558" s="9"/>
      <c r="S1558" s="10"/>
      <c r="T1558" s="9"/>
      <c r="U1558" s="10"/>
      <c r="V1558" s="9"/>
      <c r="W1558" s="10"/>
      <c r="X1558" s="9"/>
      <c r="Y1558" s="10"/>
      <c r="Z1558" s="9"/>
      <c r="AA1558" s="10"/>
      <c r="AB1558" s="11"/>
      <c r="AC1558" s="10"/>
      <c r="AD1558" s="7">
        <f>SUM(F1558+H1558+J1558+L1558+N1558+P1558+R1558+T1558+V1558+X1558+Z1558+AB1558)</f>
        <v>0</v>
      </c>
      <c r="AE1558" s="7">
        <f>E1558+AD1558</f>
        <v>0</v>
      </c>
      <c r="AF1558" s="8">
        <f>G1558+I1558+K1558+M1558+O1558+Q1558+S1558+U1558+W1558+Y1558+AA1558+AC1558</f>
        <v>0</v>
      </c>
      <c r="AG1558" s="153">
        <f>SUM(AE1558-AF1558)</f>
        <v>0</v>
      </c>
    </row>
    <row r="1559" spans="1:42" customHeight="1" ht="11.5">
      <c r="A1559" s="5"/>
      <c r="B1559" s="173"/>
      <c r="C1559" s="167"/>
      <c r="D1559" s="88"/>
      <c r="E1559" s="174"/>
      <c r="F1559" s="9"/>
      <c r="G1559" s="10"/>
      <c r="H1559" s="9"/>
      <c r="I1559" s="10"/>
      <c r="J1559" s="152"/>
      <c r="K1559" s="10"/>
      <c r="L1559" s="152"/>
      <c r="M1559" s="10"/>
      <c r="N1559" s="152"/>
      <c r="O1559" s="10"/>
      <c r="P1559" s="152"/>
      <c r="Q1559" s="10"/>
      <c r="R1559" s="9"/>
      <c r="S1559" s="10"/>
      <c r="T1559" s="9"/>
      <c r="U1559" s="10"/>
      <c r="V1559" s="9"/>
      <c r="W1559" s="10"/>
      <c r="X1559" s="9"/>
      <c r="Y1559" s="10"/>
      <c r="Z1559" s="9"/>
      <c r="AA1559" s="10"/>
      <c r="AB1559" s="11"/>
      <c r="AC1559" s="10"/>
      <c r="AD1559" s="7">
        <f>SUM(F1559+H1559+J1559+L1559+N1559+P1559+R1559+T1559+V1559+X1559+Z1559+AB1559)</f>
        <v>0</v>
      </c>
      <c r="AE1559" s="7">
        <f>E1559+AD1559</f>
        <v>0</v>
      </c>
      <c r="AF1559" s="8">
        <f>G1559+I1559+K1559+M1559+O1559+Q1559+S1559+U1559+W1559+Y1559+AA1559+AC1559</f>
        <v>0</v>
      </c>
      <c r="AG1559" s="153">
        <f>SUM(AE1559-AF1559)</f>
        <v>0</v>
      </c>
    </row>
    <row r="1560" spans="1:42" customHeight="1" ht="11.5">
      <c r="A1560" s="5"/>
      <c r="B1560" s="173"/>
      <c r="C1560" s="167"/>
      <c r="D1560" s="88"/>
      <c r="E1560" s="174"/>
      <c r="F1560" s="9"/>
      <c r="G1560" s="10"/>
      <c r="H1560" s="9"/>
      <c r="I1560" s="10"/>
      <c r="J1560" s="152"/>
      <c r="K1560" s="10"/>
      <c r="L1560" s="152"/>
      <c r="M1560" s="10"/>
      <c r="N1560" s="152"/>
      <c r="O1560" s="10"/>
      <c r="P1560" s="152"/>
      <c r="Q1560" s="10"/>
      <c r="R1560" s="9"/>
      <c r="S1560" s="10"/>
      <c r="T1560" s="9"/>
      <c r="U1560" s="10"/>
      <c r="V1560" s="9"/>
      <c r="W1560" s="10"/>
      <c r="X1560" s="9"/>
      <c r="Y1560" s="10"/>
      <c r="Z1560" s="9"/>
      <c r="AA1560" s="10"/>
      <c r="AB1560" s="11"/>
      <c r="AC1560" s="10"/>
      <c r="AD1560" s="7">
        <f>SUM(F1560+H1560+J1560+L1560+N1560+P1560+R1560+T1560+V1560+X1560+Z1560+AB1560)</f>
        <v>0</v>
      </c>
      <c r="AE1560" s="7">
        <f>E1560+AD1560</f>
        <v>0</v>
      </c>
      <c r="AF1560" s="8">
        <f>G1560+I1560+K1560+M1560+O1560+Q1560+S1560+U1560+W1560+Y1560+AA1560+AC1560</f>
        <v>0</v>
      </c>
      <c r="AG1560" s="153">
        <f>SUM(AE1560-AF1560)</f>
        <v>0</v>
      </c>
    </row>
    <row r="1561" spans="1:42" customHeight="1" ht="11.5">
      <c r="A1561" s="5"/>
      <c r="B1561" s="173"/>
      <c r="C1561" s="167"/>
      <c r="D1561" s="88"/>
      <c r="E1561" s="174"/>
      <c r="F1561" s="9"/>
      <c r="G1561" s="10"/>
      <c r="H1561" s="9"/>
      <c r="I1561" s="10"/>
      <c r="J1561" s="152"/>
      <c r="K1561" s="10"/>
      <c r="L1561" s="152"/>
      <c r="M1561" s="10"/>
      <c r="N1561" s="152"/>
      <c r="O1561" s="10"/>
      <c r="P1561" s="152"/>
      <c r="Q1561" s="10"/>
      <c r="R1561" s="9"/>
      <c r="S1561" s="10"/>
      <c r="T1561" s="9"/>
      <c r="U1561" s="10"/>
      <c r="V1561" s="9"/>
      <c r="W1561" s="10"/>
      <c r="X1561" s="9"/>
      <c r="Y1561" s="10"/>
      <c r="Z1561" s="9"/>
      <c r="AA1561" s="10"/>
      <c r="AB1561" s="11"/>
      <c r="AC1561" s="10"/>
      <c r="AD1561" s="7">
        <f>SUM(F1561+H1561+J1561+L1561+N1561+P1561+R1561+T1561+V1561+X1561+Z1561+AB1561)</f>
        <v>0</v>
      </c>
      <c r="AE1561" s="7">
        <f>E1561+AD1561</f>
        <v>0</v>
      </c>
      <c r="AF1561" s="8">
        <f>G1561+I1561+K1561+M1561+O1561+Q1561+S1561+U1561+W1561+Y1561+AA1561+AC1561</f>
        <v>0</v>
      </c>
      <c r="AG1561" s="153">
        <f>SUM(AE1561-AF1561)</f>
        <v>0</v>
      </c>
    </row>
    <row r="1562" spans="1:42" customHeight="1" ht="11.5">
      <c r="A1562" s="5"/>
      <c r="B1562" s="173"/>
      <c r="C1562" s="167"/>
      <c r="D1562" s="88"/>
      <c r="E1562" s="174"/>
      <c r="F1562" s="9"/>
      <c r="G1562" s="10"/>
      <c r="H1562" s="9"/>
      <c r="I1562" s="10"/>
      <c r="J1562" s="152"/>
      <c r="K1562" s="10"/>
      <c r="L1562" s="152"/>
      <c r="M1562" s="10"/>
      <c r="N1562" s="152"/>
      <c r="O1562" s="10"/>
      <c r="P1562" s="152"/>
      <c r="Q1562" s="10"/>
      <c r="R1562" s="9"/>
      <c r="S1562" s="10"/>
      <c r="T1562" s="9"/>
      <c r="U1562" s="10"/>
      <c r="V1562" s="9"/>
      <c r="W1562" s="10"/>
      <c r="X1562" s="9"/>
      <c r="Y1562" s="10"/>
      <c r="Z1562" s="9"/>
      <c r="AA1562" s="10"/>
      <c r="AB1562" s="11"/>
      <c r="AC1562" s="10"/>
      <c r="AD1562" s="7">
        <f>SUM(F1562+H1562+J1562+L1562+N1562+P1562+R1562+T1562+V1562+X1562+Z1562+AB1562)</f>
        <v>0</v>
      </c>
      <c r="AE1562" s="7">
        <f>E1562+AD1562</f>
        <v>0</v>
      </c>
      <c r="AF1562" s="8">
        <f>G1562+I1562+K1562+M1562+O1562+Q1562+S1562+U1562+W1562+Y1562+AA1562+AC1562</f>
        <v>0</v>
      </c>
      <c r="AG1562" s="153">
        <f>SUM(AE1562-AF1562)</f>
        <v>0</v>
      </c>
    </row>
    <row r="1563" spans="1:42" customHeight="1" ht="11.5">
      <c r="A1563" s="5"/>
      <c r="B1563" s="173"/>
      <c r="C1563" s="167"/>
      <c r="D1563" s="88"/>
      <c r="E1563" s="174"/>
      <c r="F1563" s="9"/>
      <c r="G1563" s="10"/>
      <c r="H1563" s="9"/>
      <c r="I1563" s="10"/>
      <c r="J1563" s="152"/>
      <c r="K1563" s="10"/>
      <c r="L1563" s="152"/>
      <c r="M1563" s="10"/>
      <c r="N1563" s="152"/>
      <c r="O1563" s="10"/>
      <c r="P1563" s="152"/>
      <c r="Q1563" s="10"/>
      <c r="R1563" s="9"/>
      <c r="S1563" s="10"/>
      <c r="T1563" s="9"/>
      <c r="U1563" s="10"/>
      <c r="V1563" s="9"/>
      <c r="W1563" s="10"/>
      <c r="X1563" s="9"/>
      <c r="Y1563" s="10"/>
      <c r="Z1563" s="9"/>
      <c r="AA1563" s="10"/>
      <c r="AB1563" s="11"/>
      <c r="AC1563" s="10"/>
      <c r="AD1563" s="7">
        <f>SUM(F1563+H1563+J1563+L1563+N1563+P1563+R1563+T1563+V1563+X1563+Z1563+AB1563)</f>
        <v>0</v>
      </c>
      <c r="AE1563" s="7">
        <f>E1563+AD1563</f>
        <v>0</v>
      </c>
      <c r="AF1563" s="8">
        <f>G1563+I1563+K1563+M1563+O1563+Q1563+S1563+U1563+W1563+Y1563+AA1563+AC1563</f>
        <v>0</v>
      </c>
      <c r="AG1563" s="153">
        <f>SUM(AE1563-AF1563)</f>
        <v>0</v>
      </c>
    </row>
    <row r="1564" spans="1:42" customHeight="1" ht="11.5">
      <c r="A1564" s="5"/>
      <c r="B1564" s="173"/>
      <c r="C1564" s="167"/>
      <c r="D1564" s="88"/>
      <c r="E1564" s="174"/>
      <c r="F1564" s="9"/>
      <c r="G1564" s="10"/>
      <c r="H1564" s="9"/>
      <c r="I1564" s="10"/>
      <c r="J1564" s="152"/>
      <c r="K1564" s="10"/>
      <c r="L1564" s="152"/>
      <c r="M1564" s="10"/>
      <c r="N1564" s="152"/>
      <c r="O1564" s="10"/>
      <c r="P1564" s="152"/>
      <c r="Q1564" s="10"/>
      <c r="R1564" s="9"/>
      <c r="S1564" s="10"/>
      <c r="T1564" s="9"/>
      <c r="U1564" s="10"/>
      <c r="V1564" s="9"/>
      <c r="W1564" s="10"/>
      <c r="X1564" s="9"/>
      <c r="Y1564" s="10"/>
      <c r="Z1564" s="9"/>
      <c r="AA1564" s="10"/>
      <c r="AB1564" s="11"/>
      <c r="AC1564" s="10"/>
      <c r="AD1564" s="7">
        <f>SUM(F1564+H1564+J1564+L1564+N1564+P1564+R1564+T1564+V1564+X1564+Z1564+AB1564)</f>
        <v>0</v>
      </c>
      <c r="AE1564" s="7">
        <f>E1564+AD1564</f>
        <v>0</v>
      </c>
      <c r="AF1564" s="8">
        <f>G1564+I1564+K1564+M1564+O1564+Q1564+S1564+U1564+W1564+Y1564+AA1564+AC1564</f>
        <v>0</v>
      </c>
      <c r="AG1564" s="153">
        <f>SUM(AE1564-AF1564)</f>
        <v>0</v>
      </c>
    </row>
    <row r="1565" spans="1:42" customHeight="1" ht="11.5">
      <c r="A1565" s="5"/>
      <c r="B1565" s="173"/>
      <c r="C1565" s="167"/>
      <c r="D1565" s="88"/>
      <c r="E1565" s="174"/>
      <c r="F1565" s="9"/>
      <c r="G1565" s="10"/>
      <c r="H1565" s="9"/>
      <c r="I1565" s="10"/>
      <c r="J1565" s="152"/>
      <c r="K1565" s="10"/>
      <c r="L1565" s="152"/>
      <c r="M1565" s="10"/>
      <c r="N1565" s="152"/>
      <c r="O1565" s="10"/>
      <c r="P1565" s="152"/>
      <c r="Q1565" s="10"/>
      <c r="R1565" s="9"/>
      <c r="S1565" s="10"/>
      <c r="T1565" s="9"/>
      <c r="U1565" s="10"/>
      <c r="V1565" s="9"/>
      <c r="W1565" s="10"/>
      <c r="X1565" s="9"/>
      <c r="Y1565" s="10"/>
      <c r="Z1565" s="9"/>
      <c r="AA1565" s="10"/>
      <c r="AB1565" s="11"/>
      <c r="AC1565" s="10"/>
      <c r="AD1565" s="7">
        <f>SUM(F1565+H1565+J1565+L1565+N1565+P1565+R1565+T1565+V1565+X1565+Z1565+AB1565)</f>
        <v>0</v>
      </c>
      <c r="AE1565" s="7">
        <f>E1565+AD1565</f>
        <v>0</v>
      </c>
      <c r="AF1565" s="8">
        <f>G1565+I1565+K1565+M1565+O1565+Q1565+S1565+U1565+W1565+Y1565+AA1565+AC1565</f>
        <v>0</v>
      </c>
      <c r="AG1565" s="153">
        <f>SUM(AE1565-AF1565)</f>
        <v>0</v>
      </c>
    </row>
    <row r="1566" spans="1:42" customHeight="1" ht="11.5">
      <c r="A1566" s="5"/>
      <c r="B1566" s="173"/>
      <c r="C1566" s="167"/>
      <c r="D1566" s="88"/>
      <c r="E1566" s="174"/>
      <c r="F1566" s="9"/>
      <c r="G1566" s="10"/>
      <c r="H1566" s="9"/>
      <c r="I1566" s="10"/>
      <c r="J1566" s="152"/>
      <c r="K1566" s="10"/>
      <c r="L1566" s="152"/>
      <c r="M1566" s="10"/>
      <c r="N1566" s="152"/>
      <c r="O1566" s="10"/>
      <c r="P1566" s="152"/>
      <c r="Q1566" s="10"/>
      <c r="R1566" s="9"/>
      <c r="S1566" s="10"/>
      <c r="T1566" s="9"/>
      <c r="U1566" s="10"/>
      <c r="V1566" s="9"/>
      <c r="W1566" s="10"/>
      <c r="X1566" s="9"/>
      <c r="Y1566" s="10"/>
      <c r="Z1566" s="9"/>
      <c r="AA1566" s="10"/>
      <c r="AB1566" s="11"/>
      <c r="AC1566" s="10"/>
      <c r="AD1566" s="7">
        <f>SUM(F1566+H1566+J1566+L1566+N1566+P1566+R1566+T1566+V1566+X1566+Z1566+AB1566)</f>
        <v>0</v>
      </c>
      <c r="AE1566" s="7">
        <f>E1566+AD1566</f>
        <v>0</v>
      </c>
      <c r="AF1566" s="8">
        <f>G1566+I1566+K1566+M1566+O1566+Q1566+S1566+U1566+W1566+Y1566+AA1566+AC1566</f>
        <v>0</v>
      </c>
      <c r="AG1566" s="153">
        <f>SUM(AE1566-AF1566)</f>
        <v>0</v>
      </c>
    </row>
    <row r="1567" spans="1:42" customHeight="1" ht="11.5">
      <c r="A1567" s="5"/>
      <c r="B1567" s="173"/>
      <c r="C1567" s="167"/>
      <c r="D1567" s="88"/>
      <c r="E1567" s="174"/>
      <c r="F1567" s="9"/>
      <c r="G1567" s="10"/>
      <c r="H1567" s="9"/>
      <c r="I1567" s="10"/>
      <c r="J1567" s="152"/>
      <c r="K1567" s="10"/>
      <c r="L1567" s="152"/>
      <c r="M1567" s="10"/>
      <c r="N1567" s="152"/>
      <c r="O1567" s="10"/>
      <c r="P1567" s="152"/>
      <c r="Q1567" s="10"/>
      <c r="R1567" s="9"/>
      <c r="S1567" s="10"/>
      <c r="T1567" s="9"/>
      <c r="U1567" s="10"/>
      <c r="V1567" s="9"/>
      <c r="W1567" s="10"/>
      <c r="X1567" s="9"/>
      <c r="Y1567" s="10"/>
      <c r="Z1567" s="9"/>
      <c r="AA1567" s="10"/>
      <c r="AB1567" s="11"/>
      <c r="AC1567" s="10"/>
      <c r="AD1567" s="7">
        <f>SUM(F1567+H1567+J1567+L1567+N1567+P1567+R1567+T1567+V1567+X1567+Z1567+AB1567)</f>
        <v>0</v>
      </c>
      <c r="AE1567" s="7">
        <f>E1567+AD1567</f>
        <v>0</v>
      </c>
      <c r="AF1567" s="8">
        <f>G1567+I1567+K1567+M1567+O1567+Q1567+S1567+U1567+W1567+Y1567+AA1567+AC1567</f>
        <v>0</v>
      </c>
      <c r="AG1567" s="153">
        <f>SUM(AE1567-AF1567)</f>
        <v>0</v>
      </c>
    </row>
    <row r="1568" spans="1:42" customHeight="1" ht="11.5">
      <c r="A1568" s="5"/>
      <c r="B1568" s="173"/>
      <c r="C1568" s="167"/>
      <c r="D1568" s="88"/>
      <c r="E1568" s="174"/>
      <c r="F1568" s="9"/>
      <c r="G1568" s="10"/>
      <c r="H1568" s="9"/>
      <c r="I1568" s="10"/>
      <c r="J1568" s="152"/>
      <c r="K1568" s="10"/>
      <c r="L1568" s="152"/>
      <c r="M1568" s="10"/>
      <c r="N1568" s="152"/>
      <c r="O1568" s="10"/>
      <c r="P1568" s="152"/>
      <c r="Q1568" s="10"/>
      <c r="R1568" s="9"/>
      <c r="S1568" s="10"/>
      <c r="T1568" s="9"/>
      <c r="U1568" s="10"/>
      <c r="V1568" s="9"/>
      <c r="W1568" s="10"/>
      <c r="X1568" s="9"/>
      <c r="Y1568" s="10"/>
      <c r="Z1568" s="9"/>
      <c r="AA1568" s="10"/>
      <c r="AB1568" s="11"/>
      <c r="AC1568" s="10"/>
      <c r="AD1568" s="7">
        <f>SUM(F1568+H1568+J1568+L1568+N1568+P1568+R1568+T1568+V1568+X1568+Z1568+AB1568)</f>
        <v>0</v>
      </c>
      <c r="AE1568" s="7">
        <f>E1568+AD1568</f>
        <v>0</v>
      </c>
      <c r="AF1568" s="8">
        <f>G1568+I1568+K1568+M1568+O1568+Q1568+S1568+U1568+W1568+Y1568+AA1568+AC1568</f>
        <v>0</v>
      </c>
      <c r="AG1568" s="153">
        <f>SUM(AE1568-AF1568)</f>
        <v>0</v>
      </c>
    </row>
    <row r="1569" spans="1:42" customHeight="1" ht="11.5">
      <c r="A1569" s="5"/>
      <c r="B1569" s="173"/>
      <c r="C1569" s="167"/>
      <c r="D1569" s="88"/>
      <c r="E1569" s="174"/>
      <c r="F1569" s="9"/>
      <c r="G1569" s="10"/>
      <c r="H1569" s="9"/>
      <c r="I1569" s="10"/>
      <c r="J1569" s="152"/>
      <c r="K1569" s="10"/>
      <c r="L1569" s="152"/>
      <c r="M1569" s="10"/>
      <c r="N1569" s="152"/>
      <c r="O1569" s="10"/>
      <c r="P1569" s="152"/>
      <c r="Q1569" s="10"/>
      <c r="R1569" s="9"/>
      <c r="S1569" s="10"/>
      <c r="T1569" s="9"/>
      <c r="U1569" s="10"/>
      <c r="V1569" s="9"/>
      <c r="W1569" s="10"/>
      <c r="X1569" s="9"/>
      <c r="Y1569" s="10"/>
      <c r="Z1569" s="9"/>
      <c r="AA1569" s="10"/>
      <c r="AB1569" s="11"/>
      <c r="AC1569" s="10"/>
      <c r="AD1569" s="7">
        <f>SUM(F1569+H1569+J1569+L1569+N1569+P1569+R1569+T1569+V1569+X1569+Z1569+AB1569)</f>
        <v>0</v>
      </c>
      <c r="AE1569" s="7">
        <f>E1569+AD1569</f>
        <v>0</v>
      </c>
      <c r="AF1569" s="8">
        <f>G1569+I1569+K1569+M1569+O1569+Q1569+S1569+U1569+W1569+Y1569+AA1569+AC1569</f>
        <v>0</v>
      </c>
      <c r="AG1569" s="153">
        <f>SUM(AE1569-AF1569)</f>
        <v>0</v>
      </c>
    </row>
    <row r="1570" spans="1:42" customHeight="1" ht="11.5">
      <c r="A1570" s="5"/>
      <c r="B1570" s="173"/>
      <c r="C1570" s="167"/>
      <c r="D1570" s="88"/>
      <c r="E1570" s="174"/>
      <c r="F1570" s="9"/>
      <c r="G1570" s="10"/>
      <c r="H1570" s="9"/>
      <c r="I1570" s="10"/>
      <c r="J1570" s="152"/>
      <c r="K1570" s="10"/>
      <c r="L1570" s="152"/>
      <c r="M1570" s="10"/>
      <c r="N1570" s="152"/>
      <c r="O1570" s="10"/>
      <c r="P1570" s="152"/>
      <c r="Q1570" s="10"/>
      <c r="R1570" s="9"/>
      <c r="S1570" s="10"/>
      <c r="T1570" s="9"/>
      <c r="U1570" s="10"/>
      <c r="V1570" s="9"/>
      <c r="W1570" s="10"/>
      <c r="X1570" s="9"/>
      <c r="Y1570" s="10"/>
      <c r="Z1570" s="9"/>
      <c r="AA1570" s="10"/>
      <c r="AB1570" s="11"/>
      <c r="AC1570" s="10"/>
      <c r="AD1570" s="7">
        <f>SUM(F1570+H1570+J1570+L1570+N1570+P1570+R1570+T1570+V1570+X1570+Z1570+AB1570)</f>
        <v>0</v>
      </c>
      <c r="AE1570" s="7">
        <f>E1570+AD1570</f>
        <v>0</v>
      </c>
      <c r="AF1570" s="8">
        <f>G1570+I1570+K1570+M1570+O1570+Q1570+S1570+U1570+W1570+Y1570+AA1570+AC1570</f>
        <v>0</v>
      </c>
      <c r="AG1570" s="153">
        <f>SUM(AE1570-AF1570)</f>
        <v>0</v>
      </c>
    </row>
    <row r="1571" spans="1:42" customHeight="1" ht="11.5">
      <c r="A1571" s="5"/>
      <c r="B1571" s="173"/>
      <c r="C1571" s="167"/>
      <c r="D1571" s="88"/>
      <c r="E1571" s="174"/>
      <c r="F1571" s="9"/>
      <c r="G1571" s="10"/>
      <c r="H1571" s="9"/>
      <c r="I1571" s="10"/>
      <c r="J1571" s="152"/>
      <c r="K1571" s="10"/>
      <c r="L1571" s="152"/>
      <c r="M1571" s="10"/>
      <c r="N1571" s="152"/>
      <c r="O1571" s="10"/>
      <c r="P1571" s="152"/>
      <c r="Q1571" s="10"/>
      <c r="R1571" s="9"/>
      <c r="S1571" s="10"/>
      <c r="T1571" s="9"/>
      <c r="U1571" s="10"/>
      <c r="V1571" s="9"/>
      <c r="W1571" s="10"/>
      <c r="X1571" s="9"/>
      <c r="Y1571" s="10"/>
      <c r="Z1571" s="9"/>
      <c r="AA1571" s="10"/>
      <c r="AB1571" s="11"/>
      <c r="AC1571" s="10"/>
      <c r="AD1571" s="7">
        <f>SUM(F1571+H1571+J1571+L1571+N1571+P1571+R1571+T1571+V1571+X1571+Z1571+AB1571)</f>
        <v>0</v>
      </c>
      <c r="AE1571" s="7">
        <f>E1571+AD1571</f>
        <v>0</v>
      </c>
      <c r="AF1571" s="8">
        <f>G1571+I1571+K1571+M1571+O1571+Q1571+S1571+U1571+W1571+Y1571+AA1571+AC1571</f>
        <v>0</v>
      </c>
      <c r="AG1571" s="153">
        <f>SUM(AE1571-AF1571)</f>
        <v>0</v>
      </c>
    </row>
    <row r="1572" spans="1:42" customHeight="1" ht="11.5">
      <c r="A1572" s="5"/>
      <c r="B1572" s="173"/>
      <c r="C1572" s="167"/>
      <c r="D1572" s="88"/>
      <c r="E1572" s="174"/>
      <c r="F1572" s="9"/>
      <c r="G1572" s="10"/>
      <c r="H1572" s="9"/>
      <c r="I1572" s="10"/>
      <c r="J1572" s="152"/>
      <c r="K1572" s="10"/>
      <c r="L1572" s="152"/>
      <c r="M1572" s="10"/>
      <c r="N1572" s="152"/>
      <c r="O1572" s="10"/>
      <c r="P1572" s="152"/>
      <c r="Q1572" s="10"/>
      <c r="R1572" s="9"/>
      <c r="S1572" s="10"/>
      <c r="T1572" s="9"/>
      <c r="U1572" s="10"/>
      <c r="V1572" s="9"/>
      <c r="W1572" s="10"/>
      <c r="X1572" s="9"/>
      <c r="Y1572" s="10"/>
      <c r="Z1572" s="9"/>
      <c r="AA1572" s="10"/>
      <c r="AB1572" s="11"/>
      <c r="AC1572" s="10"/>
      <c r="AD1572" s="7">
        <f>SUM(F1572+H1572+J1572+L1572+N1572+P1572+R1572+T1572+V1572+X1572+Z1572+AB1572)</f>
        <v>0</v>
      </c>
      <c r="AE1572" s="7">
        <f>E1572+AD1572</f>
        <v>0</v>
      </c>
      <c r="AF1572" s="8">
        <f>G1572+I1572+K1572+M1572+O1572+Q1572+S1572+U1572+W1572+Y1572+AA1572+AC1572</f>
        <v>0</v>
      </c>
      <c r="AG1572" s="153">
        <f>SUM(AE1572-AF1572)</f>
        <v>0</v>
      </c>
    </row>
    <row r="1573" spans="1:42" customHeight="1" ht="11.5">
      <c r="A1573" s="5"/>
      <c r="B1573" s="173"/>
      <c r="C1573" s="167"/>
      <c r="D1573" s="88"/>
      <c r="E1573" s="174"/>
      <c r="F1573" s="9"/>
      <c r="G1573" s="10"/>
      <c r="H1573" s="9"/>
      <c r="I1573" s="10"/>
      <c r="J1573" s="152"/>
      <c r="K1573" s="10"/>
      <c r="L1573" s="152"/>
      <c r="M1573" s="10"/>
      <c r="N1573" s="152"/>
      <c r="O1573" s="10"/>
      <c r="P1573" s="152"/>
      <c r="Q1573" s="10"/>
      <c r="R1573" s="9"/>
      <c r="S1573" s="10"/>
      <c r="T1573" s="9"/>
      <c r="U1573" s="10"/>
      <c r="V1573" s="9"/>
      <c r="W1573" s="10"/>
      <c r="X1573" s="9"/>
      <c r="Y1573" s="10"/>
      <c r="Z1573" s="9"/>
      <c r="AA1573" s="10"/>
      <c r="AB1573" s="11"/>
      <c r="AC1573" s="10"/>
      <c r="AD1573" s="7">
        <f>SUM(F1573+H1573+J1573+L1573+N1573+P1573+R1573+T1573+V1573+X1573+Z1573+AB1573)</f>
        <v>0</v>
      </c>
      <c r="AE1573" s="7">
        <f>E1573+AD1573</f>
        <v>0</v>
      </c>
      <c r="AF1573" s="8">
        <f>G1573+I1573+K1573+M1573+O1573+Q1573+S1573+U1573+W1573+Y1573+AA1573+AC1573</f>
        <v>0</v>
      </c>
      <c r="AG1573" s="153">
        <f>SUM(AE1573-AF1573)</f>
        <v>0</v>
      </c>
    </row>
    <row r="1574" spans="1:42" customHeight="1" ht="11.5">
      <c r="A1574" s="5"/>
      <c r="B1574" s="173"/>
      <c r="C1574" s="167"/>
      <c r="D1574" s="88"/>
      <c r="E1574" s="174"/>
      <c r="F1574" s="9"/>
      <c r="G1574" s="10"/>
      <c r="H1574" s="9"/>
      <c r="I1574" s="10"/>
      <c r="J1574" s="152"/>
      <c r="K1574" s="10"/>
      <c r="L1574" s="152"/>
      <c r="M1574" s="10"/>
      <c r="N1574" s="152"/>
      <c r="O1574" s="10"/>
      <c r="P1574" s="152"/>
      <c r="Q1574" s="10"/>
      <c r="R1574" s="9"/>
      <c r="S1574" s="10"/>
      <c r="T1574" s="9"/>
      <c r="U1574" s="10"/>
      <c r="V1574" s="9"/>
      <c r="W1574" s="10"/>
      <c r="X1574" s="9"/>
      <c r="Y1574" s="10"/>
      <c r="Z1574" s="9"/>
      <c r="AA1574" s="10"/>
      <c r="AB1574" s="11"/>
      <c r="AC1574" s="10"/>
      <c r="AD1574" s="7">
        <f>SUM(F1574+H1574+J1574+L1574+N1574+P1574+R1574+T1574+V1574+X1574+Z1574+AB1574)</f>
        <v>0</v>
      </c>
      <c r="AE1574" s="7">
        <f>E1574+AD1574</f>
        <v>0</v>
      </c>
      <c r="AF1574" s="8">
        <f>G1574+I1574+K1574+M1574+O1574+Q1574+S1574+U1574+W1574+Y1574+AA1574+AC1574</f>
        <v>0</v>
      </c>
      <c r="AG1574" s="153">
        <f>SUM(AE1574-AF1574)</f>
        <v>0</v>
      </c>
    </row>
    <row r="1575" spans="1:42" customHeight="1" ht="11.5">
      <c r="A1575" s="5"/>
      <c r="B1575" s="173"/>
      <c r="C1575" s="167"/>
      <c r="D1575" s="88"/>
      <c r="E1575" s="174"/>
      <c r="F1575" s="9"/>
      <c r="G1575" s="10"/>
      <c r="H1575" s="9"/>
      <c r="I1575" s="10"/>
      <c r="J1575" s="152"/>
      <c r="K1575" s="10"/>
      <c r="L1575" s="152"/>
      <c r="M1575" s="10"/>
      <c r="N1575" s="152"/>
      <c r="O1575" s="10"/>
      <c r="P1575" s="152"/>
      <c r="Q1575" s="10"/>
      <c r="R1575" s="9"/>
      <c r="S1575" s="10"/>
      <c r="T1575" s="9"/>
      <c r="U1575" s="10"/>
      <c r="V1575" s="9"/>
      <c r="W1575" s="10"/>
      <c r="X1575" s="9"/>
      <c r="Y1575" s="10"/>
      <c r="Z1575" s="9"/>
      <c r="AA1575" s="10"/>
      <c r="AB1575" s="11"/>
      <c r="AC1575" s="10"/>
      <c r="AD1575" s="7">
        <f>SUM(F1575+H1575+J1575+L1575+N1575+P1575+R1575+T1575+V1575+X1575+Z1575+AB1575)</f>
        <v>0</v>
      </c>
      <c r="AE1575" s="7">
        <f>E1575+AD1575</f>
        <v>0</v>
      </c>
      <c r="AF1575" s="8">
        <f>G1575+I1575+K1575+M1575+O1575+Q1575+S1575+U1575+W1575+Y1575+AA1575+AC1575</f>
        <v>0</v>
      </c>
      <c r="AG1575" s="153">
        <f>SUM(AE1575-AF1575)</f>
        <v>0</v>
      </c>
    </row>
    <row r="1576" spans="1:42" customHeight="1" ht="11.5">
      <c r="A1576" s="5"/>
      <c r="B1576" s="173"/>
      <c r="C1576" s="167"/>
      <c r="D1576" s="88"/>
      <c r="E1576" s="174"/>
      <c r="F1576" s="9"/>
      <c r="G1576" s="10"/>
      <c r="H1576" s="9"/>
      <c r="I1576" s="10"/>
      <c r="J1576" s="152"/>
      <c r="K1576" s="10"/>
      <c r="L1576" s="152"/>
      <c r="M1576" s="10"/>
      <c r="N1576" s="152"/>
      <c r="O1576" s="10"/>
      <c r="P1576" s="152"/>
      <c r="Q1576" s="10"/>
      <c r="R1576" s="9"/>
      <c r="S1576" s="10"/>
      <c r="T1576" s="9"/>
      <c r="U1576" s="10"/>
      <c r="V1576" s="9"/>
      <c r="W1576" s="10"/>
      <c r="X1576" s="9"/>
      <c r="Y1576" s="10"/>
      <c r="Z1576" s="9"/>
      <c r="AA1576" s="10"/>
      <c r="AB1576" s="11"/>
      <c r="AC1576" s="10"/>
      <c r="AD1576" s="7">
        <f>SUM(F1576+H1576+J1576+L1576+N1576+P1576+R1576+T1576+V1576+X1576+Z1576+AB1576)</f>
        <v>0</v>
      </c>
      <c r="AE1576" s="7">
        <f>E1576+AD1576</f>
        <v>0</v>
      </c>
      <c r="AF1576" s="8">
        <f>G1576+I1576+K1576+M1576+O1576+Q1576+S1576+U1576+W1576+Y1576+AA1576+AC1576</f>
        <v>0</v>
      </c>
      <c r="AG1576" s="153">
        <f>SUM(AE1576-AF1576)</f>
        <v>0</v>
      </c>
    </row>
    <row r="1577" spans="1:42" customHeight="1" ht="11.5">
      <c r="A1577" s="5"/>
      <c r="B1577" s="173"/>
      <c r="C1577" s="167"/>
      <c r="D1577" s="88"/>
      <c r="E1577" s="174"/>
      <c r="F1577" s="9"/>
      <c r="G1577" s="10"/>
      <c r="H1577" s="9"/>
      <c r="I1577" s="10"/>
      <c r="J1577" s="152"/>
      <c r="K1577" s="10"/>
      <c r="L1577" s="152"/>
      <c r="M1577" s="10"/>
      <c r="N1577" s="152"/>
      <c r="O1577" s="10"/>
      <c r="P1577" s="152"/>
      <c r="Q1577" s="10"/>
      <c r="R1577" s="9"/>
      <c r="S1577" s="10"/>
      <c r="T1577" s="9"/>
      <c r="U1577" s="10"/>
      <c r="V1577" s="9"/>
      <c r="W1577" s="10"/>
      <c r="X1577" s="9"/>
      <c r="Y1577" s="10"/>
      <c r="Z1577" s="9"/>
      <c r="AA1577" s="10"/>
      <c r="AB1577" s="11"/>
      <c r="AC1577" s="10"/>
      <c r="AD1577" s="7">
        <f>SUM(F1577+H1577+J1577+L1577+N1577+P1577+R1577+T1577+V1577+X1577+Z1577+AB1577)</f>
        <v>0</v>
      </c>
      <c r="AE1577" s="7">
        <f>E1577+AD1577</f>
        <v>0</v>
      </c>
      <c r="AF1577" s="8">
        <f>G1577+I1577+K1577+M1577+O1577+Q1577+S1577+U1577+W1577+Y1577+AA1577+AC1577</f>
        <v>0</v>
      </c>
      <c r="AG1577" s="153">
        <f>SUM(AE1577-AF1577)</f>
        <v>0</v>
      </c>
    </row>
    <row r="1578" spans="1:42" customHeight="1" ht="11.5">
      <c r="A1578" s="5"/>
      <c r="B1578" s="173"/>
      <c r="C1578" s="167"/>
      <c r="D1578" s="88"/>
      <c r="E1578" s="174"/>
      <c r="F1578" s="9"/>
      <c r="G1578" s="10"/>
      <c r="H1578" s="9"/>
      <c r="I1578" s="10"/>
      <c r="J1578" s="152"/>
      <c r="K1578" s="10"/>
      <c r="L1578" s="152"/>
      <c r="M1578" s="10"/>
      <c r="N1578" s="152"/>
      <c r="O1578" s="10"/>
      <c r="P1578" s="152"/>
      <c r="Q1578" s="10"/>
      <c r="R1578" s="9"/>
      <c r="S1578" s="10"/>
      <c r="T1578" s="9"/>
      <c r="U1578" s="10"/>
      <c r="V1578" s="9"/>
      <c r="W1578" s="10"/>
      <c r="X1578" s="9"/>
      <c r="Y1578" s="10"/>
      <c r="Z1578" s="9"/>
      <c r="AA1578" s="10"/>
      <c r="AB1578" s="11"/>
      <c r="AC1578" s="10"/>
      <c r="AD1578" s="7">
        <f>SUM(F1578+H1578+J1578+L1578+N1578+P1578+R1578+T1578+V1578+X1578+Z1578+AB1578)</f>
        <v>0</v>
      </c>
      <c r="AE1578" s="7">
        <f>E1578+AD1578</f>
        <v>0</v>
      </c>
      <c r="AF1578" s="8">
        <f>G1578+I1578+K1578+M1578+O1578+Q1578+S1578+U1578+W1578+Y1578+AA1578+AC1578</f>
        <v>0</v>
      </c>
      <c r="AG1578" s="153">
        <f>SUM(AE1578-AF1578)</f>
        <v>0</v>
      </c>
    </row>
    <row r="1579" spans="1:42" customHeight="1" ht="11.5">
      <c r="A1579" s="5"/>
      <c r="B1579" s="173"/>
      <c r="C1579" s="167"/>
      <c r="D1579" s="88"/>
      <c r="E1579" s="174"/>
      <c r="F1579" s="9"/>
      <c r="G1579" s="10"/>
      <c r="H1579" s="9"/>
      <c r="I1579" s="10"/>
      <c r="J1579" s="152"/>
      <c r="K1579" s="10"/>
      <c r="L1579" s="152"/>
      <c r="M1579" s="10"/>
      <c r="N1579" s="152"/>
      <c r="O1579" s="10"/>
      <c r="P1579" s="152"/>
      <c r="Q1579" s="10"/>
      <c r="R1579" s="9"/>
      <c r="S1579" s="10"/>
      <c r="T1579" s="9"/>
      <c r="U1579" s="10"/>
      <c r="V1579" s="9"/>
      <c r="W1579" s="10"/>
      <c r="X1579" s="9"/>
      <c r="Y1579" s="10"/>
      <c r="Z1579" s="9"/>
      <c r="AA1579" s="10"/>
      <c r="AB1579" s="11"/>
      <c r="AC1579" s="10"/>
      <c r="AD1579" s="7">
        <f>SUM(F1579+H1579+J1579+L1579+N1579+P1579+R1579+T1579+V1579+X1579+Z1579+AB1579)</f>
        <v>0</v>
      </c>
      <c r="AE1579" s="7">
        <f>E1579+AD1579</f>
        <v>0</v>
      </c>
      <c r="AF1579" s="8">
        <f>G1579+I1579+K1579+M1579+O1579+Q1579+S1579+U1579+W1579+Y1579+AA1579+AC1579</f>
        <v>0</v>
      </c>
      <c r="AG1579" s="153">
        <f>SUM(AE1579-AF1579)</f>
        <v>0</v>
      </c>
    </row>
    <row r="1580" spans="1:42" customHeight="1" ht="11.5">
      <c r="A1580" s="5"/>
      <c r="B1580" s="173"/>
      <c r="C1580" s="167"/>
      <c r="D1580" s="88"/>
      <c r="E1580" s="174"/>
      <c r="F1580" s="9"/>
      <c r="G1580" s="10"/>
      <c r="H1580" s="9"/>
      <c r="I1580" s="10"/>
      <c r="J1580" s="152"/>
      <c r="K1580" s="10"/>
      <c r="L1580" s="152"/>
      <c r="M1580" s="10"/>
      <c r="N1580" s="152"/>
      <c r="O1580" s="10"/>
      <c r="P1580" s="152"/>
      <c r="Q1580" s="10"/>
      <c r="R1580" s="9"/>
      <c r="S1580" s="10"/>
      <c r="T1580" s="9"/>
      <c r="U1580" s="10"/>
      <c r="V1580" s="9"/>
      <c r="W1580" s="10"/>
      <c r="X1580" s="9"/>
      <c r="Y1580" s="10"/>
      <c r="Z1580" s="9"/>
      <c r="AA1580" s="10"/>
      <c r="AB1580" s="11"/>
      <c r="AC1580" s="10"/>
      <c r="AD1580" s="7">
        <f>SUM(F1580+H1580+J1580+L1580+N1580+P1580+R1580+T1580+V1580+X1580+Z1580+AB1580)</f>
        <v>0</v>
      </c>
      <c r="AE1580" s="7">
        <f>E1580+AD1580</f>
        <v>0</v>
      </c>
      <c r="AF1580" s="8">
        <f>G1580+I1580+K1580+M1580+O1580+Q1580+S1580+U1580+W1580+Y1580+AA1580+AC1580</f>
        <v>0</v>
      </c>
      <c r="AG1580" s="153">
        <f>SUM(AE1580-AF1580)</f>
        <v>0</v>
      </c>
    </row>
    <row r="1581" spans="1:42" customHeight="1" ht="11.5">
      <c r="A1581" s="5"/>
      <c r="B1581" s="173"/>
      <c r="C1581" s="167"/>
      <c r="D1581" s="88"/>
      <c r="E1581" s="174"/>
      <c r="F1581" s="9"/>
      <c r="G1581" s="10"/>
      <c r="H1581" s="9"/>
      <c r="I1581" s="10"/>
      <c r="J1581" s="152"/>
      <c r="K1581" s="10"/>
      <c r="L1581" s="152"/>
      <c r="M1581" s="10"/>
      <c r="N1581" s="152"/>
      <c r="O1581" s="10"/>
      <c r="P1581" s="152"/>
      <c r="Q1581" s="10"/>
      <c r="R1581" s="9"/>
      <c r="S1581" s="10"/>
      <c r="T1581" s="9"/>
      <c r="U1581" s="10"/>
      <c r="V1581" s="9"/>
      <c r="W1581" s="10"/>
      <c r="X1581" s="9"/>
      <c r="Y1581" s="10"/>
      <c r="Z1581" s="9"/>
      <c r="AA1581" s="10"/>
      <c r="AB1581" s="11"/>
      <c r="AC1581" s="10"/>
      <c r="AD1581" s="7">
        <f>SUM(F1581+H1581+J1581+L1581+N1581+P1581+R1581+T1581+V1581+X1581+Z1581+AB1581)</f>
        <v>0</v>
      </c>
      <c r="AE1581" s="7">
        <f>E1581+AD1581</f>
        <v>0</v>
      </c>
      <c r="AF1581" s="8">
        <f>G1581+I1581+K1581+M1581+O1581+Q1581+S1581+U1581+W1581+Y1581+AA1581+AC1581</f>
        <v>0</v>
      </c>
      <c r="AG1581" s="153">
        <f>SUM(AE1581-AF1581)</f>
        <v>0</v>
      </c>
    </row>
    <row r="1582" spans="1:42" customHeight="1" ht="11.5">
      <c r="A1582" s="5"/>
      <c r="B1582" s="173"/>
      <c r="C1582" s="167"/>
      <c r="D1582" s="88"/>
      <c r="E1582" s="174"/>
      <c r="F1582" s="9"/>
      <c r="G1582" s="10"/>
      <c r="H1582" s="9"/>
      <c r="I1582" s="10"/>
      <c r="J1582" s="152"/>
      <c r="K1582" s="10"/>
      <c r="L1582" s="152"/>
      <c r="M1582" s="10"/>
      <c r="N1582" s="152"/>
      <c r="O1582" s="10"/>
      <c r="P1582" s="152"/>
      <c r="Q1582" s="10"/>
      <c r="R1582" s="9"/>
      <c r="S1582" s="10"/>
      <c r="T1582" s="9"/>
      <c r="U1582" s="10"/>
      <c r="V1582" s="9"/>
      <c r="W1582" s="10"/>
      <c r="X1582" s="9"/>
      <c r="Y1582" s="10"/>
      <c r="Z1582" s="9"/>
      <c r="AA1582" s="10"/>
      <c r="AB1582" s="11"/>
      <c r="AC1582" s="10"/>
      <c r="AD1582" s="7">
        <f>SUM(F1582+H1582+J1582+L1582+N1582+P1582+R1582+T1582+V1582+X1582+Z1582+AB1582)</f>
        <v>0</v>
      </c>
      <c r="AE1582" s="7">
        <f>E1582+AD1582</f>
        <v>0</v>
      </c>
      <c r="AF1582" s="8">
        <f>G1582+I1582+K1582+M1582+O1582+Q1582+S1582+U1582+W1582+Y1582+AA1582+AC1582</f>
        <v>0</v>
      </c>
      <c r="AG1582" s="153">
        <f>SUM(AE1582-AF1582)</f>
        <v>0</v>
      </c>
    </row>
    <row r="1583" spans="1:42" customHeight="1" ht="11.5">
      <c r="A1583" s="5"/>
      <c r="B1583" s="173"/>
      <c r="C1583" s="167"/>
      <c r="D1583" s="88"/>
      <c r="E1583" s="174"/>
      <c r="F1583" s="9"/>
      <c r="G1583" s="10"/>
      <c r="H1583" s="9"/>
      <c r="I1583" s="10"/>
      <c r="J1583" s="152"/>
      <c r="K1583" s="10"/>
      <c r="L1583" s="152"/>
      <c r="M1583" s="10"/>
      <c r="N1583" s="152"/>
      <c r="O1583" s="10"/>
      <c r="P1583" s="152"/>
      <c r="Q1583" s="10"/>
      <c r="R1583" s="9"/>
      <c r="S1583" s="10"/>
      <c r="T1583" s="9"/>
      <c r="U1583" s="10"/>
      <c r="V1583" s="9"/>
      <c r="W1583" s="10"/>
      <c r="X1583" s="9"/>
      <c r="Y1583" s="10"/>
      <c r="Z1583" s="9"/>
      <c r="AA1583" s="10"/>
      <c r="AB1583" s="11"/>
      <c r="AC1583" s="10"/>
      <c r="AD1583" s="7">
        <f>SUM(F1583+H1583+J1583+L1583+N1583+P1583+R1583+T1583+V1583+X1583+Z1583+AB1583)</f>
        <v>0</v>
      </c>
      <c r="AE1583" s="7">
        <f>E1583+AD1583</f>
        <v>0</v>
      </c>
      <c r="AF1583" s="8">
        <f>G1583+I1583+K1583+M1583+O1583+Q1583+S1583+U1583+W1583+Y1583+AA1583+AC1583</f>
        <v>0</v>
      </c>
      <c r="AG1583" s="153">
        <f>SUM(AE1583-AF1583)</f>
        <v>0</v>
      </c>
    </row>
    <row r="1584" spans="1:42" customHeight="1" ht="11.5">
      <c r="A1584" s="5"/>
      <c r="B1584" s="173"/>
      <c r="C1584" s="167"/>
      <c r="D1584" s="88"/>
      <c r="E1584" s="174"/>
      <c r="F1584" s="9"/>
      <c r="G1584" s="10"/>
      <c r="H1584" s="9"/>
      <c r="I1584" s="10"/>
      <c r="J1584" s="152"/>
      <c r="K1584" s="10"/>
      <c r="L1584" s="152"/>
      <c r="M1584" s="10"/>
      <c r="N1584" s="152"/>
      <c r="O1584" s="10"/>
      <c r="P1584" s="152"/>
      <c r="Q1584" s="10"/>
      <c r="R1584" s="9"/>
      <c r="S1584" s="10"/>
      <c r="T1584" s="9"/>
      <c r="U1584" s="10"/>
      <c r="V1584" s="9"/>
      <c r="W1584" s="10"/>
      <c r="X1584" s="9"/>
      <c r="Y1584" s="10"/>
      <c r="Z1584" s="9"/>
      <c r="AA1584" s="10"/>
      <c r="AB1584" s="11"/>
      <c r="AC1584" s="10"/>
      <c r="AD1584" s="7">
        <f>SUM(F1584+H1584+J1584+L1584+N1584+P1584+R1584+T1584+V1584+X1584+Z1584+AB1584)</f>
        <v>0</v>
      </c>
      <c r="AE1584" s="7">
        <f>E1584+AD1584</f>
        <v>0</v>
      </c>
      <c r="AF1584" s="8">
        <f>G1584+I1584+K1584+M1584+O1584+Q1584+S1584+U1584+W1584+Y1584+AA1584+AC1584</f>
        <v>0</v>
      </c>
      <c r="AG1584" s="153">
        <f>SUM(AE1584-AF1584)</f>
        <v>0</v>
      </c>
    </row>
    <row r="1585" spans="1:42" customHeight="1" ht="11.5">
      <c r="A1585" s="5"/>
      <c r="B1585" s="173"/>
      <c r="C1585" s="167"/>
      <c r="D1585" s="88"/>
      <c r="E1585" s="174"/>
      <c r="F1585" s="9"/>
      <c r="G1585" s="10"/>
      <c r="H1585" s="9"/>
      <c r="I1585" s="10"/>
      <c r="J1585" s="152"/>
      <c r="K1585" s="10"/>
      <c r="L1585" s="152"/>
      <c r="M1585" s="10"/>
      <c r="N1585" s="152"/>
      <c r="O1585" s="10"/>
      <c r="P1585" s="152"/>
      <c r="Q1585" s="10"/>
      <c r="R1585" s="9"/>
      <c r="S1585" s="10"/>
      <c r="T1585" s="9"/>
      <c r="U1585" s="10"/>
      <c r="V1585" s="9"/>
      <c r="W1585" s="10"/>
      <c r="X1585" s="9"/>
      <c r="Y1585" s="10"/>
      <c r="Z1585" s="9"/>
      <c r="AA1585" s="10"/>
      <c r="AB1585" s="11"/>
      <c r="AC1585" s="10"/>
      <c r="AD1585" s="7">
        <f>SUM(F1585+H1585+J1585+L1585+N1585+P1585+R1585+T1585+V1585+X1585+Z1585+AB1585)</f>
        <v>0</v>
      </c>
      <c r="AE1585" s="7">
        <f>E1585+AD1585</f>
        <v>0</v>
      </c>
      <c r="AF1585" s="8">
        <f>G1585+I1585+K1585+M1585+O1585+Q1585+S1585+U1585+W1585+Y1585+AA1585+AC1585</f>
        <v>0</v>
      </c>
      <c r="AG1585" s="153">
        <f>SUM(AE1585-AF1585)</f>
        <v>0</v>
      </c>
    </row>
    <row r="1586" spans="1:42" customHeight="1" ht="11.5">
      <c r="A1586" s="5"/>
      <c r="B1586" s="173"/>
      <c r="C1586" s="167"/>
      <c r="D1586" s="88"/>
      <c r="E1586" s="174"/>
      <c r="F1586" s="9"/>
      <c r="G1586" s="10"/>
      <c r="H1586" s="9"/>
      <c r="I1586" s="10"/>
      <c r="J1586" s="152"/>
      <c r="K1586" s="10"/>
      <c r="L1586" s="152"/>
      <c r="M1586" s="10"/>
      <c r="N1586" s="152"/>
      <c r="O1586" s="10"/>
      <c r="P1586" s="152"/>
      <c r="Q1586" s="10"/>
      <c r="R1586" s="9"/>
      <c r="S1586" s="10"/>
      <c r="T1586" s="9"/>
      <c r="U1586" s="10"/>
      <c r="V1586" s="9"/>
      <c r="W1586" s="10"/>
      <c r="X1586" s="9"/>
      <c r="Y1586" s="10"/>
      <c r="Z1586" s="9"/>
      <c r="AA1586" s="10"/>
      <c r="AB1586" s="11"/>
      <c r="AC1586" s="10"/>
      <c r="AD1586" s="7">
        <f>SUM(F1586+H1586+J1586+L1586+N1586+P1586+R1586+T1586+V1586+X1586+Z1586+AB1586)</f>
        <v>0</v>
      </c>
      <c r="AE1586" s="7">
        <f>E1586+AD1586</f>
        <v>0</v>
      </c>
      <c r="AF1586" s="8">
        <f>G1586+I1586+K1586+M1586+O1586+Q1586+S1586+U1586+W1586+Y1586+AA1586+AC1586</f>
        <v>0</v>
      </c>
      <c r="AG1586" s="153">
        <f>SUM(AE1586-AF1586)</f>
        <v>0</v>
      </c>
    </row>
    <row r="1587" spans="1:42" customHeight="1" ht="11.5">
      <c r="A1587" s="5"/>
      <c r="B1587" s="173"/>
      <c r="C1587" s="167"/>
      <c r="D1587" s="88"/>
      <c r="E1587" s="174"/>
      <c r="F1587" s="9"/>
      <c r="G1587" s="10"/>
      <c r="H1587" s="9"/>
      <c r="I1587" s="10"/>
      <c r="J1587" s="152"/>
      <c r="K1587" s="10"/>
      <c r="L1587" s="152"/>
      <c r="M1587" s="10"/>
      <c r="N1587" s="152"/>
      <c r="O1587" s="10"/>
      <c r="P1587" s="152"/>
      <c r="Q1587" s="10"/>
      <c r="R1587" s="9"/>
      <c r="S1587" s="10"/>
      <c r="T1587" s="9"/>
      <c r="U1587" s="10"/>
      <c r="V1587" s="9"/>
      <c r="W1587" s="10"/>
      <c r="X1587" s="9"/>
      <c r="Y1587" s="10"/>
      <c r="Z1587" s="9"/>
      <c r="AA1587" s="10"/>
      <c r="AB1587" s="11"/>
      <c r="AC1587" s="10"/>
      <c r="AD1587" s="7">
        <f>SUM(F1587+H1587+J1587+L1587+N1587+P1587+R1587+T1587+V1587+X1587+Z1587+AB1587)</f>
        <v>0</v>
      </c>
      <c r="AE1587" s="7">
        <f>E1587+AD1587</f>
        <v>0</v>
      </c>
      <c r="AF1587" s="8">
        <f>G1587+I1587+K1587+M1587+O1587+Q1587+S1587+U1587+W1587+Y1587+AA1587+AC1587</f>
        <v>0</v>
      </c>
      <c r="AG1587" s="153">
        <f>SUM(AE1587-AF1587)</f>
        <v>0</v>
      </c>
    </row>
    <row r="1588" spans="1:42" customHeight="1" ht="11.5">
      <c r="A1588" s="5"/>
      <c r="B1588" s="173"/>
      <c r="C1588" s="167"/>
      <c r="D1588" s="88"/>
      <c r="E1588" s="174"/>
      <c r="F1588" s="9"/>
      <c r="G1588" s="10"/>
      <c r="H1588" s="9"/>
      <c r="I1588" s="10"/>
      <c r="J1588" s="152"/>
      <c r="K1588" s="10"/>
      <c r="L1588" s="152"/>
      <c r="M1588" s="10"/>
      <c r="N1588" s="152"/>
      <c r="O1588" s="10"/>
      <c r="P1588" s="152"/>
      <c r="Q1588" s="10"/>
      <c r="R1588" s="9"/>
      <c r="S1588" s="10"/>
      <c r="T1588" s="9"/>
      <c r="U1588" s="10"/>
      <c r="V1588" s="9"/>
      <c r="W1588" s="10"/>
      <c r="X1588" s="9"/>
      <c r="Y1588" s="10"/>
      <c r="Z1588" s="9"/>
      <c r="AA1588" s="10"/>
      <c r="AB1588" s="11"/>
      <c r="AC1588" s="10"/>
      <c r="AD1588" s="7">
        <f>SUM(F1588+H1588+J1588+L1588+N1588+P1588+R1588+T1588+V1588+X1588+Z1588+AB1588)</f>
        <v>0</v>
      </c>
      <c r="AE1588" s="7">
        <f>E1588+AD1588</f>
        <v>0</v>
      </c>
      <c r="AF1588" s="8">
        <f>G1588+I1588+K1588+M1588+O1588+Q1588+S1588+U1588+W1588+Y1588+AA1588+AC1588</f>
        <v>0</v>
      </c>
      <c r="AG1588" s="153">
        <f>SUM(AE1588-AF1588)</f>
        <v>0</v>
      </c>
    </row>
    <row r="1589" spans="1:42" customHeight="1" ht="11.5">
      <c r="A1589" s="5"/>
      <c r="B1589" s="173"/>
      <c r="C1589" s="167"/>
      <c r="D1589" s="88"/>
      <c r="E1589" s="174"/>
      <c r="F1589" s="9"/>
      <c r="G1589" s="10"/>
      <c r="H1589" s="9"/>
      <c r="I1589" s="10"/>
      <c r="J1589" s="152"/>
      <c r="K1589" s="10"/>
      <c r="L1589" s="152"/>
      <c r="M1589" s="10"/>
      <c r="N1589" s="152"/>
      <c r="O1589" s="10"/>
      <c r="P1589" s="152"/>
      <c r="Q1589" s="10"/>
      <c r="R1589" s="9"/>
      <c r="S1589" s="10"/>
      <c r="T1589" s="9"/>
      <c r="U1589" s="10"/>
      <c r="V1589" s="9"/>
      <c r="W1589" s="10"/>
      <c r="X1589" s="9"/>
      <c r="Y1589" s="10"/>
      <c r="Z1589" s="9"/>
      <c r="AA1589" s="10"/>
      <c r="AB1589" s="11"/>
      <c r="AC1589" s="10"/>
      <c r="AD1589" s="7">
        <f>SUM(F1589+H1589+J1589+L1589+N1589+P1589+R1589+T1589+V1589+X1589+Z1589+AB1589)</f>
        <v>0</v>
      </c>
      <c r="AE1589" s="7">
        <f>E1589+AD1589</f>
        <v>0</v>
      </c>
      <c r="AF1589" s="8">
        <f>G1589+I1589+K1589+M1589+O1589+Q1589+S1589+U1589+W1589+Y1589+AA1589+AC1589</f>
        <v>0</v>
      </c>
      <c r="AG1589" s="153">
        <f>SUM(AE1589-AF1589)</f>
        <v>0</v>
      </c>
    </row>
    <row r="1590" spans="1:42" customHeight="1" ht="11.5">
      <c r="A1590" s="5"/>
      <c r="B1590" s="173"/>
      <c r="C1590" s="167"/>
      <c r="D1590" s="88"/>
      <c r="E1590" s="174"/>
      <c r="F1590" s="9"/>
      <c r="G1590" s="10"/>
      <c r="H1590" s="9"/>
      <c r="I1590" s="10"/>
      <c r="J1590" s="152"/>
      <c r="K1590" s="10"/>
      <c r="L1590" s="152"/>
      <c r="M1590" s="10"/>
      <c r="N1590" s="152"/>
      <c r="O1590" s="10"/>
      <c r="P1590" s="152"/>
      <c r="Q1590" s="10"/>
      <c r="R1590" s="9"/>
      <c r="S1590" s="10"/>
      <c r="T1590" s="9"/>
      <c r="U1590" s="10"/>
      <c r="V1590" s="9"/>
      <c r="W1590" s="10"/>
      <c r="X1590" s="9"/>
      <c r="Y1590" s="10"/>
      <c r="Z1590" s="9"/>
      <c r="AA1590" s="10"/>
      <c r="AB1590" s="11"/>
      <c r="AC1590" s="10"/>
      <c r="AD1590" s="7">
        <f>SUM(F1590+H1590+J1590+L1590+N1590+P1590+R1590+T1590+V1590+X1590+Z1590+AB1590)</f>
        <v>0</v>
      </c>
      <c r="AE1590" s="7">
        <f>E1590+AD1590</f>
        <v>0</v>
      </c>
      <c r="AF1590" s="8">
        <f>G1590+I1590+K1590+M1590+O1590+Q1590+S1590+U1590+W1590+Y1590+AA1590+AC1590</f>
        <v>0</v>
      </c>
      <c r="AG1590" s="153">
        <f>SUM(AE1590-AF1590)</f>
        <v>0</v>
      </c>
    </row>
    <row r="1591" spans="1:42" customHeight="1" ht="11.5">
      <c r="A1591" s="5"/>
      <c r="B1591" s="173"/>
      <c r="C1591" s="167"/>
      <c r="D1591" s="88"/>
      <c r="E1591" s="174"/>
      <c r="F1591" s="9"/>
      <c r="G1591" s="10"/>
      <c r="H1591" s="9"/>
      <c r="I1591" s="10"/>
      <c r="J1591" s="152"/>
      <c r="K1591" s="10"/>
      <c r="L1591" s="152"/>
      <c r="M1591" s="10"/>
      <c r="N1591" s="152"/>
      <c r="O1591" s="10"/>
      <c r="P1591" s="152"/>
      <c r="Q1591" s="10"/>
      <c r="R1591" s="9"/>
      <c r="S1591" s="10"/>
      <c r="T1591" s="9"/>
      <c r="U1591" s="10"/>
      <c r="V1591" s="9"/>
      <c r="W1591" s="10"/>
      <c r="X1591" s="9"/>
      <c r="Y1591" s="10"/>
      <c r="Z1591" s="9"/>
      <c r="AA1591" s="10"/>
      <c r="AB1591" s="11"/>
      <c r="AC1591" s="10"/>
      <c r="AD1591" s="7">
        <f>SUM(F1591+H1591+J1591+L1591+N1591+P1591+R1591+T1591+V1591+X1591+Z1591+AB1591)</f>
        <v>0</v>
      </c>
      <c r="AE1591" s="7">
        <f>E1591+AD1591</f>
        <v>0</v>
      </c>
      <c r="AF1591" s="8">
        <f>G1591+I1591+K1591+M1591+O1591+Q1591+S1591+U1591+W1591+Y1591+AA1591+AC1591</f>
        <v>0</v>
      </c>
      <c r="AG1591" s="153">
        <f>SUM(AE1591-AF1591)</f>
        <v>0</v>
      </c>
    </row>
    <row r="1592" spans="1:42" customHeight="1" ht="11.5">
      <c r="A1592" s="5"/>
      <c r="B1592" s="173"/>
      <c r="C1592" s="167"/>
      <c r="D1592" s="88"/>
      <c r="E1592" s="174"/>
      <c r="F1592" s="9"/>
      <c r="G1592" s="10"/>
      <c r="H1592" s="9"/>
      <c r="I1592" s="10"/>
      <c r="J1592" s="152"/>
      <c r="K1592" s="10"/>
      <c r="L1592" s="152"/>
      <c r="M1592" s="10"/>
      <c r="N1592" s="152"/>
      <c r="O1592" s="10"/>
      <c r="P1592" s="152"/>
      <c r="Q1592" s="10"/>
      <c r="R1592" s="9"/>
      <c r="S1592" s="10"/>
      <c r="T1592" s="9"/>
      <c r="U1592" s="10"/>
      <c r="V1592" s="9"/>
      <c r="W1592" s="10"/>
      <c r="X1592" s="9"/>
      <c r="Y1592" s="10"/>
      <c r="Z1592" s="9"/>
      <c r="AA1592" s="10"/>
      <c r="AB1592" s="11"/>
      <c r="AC1592" s="10"/>
      <c r="AD1592" s="7">
        <f>SUM(F1592+H1592+J1592+L1592+N1592+P1592+R1592+T1592+V1592+X1592+Z1592+AB1592)</f>
        <v>0</v>
      </c>
      <c r="AE1592" s="7">
        <f>E1592+AD1592</f>
        <v>0</v>
      </c>
      <c r="AF1592" s="8">
        <f>G1592+I1592+K1592+M1592+O1592+Q1592+S1592+U1592+W1592+Y1592+AA1592+AC1592</f>
        <v>0</v>
      </c>
      <c r="AG1592" s="153">
        <f>SUM(AE1592-AF1592)</f>
        <v>0</v>
      </c>
    </row>
    <row r="1593" spans="1:42" customHeight="1" ht="11.5">
      <c r="A1593" s="5"/>
      <c r="B1593" s="173"/>
      <c r="C1593" s="167"/>
      <c r="D1593" s="88"/>
      <c r="E1593" s="174"/>
      <c r="F1593" s="9"/>
      <c r="G1593" s="10"/>
      <c r="H1593" s="9"/>
      <c r="I1593" s="10"/>
      <c r="J1593" s="152"/>
      <c r="K1593" s="10"/>
      <c r="L1593" s="152"/>
      <c r="M1593" s="10"/>
      <c r="N1593" s="152"/>
      <c r="O1593" s="10"/>
      <c r="P1593" s="152"/>
      <c r="Q1593" s="10"/>
      <c r="R1593" s="9"/>
      <c r="S1593" s="10"/>
      <c r="T1593" s="9"/>
      <c r="U1593" s="10"/>
      <c r="V1593" s="9"/>
      <c r="W1593" s="10"/>
      <c r="X1593" s="9"/>
      <c r="Y1593" s="10"/>
      <c r="Z1593" s="9"/>
      <c r="AA1593" s="10"/>
      <c r="AB1593" s="11"/>
      <c r="AC1593" s="10"/>
      <c r="AD1593" s="7">
        <f>SUM(F1593+H1593+J1593+L1593+N1593+P1593+R1593+T1593+V1593+X1593+Z1593+AB1593)</f>
        <v>0</v>
      </c>
      <c r="AE1593" s="7">
        <f>E1593+AD1593</f>
        <v>0</v>
      </c>
      <c r="AF1593" s="8">
        <f>G1593+I1593+K1593+M1593+O1593+Q1593+S1593+U1593+W1593+Y1593+AA1593+AC1593</f>
        <v>0</v>
      </c>
      <c r="AG1593" s="153">
        <f>SUM(AE1593-AF1593)</f>
        <v>0</v>
      </c>
    </row>
    <row r="1594" spans="1:42" customHeight="1" ht="11.5">
      <c r="A1594" s="5"/>
      <c r="B1594" s="173"/>
      <c r="C1594" s="167"/>
      <c r="D1594" s="88"/>
      <c r="E1594" s="174"/>
      <c r="F1594" s="9"/>
      <c r="G1594" s="10"/>
      <c r="H1594" s="9"/>
      <c r="I1594" s="10"/>
      <c r="J1594" s="152"/>
      <c r="K1594" s="10"/>
      <c r="L1594" s="152"/>
      <c r="M1594" s="10"/>
      <c r="N1594" s="152"/>
      <c r="O1594" s="10"/>
      <c r="P1594" s="152"/>
      <c r="Q1594" s="10"/>
      <c r="R1594" s="9"/>
      <c r="S1594" s="10"/>
      <c r="T1594" s="9"/>
      <c r="U1594" s="10"/>
      <c r="V1594" s="9"/>
      <c r="W1594" s="10"/>
      <c r="X1594" s="9"/>
      <c r="Y1594" s="10"/>
      <c r="Z1594" s="9"/>
      <c r="AA1594" s="10"/>
      <c r="AB1594" s="11"/>
      <c r="AC1594" s="10"/>
      <c r="AD1594" s="7">
        <f>SUM(F1594+H1594+J1594+L1594+N1594+P1594+R1594+T1594+V1594+X1594+Z1594+AB1594)</f>
        <v>0</v>
      </c>
      <c r="AE1594" s="7">
        <f>E1594+AD1594</f>
        <v>0</v>
      </c>
      <c r="AF1594" s="8">
        <f>G1594+I1594+K1594+M1594+O1594+Q1594+S1594+U1594+W1594+Y1594+AA1594+AC1594</f>
        <v>0</v>
      </c>
      <c r="AG1594" s="153">
        <f>SUM(AE1594-AF1594)</f>
        <v>0</v>
      </c>
    </row>
    <row r="1595" spans="1:42" customHeight="1" ht="11.5">
      <c r="A1595" s="5"/>
      <c r="B1595" s="173"/>
      <c r="C1595" s="167"/>
      <c r="D1595" s="88"/>
      <c r="E1595" s="174"/>
      <c r="F1595" s="9"/>
      <c r="G1595" s="10"/>
      <c r="H1595" s="9"/>
      <c r="I1595" s="10"/>
      <c r="J1595" s="152"/>
      <c r="K1595" s="10"/>
      <c r="L1595" s="152"/>
      <c r="M1595" s="10"/>
      <c r="N1595" s="152"/>
      <c r="O1595" s="10"/>
      <c r="P1595" s="152"/>
      <c r="Q1595" s="10"/>
      <c r="R1595" s="9"/>
      <c r="S1595" s="10"/>
      <c r="T1595" s="9"/>
      <c r="U1595" s="10"/>
      <c r="V1595" s="9"/>
      <c r="W1595" s="10"/>
      <c r="X1595" s="9"/>
      <c r="Y1595" s="10"/>
      <c r="Z1595" s="9"/>
      <c r="AA1595" s="10"/>
      <c r="AB1595" s="11"/>
      <c r="AC1595" s="10"/>
      <c r="AD1595" s="7">
        <f>SUM(F1595+H1595+J1595+L1595+N1595+P1595+R1595+T1595+V1595+X1595+Z1595+AB1595)</f>
        <v>0</v>
      </c>
      <c r="AE1595" s="7">
        <f>E1595+AD1595</f>
        <v>0</v>
      </c>
      <c r="AF1595" s="8">
        <f>G1595+I1595+K1595+M1595+O1595+Q1595+S1595+U1595+W1595+Y1595+AA1595+AC1595</f>
        <v>0</v>
      </c>
      <c r="AG1595" s="153">
        <f>SUM(AE1595-AF1595)</f>
        <v>0</v>
      </c>
    </row>
    <row r="1596" spans="1:42" customHeight="1" ht="11.5">
      <c r="A1596" s="5"/>
      <c r="B1596" s="173"/>
      <c r="C1596" s="167"/>
      <c r="D1596" s="88"/>
      <c r="E1596" s="174"/>
      <c r="F1596" s="9"/>
      <c r="G1596" s="10"/>
      <c r="H1596" s="9"/>
      <c r="I1596" s="10"/>
      <c r="J1596" s="152"/>
      <c r="K1596" s="10"/>
      <c r="L1596" s="152"/>
      <c r="M1596" s="10"/>
      <c r="N1596" s="152"/>
      <c r="O1596" s="10"/>
      <c r="P1596" s="152"/>
      <c r="Q1596" s="10"/>
      <c r="R1596" s="9"/>
      <c r="S1596" s="10"/>
      <c r="T1596" s="9"/>
      <c r="U1596" s="10"/>
      <c r="V1596" s="9"/>
      <c r="W1596" s="10"/>
      <c r="X1596" s="9"/>
      <c r="Y1596" s="10"/>
      <c r="Z1596" s="9"/>
      <c r="AA1596" s="10"/>
      <c r="AB1596" s="11"/>
      <c r="AC1596" s="10"/>
      <c r="AD1596" s="7">
        <f>SUM(F1596+H1596+J1596+L1596+N1596+P1596+R1596+T1596+V1596+X1596+Z1596+AB1596)</f>
        <v>0</v>
      </c>
      <c r="AE1596" s="7">
        <f>E1596+AD1596</f>
        <v>0</v>
      </c>
      <c r="AF1596" s="8">
        <f>G1596+I1596+K1596+M1596+O1596+Q1596+S1596+U1596+W1596+Y1596+AA1596+AC1596</f>
        <v>0</v>
      </c>
      <c r="AG1596" s="153">
        <f>SUM(AE1596-AF1596)</f>
        <v>0</v>
      </c>
    </row>
    <row r="1597" spans="1:42" customHeight="1" ht="11.5">
      <c r="A1597" s="5"/>
      <c r="B1597" s="173"/>
      <c r="C1597" s="167"/>
      <c r="D1597" s="88"/>
      <c r="E1597" s="174"/>
      <c r="F1597" s="9"/>
      <c r="G1597" s="10"/>
      <c r="H1597" s="9"/>
      <c r="I1597" s="10"/>
      <c r="J1597" s="152"/>
      <c r="K1597" s="10"/>
      <c r="L1597" s="152"/>
      <c r="M1597" s="10"/>
      <c r="N1597" s="152"/>
      <c r="O1597" s="10"/>
      <c r="P1597" s="152"/>
      <c r="Q1597" s="10"/>
      <c r="R1597" s="9"/>
      <c r="S1597" s="10"/>
      <c r="T1597" s="9"/>
      <c r="U1597" s="10"/>
      <c r="V1597" s="9"/>
      <c r="W1597" s="10"/>
      <c r="X1597" s="9"/>
      <c r="Y1597" s="10"/>
      <c r="Z1597" s="9"/>
      <c r="AA1597" s="10"/>
      <c r="AB1597" s="11"/>
      <c r="AC1597" s="10"/>
      <c r="AD1597" s="7">
        <f>SUM(F1597+H1597+J1597+L1597+N1597+P1597+R1597+T1597+V1597+X1597+Z1597+AB1597)</f>
        <v>0</v>
      </c>
      <c r="AE1597" s="7">
        <f>E1597+AD1597</f>
        <v>0</v>
      </c>
      <c r="AF1597" s="8">
        <f>G1597+I1597+K1597+M1597+O1597+Q1597+S1597+U1597+W1597+Y1597+AA1597+AC1597</f>
        <v>0</v>
      </c>
      <c r="AG1597" s="153">
        <f>SUM(AE1597-AF1597)</f>
        <v>0</v>
      </c>
    </row>
    <row r="1598" spans="1:42" customHeight="1" ht="11.5">
      <c r="A1598" s="5"/>
      <c r="B1598" s="173"/>
      <c r="C1598" s="167"/>
      <c r="D1598" s="88"/>
      <c r="E1598" s="174"/>
      <c r="F1598" s="9"/>
      <c r="G1598" s="10"/>
      <c r="H1598" s="9"/>
      <c r="I1598" s="10"/>
      <c r="J1598" s="152"/>
      <c r="K1598" s="10"/>
      <c r="L1598" s="152"/>
      <c r="M1598" s="10"/>
      <c r="N1598" s="152"/>
      <c r="O1598" s="10"/>
      <c r="P1598" s="152"/>
      <c r="Q1598" s="10"/>
      <c r="R1598" s="9"/>
      <c r="S1598" s="10"/>
      <c r="T1598" s="9"/>
      <c r="U1598" s="10"/>
      <c r="V1598" s="9"/>
      <c r="W1598" s="10"/>
      <c r="X1598" s="9"/>
      <c r="Y1598" s="10"/>
      <c r="Z1598" s="9"/>
      <c r="AA1598" s="10"/>
      <c r="AB1598" s="11"/>
      <c r="AC1598" s="10"/>
      <c r="AD1598" s="7">
        <f>SUM(F1598+H1598+J1598+L1598+N1598+P1598+R1598+T1598+V1598+X1598+Z1598+AB1598)</f>
        <v>0</v>
      </c>
      <c r="AE1598" s="7">
        <f>E1598+AD1598</f>
        <v>0</v>
      </c>
      <c r="AF1598" s="8">
        <f>G1598+I1598+K1598+M1598+O1598+Q1598+S1598+U1598+W1598+Y1598+AA1598+AC1598</f>
        <v>0</v>
      </c>
      <c r="AG1598" s="153">
        <f>SUM(AE1598-AF1598)</f>
        <v>0</v>
      </c>
    </row>
    <row r="1599" spans="1:42" customHeight="1" ht="11.5">
      <c r="A1599" s="5"/>
      <c r="B1599" s="173"/>
      <c r="C1599" s="167"/>
      <c r="D1599" s="88"/>
      <c r="E1599" s="174"/>
      <c r="F1599" s="9"/>
      <c r="G1599" s="10"/>
      <c r="H1599" s="9"/>
      <c r="I1599" s="10"/>
      <c r="J1599" s="152"/>
      <c r="K1599" s="10"/>
      <c r="L1599" s="152"/>
      <c r="M1599" s="10"/>
      <c r="N1599" s="152"/>
      <c r="O1599" s="10"/>
      <c r="P1599" s="152"/>
      <c r="Q1599" s="10"/>
      <c r="R1599" s="9"/>
      <c r="S1599" s="10"/>
      <c r="T1599" s="9"/>
      <c r="U1599" s="10"/>
      <c r="V1599" s="9"/>
      <c r="W1599" s="10"/>
      <c r="X1599" s="9"/>
      <c r="Y1599" s="10"/>
      <c r="Z1599" s="9"/>
      <c r="AA1599" s="10"/>
      <c r="AB1599" s="11"/>
      <c r="AC1599" s="10"/>
      <c r="AD1599" s="7">
        <f>SUM(F1599+H1599+J1599+L1599+N1599+P1599+R1599+T1599+V1599+X1599+Z1599+AB1599)</f>
        <v>0</v>
      </c>
      <c r="AE1599" s="7">
        <f>E1599+AD1599</f>
        <v>0</v>
      </c>
      <c r="AF1599" s="8">
        <f>G1599+I1599+K1599+M1599+O1599+Q1599+S1599+U1599+W1599+Y1599+AA1599+AC1599</f>
        <v>0</v>
      </c>
      <c r="AG1599" s="153">
        <f>SUM(AE1599-AF1599)</f>
        <v>0</v>
      </c>
    </row>
    <row r="1600" spans="1:42" customHeight="1" ht="11.5">
      <c r="A1600" s="5"/>
      <c r="B1600" s="173"/>
      <c r="C1600" s="167"/>
      <c r="D1600" s="88"/>
      <c r="E1600" s="174"/>
      <c r="F1600" s="9"/>
      <c r="G1600" s="10"/>
      <c r="H1600" s="9"/>
      <c r="I1600" s="10"/>
      <c r="J1600" s="152"/>
      <c r="K1600" s="10"/>
      <c r="L1600" s="152"/>
      <c r="M1600" s="10"/>
      <c r="N1600" s="152"/>
      <c r="O1600" s="10"/>
      <c r="P1600" s="152"/>
      <c r="Q1600" s="10"/>
      <c r="R1600" s="9"/>
      <c r="S1600" s="10"/>
      <c r="T1600" s="9"/>
      <c r="U1600" s="10"/>
      <c r="V1600" s="9"/>
      <c r="W1600" s="10"/>
      <c r="X1600" s="9"/>
      <c r="Y1600" s="10"/>
      <c r="Z1600" s="9"/>
      <c r="AA1600" s="10"/>
      <c r="AB1600" s="11"/>
      <c r="AC1600" s="10"/>
      <c r="AD1600" s="7">
        <f>SUM(F1600+H1600+J1600+L1600+N1600+P1600+R1600+T1600+V1600+X1600+Z1600+AB1600)</f>
        <v>0</v>
      </c>
      <c r="AE1600" s="7">
        <f>E1600+AD1600</f>
        <v>0</v>
      </c>
      <c r="AF1600" s="8">
        <f>G1600+I1600+K1600+M1600+O1600+Q1600+S1600+U1600+W1600+Y1600+AA1600+AC1600</f>
        <v>0</v>
      </c>
      <c r="AG1600" s="153">
        <f>SUM(AE1600-AF1600)</f>
        <v>0</v>
      </c>
    </row>
    <row r="1601" spans="1:42" customHeight="1" ht="11.5">
      <c r="A1601" s="5"/>
      <c r="B1601" s="173"/>
      <c r="C1601" s="167"/>
      <c r="D1601" s="88"/>
      <c r="E1601" s="174"/>
      <c r="F1601" s="9"/>
      <c r="G1601" s="10"/>
      <c r="H1601" s="9"/>
      <c r="I1601" s="10"/>
      <c r="J1601" s="152"/>
      <c r="K1601" s="10"/>
      <c r="L1601" s="152"/>
      <c r="M1601" s="10"/>
      <c r="N1601" s="152"/>
      <c r="O1601" s="10"/>
      <c r="P1601" s="152"/>
      <c r="Q1601" s="10"/>
      <c r="R1601" s="9"/>
      <c r="S1601" s="10"/>
      <c r="T1601" s="9"/>
      <c r="U1601" s="10"/>
      <c r="V1601" s="9"/>
      <c r="W1601" s="10"/>
      <c r="X1601" s="9"/>
      <c r="Y1601" s="10"/>
      <c r="Z1601" s="9"/>
      <c r="AA1601" s="10"/>
      <c r="AB1601" s="11"/>
      <c r="AC1601" s="10"/>
      <c r="AD1601" s="7">
        <f>SUM(F1601+H1601+J1601+L1601+N1601+P1601+R1601+T1601+V1601+X1601+Z1601+AB1601)</f>
        <v>0</v>
      </c>
      <c r="AE1601" s="7">
        <f>E1601+AD1601</f>
        <v>0</v>
      </c>
      <c r="AF1601" s="8">
        <f>G1601+I1601+K1601+M1601+O1601+Q1601+S1601+U1601+W1601+Y1601+AA1601+AC1601</f>
        <v>0</v>
      </c>
      <c r="AG1601" s="153">
        <f>SUM(AE1601-AF1601)</f>
        <v>0</v>
      </c>
    </row>
    <row r="1602" spans="1:42" customHeight="1" ht="11.5">
      <c r="A1602" s="5"/>
      <c r="B1602" s="173"/>
      <c r="C1602" s="167"/>
      <c r="D1602" s="88"/>
      <c r="E1602" s="174"/>
      <c r="F1602" s="9"/>
      <c r="G1602" s="10"/>
      <c r="H1602" s="9"/>
      <c r="I1602" s="10"/>
      <c r="J1602" s="152"/>
      <c r="K1602" s="10"/>
      <c r="L1602" s="152"/>
      <c r="M1602" s="10"/>
      <c r="N1602" s="152"/>
      <c r="O1602" s="10"/>
      <c r="P1602" s="152"/>
      <c r="Q1602" s="10"/>
      <c r="R1602" s="9"/>
      <c r="S1602" s="10"/>
      <c r="T1602" s="9"/>
      <c r="U1602" s="10"/>
      <c r="V1602" s="9"/>
      <c r="W1602" s="10"/>
      <c r="X1602" s="9"/>
      <c r="Y1602" s="10"/>
      <c r="Z1602" s="9"/>
      <c r="AA1602" s="10"/>
      <c r="AB1602" s="11"/>
      <c r="AC1602" s="10"/>
      <c r="AD1602" s="7">
        <f>SUM(F1602+H1602+J1602+L1602+N1602+P1602+R1602+T1602+V1602+X1602+Z1602+AB1602)</f>
        <v>0</v>
      </c>
      <c r="AE1602" s="7">
        <f>E1602+AD1602</f>
        <v>0</v>
      </c>
      <c r="AF1602" s="8">
        <f>G1602+I1602+K1602+M1602+O1602+Q1602+S1602+U1602+W1602+Y1602+AA1602+AC1602</f>
        <v>0</v>
      </c>
      <c r="AG1602" s="153">
        <f>SUM(AE1602-AF1602)</f>
        <v>0</v>
      </c>
    </row>
    <row r="1603" spans="1:42" customHeight="1" ht="11.5">
      <c r="A1603" s="5"/>
      <c r="B1603" s="173"/>
      <c r="C1603" s="167"/>
      <c r="D1603" s="88"/>
      <c r="E1603" s="174"/>
      <c r="F1603" s="9"/>
      <c r="G1603" s="10"/>
      <c r="H1603" s="9"/>
      <c r="I1603" s="10"/>
      <c r="J1603" s="152"/>
      <c r="K1603" s="10"/>
      <c r="L1603" s="152"/>
      <c r="M1603" s="10"/>
      <c r="N1603" s="152"/>
      <c r="O1603" s="10"/>
      <c r="P1603" s="152"/>
      <c r="Q1603" s="10"/>
      <c r="R1603" s="9"/>
      <c r="S1603" s="10"/>
      <c r="T1603" s="9"/>
      <c r="U1603" s="10"/>
      <c r="V1603" s="9"/>
      <c r="W1603" s="10"/>
      <c r="X1603" s="9"/>
      <c r="Y1603" s="10"/>
      <c r="Z1603" s="9"/>
      <c r="AA1603" s="10"/>
      <c r="AB1603" s="11"/>
      <c r="AC1603" s="10"/>
      <c r="AD1603" s="7">
        <f>SUM(F1603+H1603+J1603+L1603+N1603+P1603+R1603+T1603+V1603+X1603+Z1603+AB1603)</f>
        <v>0</v>
      </c>
      <c r="AE1603" s="7">
        <f>E1603+AD1603</f>
        <v>0</v>
      </c>
      <c r="AF1603" s="8">
        <f>G1603+I1603+K1603+M1603+O1603+Q1603+S1603+U1603+W1603+Y1603+AA1603+AC1603</f>
        <v>0</v>
      </c>
      <c r="AG1603" s="153">
        <f>SUM(AE1603-AF1603)</f>
        <v>0</v>
      </c>
    </row>
    <row r="1604" spans="1:42" customHeight="1" ht="11.5">
      <c r="A1604" s="5"/>
      <c r="B1604" s="173"/>
      <c r="C1604" s="167"/>
      <c r="D1604" s="88"/>
      <c r="E1604" s="174"/>
      <c r="F1604" s="9"/>
      <c r="G1604" s="10"/>
      <c r="H1604" s="9"/>
      <c r="I1604" s="10"/>
      <c r="J1604" s="152"/>
      <c r="K1604" s="10"/>
      <c r="L1604" s="152"/>
      <c r="M1604" s="10"/>
      <c r="N1604" s="152"/>
      <c r="O1604" s="10"/>
      <c r="P1604" s="152"/>
      <c r="Q1604" s="10"/>
      <c r="R1604" s="9"/>
      <c r="S1604" s="10"/>
      <c r="T1604" s="9"/>
      <c r="U1604" s="10"/>
      <c r="V1604" s="9"/>
      <c r="W1604" s="10"/>
      <c r="X1604" s="9"/>
      <c r="Y1604" s="10"/>
      <c r="Z1604" s="9"/>
      <c r="AA1604" s="10"/>
      <c r="AB1604" s="11"/>
      <c r="AC1604" s="10"/>
      <c r="AD1604" s="7">
        <f>SUM(F1604+H1604+J1604+L1604+N1604+P1604+R1604+T1604+V1604+X1604+Z1604+AB1604)</f>
        <v>0</v>
      </c>
      <c r="AE1604" s="7">
        <f>E1604+AD1604</f>
        <v>0</v>
      </c>
      <c r="AF1604" s="8">
        <f>G1604+I1604+K1604+M1604+O1604+Q1604+S1604+U1604+W1604+Y1604+AA1604+AC1604</f>
        <v>0</v>
      </c>
      <c r="AG1604" s="153">
        <f>SUM(AE1604-AF1604)</f>
        <v>0</v>
      </c>
    </row>
    <row r="1605" spans="1:42" customHeight="1" ht="11.5">
      <c r="A1605" s="5"/>
      <c r="B1605" s="173"/>
      <c r="C1605" s="167"/>
      <c r="D1605" s="88"/>
      <c r="E1605" s="174"/>
      <c r="F1605" s="9"/>
      <c r="G1605" s="10"/>
      <c r="H1605" s="9"/>
      <c r="I1605" s="10"/>
      <c r="J1605" s="152"/>
      <c r="K1605" s="10"/>
      <c r="L1605" s="152"/>
      <c r="M1605" s="10"/>
      <c r="N1605" s="152"/>
      <c r="O1605" s="10"/>
      <c r="P1605" s="152"/>
      <c r="Q1605" s="10"/>
      <c r="R1605" s="9"/>
      <c r="S1605" s="10"/>
      <c r="T1605" s="9"/>
      <c r="U1605" s="10"/>
      <c r="V1605" s="9"/>
      <c r="W1605" s="10"/>
      <c r="X1605" s="9"/>
      <c r="Y1605" s="10"/>
      <c r="Z1605" s="9"/>
      <c r="AA1605" s="10"/>
      <c r="AB1605" s="11"/>
      <c r="AC1605" s="10"/>
      <c r="AD1605" s="7">
        <f>SUM(F1605+H1605+J1605+L1605+N1605+P1605+R1605+T1605+V1605+X1605+Z1605+AB1605)</f>
        <v>0</v>
      </c>
      <c r="AE1605" s="7">
        <f>E1605+AD1605</f>
        <v>0</v>
      </c>
      <c r="AF1605" s="8">
        <f>G1605+I1605+K1605+M1605+O1605+Q1605+S1605+U1605+W1605+Y1605+AA1605+AC1605</f>
        <v>0</v>
      </c>
      <c r="AG1605" s="153">
        <f>SUM(AE1605-AF1605)</f>
        <v>0</v>
      </c>
    </row>
    <row r="1606" spans="1:42" customHeight="1" ht="11.5">
      <c r="A1606" s="5"/>
      <c r="B1606" s="173"/>
      <c r="C1606" s="167"/>
      <c r="D1606" s="88"/>
      <c r="E1606" s="174"/>
      <c r="F1606" s="9"/>
      <c r="G1606" s="10"/>
      <c r="H1606" s="9"/>
      <c r="I1606" s="10"/>
      <c r="J1606" s="152"/>
      <c r="K1606" s="10"/>
      <c r="L1606" s="152"/>
      <c r="M1606" s="10"/>
      <c r="N1606" s="152"/>
      <c r="O1606" s="10"/>
      <c r="P1606" s="152"/>
      <c r="Q1606" s="10"/>
      <c r="R1606" s="9"/>
      <c r="S1606" s="10"/>
      <c r="T1606" s="9"/>
      <c r="U1606" s="10"/>
      <c r="V1606" s="9"/>
      <c r="W1606" s="10"/>
      <c r="X1606" s="9"/>
      <c r="Y1606" s="10"/>
      <c r="Z1606" s="9"/>
      <c r="AA1606" s="10"/>
      <c r="AB1606" s="11"/>
      <c r="AC1606" s="10"/>
      <c r="AD1606" s="7">
        <f>SUM(F1606+H1606+J1606+L1606+N1606+P1606+R1606+T1606+V1606+X1606+Z1606+AB1606)</f>
        <v>0</v>
      </c>
      <c r="AE1606" s="7">
        <f>E1606+AD1606</f>
        <v>0</v>
      </c>
      <c r="AF1606" s="8">
        <f>G1606+I1606+K1606+M1606+O1606+Q1606+S1606+U1606+W1606+Y1606+AA1606+AC1606</f>
        <v>0</v>
      </c>
      <c r="AG1606" s="153">
        <f>SUM(AE1606-AF1606)</f>
        <v>0</v>
      </c>
    </row>
    <row r="1607" spans="1:42" customHeight="1" ht="11.5">
      <c r="A1607" s="5"/>
      <c r="B1607" s="173"/>
      <c r="C1607" s="167"/>
      <c r="D1607" s="88"/>
      <c r="E1607" s="174"/>
      <c r="F1607" s="9"/>
      <c r="G1607" s="10"/>
      <c r="H1607" s="9"/>
      <c r="I1607" s="10"/>
      <c r="J1607" s="152"/>
      <c r="K1607" s="10"/>
      <c r="L1607" s="152"/>
      <c r="M1607" s="10"/>
      <c r="N1607" s="152"/>
      <c r="O1607" s="10"/>
      <c r="P1607" s="152"/>
      <c r="Q1607" s="10"/>
      <c r="R1607" s="9"/>
      <c r="S1607" s="10"/>
      <c r="T1607" s="9"/>
      <c r="U1607" s="10"/>
      <c r="V1607" s="9"/>
      <c r="W1607" s="10"/>
      <c r="X1607" s="9"/>
      <c r="Y1607" s="10"/>
      <c r="Z1607" s="9"/>
      <c r="AA1607" s="10"/>
      <c r="AB1607" s="11"/>
      <c r="AC1607" s="10"/>
      <c r="AD1607" s="7">
        <f>SUM(F1607+H1607+J1607+L1607+N1607+P1607+R1607+T1607+V1607+X1607+Z1607+AB1607)</f>
        <v>0</v>
      </c>
      <c r="AE1607" s="7">
        <f>E1607+AD1607</f>
        <v>0</v>
      </c>
      <c r="AF1607" s="8">
        <f>G1607+I1607+K1607+M1607+O1607+Q1607+S1607+U1607+W1607+Y1607+AA1607+AC1607</f>
        <v>0</v>
      </c>
      <c r="AG1607" s="153">
        <f>SUM(AE1607-AF1607)</f>
        <v>0</v>
      </c>
    </row>
    <row r="1608" spans="1:42" customHeight="1" ht="11.5">
      <c r="A1608" s="5"/>
      <c r="B1608" s="173"/>
      <c r="C1608" s="167"/>
      <c r="D1608" s="88"/>
      <c r="E1608" s="174"/>
      <c r="F1608" s="9"/>
      <c r="G1608" s="10"/>
      <c r="H1608" s="9"/>
      <c r="I1608" s="10"/>
      <c r="J1608" s="152"/>
      <c r="K1608" s="10"/>
      <c r="L1608" s="152"/>
      <c r="M1608" s="10"/>
      <c r="N1608" s="152"/>
      <c r="O1608" s="10"/>
      <c r="P1608" s="152"/>
      <c r="Q1608" s="10"/>
      <c r="R1608" s="9"/>
      <c r="S1608" s="10"/>
      <c r="T1608" s="9"/>
      <c r="U1608" s="10"/>
      <c r="V1608" s="9"/>
      <c r="W1608" s="10"/>
      <c r="X1608" s="9"/>
      <c r="Y1608" s="10"/>
      <c r="Z1608" s="9"/>
      <c r="AA1608" s="10"/>
      <c r="AB1608" s="11"/>
      <c r="AC1608" s="10"/>
      <c r="AD1608" s="7">
        <f>SUM(F1608+H1608+J1608+L1608+N1608+P1608+R1608+T1608+V1608+X1608+Z1608+AB1608)</f>
        <v>0</v>
      </c>
      <c r="AE1608" s="7">
        <f>E1608+AD1608</f>
        <v>0</v>
      </c>
      <c r="AF1608" s="8">
        <f>G1608+I1608+K1608+M1608+O1608+Q1608+S1608+U1608+W1608+Y1608+AA1608+AC1608</f>
        <v>0</v>
      </c>
      <c r="AG1608" s="153">
        <f>SUM(AE1608-AF1608)</f>
        <v>0</v>
      </c>
    </row>
    <row r="1609" spans="1:42" customHeight="1" ht="11.5">
      <c r="A1609" s="5"/>
      <c r="B1609" s="173"/>
      <c r="C1609" s="167"/>
      <c r="D1609" s="88"/>
      <c r="E1609" s="174"/>
      <c r="F1609" s="9"/>
      <c r="G1609" s="10"/>
      <c r="H1609" s="9"/>
      <c r="I1609" s="10"/>
      <c r="J1609" s="152"/>
      <c r="K1609" s="10"/>
      <c r="L1609" s="152"/>
      <c r="M1609" s="10"/>
      <c r="N1609" s="152"/>
      <c r="O1609" s="10"/>
      <c r="P1609" s="152"/>
      <c r="Q1609" s="10"/>
      <c r="R1609" s="9"/>
      <c r="S1609" s="10"/>
      <c r="T1609" s="9"/>
      <c r="U1609" s="10"/>
      <c r="V1609" s="9"/>
      <c r="W1609" s="10"/>
      <c r="X1609" s="9"/>
      <c r="Y1609" s="10"/>
      <c r="Z1609" s="9"/>
      <c r="AA1609" s="10"/>
      <c r="AB1609" s="11"/>
      <c r="AC1609" s="10"/>
      <c r="AD1609" s="7">
        <f>SUM(F1609+H1609+J1609+L1609+N1609+P1609+R1609+T1609+V1609+X1609+Z1609+AB1609)</f>
        <v>0</v>
      </c>
      <c r="AE1609" s="7">
        <f>E1609+AD1609</f>
        <v>0</v>
      </c>
      <c r="AF1609" s="8">
        <f>G1609+I1609+K1609+M1609+O1609+Q1609+S1609+U1609+W1609+Y1609+AA1609+AC1609</f>
        <v>0</v>
      </c>
      <c r="AG1609" s="153">
        <f>SUM(AE1609-AF1609)</f>
        <v>0</v>
      </c>
    </row>
    <row r="1610" spans="1:42" customHeight="1" ht="11.5">
      <c r="A1610" s="5"/>
      <c r="B1610" s="173"/>
      <c r="C1610" s="167"/>
      <c r="D1610" s="88"/>
      <c r="E1610" s="174"/>
      <c r="F1610" s="9"/>
      <c r="G1610" s="10"/>
      <c r="H1610" s="9"/>
      <c r="I1610" s="10"/>
      <c r="J1610" s="152"/>
      <c r="K1610" s="10"/>
      <c r="L1610" s="152"/>
      <c r="M1610" s="10"/>
      <c r="N1610" s="152"/>
      <c r="O1610" s="10"/>
      <c r="P1610" s="152"/>
      <c r="Q1610" s="10"/>
      <c r="R1610" s="9"/>
      <c r="S1610" s="10"/>
      <c r="T1610" s="9"/>
      <c r="U1610" s="10"/>
      <c r="V1610" s="9"/>
      <c r="W1610" s="10"/>
      <c r="X1610" s="9"/>
      <c r="Y1610" s="10"/>
      <c r="Z1610" s="9"/>
      <c r="AA1610" s="10"/>
      <c r="AB1610" s="11"/>
      <c r="AC1610" s="10"/>
      <c r="AD1610" s="7">
        <f>SUM(F1610+H1610+J1610+L1610+N1610+P1610+R1610+T1610+V1610+X1610+Z1610+AB1610)</f>
        <v>0</v>
      </c>
      <c r="AE1610" s="7">
        <f>E1610+AD1610</f>
        <v>0</v>
      </c>
      <c r="AF1610" s="8">
        <f>G1610+I1610+K1610+M1610+O1610+Q1610+S1610+U1610+W1610+Y1610+AA1610+AC1610</f>
        <v>0</v>
      </c>
      <c r="AG1610" s="153">
        <f>SUM(AE1610-AF1610)</f>
        <v>0</v>
      </c>
    </row>
    <row r="1611" spans="1:42" customHeight="1" ht="11.5">
      <c r="A1611" s="5"/>
      <c r="B1611" s="173"/>
      <c r="C1611" s="167"/>
      <c r="D1611" s="88"/>
      <c r="E1611" s="174"/>
      <c r="F1611" s="9"/>
      <c r="G1611" s="10"/>
      <c r="H1611" s="9"/>
      <c r="I1611" s="10"/>
      <c r="J1611" s="152"/>
      <c r="K1611" s="10"/>
      <c r="L1611" s="152"/>
      <c r="M1611" s="10"/>
      <c r="N1611" s="152"/>
      <c r="O1611" s="10"/>
      <c r="P1611" s="152"/>
      <c r="Q1611" s="10"/>
      <c r="R1611" s="9"/>
      <c r="S1611" s="10"/>
      <c r="T1611" s="9"/>
      <c r="U1611" s="10"/>
      <c r="V1611" s="9"/>
      <c r="W1611" s="10"/>
      <c r="X1611" s="9"/>
      <c r="Y1611" s="10"/>
      <c r="Z1611" s="9"/>
      <c r="AA1611" s="10"/>
      <c r="AB1611" s="11"/>
      <c r="AC1611" s="10"/>
      <c r="AD1611" s="7">
        <f>SUM(F1611+H1611+J1611+L1611+N1611+P1611+R1611+T1611+V1611+X1611+Z1611+AB1611)</f>
        <v>0</v>
      </c>
      <c r="AE1611" s="7">
        <f>E1611+AD1611</f>
        <v>0</v>
      </c>
      <c r="AF1611" s="8">
        <f>G1611+I1611+K1611+M1611+O1611+Q1611+S1611+U1611+W1611+Y1611+AA1611+AC1611</f>
        <v>0</v>
      </c>
      <c r="AG1611" s="153">
        <f>SUM(AE1611-AF1611)</f>
        <v>0</v>
      </c>
    </row>
    <row r="1612" spans="1:42" customHeight="1" ht="11.5">
      <c r="A1612" s="5"/>
      <c r="B1612" s="173"/>
      <c r="C1612" s="167"/>
      <c r="D1612" s="88"/>
      <c r="E1612" s="174"/>
      <c r="F1612" s="9"/>
      <c r="G1612" s="10"/>
      <c r="H1612" s="9"/>
      <c r="I1612" s="10"/>
      <c r="J1612" s="152"/>
      <c r="K1612" s="10"/>
      <c r="L1612" s="152"/>
      <c r="M1612" s="10"/>
      <c r="N1612" s="152"/>
      <c r="O1612" s="10"/>
      <c r="P1612" s="152"/>
      <c r="Q1612" s="10"/>
      <c r="R1612" s="9"/>
      <c r="S1612" s="10"/>
      <c r="T1612" s="9"/>
      <c r="U1612" s="10"/>
      <c r="V1612" s="9"/>
      <c r="W1612" s="10"/>
      <c r="X1612" s="9"/>
      <c r="Y1612" s="10"/>
      <c r="Z1612" s="9"/>
      <c r="AA1612" s="10"/>
      <c r="AB1612" s="11"/>
      <c r="AC1612" s="10"/>
      <c r="AD1612" s="7">
        <f>SUM(F1612+H1612+J1612+L1612+N1612+P1612+R1612+T1612+V1612+X1612+Z1612+AB1612)</f>
        <v>0</v>
      </c>
      <c r="AE1612" s="7">
        <f>E1612+AD1612</f>
        <v>0</v>
      </c>
      <c r="AF1612" s="8">
        <f>G1612+I1612+K1612+M1612+O1612+Q1612+S1612+U1612+W1612+Y1612+AA1612+AC1612</f>
        <v>0</v>
      </c>
      <c r="AG1612" s="153">
        <f>SUM(AE1612-AF1612)</f>
        <v>0</v>
      </c>
    </row>
    <row r="1613" spans="1:42" customHeight="1" ht="11.5">
      <c r="A1613" s="5"/>
      <c r="B1613" s="173"/>
      <c r="C1613" s="167"/>
      <c r="D1613" s="88"/>
      <c r="E1613" s="174"/>
      <c r="F1613" s="9"/>
      <c r="G1613" s="10"/>
      <c r="H1613" s="9"/>
      <c r="I1613" s="10"/>
      <c r="J1613" s="152"/>
      <c r="K1613" s="10"/>
      <c r="L1613" s="152"/>
      <c r="M1613" s="10"/>
      <c r="N1613" s="152"/>
      <c r="O1613" s="10"/>
      <c r="P1613" s="152"/>
      <c r="Q1613" s="10"/>
      <c r="R1613" s="9"/>
      <c r="S1613" s="10"/>
      <c r="T1613" s="9"/>
      <c r="U1613" s="10"/>
      <c r="V1613" s="9"/>
      <c r="W1613" s="10"/>
      <c r="X1613" s="9"/>
      <c r="Y1613" s="10"/>
      <c r="Z1613" s="9"/>
      <c r="AA1613" s="10"/>
      <c r="AB1613" s="11"/>
      <c r="AC1613" s="10"/>
      <c r="AD1613" s="7">
        <f>SUM(F1613+H1613+J1613+L1613+N1613+P1613+R1613+T1613+V1613+X1613+Z1613+AB1613)</f>
        <v>0</v>
      </c>
      <c r="AE1613" s="7">
        <f>E1613+AD1613</f>
        <v>0</v>
      </c>
      <c r="AF1613" s="8">
        <f>G1613+I1613+K1613+M1613+O1613+Q1613+S1613+U1613+W1613+Y1613+AA1613+AC1613</f>
        <v>0</v>
      </c>
      <c r="AG1613" s="153">
        <f>SUM(AE1613-AF1613)</f>
        <v>0</v>
      </c>
    </row>
    <row r="1614" spans="1:42" customHeight="1" ht="11.5">
      <c r="A1614" s="5"/>
      <c r="B1614" s="173"/>
      <c r="C1614" s="167"/>
      <c r="D1614" s="88"/>
      <c r="E1614" s="174"/>
      <c r="F1614" s="9"/>
      <c r="G1614" s="10"/>
      <c r="H1614" s="9"/>
      <c r="I1614" s="10"/>
      <c r="J1614" s="152"/>
      <c r="K1614" s="10"/>
      <c r="L1614" s="152"/>
      <c r="M1614" s="10"/>
      <c r="N1614" s="152"/>
      <c r="O1614" s="10"/>
      <c r="P1614" s="152"/>
      <c r="Q1614" s="10"/>
      <c r="R1614" s="9"/>
      <c r="S1614" s="10"/>
      <c r="T1614" s="9"/>
      <c r="U1614" s="10"/>
      <c r="V1614" s="9"/>
      <c r="W1614" s="10"/>
      <c r="X1614" s="9"/>
      <c r="Y1614" s="10"/>
      <c r="Z1614" s="9"/>
      <c r="AA1614" s="10"/>
      <c r="AB1614" s="11"/>
      <c r="AC1614" s="10"/>
      <c r="AD1614" s="7">
        <f>SUM(F1614+H1614+J1614+L1614+N1614+P1614+R1614+T1614+V1614+X1614+Z1614+AB1614)</f>
        <v>0</v>
      </c>
      <c r="AE1614" s="7">
        <f>E1614+AD1614</f>
        <v>0</v>
      </c>
      <c r="AF1614" s="8">
        <f>G1614+I1614+K1614+M1614+O1614+Q1614+S1614+U1614+W1614+Y1614+AA1614+AC1614</f>
        <v>0</v>
      </c>
      <c r="AG1614" s="153">
        <f>SUM(AE1614-AF1614)</f>
        <v>0</v>
      </c>
    </row>
    <row r="1615" spans="1:42" customHeight="1" ht="11.5">
      <c r="A1615" s="5"/>
      <c r="B1615" s="173"/>
      <c r="C1615" s="167"/>
      <c r="D1615" s="88"/>
      <c r="E1615" s="174"/>
      <c r="F1615" s="9"/>
      <c r="G1615" s="10"/>
      <c r="H1615" s="9"/>
      <c r="I1615" s="10"/>
      <c r="J1615" s="152"/>
      <c r="K1615" s="10"/>
      <c r="L1615" s="152"/>
      <c r="M1615" s="10"/>
      <c r="N1615" s="152"/>
      <c r="O1615" s="10"/>
      <c r="P1615" s="152"/>
      <c r="Q1615" s="10"/>
      <c r="R1615" s="9"/>
      <c r="S1615" s="10"/>
      <c r="T1615" s="9"/>
      <c r="U1615" s="10"/>
      <c r="V1615" s="9"/>
      <c r="W1615" s="10"/>
      <c r="X1615" s="9"/>
      <c r="Y1615" s="10"/>
      <c r="Z1615" s="9"/>
      <c r="AA1615" s="10"/>
      <c r="AB1615" s="11"/>
      <c r="AC1615" s="10"/>
      <c r="AD1615" s="7">
        <f>SUM(F1615+H1615+J1615+L1615+N1615+P1615+R1615+T1615+V1615+X1615+Z1615+AB1615)</f>
        <v>0</v>
      </c>
      <c r="AE1615" s="7">
        <f>E1615+AD1615</f>
        <v>0</v>
      </c>
      <c r="AF1615" s="8">
        <f>G1615+I1615+K1615+M1615+O1615+Q1615+S1615+U1615+W1615+Y1615+AA1615+AC1615</f>
        <v>0</v>
      </c>
      <c r="AG1615" s="153">
        <f>SUM(AE1615-AF1615)</f>
        <v>0</v>
      </c>
    </row>
    <row r="1616" spans="1:42" customHeight="1" ht="11.5">
      <c r="A1616" s="5"/>
      <c r="B1616" s="173"/>
      <c r="C1616" s="167"/>
      <c r="D1616" s="88"/>
      <c r="E1616" s="174"/>
      <c r="F1616" s="9"/>
      <c r="G1616" s="10"/>
      <c r="H1616" s="9"/>
      <c r="I1616" s="10"/>
      <c r="J1616" s="152"/>
      <c r="K1616" s="10"/>
      <c r="L1616" s="152"/>
      <c r="M1616" s="10"/>
      <c r="N1616" s="152"/>
      <c r="O1616" s="10"/>
      <c r="P1616" s="152"/>
      <c r="Q1616" s="10"/>
      <c r="R1616" s="9"/>
      <c r="S1616" s="10"/>
      <c r="T1616" s="9"/>
      <c r="U1616" s="10"/>
      <c r="V1616" s="9"/>
      <c r="W1616" s="10"/>
      <c r="X1616" s="9"/>
      <c r="Y1616" s="10"/>
      <c r="Z1616" s="9"/>
      <c r="AA1616" s="10"/>
      <c r="AB1616" s="11"/>
      <c r="AC1616" s="10"/>
      <c r="AD1616" s="7">
        <f>SUM(F1616+H1616+J1616+L1616+N1616+P1616+R1616+T1616+V1616+X1616+Z1616+AB1616)</f>
        <v>0</v>
      </c>
      <c r="AE1616" s="7">
        <f>E1616+AD1616</f>
        <v>0</v>
      </c>
      <c r="AF1616" s="8">
        <f>G1616+I1616+K1616+M1616+O1616+Q1616+S1616+U1616+W1616+Y1616+AA1616+AC1616</f>
        <v>0</v>
      </c>
      <c r="AG1616" s="153">
        <f>SUM(AE1616-AF1616)</f>
        <v>0</v>
      </c>
    </row>
    <row r="1617" spans="1:42" customHeight="1" ht="11.5">
      <c r="A1617" s="5"/>
      <c r="B1617" s="173"/>
      <c r="C1617" s="167"/>
      <c r="D1617" s="88"/>
      <c r="E1617" s="174"/>
      <c r="F1617" s="9"/>
      <c r="G1617" s="10"/>
      <c r="H1617" s="9"/>
      <c r="I1617" s="10"/>
      <c r="J1617" s="152"/>
      <c r="K1617" s="10"/>
      <c r="L1617" s="152"/>
      <c r="M1617" s="10"/>
      <c r="N1617" s="152"/>
      <c r="O1617" s="10"/>
      <c r="P1617" s="152"/>
      <c r="Q1617" s="10"/>
      <c r="R1617" s="9"/>
      <c r="S1617" s="10"/>
      <c r="T1617" s="9"/>
      <c r="U1617" s="10"/>
      <c r="V1617" s="9"/>
      <c r="W1617" s="10"/>
      <c r="X1617" s="9"/>
      <c r="Y1617" s="10"/>
      <c r="Z1617" s="9"/>
      <c r="AA1617" s="10"/>
      <c r="AB1617" s="11"/>
      <c r="AC1617" s="10"/>
      <c r="AD1617" s="7">
        <f>SUM(F1617+H1617+J1617+L1617+N1617+P1617+R1617+T1617+V1617+X1617+Z1617+AB1617)</f>
        <v>0</v>
      </c>
      <c r="AE1617" s="7">
        <f>E1617+AD1617</f>
        <v>0</v>
      </c>
      <c r="AF1617" s="8">
        <f>G1617+I1617+K1617+M1617+O1617+Q1617+S1617+U1617+W1617+Y1617+AA1617+AC1617</f>
        <v>0</v>
      </c>
      <c r="AG1617" s="153">
        <f>SUM(AE1617-AF1617)</f>
        <v>0</v>
      </c>
    </row>
    <row r="1618" spans="1:42" customHeight="1" ht="11.5">
      <c r="A1618" s="5"/>
      <c r="B1618" s="173"/>
      <c r="C1618" s="167"/>
      <c r="D1618" s="88"/>
      <c r="E1618" s="174"/>
      <c r="F1618" s="9"/>
      <c r="G1618" s="10"/>
      <c r="H1618" s="9"/>
      <c r="I1618" s="10"/>
      <c r="J1618" s="152"/>
      <c r="K1618" s="10"/>
      <c r="L1618" s="152"/>
      <c r="M1618" s="10"/>
      <c r="N1618" s="152"/>
      <c r="O1618" s="10"/>
      <c r="P1618" s="152"/>
      <c r="Q1618" s="10"/>
      <c r="R1618" s="9"/>
      <c r="S1618" s="10"/>
      <c r="T1618" s="9"/>
      <c r="U1618" s="10"/>
      <c r="V1618" s="9"/>
      <c r="W1618" s="10"/>
      <c r="X1618" s="9"/>
      <c r="Y1618" s="10"/>
      <c r="Z1618" s="9"/>
      <c r="AA1618" s="10"/>
      <c r="AB1618" s="11"/>
      <c r="AC1618" s="10"/>
      <c r="AD1618" s="7">
        <f>SUM(F1618+H1618+J1618+L1618+N1618+P1618+R1618+T1618+V1618+X1618+Z1618+AB1618)</f>
        <v>0</v>
      </c>
      <c r="AE1618" s="7">
        <f>E1618+AD1618</f>
        <v>0</v>
      </c>
      <c r="AF1618" s="8">
        <f>G1618+I1618+K1618+M1618+O1618+Q1618+S1618+U1618+W1618+Y1618+AA1618+AC1618</f>
        <v>0</v>
      </c>
      <c r="AG1618" s="153">
        <f>SUM(AE1618-AF1618)</f>
        <v>0</v>
      </c>
    </row>
    <row r="1619" spans="1:42" customHeight="1" ht="11.5">
      <c r="A1619" s="5"/>
      <c r="B1619" s="173"/>
      <c r="C1619" s="167"/>
      <c r="D1619" s="88"/>
      <c r="E1619" s="174"/>
      <c r="F1619" s="9"/>
      <c r="G1619" s="10"/>
      <c r="H1619" s="9"/>
      <c r="I1619" s="10"/>
      <c r="J1619" s="152"/>
      <c r="K1619" s="10"/>
      <c r="L1619" s="152"/>
      <c r="M1619" s="10"/>
      <c r="N1619" s="152"/>
      <c r="O1619" s="10"/>
      <c r="P1619" s="152"/>
      <c r="Q1619" s="10"/>
      <c r="R1619" s="9"/>
      <c r="S1619" s="10"/>
      <c r="T1619" s="9"/>
      <c r="U1619" s="10"/>
      <c r="V1619" s="9"/>
      <c r="W1619" s="10"/>
      <c r="X1619" s="9"/>
      <c r="Y1619" s="10"/>
      <c r="Z1619" s="9"/>
      <c r="AA1619" s="10"/>
      <c r="AB1619" s="11"/>
      <c r="AC1619" s="10"/>
      <c r="AD1619" s="7">
        <f>SUM(F1619+H1619+J1619+L1619+N1619+P1619+R1619+T1619+V1619+X1619+Z1619+AB1619)</f>
        <v>0</v>
      </c>
      <c r="AE1619" s="7">
        <f>E1619+AD1619</f>
        <v>0</v>
      </c>
      <c r="AF1619" s="8">
        <f>G1619+I1619+K1619+M1619+O1619+Q1619+S1619+U1619+W1619+Y1619+AA1619+AC1619</f>
        <v>0</v>
      </c>
      <c r="AG1619" s="153">
        <f>SUM(AE1619-AF1619)</f>
        <v>0</v>
      </c>
    </row>
    <row r="1620" spans="1:42" customHeight="1" ht="11.5">
      <c r="A1620" s="5"/>
      <c r="B1620" s="173"/>
      <c r="C1620" s="167"/>
      <c r="D1620" s="88"/>
      <c r="E1620" s="174"/>
      <c r="F1620" s="9"/>
      <c r="G1620" s="10"/>
      <c r="H1620" s="9"/>
      <c r="I1620" s="10"/>
      <c r="J1620" s="152"/>
      <c r="K1620" s="10"/>
      <c r="L1620" s="152"/>
      <c r="M1620" s="10"/>
      <c r="N1620" s="152"/>
      <c r="O1620" s="10"/>
      <c r="P1620" s="152"/>
      <c r="Q1620" s="10"/>
      <c r="R1620" s="9"/>
      <c r="S1620" s="10"/>
      <c r="T1620" s="9"/>
      <c r="U1620" s="10"/>
      <c r="V1620" s="9"/>
      <c r="W1620" s="10"/>
      <c r="X1620" s="9"/>
      <c r="Y1620" s="10"/>
      <c r="Z1620" s="9"/>
      <c r="AA1620" s="10"/>
      <c r="AB1620" s="11"/>
      <c r="AC1620" s="10"/>
      <c r="AD1620" s="7">
        <f>SUM(F1620+H1620+J1620+L1620+N1620+P1620+R1620+T1620+V1620+X1620+Z1620+AB1620)</f>
        <v>0</v>
      </c>
      <c r="AE1620" s="7">
        <f>E1620+AD1620</f>
        <v>0</v>
      </c>
      <c r="AF1620" s="8">
        <f>G1620+I1620+K1620+M1620+O1620+Q1620+S1620+U1620+W1620+Y1620+AA1620+AC1620</f>
        <v>0</v>
      </c>
      <c r="AG1620" s="153">
        <f>SUM(AE1620-AF1620)</f>
        <v>0</v>
      </c>
    </row>
    <row r="1621" spans="1:42" customHeight="1" ht="11.5">
      <c r="A1621" s="5"/>
      <c r="B1621" s="173"/>
      <c r="C1621" s="167"/>
      <c r="D1621" s="88"/>
      <c r="E1621" s="174"/>
      <c r="F1621" s="9"/>
      <c r="G1621" s="10"/>
      <c r="H1621" s="9"/>
      <c r="I1621" s="10"/>
      <c r="J1621" s="152"/>
      <c r="K1621" s="10"/>
      <c r="L1621" s="152"/>
      <c r="M1621" s="10"/>
      <c r="N1621" s="152"/>
      <c r="O1621" s="10"/>
      <c r="P1621" s="152"/>
      <c r="Q1621" s="10"/>
      <c r="R1621" s="9"/>
      <c r="S1621" s="10"/>
      <c r="T1621" s="9"/>
      <c r="U1621" s="10"/>
      <c r="V1621" s="9"/>
      <c r="W1621" s="10"/>
      <c r="X1621" s="9"/>
      <c r="Y1621" s="10"/>
      <c r="Z1621" s="9"/>
      <c r="AA1621" s="10"/>
      <c r="AB1621" s="11"/>
      <c r="AC1621" s="10"/>
      <c r="AD1621" s="7">
        <f>SUM(F1621+H1621+J1621+L1621+N1621+P1621+R1621+T1621+V1621+X1621+Z1621+AB1621)</f>
        <v>0</v>
      </c>
      <c r="AE1621" s="7">
        <f>E1621+AD1621</f>
        <v>0</v>
      </c>
      <c r="AF1621" s="8">
        <f>G1621+I1621+K1621+M1621+O1621+Q1621+S1621+U1621+W1621+Y1621+AA1621+AC1621</f>
        <v>0</v>
      </c>
      <c r="AG1621" s="153">
        <f>SUM(AE1621-AF1621)</f>
        <v>0</v>
      </c>
    </row>
    <row r="1622" spans="1:42" customHeight="1" ht="11.5">
      <c r="A1622" s="5"/>
      <c r="B1622" s="173"/>
      <c r="C1622" s="167"/>
      <c r="D1622" s="88"/>
      <c r="E1622" s="174"/>
      <c r="F1622" s="9"/>
      <c r="G1622" s="10"/>
      <c r="H1622" s="9"/>
      <c r="I1622" s="10"/>
      <c r="J1622" s="152"/>
      <c r="K1622" s="10"/>
      <c r="L1622" s="152"/>
      <c r="M1622" s="10"/>
      <c r="N1622" s="152"/>
      <c r="O1622" s="10"/>
      <c r="P1622" s="152"/>
      <c r="Q1622" s="10"/>
      <c r="R1622" s="9"/>
      <c r="S1622" s="10"/>
      <c r="T1622" s="9"/>
      <c r="U1622" s="10"/>
      <c r="V1622" s="9"/>
      <c r="W1622" s="10"/>
      <c r="X1622" s="9"/>
      <c r="Y1622" s="10"/>
      <c r="Z1622" s="9"/>
      <c r="AA1622" s="10"/>
      <c r="AB1622" s="11"/>
      <c r="AC1622" s="10"/>
      <c r="AD1622" s="7">
        <f>SUM(F1622+H1622+J1622+L1622+N1622+P1622+R1622+T1622+V1622+X1622+Z1622+AB1622)</f>
        <v>0</v>
      </c>
      <c r="AE1622" s="7">
        <f>E1622+AD1622</f>
        <v>0</v>
      </c>
      <c r="AF1622" s="8">
        <f>G1622+I1622+K1622+M1622+O1622+Q1622+S1622+U1622+W1622+Y1622+AA1622+AC1622</f>
        <v>0</v>
      </c>
      <c r="AG1622" s="153">
        <f>SUM(AE1622-AF1622)</f>
        <v>0</v>
      </c>
    </row>
    <row r="1623" spans="1:42" customHeight="1" ht="11.5">
      <c r="A1623" s="5"/>
      <c r="B1623" s="173"/>
      <c r="C1623" s="167"/>
      <c r="D1623" s="88"/>
      <c r="E1623" s="174"/>
      <c r="F1623" s="9"/>
      <c r="G1623" s="10"/>
      <c r="H1623" s="9"/>
      <c r="I1623" s="10"/>
      <c r="J1623" s="152"/>
      <c r="K1623" s="10"/>
      <c r="L1623" s="152"/>
      <c r="M1623" s="10"/>
      <c r="N1623" s="152"/>
      <c r="O1623" s="10"/>
      <c r="P1623" s="152"/>
      <c r="Q1623" s="10"/>
      <c r="R1623" s="9"/>
      <c r="S1623" s="10"/>
      <c r="T1623" s="9"/>
      <c r="U1623" s="10"/>
      <c r="V1623" s="9"/>
      <c r="W1623" s="10"/>
      <c r="X1623" s="9"/>
      <c r="Y1623" s="10"/>
      <c r="Z1623" s="9"/>
      <c r="AA1623" s="10"/>
      <c r="AB1623" s="11"/>
      <c r="AC1623" s="10"/>
      <c r="AD1623" s="7">
        <f>SUM(F1623+H1623+J1623+L1623+N1623+P1623+R1623+T1623+V1623+X1623+Z1623+AB1623)</f>
        <v>0</v>
      </c>
      <c r="AE1623" s="7">
        <f>E1623+AD1623</f>
        <v>0</v>
      </c>
      <c r="AF1623" s="8">
        <f>G1623+I1623+K1623+M1623+O1623+Q1623+S1623+U1623+W1623+Y1623+AA1623+AC1623</f>
        <v>0</v>
      </c>
      <c r="AG1623" s="153">
        <f>SUM(AE1623-AF1623)</f>
        <v>0</v>
      </c>
    </row>
    <row r="1624" spans="1:42" customHeight="1" ht="11.5">
      <c r="A1624" s="5"/>
      <c r="B1624" s="173"/>
      <c r="C1624" s="167"/>
      <c r="D1624" s="88"/>
      <c r="E1624" s="174"/>
      <c r="F1624" s="9"/>
      <c r="G1624" s="10"/>
      <c r="H1624" s="9"/>
      <c r="I1624" s="10"/>
      <c r="J1624" s="152"/>
      <c r="K1624" s="10"/>
      <c r="L1624" s="152"/>
      <c r="M1624" s="10"/>
      <c r="N1624" s="152"/>
      <c r="O1624" s="10"/>
      <c r="P1624" s="152"/>
      <c r="Q1624" s="10"/>
      <c r="R1624" s="9"/>
      <c r="S1624" s="10"/>
      <c r="T1624" s="9"/>
      <c r="U1624" s="10"/>
      <c r="V1624" s="9"/>
      <c r="W1624" s="10"/>
      <c r="X1624" s="9"/>
      <c r="Y1624" s="10"/>
      <c r="Z1624" s="9"/>
      <c r="AA1624" s="10"/>
      <c r="AB1624" s="11"/>
      <c r="AC1624" s="10"/>
      <c r="AD1624" s="7">
        <f>SUM(F1624+H1624+J1624+L1624+N1624+P1624+R1624+T1624+V1624+X1624+Z1624+AB1624)</f>
        <v>0</v>
      </c>
      <c r="AE1624" s="7">
        <f>E1624+AD1624</f>
        <v>0</v>
      </c>
      <c r="AF1624" s="8">
        <f>G1624+I1624+K1624+M1624+O1624+Q1624+S1624+U1624+W1624+Y1624+AA1624+AC1624</f>
        <v>0</v>
      </c>
      <c r="AG1624" s="153">
        <f>SUM(AE1624-AF1624)</f>
        <v>0</v>
      </c>
    </row>
    <row r="1625" spans="1:42" customHeight="1" ht="11.5">
      <c r="A1625" s="5"/>
      <c r="B1625" s="173"/>
      <c r="C1625" s="167"/>
      <c r="D1625" s="88"/>
      <c r="E1625" s="174"/>
      <c r="F1625" s="9"/>
      <c r="G1625" s="10"/>
      <c r="H1625" s="9"/>
      <c r="I1625" s="10"/>
      <c r="J1625" s="152"/>
      <c r="K1625" s="10"/>
      <c r="L1625" s="152"/>
      <c r="M1625" s="10"/>
      <c r="N1625" s="152"/>
      <c r="O1625" s="10"/>
      <c r="P1625" s="152"/>
      <c r="Q1625" s="10"/>
      <c r="R1625" s="9"/>
      <c r="S1625" s="10"/>
      <c r="T1625" s="9"/>
      <c r="U1625" s="10"/>
      <c r="V1625" s="9"/>
      <c r="W1625" s="10"/>
      <c r="X1625" s="9"/>
      <c r="Y1625" s="10"/>
      <c r="Z1625" s="9"/>
      <c r="AA1625" s="10"/>
      <c r="AB1625" s="11"/>
      <c r="AC1625" s="10"/>
      <c r="AD1625" s="7">
        <f>SUM(F1625+H1625+J1625+L1625+N1625+P1625+R1625+T1625+V1625+X1625+Z1625+AB1625)</f>
        <v>0</v>
      </c>
      <c r="AE1625" s="7">
        <f>E1625+AD1625</f>
        <v>0</v>
      </c>
      <c r="AF1625" s="8">
        <f>G1625+I1625+K1625+M1625+O1625+Q1625+S1625+U1625+W1625+Y1625+AA1625+AC1625</f>
        <v>0</v>
      </c>
      <c r="AG1625" s="153">
        <f>SUM(AE1625-AF1625)</f>
        <v>0</v>
      </c>
    </row>
    <row r="1626" spans="1:42" customHeight="1" ht="11.5">
      <c r="A1626" s="5"/>
      <c r="B1626" s="173"/>
      <c r="C1626" s="167"/>
      <c r="D1626" s="88"/>
      <c r="E1626" s="174"/>
      <c r="F1626" s="9"/>
      <c r="G1626" s="10"/>
      <c r="H1626" s="9"/>
      <c r="I1626" s="10"/>
      <c r="J1626" s="152"/>
      <c r="K1626" s="10"/>
      <c r="L1626" s="152"/>
      <c r="M1626" s="10"/>
      <c r="N1626" s="152"/>
      <c r="O1626" s="10"/>
      <c r="P1626" s="152"/>
      <c r="Q1626" s="10"/>
      <c r="R1626" s="9"/>
      <c r="S1626" s="10"/>
      <c r="T1626" s="9"/>
      <c r="U1626" s="10"/>
      <c r="V1626" s="9"/>
      <c r="W1626" s="10"/>
      <c r="X1626" s="9"/>
      <c r="Y1626" s="10"/>
      <c r="Z1626" s="9"/>
      <c r="AA1626" s="10"/>
      <c r="AB1626" s="11"/>
      <c r="AC1626" s="10"/>
      <c r="AD1626" s="7">
        <f>SUM(F1626+H1626+J1626+L1626+N1626+P1626+R1626+T1626+V1626+X1626+Z1626+AB1626)</f>
        <v>0</v>
      </c>
      <c r="AE1626" s="7">
        <f>E1626+AD1626</f>
        <v>0</v>
      </c>
      <c r="AF1626" s="8">
        <f>G1626+I1626+K1626+M1626+O1626+Q1626+S1626+U1626+W1626+Y1626+AA1626+AC1626</f>
        <v>0</v>
      </c>
      <c r="AG1626" s="153">
        <f>SUM(AE1626-AF1626)</f>
        <v>0</v>
      </c>
    </row>
    <row r="1627" spans="1:42" customHeight="1" ht="11.5">
      <c r="A1627" s="5"/>
      <c r="B1627" s="173"/>
      <c r="C1627" s="167"/>
      <c r="D1627" s="88"/>
      <c r="E1627" s="174"/>
      <c r="F1627" s="9"/>
      <c r="G1627" s="10"/>
      <c r="H1627" s="9"/>
      <c r="I1627" s="10"/>
      <c r="J1627" s="152"/>
      <c r="K1627" s="10"/>
      <c r="L1627" s="152"/>
      <c r="M1627" s="10"/>
      <c r="N1627" s="152"/>
      <c r="O1627" s="10"/>
      <c r="P1627" s="152"/>
      <c r="Q1627" s="10"/>
      <c r="R1627" s="9"/>
      <c r="S1627" s="10"/>
      <c r="T1627" s="9"/>
      <c r="U1627" s="10"/>
      <c r="V1627" s="9"/>
      <c r="W1627" s="10"/>
      <c r="X1627" s="9"/>
      <c r="Y1627" s="10"/>
      <c r="Z1627" s="9"/>
      <c r="AA1627" s="10"/>
      <c r="AB1627" s="11"/>
      <c r="AC1627" s="10"/>
      <c r="AD1627" s="7">
        <f>SUM(F1627+H1627+J1627+L1627+N1627+P1627+R1627+T1627+V1627+X1627+Z1627+AB1627)</f>
        <v>0</v>
      </c>
      <c r="AE1627" s="7">
        <f>E1627+AD1627</f>
        <v>0</v>
      </c>
      <c r="AF1627" s="8">
        <f>G1627+I1627+K1627+M1627+O1627+Q1627+S1627+U1627+W1627+Y1627+AA1627+AC1627</f>
        <v>0</v>
      </c>
      <c r="AG1627" s="153">
        <f>SUM(AE1627-AF1627)</f>
        <v>0</v>
      </c>
    </row>
    <row r="1628" spans="1:42" customHeight="1" ht="11.5">
      <c r="A1628" s="5"/>
      <c r="B1628" s="173"/>
      <c r="C1628" s="167"/>
      <c r="D1628" s="88"/>
      <c r="E1628" s="174"/>
      <c r="F1628" s="9"/>
      <c r="G1628" s="10"/>
      <c r="H1628" s="9"/>
      <c r="I1628" s="10"/>
      <c r="J1628" s="152"/>
      <c r="K1628" s="10"/>
      <c r="L1628" s="152"/>
      <c r="M1628" s="10"/>
      <c r="N1628" s="152"/>
      <c r="O1628" s="10"/>
      <c r="P1628" s="152"/>
      <c r="Q1628" s="10"/>
      <c r="R1628" s="9"/>
      <c r="S1628" s="10"/>
      <c r="T1628" s="9"/>
      <c r="U1628" s="10"/>
      <c r="V1628" s="9"/>
      <c r="W1628" s="10"/>
      <c r="X1628" s="9"/>
      <c r="Y1628" s="10"/>
      <c r="Z1628" s="9"/>
      <c r="AA1628" s="10"/>
      <c r="AB1628" s="11"/>
      <c r="AC1628" s="10"/>
      <c r="AD1628" s="7">
        <f>SUM(F1628+H1628+J1628+L1628+N1628+P1628+R1628+T1628+V1628+X1628+Z1628+AB1628)</f>
        <v>0</v>
      </c>
      <c r="AE1628" s="7">
        <f>E1628+AD1628</f>
        <v>0</v>
      </c>
      <c r="AF1628" s="8">
        <f>G1628+I1628+K1628+M1628+O1628+Q1628+S1628+U1628+W1628+Y1628+AA1628+AC1628</f>
        <v>0</v>
      </c>
      <c r="AG1628" s="153">
        <f>SUM(AE1628-AF1628)</f>
        <v>0</v>
      </c>
    </row>
    <row r="1629" spans="1:42" customHeight="1" ht="11.5">
      <c r="A1629" s="5"/>
      <c r="B1629" s="173"/>
      <c r="C1629" s="167"/>
      <c r="D1629" s="88"/>
      <c r="E1629" s="174"/>
      <c r="F1629" s="9"/>
      <c r="G1629" s="10"/>
      <c r="H1629" s="9"/>
      <c r="I1629" s="10"/>
      <c r="J1629" s="152"/>
      <c r="K1629" s="10"/>
      <c r="L1629" s="152"/>
      <c r="M1629" s="10"/>
      <c r="N1629" s="152"/>
      <c r="O1629" s="10"/>
      <c r="P1629" s="152"/>
      <c r="Q1629" s="10"/>
      <c r="R1629" s="9"/>
      <c r="S1629" s="10"/>
      <c r="T1629" s="9"/>
      <c r="U1629" s="10"/>
      <c r="V1629" s="9"/>
      <c r="W1629" s="10"/>
      <c r="X1629" s="9"/>
      <c r="Y1629" s="10"/>
      <c r="Z1629" s="9"/>
      <c r="AA1629" s="10"/>
      <c r="AB1629" s="11"/>
      <c r="AC1629" s="10"/>
      <c r="AD1629" s="7">
        <f>SUM(F1629+H1629+J1629+L1629+N1629+P1629+R1629+T1629+V1629+X1629+Z1629+AB1629)</f>
        <v>0</v>
      </c>
      <c r="AE1629" s="7">
        <f>E1629+AD1629</f>
        <v>0</v>
      </c>
      <c r="AF1629" s="8">
        <f>G1629+I1629+K1629+M1629+O1629+Q1629+S1629+U1629+W1629+Y1629+AA1629+AC1629</f>
        <v>0</v>
      </c>
      <c r="AG1629" s="153">
        <f>SUM(AE1629-AF1629)</f>
        <v>0</v>
      </c>
    </row>
    <row r="1630" spans="1:42" customHeight="1" ht="11.5">
      <c r="A1630" s="5"/>
      <c r="B1630" s="173"/>
      <c r="C1630" s="167"/>
      <c r="D1630" s="88"/>
      <c r="E1630" s="174"/>
      <c r="F1630" s="9"/>
      <c r="G1630" s="10"/>
      <c r="H1630" s="9"/>
      <c r="I1630" s="10"/>
      <c r="J1630" s="152"/>
      <c r="K1630" s="10"/>
      <c r="L1630" s="152"/>
      <c r="M1630" s="10"/>
      <c r="N1630" s="152"/>
      <c r="O1630" s="10"/>
      <c r="P1630" s="152"/>
      <c r="Q1630" s="10"/>
      <c r="R1630" s="9"/>
      <c r="S1630" s="10"/>
      <c r="T1630" s="9"/>
      <c r="U1630" s="10"/>
      <c r="V1630" s="9"/>
      <c r="W1630" s="10"/>
      <c r="X1630" s="9"/>
      <c r="Y1630" s="10"/>
      <c r="Z1630" s="9"/>
      <c r="AA1630" s="10"/>
      <c r="AB1630" s="11"/>
      <c r="AC1630" s="10"/>
      <c r="AD1630" s="7">
        <f>SUM(F1630+H1630+J1630+L1630+N1630+P1630+R1630+T1630+V1630+X1630+Z1630+AB1630)</f>
        <v>0</v>
      </c>
      <c r="AE1630" s="7">
        <f>E1630+AD1630</f>
        <v>0</v>
      </c>
      <c r="AF1630" s="8">
        <f>G1630+I1630+K1630+M1630+O1630+Q1630+S1630+U1630+W1630+Y1630+AA1630+AC1630</f>
        <v>0</v>
      </c>
      <c r="AG1630" s="153">
        <f>SUM(AE1630-AF1630)</f>
        <v>0</v>
      </c>
    </row>
    <row r="1631" spans="1:42" customHeight="1" ht="11.5">
      <c r="A1631" s="5"/>
      <c r="B1631" s="173"/>
      <c r="C1631" s="167"/>
      <c r="D1631" s="88"/>
      <c r="E1631" s="174"/>
      <c r="F1631" s="9"/>
      <c r="G1631" s="10"/>
      <c r="H1631" s="9"/>
      <c r="I1631" s="10"/>
      <c r="J1631" s="152"/>
      <c r="K1631" s="10"/>
      <c r="L1631" s="152"/>
      <c r="M1631" s="10"/>
      <c r="N1631" s="152"/>
      <c r="O1631" s="10"/>
      <c r="P1631" s="152"/>
      <c r="Q1631" s="10"/>
      <c r="R1631" s="9"/>
      <c r="S1631" s="10"/>
      <c r="T1631" s="9"/>
      <c r="U1631" s="10"/>
      <c r="V1631" s="9"/>
      <c r="W1631" s="10"/>
      <c r="X1631" s="9"/>
      <c r="Y1631" s="10"/>
      <c r="Z1631" s="9"/>
      <c r="AA1631" s="10"/>
      <c r="AB1631" s="11"/>
      <c r="AC1631" s="10"/>
      <c r="AD1631" s="7">
        <f>SUM(F1631+H1631+J1631+L1631+N1631+P1631+R1631+T1631+V1631+X1631+Z1631+AB1631)</f>
        <v>0</v>
      </c>
      <c r="AE1631" s="7">
        <f>E1631+AD1631</f>
        <v>0</v>
      </c>
      <c r="AF1631" s="8">
        <f>G1631+I1631+K1631+M1631+O1631+Q1631+S1631+U1631+W1631+Y1631+AA1631+AC1631</f>
        <v>0</v>
      </c>
      <c r="AG1631" s="153">
        <f>SUM(AE1631-AF1631)</f>
        <v>0</v>
      </c>
    </row>
    <row r="1632" spans="1:42" customHeight="1" ht="11.5">
      <c r="A1632" s="5"/>
      <c r="B1632" s="173"/>
      <c r="C1632" s="167"/>
      <c r="D1632" s="88"/>
      <c r="E1632" s="174"/>
      <c r="F1632" s="9"/>
      <c r="G1632" s="10"/>
      <c r="H1632" s="9"/>
      <c r="I1632" s="10"/>
      <c r="J1632" s="152"/>
      <c r="K1632" s="10"/>
      <c r="L1632" s="152"/>
      <c r="M1632" s="10"/>
      <c r="N1632" s="152"/>
      <c r="O1632" s="10"/>
      <c r="P1632" s="152"/>
      <c r="Q1632" s="10"/>
      <c r="R1632" s="9"/>
      <c r="S1632" s="10"/>
      <c r="T1632" s="9"/>
      <c r="U1632" s="10"/>
      <c r="V1632" s="9"/>
      <c r="W1632" s="10"/>
      <c r="X1632" s="9"/>
      <c r="Y1632" s="10"/>
      <c r="Z1632" s="9"/>
      <c r="AA1632" s="10"/>
      <c r="AB1632" s="11"/>
      <c r="AC1632" s="10"/>
      <c r="AD1632" s="7">
        <f>SUM(F1632+H1632+J1632+L1632+N1632+P1632+R1632+T1632+V1632+X1632+Z1632+AB1632)</f>
        <v>0</v>
      </c>
      <c r="AE1632" s="7">
        <f>E1632+AD1632</f>
        <v>0</v>
      </c>
      <c r="AF1632" s="8">
        <f>G1632+I1632+K1632+M1632+O1632+Q1632+S1632+U1632+W1632+Y1632+AA1632+AC1632</f>
        <v>0</v>
      </c>
      <c r="AG1632" s="153">
        <f>SUM(AE1632-AF1632)</f>
        <v>0</v>
      </c>
    </row>
    <row r="1633" spans="1:42" customHeight="1" ht="11.5">
      <c r="A1633" s="5"/>
      <c r="B1633" s="173"/>
      <c r="C1633" s="167"/>
      <c r="D1633" s="88"/>
      <c r="E1633" s="174"/>
      <c r="F1633" s="9"/>
      <c r="G1633" s="10"/>
      <c r="H1633" s="9"/>
      <c r="I1633" s="10"/>
      <c r="J1633" s="152"/>
      <c r="K1633" s="10"/>
      <c r="L1633" s="152"/>
      <c r="M1633" s="10"/>
      <c r="N1633" s="152"/>
      <c r="O1633" s="10"/>
      <c r="P1633" s="152"/>
      <c r="Q1633" s="10"/>
      <c r="R1633" s="9"/>
      <c r="S1633" s="10"/>
      <c r="T1633" s="9"/>
      <c r="U1633" s="10"/>
      <c r="V1633" s="9"/>
      <c r="W1633" s="10"/>
      <c r="X1633" s="9"/>
      <c r="Y1633" s="10"/>
      <c r="Z1633" s="9"/>
      <c r="AA1633" s="10"/>
      <c r="AB1633" s="11"/>
      <c r="AC1633" s="10"/>
      <c r="AD1633" s="7">
        <f>SUM(F1633+H1633+J1633+L1633+N1633+P1633+R1633+T1633+V1633+X1633+Z1633+AB1633)</f>
        <v>0</v>
      </c>
      <c r="AE1633" s="7">
        <f>E1633+AD1633</f>
        <v>0</v>
      </c>
      <c r="AF1633" s="8">
        <f>G1633+I1633+K1633+M1633+O1633+Q1633+S1633+U1633+W1633+Y1633+AA1633+AC1633</f>
        <v>0</v>
      </c>
      <c r="AG1633" s="153">
        <f>SUM(AE1633-AF1633)</f>
        <v>0</v>
      </c>
    </row>
    <row r="1634" spans="1:42" customHeight="1" ht="11.5">
      <c r="A1634" s="5"/>
      <c r="B1634" s="173"/>
      <c r="C1634" s="167"/>
      <c r="D1634" s="88"/>
      <c r="E1634" s="174"/>
      <c r="F1634" s="9"/>
      <c r="G1634" s="10"/>
      <c r="H1634" s="9"/>
      <c r="I1634" s="10"/>
      <c r="J1634" s="152"/>
      <c r="K1634" s="10"/>
      <c r="L1634" s="152"/>
      <c r="M1634" s="10"/>
      <c r="N1634" s="152"/>
      <c r="O1634" s="10"/>
      <c r="P1634" s="152"/>
      <c r="Q1634" s="10"/>
      <c r="R1634" s="9"/>
      <c r="S1634" s="10"/>
      <c r="T1634" s="9"/>
      <c r="U1634" s="10"/>
      <c r="V1634" s="9"/>
      <c r="W1634" s="10"/>
      <c r="X1634" s="9"/>
      <c r="Y1634" s="10"/>
      <c r="Z1634" s="9"/>
      <c r="AA1634" s="10"/>
      <c r="AB1634" s="11"/>
      <c r="AC1634" s="10"/>
      <c r="AD1634" s="7">
        <f>SUM(F1634+H1634+J1634+L1634+N1634+P1634+R1634+T1634+V1634+X1634+Z1634+AB1634)</f>
        <v>0</v>
      </c>
      <c r="AE1634" s="7">
        <f>E1634+AD1634</f>
        <v>0</v>
      </c>
      <c r="AF1634" s="8">
        <f>G1634+I1634+K1634+M1634+O1634+Q1634+S1634+U1634+W1634+Y1634+AA1634+AC1634</f>
        <v>0</v>
      </c>
      <c r="AG1634" s="153">
        <f>SUM(AE1634-AF1634)</f>
        <v>0</v>
      </c>
    </row>
    <row r="1635" spans="1:42" customHeight="1" ht="11.5">
      <c r="A1635" s="5"/>
      <c r="B1635" s="173"/>
      <c r="C1635" s="167"/>
      <c r="D1635" s="88"/>
      <c r="E1635" s="174"/>
      <c r="F1635" s="9"/>
      <c r="G1635" s="10"/>
      <c r="H1635" s="9"/>
      <c r="I1635" s="10"/>
      <c r="J1635" s="152"/>
      <c r="K1635" s="10"/>
      <c r="L1635" s="152"/>
      <c r="M1635" s="10"/>
      <c r="N1635" s="152"/>
      <c r="O1635" s="10"/>
      <c r="P1635" s="152"/>
      <c r="Q1635" s="10"/>
      <c r="R1635" s="9"/>
      <c r="S1635" s="10"/>
      <c r="T1635" s="9"/>
      <c r="U1635" s="10"/>
      <c r="V1635" s="9"/>
      <c r="W1635" s="10"/>
      <c r="X1635" s="9"/>
      <c r="Y1635" s="10"/>
      <c r="Z1635" s="9"/>
      <c r="AA1635" s="10"/>
      <c r="AB1635" s="11"/>
      <c r="AC1635" s="10"/>
      <c r="AD1635" s="7">
        <f>SUM(F1635+H1635+J1635+L1635+N1635+P1635+R1635+T1635+V1635+X1635+Z1635+AB1635)</f>
        <v>0</v>
      </c>
      <c r="AE1635" s="7">
        <f>E1635+AD1635</f>
        <v>0</v>
      </c>
      <c r="AF1635" s="8">
        <f>G1635+I1635+K1635+M1635+O1635+Q1635+S1635+U1635+W1635+Y1635+AA1635+AC1635</f>
        <v>0</v>
      </c>
      <c r="AG1635" s="153">
        <f>SUM(AE1635-AF1635)</f>
        <v>0</v>
      </c>
    </row>
    <row r="1636" spans="1:42" customHeight="1" ht="11.5">
      <c r="A1636" s="5"/>
      <c r="B1636" s="173"/>
      <c r="C1636" s="167"/>
      <c r="D1636" s="88"/>
      <c r="E1636" s="174"/>
      <c r="F1636" s="9"/>
      <c r="G1636" s="10"/>
      <c r="H1636" s="9"/>
      <c r="I1636" s="10"/>
      <c r="J1636" s="152"/>
      <c r="K1636" s="10"/>
      <c r="L1636" s="152"/>
      <c r="M1636" s="10"/>
      <c r="N1636" s="152"/>
      <c r="O1636" s="10"/>
      <c r="P1636" s="152"/>
      <c r="Q1636" s="10"/>
      <c r="R1636" s="9"/>
      <c r="S1636" s="10"/>
      <c r="T1636" s="9"/>
      <c r="U1636" s="10"/>
      <c r="V1636" s="9"/>
      <c r="W1636" s="10"/>
      <c r="X1636" s="9"/>
      <c r="Y1636" s="10"/>
      <c r="Z1636" s="9"/>
      <c r="AA1636" s="10"/>
      <c r="AB1636" s="11"/>
      <c r="AC1636" s="10"/>
      <c r="AD1636" s="7">
        <f>SUM(F1636+H1636+J1636+L1636+N1636+P1636+R1636+T1636+V1636+X1636+Z1636+AB1636)</f>
        <v>0</v>
      </c>
      <c r="AE1636" s="7">
        <f>E1636+AD1636</f>
        <v>0</v>
      </c>
      <c r="AF1636" s="8">
        <f>G1636+I1636+K1636+M1636+O1636+Q1636+S1636+U1636+W1636+Y1636+AA1636+AC1636</f>
        <v>0</v>
      </c>
      <c r="AG1636" s="153">
        <f>SUM(AE1636-AF1636)</f>
        <v>0</v>
      </c>
    </row>
    <row r="1637" spans="1:42" customHeight="1" ht="11.5">
      <c r="A1637" s="5"/>
      <c r="B1637" s="173"/>
      <c r="C1637" s="167"/>
      <c r="D1637" s="88"/>
      <c r="E1637" s="174"/>
      <c r="F1637" s="9"/>
      <c r="G1637" s="10"/>
      <c r="H1637" s="9"/>
      <c r="I1637" s="10"/>
      <c r="J1637" s="152"/>
      <c r="K1637" s="10"/>
      <c r="L1637" s="152"/>
      <c r="M1637" s="10"/>
      <c r="N1637" s="152"/>
      <c r="O1637" s="10"/>
      <c r="P1637" s="152"/>
      <c r="Q1637" s="10"/>
      <c r="R1637" s="9"/>
      <c r="S1637" s="10"/>
      <c r="T1637" s="9"/>
      <c r="U1637" s="10"/>
      <c r="V1637" s="9"/>
      <c r="W1637" s="10"/>
      <c r="X1637" s="9"/>
      <c r="Y1637" s="10"/>
      <c r="Z1637" s="9"/>
      <c r="AA1637" s="10"/>
      <c r="AB1637" s="11"/>
      <c r="AC1637" s="10"/>
      <c r="AD1637" s="7">
        <f>SUM(F1637+H1637+J1637+L1637+N1637+P1637+R1637+T1637+V1637+X1637+Z1637+AB1637)</f>
        <v>0</v>
      </c>
      <c r="AE1637" s="7">
        <f>E1637+AD1637</f>
        <v>0</v>
      </c>
      <c r="AF1637" s="8">
        <f>G1637+I1637+K1637+M1637+O1637+Q1637+S1637+U1637+W1637+Y1637+AA1637+AC1637</f>
        <v>0</v>
      </c>
      <c r="AG1637" s="153">
        <f>SUM(AE1637-AF1637)</f>
        <v>0</v>
      </c>
    </row>
    <row r="1638" spans="1:42" customHeight="1" ht="11.5">
      <c r="A1638" s="5"/>
      <c r="B1638" s="173"/>
      <c r="C1638" s="167"/>
      <c r="D1638" s="88"/>
      <c r="E1638" s="174"/>
      <c r="F1638" s="9"/>
      <c r="G1638" s="10"/>
      <c r="H1638" s="9"/>
      <c r="I1638" s="10"/>
      <c r="J1638" s="152"/>
      <c r="K1638" s="10"/>
      <c r="L1638" s="152"/>
      <c r="M1638" s="10"/>
      <c r="N1638" s="152"/>
      <c r="O1638" s="10"/>
      <c r="P1638" s="152"/>
      <c r="Q1638" s="10"/>
      <c r="R1638" s="9"/>
      <c r="S1638" s="10"/>
      <c r="T1638" s="9"/>
      <c r="U1638" s="10"/>
      <c r="V1638" s="9"/>
      <c r="W1638" s="10"/>
      <c r="X1638" s="9"/>
      <c r="Y1638" s="10"/>
      <c r="Z1638" s="9"/>
      <c r="AA1638" s="10"/>
      <c r="AB1638" s="11"/>
      <c r="AC1638" s="10"/>
      <c r="AD1638" s="7">
        <f>SUM(F1638+H1638+J1638+L1638+N1638+P1638+R1638+T1638+V1638+X1638+Z1638+AB1638)</f>
        <v>0</v>
      </c>
      <c r="AE1638" s="7">
        <f>E1638+AD1638</f>
        <v>0</v>
      </c>
      <c r="AF1638" s="8">
        <f>G1638+I1638+K1638+M1638+O1638+Q1638+S1638+U1638+W1638+Y1638+AA1638+AC1638</f>
        <v>0</v>
      </c>
      <c r="AG1638" s="153">
        <f>SUM(AE1638-AF1638)</f>
        <v>0</v>
      </c>
    </row>
    <row r="1639" spans="1:42" customHeight="1" ht="11.5">
      <c r="A1639" s="5"/>
      <c r="B1639" s="173"/>
      <c r="C1639" s="167"/>
      <c r="D1639" s="88"/>
      <c r="E1639" s="174"/>
      <c r="F1639" s="9"/>
      <c r="G1639" s="10"/>
      <c r="H1639" s="9"/>
      <c r="I1639" s="10"/>
      <c r="J1639" s="152"/>
      <c r="K1639" s="10"/>
      <c r="L1639" s="152"/>
      <c r="M1639" s="10"/>
      <c r="N1639" s="152"/>
      <c r="O1639" s="10"/>
      <c r="P1639" s="152"/>
      <c r="Q1639" s="10"/>
      <c r="R1639" s="9"/>
      <c r="S1639" s="10"/>
      <c r="T1639" s="9"/>
      <c r="U1639" s="10"/>
      <c r="V1639" s="9"/>
      <c r="W1639" s="10"/>
      <c r="X1639" s="9"/>
      <c r="Y1639" s="10"/>
      <c r="Z1639" s="9"/>
      <c r="AA1639" s="10"/>
      <c r="AB1639" s="11"/>
      <c r="AC1639" s="10"/>
      <c r="AD1639" s="7">
        <f>SUM(F1639+H1639+J1639+L1639+N1639+P1639+R1639+T1639+V1639+X1639+Z1639+AB1639)</f>
        <v>0</v>
      </c>
      <c r="AE1639" s="7">
        <f>E1639+AD1639</f>
        <v>0</v>
      </c>
      <c r="AF1639" s="8">
        <f>G1639+I1639+K1639+M1639+O1639+Q1639+S1639+U1639+W1639+Y1639+AA1639+AC1639</f>
        <v>0</v>
      </c>
      <c r="AG1639" s="153">
        <f>SUM(AE1639-AF1639)</f>
        <v>0</v>
      </c>
    </row>
    <row r="1640" spans="1:42" customHeight="1" ht="11.5">
      <c r="A1640" s="5"/>
      <c r="B1640" s="173"/>
      <c r="C1640" s="167"/>
      <c r="D1640" s="88"/>
      <c r="E1640" s="174"/>
      <c r="F1640" s="9"/>
      <c r="G1640" s="10"/>
      <c r="H1640" s="9"/>
      <c r="I1640" s="10"/>
      <c r="J1640" s="152"/>
      <c r="K1640" s="10"/>
      <c r="L1640" s="152"/>
      <c r="M1640" s="10"/>
      <c r="N1640" s="152"/>
      <c r="O1640" s="10"/>
      <c r="P1640" s="152"/>
      <c r="Q1640" s="10"/>
      <c r="R1640" s="9"/>
      <c r="S1640" s="10"/>
      <c r="T1640" s="9"/>
      <c r="U1640" s="10"/>
      <c r="V1640" s="9"/>
      <c r="W1640" s="10"/>
      <c r="X1640" s="9"/>
      <c r="Y1640" s="10"/>
      <c r="Z1640" s="9"/>
      <c r="AA1640" s="10"/>
      <c r="AB1640" s="11"/>
      <c r="AC1640" s="10"/>
      <c r="AD1640" s="7">
        <f>SUM(F1640+H1640+J1640+L1640+N1640+P1640+R1640+T1640+V1640+X1640+Z1640+AB1640)</f>
        <v>0</v>
      </c>
      <c r="AE1640" s="7">
        <f>E1640+AD1640</f>
        <v>0</v>
      </c>
      <c r="AF1640" s="8">
        <f>G1640+I1640+K1640+M1640+O1640+Q1640+S1640+U1640+W1640+Y1640+AA1640+AC1640</f>
        <v>0</v>
      </c>
      <c r="AG1640" s="153">
        <f>SUM(AE1640-AF1640)</f>
        <v>0</v>
      </c>
    </row>
    <row r="1641" spans="1:42" customHeight="1" ht="11.5">
      <c r="A1641" s="5"/>
      <c r="B1641" s="173"/>
      <c r="C1641" s="167"/>
      <c r="D1641" s="88"/>
      <c r="E1641" s="174"/>
      <c r="F1641" s="9"/>
      <c r="G1641" s="10"/>
      <c r="H1641" s="9"/>
      <c r="I1641" s="10"/>
      <c r="J1641" s="152"/>
      <c r="K1641" s="10"/>
      <c r="L1641" s="152"/>
      <c r="M1641" s="10"/>
      <c r="N1641" s="152"/>
      <c r="O1641" s="10"/>
      <c r="P1641" s="152"/>
      <c r="Q1641" s="10"/>
      <c r="R1641" s="9"/>
      <c r="S1641" s="10"/>
      <c r="T1641" s="9"/>
      <c r="U1641" s="10"/>
      <c r="V1641" s="9"/>
      <c r="W1641" s="10"/>
      <c r="X1641" s="9"/>
      <c r="Y1641" s="10"/>
      <c r="Z1641" s="9"/>
      <c r="AA1641" s="10"/>
      <c r="AB1641" s="11"/>
      <c r="AC1641" s="10"/>
      <c r="AD1641" s="7">
        <f>SUM(F1641+H1641+J1641+L1641+N1641+P1641+R1641+T1641+V1641+X1641+Z1641+AB1641)</f>
        <v>0</v>
      </c>
      <c r="AE1641" s="7">
        <f>E1641+AD1641</f>
        <v>0</v>
      </c>
      <c r="AF1641" s="8">
        <f>G1641+I1641+K1641+M1641+O1641+Q1641+S1641+U1641+W1641+Y1641+AA1641+AC1641</f>
        <v>0</v>
      </c>
      <c r="AG1641" s="153">
        <f>SUM(AE1641-AF1641)</f>
        <v>0</v>
      </c>
    </row>
    <row r="1642" spans="1:42" customHeight="1" ht="11.5">
      <c r="A1642" s="5"/>
      <c r="B1642" s="173"/>
      <c r="C1642" s="167"/>
      <c r="D1642" s="88"/>
      <c r="E1642" s="174"/>
      <c r="F1642" s="9"/>
      <c r="G1642" s="10"/>
      <c r="H1642" s="9"/>
      <c r="I1642" s="10"/>
      <c r="J1642" s="152"/>
      <c r="K1642" s="10"/>
      <c r="L1642" s="152"/>
      <c r="M1642" s="10"/>
      <c r="N1642" s="152"/>
      <c r="O1642" s="10"/>
      <c r="P1642" s="152"/>
      <c r="Q1642" s="10"/>
      <c r="R1642" s="9"/>
      <c r="S1642" s="10"/>
      <c r="T1642" s="9"/>
      <c r="U1642" s="10"/>
      <c r="V1642" s="9"/>
      <c r="W1642" s="10"/>
      <c r="X1642" s="9"/>
      <c r="Y1642" s="10"/>
      <c r="Z1642" s="9"/>
      <c r="AA1642" s="10"/>
      <c r="AB1642" s="11"/>
      <c r="AC1642" s="10"/>
      <c r="AD1642" s="7">
        <f>SUM(F1642+H1642+J1642+L1642+N1642+P1642+R1642+T1642+V1642+X1642+Z1642+AB1642)</f>
        <v>0</v>
      </c>
      <c r="AE1642" s="7">
        <f>E1642+AD1642</f>
        <v>0</v>
      </c>
      <c r="AF1642" s="8">
        <f>G1642+I1642+K1642+M1642+O1642+Q1642+S1642+U1642+W1642+Y1642+AA1642+AC1642</f>
        <v>0</v>
      </c>
      <c r="AG1642" s="153">
        <f>SUM(AE1642-AF1642)</f>
        <v>0</v>
      </c>
    </row>
    <row r="1643" spans="1:42" customHeight="1" ht="11.5">
      <c r="A1643" s="5"/>
      <c r="B1643" s="173"/>
      <c r="C1643" s="167"/>
      <c r="D1643" s="88"/>
      <c r="E1643" s="174"/>
      <c r="F1643" s="9"/>
      <c r="G1643" s="10"/>
      <c r="H1643" s="9"/>
      <c r="I1643" s="10"/>
      <c r="J1643" s="152"/>
      <c r="K1643" s="10"/>
      <c r="L1643" s="152"/>
      <c r="M1643" s="10"/>
      <c r="N1643" s="152"/>
      <c r="O1643" s="10"/>
      <c r="P1643" s="152"/>
      <c r="Q1643" s="10"/>
      <c r="R1643" s="9"/>
      <c r="S1643" s="10"/>
      <c r="T1643" s="9"/>
      <c r="U1643" s="10"/>
      <c r="V1643" s="9"/>
      <c r="W1643" s="10"/>
      <c r="X1643" s="9"/>
      <c r="Y1643" s="10"/>
      <c r="Z1643" s="9"/>
      <c r="AA1643" s="10"/>
      <c r="AB1643" s="11"/>
      <c r="AC1643" s="10"/>
      <c r="AD1643" s="7">
        <f>SUM(F1643+H1643+J1643+L1643+N1643+P1643+R1643+T1643+V1643+X1643+Z1643+AB1643)</f>
        <v>0</v>
      </c>
      <c r="AE1643" s="7">
        <f>E1643+AD1643</f>
        <v>0</v>
      </c>
      <c r="AF1643" s="8">
        <f>G1643+I1643+K1643+M1643+O1643+Q1643+S1643+U1643+W1643+Y1643+AA1643+AC1643</f>
        <v>0</v>
      </c>
      <c r="AG1643" s="153">
        <f>SUM(AE1643-AF1643)</f>
        <v>0</v>
      </c>
    </row>
    <row r="1644" spans="1:42" customHeight="1" ht="11.5">
      <c r="A1644" s="5"/>
      <c r="B1644" s="173"/>
      <c r="C1644" s="167"/>
      <c r="D1644" s="88"/>
      <c r="E1644" s="174"/>
      <c r="F1644" s="9"/>
      <c r="G1644" s="10"/>
      <c r="H1644" s="9"/>
      <c r="I1644" s="10"/>
      <c r="J1644" s="152"/>
      <c r="K1644" s="10"/>
      <c r="L1644" s="152"/>
      <c r="M1644" s="10"/>
      <c r="N1644" s="152"/>
      <c r="O1644" s="10"/>
      <c r="P1644" s="152"/>
      <c r="Q1644" s="10"/>
      <c r="R1644" s="9"/>
      <c r="S1644" s="10"/>
      <c r="T1644" s="9"/>
      <c r="U1644" s="10"/>
      <c r="V1644" s="9"/>
      <c r="W1644" s="10"/>
      <c r="X1644" s="9"/>
      <c r="Y1644" s="10"/>
      <c r="Z1644" s="9"/>
      <c r="AA1644" s="10"/>
      <c r="AB1644" s="11"/>
      <c r="AC1644" s="10"/>
      <c r="AD1644" s="7">
        <f>SUM(F1644+H1644+J1644+L1644+N1644+P1644+R1644+T1644+V1644+X1644+Z1644+AB1644)</f>
        <v>0</v>
      </c>
      <c r="AE1644" s="7">
        <f>E1644+AD1644</f>
        <v>0</v>
      </c>
      <c r="AF1644" s="8">
        <f>G1644+I1644+K1644+M1644+O1644+Q1644+S1644+U1644+W1644+Y1644+AA1644+AC1644</f>
        <v>0</v>
      </c>
      <c r="AG1644" s="153">
        <f>SUM(AE1644-AF1644)</f>
        <v>0</v>
      </c>
    </row>
    <row r="1645" spans="1:42" customHeight="1" ht="11.5">
      <c r="A1645" s="5"/>
      <c r="B1645" s="173"/>
      <c r="C1645" s="167"/>
      <c r="D1645" s="88"/>
      <c r="E1645" s="174"/>
      <c r="F1645" s="9"/>
      <c r="G1645" s="10"/>
      <c r="H1645" s="9"/>
      <c r="I1645" s="10"/>
      <c r="J1645" s="152"/>
      <c r="K1645" s="10"/>
      <c r="L1645" s="152"/>
      <c r="M1645" s="10"/>
      <c r="N1645" s="152"/>
      <c r="O1645" s="10"/>
      <c r="P1645" s="152"/>
      <c r="Q1645" s="10"/>
      <c r="R1645" s="9"/>
      <c r="S1645" s="10"/>
      <c r="T1645" s="9"/>
      <c r="U1645" s="10"/>
      <c r="V1645" s="9"/>
      <c r="W1645" s="10"/>
      <c r="X1645" s="9"/>
      <c r="Y1645" s="10"/>
      <c r="Z1645" s="9"/>
      <c r="AA1645" s="10"/>
      <c r="AB1645" s="11"/>
      <c r="AC1645" s="10"/>
      <c r="AD1645" s="7">
        <f>SUM(F1645+H1645+J1645+L1645+N1645+P1645+R1645+T1645+V1645+X1645+Z1645+AB1645)</f>
        <v>0</v>
      </c>
      <c r="AE1645" s="7">
        <f>E1645+AD1645</f>
        <v>0</v>
      </c>
      <c r="AF1645" s="8">
        <f>G1645+I1645+K1645+M1645+O1645+Q1645+S1645+U1645+W1645+Y1645+AA1645+AC1645</f>
        <v>0</v>
      </c>
      <c r="AG1645" s="153">
        <f>SUM(AE1645-AF1645)</f>
        <v>0</v>
      </c>
    </row>
    <row r="1646" spans="1:42" customHeight="1" ht="11.5">
      <c r="A1646" s="5"/>
      <c r="B1646" s="173"/>
      <c r="C1646" s="167"/>
      <c r="D1646" s="88"/>
      <c r="E1646" s="174"/>
      <c r="F1646" s="9"/>
      <c r="G1646" s="10"/>
      <c r="H1646" s="9"/>
      <c r="I1646" s="10"/>
      <c r="J1646" s="152"/>
      <c r="K1646" s="10"/>
      <c r="L1646" s="152"/>
      <c r="M1646" s="10"/>
      <c r="N1646" s="152"/>
      <c r="O1646" s="10"/>
      <c r="P1646" s="152"/>
      <c r="Q1646" s="10"/>
      <c r="R1646" s="9"/>
      <c r="S1646" s="10"/>
      <c r="T1646" s="9"/>
      <c r="U1646" s="10"/>
      <c r="V1646" s="9"/>
      <c r="W1646" s="10"/>
      <c r="X1646" s="9"/>
      <c r="Y1646" s="10"/>
      <c r="Z1646" s="9"/>
      <c r="AA1646" s="10"/>
      <c r="AB1646" s="11"/>
      <c r="AC1646" s="10"/>
      <c r="AD1646" s="7">
        <f>SUM(F1646+H1646+J1646+L1646+N1646+P1646+R1646+T1646+V1646+X1646+Z1646+AB1646)</f>
        <v>0</v>
      </c>
      <c r="AE1646" s="7">
        <f>E1646+AD1646</f>
        <v>0</v>
      </c>
      <c r="AF1646" s="8">
        <f>G1646+I1646+K1646+M1646+O1646+Q1646+S1646+U1646+W1646+Y1646+AA1646+AC1646</f>
        <v>0</v>
      </c>
      <c r="AG1646" s="153">
        <f>SUM(AE1646-AF1646)</f>
        <v>0</v>
      </c>
    </row>
    <row r="1647" spans="1:42" customHeight="1" ht="11.5">
      <c r="A1647" s="5"/>
      <c r="B1647" s="173"/>
      <c r="C1647" s="167"/>
      <c r="D1647" s="88"/>
      <c r="E1647" s="174"/>
      <c r="F1647" s="9"/>
      <c r="G1647" s="10"/>
      <c r="H1647" s="9"/>
      <c r="I1647" s="10"/>
      <c r="J1647" s="152"/>
      <c r="K1647" s="10"/>
      <c r="L1647" s="152"/>
      <c r="M1647" s="10"/>
      <c r="N1647" s="152"/>
      <c r="O1647" s="10"/>
      <c r="P1647" s="152"/>
      <c r="Q1647" s="10"/>
      <c r="R1647" s="9"/>
      <c r="S1647" s="10"/>
      <c r="T1647" s="9"/>
      <c r="U1647" s="10"/>
      <c r="V1647" s="9"/>
      <c r="W1647" s="10"/>
      <c r="X1647" s="9"/>
      <c r="Y1647" s="10"/>
      <c r="Z1647" s="9"/>
      <c r="AA1647" s="10"/>
      <c r="AB1647" s="11"/>
      <c r="AC1647" s="10"/>
      <c r="AD1647" s="7">
        <f>SUM(F1647+H1647+J1647+L1647+N1647+P1647+R1647+T1647+V1647+X1647+Z1647+AB1647)</f>
        <v>0</v>
      </c>
      <c r="AE1647" s="7">
        <f>E1647+AD1647</f>
        <v>0</v>
      </c>
      <c r="AF1647" s="8">
        <f>G1647+I1647+K1647+M1647+O1647+Q1647+S1647+U1647+W1647+Y1647+AA1647+AC1647</f>
        <v>0</v>
      </c>
      <c r="AG1647" s="153">
        <f>SUM(AE1647-AF1647)</f>
        <v>0</v>
      </c>
    </row>
    <row r="1648" spans="1:42" customHeight="1" ht="11.5">
      <c r="A1648" s="5"/>
      <c r="B1648" s="173"/>
      <c r="C1648" s="167"/>
      <c r="D1648" s="88"/>
      <c r="E1648" s="174"/>
      <c r="F1648" s="9"/>
      <c r="G1648" s="10"/>
      <c r="H1648" s="9"/>
      <c r="I1648" s="10"/>
      <c r="J1648" s="152"/>
      <c r="K1648" s="10"/>
      <c r="L1648" s="152"/>
      <c r="M1648" s="10"/>
      <c r="N1648" s="152"/>
      <c r="O1648" s="10"/>
      <c r="P1648" s="152"/>
      <c r="Q1648" s="10"/>
      <c r="R1648" s="9"/>
      <c r="S1648" s="10"/>
      <c r="T1648" s="9"/>
      <c r="U1648" s="10"/>
      <c r="V1648" s="9"/>
      <c r="W1648" s="10"/>
      <c r="X1648" s="9"/>
      <c r="Y1648" s="10"/>
      <c r="Z1648" s="9"/>
      <c r="AA1648" s="10"/>
      <c r="AB1648" s="11"/>
      <c r="AC1648" s="10"/>
      <c r="AD1648" s="7">
        <f>SUM(F1648+H1648+J1648+L1648+N1648+P1648+R1648+T1648+V1648+X1648+Z1648+AB1648)</f>
        <v>0</v>
      </c>
      <c r="AE1648" s="7">
        <f>E1648+AD1648</f>
        <v>0</v>
      </c>
      <c r="AF1648" s="8">
        <f>G1648+I1648+K1648+M1648+O1648+Q1648+S1648+U1648+W1648+Y1648+AA1648+AC1648</f>
        <v>0</v>
      </c>
      <c r="AG1648" s="153">
        <f>SUM(AE1648-AF1648)</f>
        <v>0</v>
      </c>
    </row>
    <row r="1649" spans="1:42" customHeight="1" ht="11.5">
      <c r="A1649" s="5"/>
      <c r="B1649" s="173"/>
      <c r="C1649" s="167"/>
      <c r="D1649" s="88"/>
      <c r="E1649" s="174"/>
      <c r="F1649" s="9"/>
      <c r="G1649" s="10"/>
      <c r="H1649" s="9"/>
      <c r="I1649" s="10"/>
      <c r="J1649" s="152"/>
      <c r="K1649" s="10"/>
      <c r="L1649" s="152"/>
      <c r="M1649" s="10"/>
      <c r="N1649" s="152"/>
      <c r="O1649" s="10"/>
      <c r="P1649" s="152"/>
      <c r="Q1649" s="10"/>
      <c r="R1649" s="9"/>
      <c r="S1649" s="10"/>
      <c r="T1649" s="9"/>
      <c r="U1649" s="10"/>
      <c r="V1649" s="9"/>
      <c r="W1649" s="10"/>
      <c r="X1649" s="9"/>
      <c r="Y1649" s="10"/>
      <c r="Z1649" s="9"/>
      <c r="AA1649" s="10"/>
      <c r="AB1649" s="11"/>
      <c r="AC1649" s="10"/>
      <c r="AD1649" s="7">
        <f>SUM(F1649+H1649+J1649+L1649+N1649+P1649+R1649+T1649+V1649+X1649+Z1649+AB1649)</f>
        <v>0</v>
      </c>
      <c r="AE1649" s="7">
        <f>E1649+AD1649</f>
        <v>0</v>
      </c>
      <c r="AF1649" s="8">
        <f>G1649+I1649+K1649+M1649+O1649+Q1649+S1649+U1649+W1649+Y1649+AA1649+AC1649</f>
        <v>0</v>
      </c>
      <c r="AG1649" s="153">
        <f>SUM(AE1649-AF1649)</f>
        <v>0</v>
      </c>
    </row>
    <row r="1650" spans="1:42" customHeight="1" ht="11.5">
      <c r="A1650" s="5"/>
      <c r="B1650" s="173"/>
      <c r="C1650" s="167"/>
      <c r="D1650" s="88"/>
      <c r="E1650" s="174"/>
      <c r="F1650" s="9"/>
      <c r="G1650" s="10"/>
      <c r="H1650" s="9"/>
      <c r="I1650" s="10"/>
      <c r="J1650" s="152"/>
      <c r="K1650" s="10"/>
      <c r="L1650" s="152"/>
      <c r="M1650" s="10"/>
      <c r="N1650" s="152"/>
      <c r="O1650" s="10"/>
      <c r="P1650" s="152"/>
      <c r="Q1650" s="10"/>
      <c r="R1650" s="9"/>
      <c r="S1650" s="10"/>
      <c r="T1650" s="9"/>
      <c r="U1650" s="10"/>
      <c r="V1650" s="9"/>
      <c r="W1650" s="10"/>
      <c r="X1650" s="9"/>
      <c r="Y1650" s="10"/>
      <c r="Z1650" s="9"/>
      <c r="AA1650" s="10"/>
      <c r="AB1650" s="11"/>
      <c r="AC1650" s="10"/>
      <c r="AD1650" s="7">
        <f>SUM(F1650+H1650+J1650+L1650+N1650+P1650+R1650+T1650+V1650+X1650+Z1650+AB1650)</f>
        <v>0</v>
      </c>
      <c r="AE1650" s="7">
        <f>E1650+AD1650</f>
        <v>0</v>
      </c>
      <c r="AF1650" s="8">
        <f>G1650+I1650+K1650+M1650+O1650+Q1650+S1650+U1650+W1650+Y1650+AA1650+AC1650</f>
        <v>0</v>
      </c>
      <c r="AG1650" s="153">
        <f>SUM(AE1650-AF1650)</f>
        <v>0</v>
      </c>
    </row>
    <row r="1651" spans="1:42" customHeight="1" ht="11.5">
      <c r="A1651" s="5"/>
      <c r="B1651" s="173"/>
      <c r="C1651" s="167"/>
      <c r="D1651" s="88"/>
      <c r="E1651" s="174"/>
      <c r="F1651" s="9"/>
      <c r="G1651" s="10"/>
      <c r="H1651" s="9"/>
      <c r="I1651" s="10"/>
      <c r="J1651" s="152"/>
      <c r="K1651" s="10"/>
      <c r="L1651" s="152"/>
      <c r="M1651" s="10"/>
      <c r="N1651" s="152"/>
      <c r="O1651" s="10"/>
      <c r="P1651" s="152"/>
      <c r="Q1651" s="10"/>
      <c r="R1651" s="9"/>
      <c r="S1651" s="10"/>
      <c r="T1651" s="9"/>
      <c r="U1651" s="10"/>
      <c r="V1651" s="9"/>
      <c r="W1651" s="10"/>
      <c r="X1651" s="9"/>
      <c r="Y1651" s="10"/>
      <c r="Z1651" s="9"/>
      <c r="AA1651" s="10"/>
      <c r="AB1651" s="11"/>
      <c r="AC1651" s="10"/>
      <c r="AD1651" s="7">
        <f>SUM(F1651+H1651+J1651+L1651+N1651+P1651+R1651+T1651+V1651+X1651+Z1651+AB1651)</f>
        <v>0</v>
      </c>
      <c r="AE1651" s="7">
        <f>E1651+AD1651</f>
        <v>0</v>
      </c>
      <c r="AF1651" s="8">
        <f>G1651+I1651+K1651+M1651+O1651+Q1651+S1651+U1651+W1651+Y1651+AA1651+AC1651</f>
        <v>0</v>
      </c>
      <c r="AG1651" s="153">
        <f>SUM(AE1651-AF1651)</f>
        <v>0</v>
      </c>
    </row>
    <row r="1652" spans="1:42" customHeight="1" ht="11.5">
      <c r="A1652" s="5"/>
      <c r="B1652" s="173"/>
      <c r="C1652" s="167"/>
      <c r="D1652" s="88"/>
      <c r="E1652" s="174"/>
      <c r="F1652" s="9"/>
      <c r="G1652" s="10"/>
      <c r="H1652" s="9"/>
      <c r="I1652" s="10"/>
      <c r="J1652" s="152"/>
      <c r="K1652" s="10"/>
      <c r="L1652" s="152"/>
      <c r="M1652" s="10"/>
      <c r="N1652" s="152"/>
      <c r="O1652" s="10"/>
      <c r="P1652" s="152"/>
      <c r="Q1652" s="10"/>
      <c r="R1652" s="9"/>
      <c r="S1652" s="10"/>
      <c r="T1652" s="9"/>
      <c r="U1652" s="10"/>
      <c r="V1652" s="9"/>
      <c r="W1652" s="10"/>
      <c r="X1652" s="9"/>
      <c r="Y1652" s="10"/>
      <c r="Z1652" s="9"/>
      <c r="AA1652" s="10"/>
      <c r="AB1652" s="11"/>
      <c r="AC1652" s="10"/>
      <c r="AD1652" s="7">
        <f>SUM(F1652+H1652+J1652+L1652+N1652+P1652+R1652+T1652+V1652+X1652+Z1652+AB1652)</f>
        <v>0</v>
      </c>
      <c r="AE1652" s="7">
        <f>E1652+AD1652</f>
        <v>0</v>
      </c>
      <c r="AF1652" s="8">
        <f>G1652+I1652+K1652+M1652+O1652+Q1652+S1652+U1652+W1652+Y1652+AA1652+AC1652</f>
        <v>0</v>
      </c>
      <c r="AG1652" s="153">
        <f>SUM(AE1652-AF1652)</f>
        <v>0</v>
      </c>
    </row>
    <row r="1653" spans="1:42" customHeight="1" ht="11.5">
      <c r="A1653" s="5"/>
      <c r="B1653" s="173"/>
      <c r="C1653" s="167"/>
      <c r="D1653" s="88"/>
      <c r="E1653" s="174"/>
      <c r="F1653" s="9"/>
      <c r="G1653" s="10"/>
      <c r="H1653" s="9"/>
      <c r="I1653" s="10"/>
      <c r="J1653" s="152"/>
      <c r="K1653" s="10"/>
      <c r="L1653" s="152"/>
      <c r="M1653" s="10"/>
      <c r="N1653" s="152"/>
      <c r="O1653" s="10"/>
      <c r="P1653" s="152"/>
      <c r="Q1653" s="10"/>
      <c r="R1653" s="9"/>
      <c r="S1653" s="10"/>
      <c r="T1653" s="9"/>
      <c r="U1653" s="10"/>
      <c r="V1653" s="9"/>
      <c r="W1653" s="10"/>
      <c r="X1653" s="9"/>
      <c r="Y1653" s="10"/>
      <c r="Z1653" s="9"/>
      <c r="AA1653" s="10"/>
      <c r="AB1653" s="11"/>
      <c r="AC1653" s="10"/>
      <c r="AD1653" s="7">
        <f>SUM(F1653+H1653+J1653+L1653+N1653+P1653+R1653+T1653+V1653+X1653+Z1653+AB1653)</f>
        <v>0</v>
      </c>
      <c r="AE1653" s="7">
        <f>E1653+AD1653</f>
        <v>0</v>
      </c>
      <c r="AF1653" s="8">
        <f>G1653+I1653+K1653+M1653+O1653+Q1653+S1653+U1653+W1653+Y1653+AA1653+AC1653</f>
        <v>0</v>
      </c>
      <c r="AG1653" s="153">
        <f>SUM(AE1653-AF1653)</f>
        <v>0</v>
      </c>
    </row>
    <row r="1654" spans="1:42" customHeight="1" ht="11.5">
      <c r="A1654" s="5"/>
      <c r="B1654" s="173"/>
      <c r="C1654" s="167"/>
      <c r="D1654" s="88"/>
      <c r="E1654" s="174"/>
      <c r="F1654" s="9"/>
      <c r="G1654" s="10"/>
      <c r="H1654" s="9"/>
      <c r="I1654" s="10"/>
      <c r="J1654" s="152"/>
      <c r="K1654" s="10"/>
      <c r="L1654" s="152"/>
      <c r="M1654" s="10"/>
      <c r="N1654" s="152"/>
      <c r="O1654" s="10"/>
      <c r="P1654" s="152"/>
      <c r="Q1654" s="10"/>
      <c r="R1654" s="9"/>
      <c r="S1654" s="10"/>
      <c r="T1654" s="9"/>
      <c r="U1654" s="10"/>
      <c r="V1654" s="9"/>
      <c r="W1654" s="10"/>
      <c r="X1654" s="9"/>
      <c r="Y1654" s="10"/>
      <c r="Z1654" s="9"/>
      <c r="AA1654" s="10"/>
      <c r="AB1654" s="11"/>
      <c r="AC1654" s="10"/>
      <c r="AD1654" s="7">
        <f>SUM(F1654+H1654+J1654+L1654+N1654+P1654+R1654+T1654+V1654+X1654+Z1654+AB1654)</f>
        <v>0</v>
      </c>
      <c r="AE1654" s="7">
        <f>E1654+AD1654</f>
        <v>0</v>
      </c>
      <c r="AF1654" s="8">
        <f>G1654+I1654+K1654+M1654+O1654+Q1654+S1654+U1654+W1654+Y1654+AA1654+AC1654</f>
        <v>0</v>
      </c>
      <c r="AG1654" s="153">
        <f>SUM(AE1654-AF1654)</f>
        <v>0</v>
      </c>
    </row>
    <row r="1655" spans="1:42" customHeight="1" ht="11.5">
      <c r="A1655" s="5"/>
      <c r="B1655" s="173"/>
      <c r="C1655" s="167"/>
      <c r="D1655" s="88"/>
      <c r="E1655" s="174"/>
      <c r="F1655" s="9"/>
      <c r="G1655" s="10"/>
      <c r="H1655" s="9"/>
      <c r="I1655" s="10"/>
      <c r="J1655" s="152"/>
      <c r="K1655" s="10"/>
      <c r="L1655" s="152"/>
      <c r="M1655" s="10"/>
      <c r="N1655" s="152"/>
      <c r="O1655" s="10"/>
      <c r="P1655" s="152"/>
      <c r="Q1655" s="10"/>
      <c r="R1655" s="9"/>
      <c r="S1655" s="10"/>
      <c r="T1655" s="9"/>
      <c r="U1655" s="10"/>
      <c r="V1655" s="9"/>
      <c r="W1655" s="10"/>
      <c r="X1655" s="9"/>
      <c r="Y1655" s="10"/>
      <c r="Z1655" s="9"/>
      <c r="AA1655" s="10"/>
      <c r="AB1655" s="11"/>
      <c r="AC1655" s="10"/>
      <c r="AD1655" s="7">
        <f>SUM(F1655+H1655+J1655+L1655+N1655+P1655+R1655+T1655+V1655+X1655+Z1655+AB1655)</f>
        <v>0</v>
      </c>
      <c r="AE1655" s="7">
        <f>E1655+AD1655</f>
        <v>0</v>
      </c>
      <c r="AF1655" s="8">
        <f>G1655+I1655+K1655+M1655+O1655+Q1655+S1655+U1655+W1655+Y1655+AA1655+AC1655</f>
        <v>0</v>
      </c>
      <c r="AG1655" s="153">
        <f>SUM(AE1655-AF1655)</f>
        <v>0</v>
      </c>
    </row>
    <row r="1656" spans="1:42" customHeight="1" ht="11.5">
      <c r="A1656" s="5"/>
      <c r="B1656" s="173"/>
      <c r="C1656" s="167"/>
      <c r="D1656" s="88"/>
      <c r="E1656" s="174"/>
      <c r="F1656" s="9"/>
      <c r="G1656" s="10"/>
      <c r="H1656" s="9"/>
      <c r="I1656" s="10"/>
      <c r="J1656" s="152"/>
      <c r="K1656" s="10"/>
      <c r="L1656" s="152"/>
      <c r="M1656" s="10"/>
      <c r="N1656" s="152"/>
      <c r="O1656" s="10"/>
      <c r="P1656" s="152"/>
      <c r="Q1656" s="10"/>
      <c r="R1656" s="9"/>
      <c r="S1656" s="10"/>
      <c r="T1656" s="9"/>
      <c r="U1656" s="10"/>
      <c r="V1656" s="9"/>
      <c r="W1656" s="10"/>
      <c r="X1656" s="9"/>
      <c r="Y1656" s="10"/>
      <c r="Z1656" s="9"/>
      <c r="AA1656" s="10"/>
      <c r="AB1656" s="11"/>
      <c r="AC1656" s="10"/>
      <c r="AD1656" s="7">
        <f>SUM(F1656+H1656+J1656+L1656+N1656+P1656+R1656+T1656+V1656+X1656+Z1656+AB1656)</f>
        <v>0</v>
      </c>
      <c r="AE1656" s="7">
        <f>E1656+AD1656</f>
        <v>0</v>
      </c>
      <c r="AF1656" s="8">
        <f>G1656+I1656+K1656+M1656+O1656+Q1656+S1656+U1656+W1656+Y1656+AA1656+AC1656</f>
        <v>0</v>
      </c>
      <c r="AG1656" s="153">
        <f>SUM(AE1656-AF1656)</f>
        <v>0</v>
      </c>
    </row>
    <row r="1657" spans="1:42" customHeight="1" ht="11.5">
      <c r="A1657" s="5"/>
      <c r="B1657" s="173"/>
      <c r="C1657" s="167"/>
      <c r="D1657" s="88"/>
      <c r="E1657" s="174"/>
      <c r="F1657" s="9"/>
      <c r="G1657" s="10"/>
      <c r="H1657" s="9"/>
      <c r="I1657" s="10"/>
      <c r="J1657" s="152"/>
      <c r="K1657" s="10"/>
      <c r="L1657" s="152"/>
      <c r="M1657" s="10"/>
      <c r="N1657" s="152"/>
      <c r="O1657" s="10"/>
      <c r="P1657" s="152"/>
      <c r="Q1657" s="10"/>
      <c r="R1657" s="9"/>
      <c r="S1657" s="10"/>
      <c r="T1657" s="9"/>
      <c r="U1657" s="10"/>
      <c r="V1657" s="9"/>
      <c r="W1657" s="10"/>
      <c r="X1657" s="9"/>
      <c r="Y1657" s="10"/>
      <c r="Z1657" s="9"/>
      <c r="AA1657" s="10"/>
      <c r="AB1657" s="11"/>
      <c r="AC1657" s="10"/>
      <c r="AD1657" s="7">
        <f>SUM(F1657+H1657+J1657+L1657+N1657+P1657+R1657+T1657+V1657+X1657+Z1657+AB1657)</f>
        <v>0</v>
      </c>
      <c r="AE1657" s="7">
        <f>E1657+AD1657</f>
        <v>0</v>
      </c>
      <c r="AF1657" s="8">
        <f>G1657+I1657+K1657+M1657+O1657+Q1657+S1657+U1657+W1657+Y1657+AA1657+AC1657</f>
        <v>0</v>
      </c>
      <c r="AG1657" s="153">
        <f>SUM(AE1657-AF1657)</f>
        <v>0</v>
      </c>
    </row>
    <row r="1658" spans="1:42" customHeight="1" ht="11.5">
      <c r="A1658" s="5"/>
      <c r="B1658" s="173"/>
      <c r="C1658" s="167"/>
      <c r="D1658" s="88"/>
      <c r="E1658" s="174"/>
      <c r="F1658" s="9"/>
      <c r="G1658" s="10"/>
      <c r="H1658" s="9"/>
      <c r="I1658" s="10"/>
      <c r="J1658" s="152"/>
      <c r="K1658" s="10"/>
      <c r="L1658" s="152"/>
      <c r="M1658" s="10"/>
      <c r="N1658" s="152"/>
      <c r="O1658" s="10"/>
      <c r="P1658" s="152"/>
      <c r="Q1658" s="10"/>
      <c r="R1658" s="9"/>
      <c r="S1658" s="10"/>
      <c r="T1658" s="9"/>
      <c r="U1658" s="10"/>
      <c r="V1658" s="9"/>
      <c r="W1658" s="10"/>
      <c r="X1658" s="9"/>
      <c r="Y1658" s="10"/>
      <c r="Z1658" s="9"/>
      <c r="AA1658" s="10"/>
      <c r="AB1658" s="11"/>
      <c r="AC1658" s="10"/>
      <c r="AD1658" s="7">
        <f>SUM(F1658+H1658+J1658+L1658+N1658+P1658+R1658+T1658+V1658+X1658+Z1658+AB1658)</f>
        <v>0</v>
      </c>
      <c r="AE1658" s="7">
        <f>E1658+AD1658</f>
        <v>0</v>
      </c>
      <c r="AF1658" s="8">
        <f>G1658+I1658+K1658+M1658+O1658+Q1658+S1658+U1658+W1658+Y1658+AA1658+AC1658</f>
        <v>0</v>
      </c>
      <c r="AG1658" s="153">
        <f>SUM(AE1658-AF1658)</f>
        <v>0</v>
      </c>
    </row>
    <row r="1659" spans="1:42" customHeight="1" ht="11.5">
      <c r="A1659" s="5"/>
      <c r="B1659" s="173"/>
      <c r="C1659" s="167"/>
      <c r="D1659" s="88"/>
      <c r="E1659" s="174"/>
      <c r="F1659" s="9"/>
      <c r="G1659" s="10"/>
      <c r="H1659" s="9"/>
      <c r="I1659" s="10"/>
      <c r="J1659" s="152"/>
      <c r="K1659" s="10"/>
      <c r="L1659" s="152"/>
      <c r="M1659" s="10"/>
      <c r="N1659" s="152"/>
      <c r="O1659" s="10"/>
      <c r="P1659" s="152"/>
      <c r="Q1659" s="10"/>
      <c r="R1659" s="9"/>
      <c r="S1659" s="10"/>
      <c r="T1659" s="9"/>
      <c r="U1659" s="10"/>
      <c r="V1659" s="9"/>
      <c r="W1659" s="10"/>
      <c r="X1659" s="9"/>
      <c r="Y1659" s="10"/>
      <c r="Z1659" s="9"/>
      <c r="AA1659" s="10"/>
      <c r="AB1659" s="11"/>
      <c r="AC1659" s="10"/>
      <c r="AD1659" s="7">
        <f>SUM(F1659+H1659+J1659+L1659+N1659+P1659+R1659+T1659+V1659+X1659+Z1659+AB1659)</f>
        <v>0</v>
      </c>
      <c r="AE1659" s="7">
        <f>E1659+AD1659</f>
        <v>0</v>
      </c>
      <c r="AF1659" s="8">
        <f>G1659+I1659+K1659+M1659+O1659+Q1659+S1659+U1659+W1659+Y1659+AA1659+AC1659</f>
        <v>0</v>
      </c>
      <c r="AG1659" s="153">
        <f>SUM(AE1659-AF1659)</f>
        <v>0</v>
      </c>
    </row>
    <row r="1660" spans="1:42" customHeight="1" ht="11.5">
      <c r="A1660" s="5"/>
      <c r="B1660" s="173"/>
      <c r="C1660" s="167"/>
      <c r="D1660" s="88"/>
      <c r="E1660" s="174"/>
      <c r="F1660" s="9"/>
      <c r="G1660" s="10"/>
      <c r="H1660" s="9"/>
      <c r="I1660" s="10"/>
      <c r="J1660" s="152"/>
      <c r="K1660" s="10"/>
      <c r="L1660" s="152"/>
      <c r="M1660" s="10"/>
      <c r="N1660" s="152"/>
      <c r="O1660" s="10"/>
      <c r="P1660" s="152"/>
      <c r="Q1660" s="10"/>
      <c r="R1660" s="9"/>
      <c r="S1660" s="10"/>
      <c r="T1660" s="9"/>
      <c r="U1660" s="10"/>
      <c r="V1660" s="9"/>
      <c r="W1660" s="10"/>
      <c r="X1660" s="9"/>
      <c r="Y1660" s="10"/>
      <c r="Z1660" s="9"/>
      <c r="AA1660" s="10"/>
      <c r="AB1660" s="11"/>
      <c r="AC1660" s="10"/>
      <c r="AD1660" s="7">
        <f>SUM(F1660+H1660+J1660+L1660+N1660+P1660+R1660+T1660+V1660+X1660+Z1660+AB1660)</f>
        <v>0</v>
      </c>
      <c r="AE1660" s="7">
        <f>E1660+AD1660</f>
        <v>0</v>
      </c>
      <c r="AF1660" s="8">
        <f>G1660+I1660+K1660+M1660+O1660+Q1660+S1660+U1660+W1660+Y1660+AA1660+AC1660</f>
        <v>0</v>
      </c>
      <c r="AG1660" s="153">
        <f>SUM(AE1660-AF1660)</f>
        <v>0</v>
      </c>
    </row>
    <row r="1661" spans="1:42" customHeight="1" ht="11.5">
      <c r="A1661" s="5"/>
      <c r="B1661" s="173"/>
      <c r="C1661" s="167"/>
      <c r="D1661" s="88"/>
      <c r="E1661" s="174"/>
      <c r="F1661" s="9"/>
      <c r="G1661" s="10"/>
      <c r="H1661" s="9"/>
      <c r="I1661" s="10"/>
      <c r="J1661" s="152"/>
      <c r="K1661" s="10"/>
      <c r="L1661" s="152"/>
      <c r="M1661" s="10"/>
      <c r="N1661" s="152"/>
      <c r="O1661" s="10"/>
      <c r="P1661" s="152"/>
      <c r="Q1661" s="10"/>
      <c r="R1661" s="9"/>
      <c r="S1661" s="10"/>
      <c r="T1661" s="9"/>
      <c r="U1661" s="10"/>
      <c r="V1661" s="9"/>
      <c r="W1661" s="10"/>
      <c r="X1661" s="9"/>
      <c r="Y1661" s="10"/>
      <c r="Z1661" s="9"/>
      <c r="AA1661" s="10"/>
      <c r="AB1661" s="11"/>
      <c r="AC1661" s="10"/>
      <c r="AD1661" s="7">
        <f>SUM(F1661+H1661+J1661+L1661+N1661+P1661+R1661+T1661+V1661+X1661+Z1661+AB1661)</f>
        <v>0</v>
      </c>
      <c r="AE1661" s="7">
        <f>E1661+AD1661</f>
        <v>0</v>
      </c>
      <c r="AF1661" s="8">
        <f>G1661+I1661+K1661+M1661+O1661+Q1661+S1661+U1661+W1661+Y1661+AA1661+AC1661</f>
        <v>0</v>
      </c>
      <c r="AG1661" s="153">
        <f>SUM(AE1661-AF1661)</f>
        <v>0</v>
      </c>
    </row>
    <row r="1662" spans="1:42" customHeight="1" ht="11.5">
      <c r="A1662" s="5"/>
      <c r="B1662" s="173"/>
      <c r="C1662" s="167"/>
      <c r="D1662" s="88"/>
      <c r="E1662" s="174"/>
      <c r="F1662" s="9"/>
      <c r="G1662" s="10"/>
      <c r="H1662" s="9"/>
      <c r="I1662" s="10"/>
      <c r="J1662" s="152"/>
      <c r="K1662" s="10"/>
      <c r="L1662" s="152"/>
      <c r="M1662" s="10"/>
      <c r="N1662" s="152"/>
      <c r="O1662" s="10"/>
      <c r="P1662" s="152"/>
      <c r="Q1662" s="10"/>
      <c r="R1662" s="9"/>
      <c r="S1662" s="10"/>
      <c r="T1662" s="9"/>
      <c r="U1662" s="10"/>
      <c r="V1662" s="9"/>
      <c r="W1662" s="10"/>
      <c r="X1662" s="9"/>
      <c r="Y1662" s="10"/>
      <c r="Z1662" s="9"/>
      <c r="AA1662" s="10"/>
      <c r="AB1662" s="11"/>
      <c r="AC1662" s="10"/>
      <c r="AD1662" s="7">
        <f>SUM(F1662+H1662+J1662+L1662+N1662+P1662+R1662+T1662+V1662+X1662+Z1662+AB1662)</f>
        <v>0</v>
      </c>
      <c r="AE1662" s="7">
        <f>E1662+AD1662</f>
        <v>0</v>
      </c>
      <c r="AF1662" s="8">
        <f>G1662+I1662+K1662+M1662+O1662+Q1662+S1662+U1662+W1662+Y1662+AA1662+AC1662</f>
        <v>0</v>
      </c>
      <c r="AG1662" s="153">
        <f>SUM(AE1662-AF1662)</f>
        <v>0</v>
      </c>
    </row>
    <row r="1663" spans="1:42" customHeight="1" ht="11.5">
      <c r="A1663" s="5"/>
      <c r="B1663" s="173"/>
      <c r="C1663" s="167"/>
      <c r="D1663" s="88"/>
      <c r="E1663" s="174"/>
      <c r="F1663" s="9"/>
      <c r="G1663" s="10"/>
      <c r="H1663" s="9"/>
      <c r="I1663" s="10"/>
      <c r="J1663" s="152"/>
      <c r="K1663" s="10"/>
      <c r="L1663" s="152"/>
      <c r="M1663" s="10"/>
      <c r="N1663" s="152"/>
      <c r="O1663" s="10"/>
      <c r="P1663" s="152"/>
      <c r="Q1663" s="10"/>
      <c r="R1663" s="9"/>
      <c r="S1663" s="10"/>
      <c r="T1663" s="9"/>
      <c r="U1663" s="10"/>
      <c r="V1663" s="9"/>
      <c r="W1663" s="10"/>
      <c r="X1663" s="9"/>
      <c r="Y1663" s="10"/>
      <c r="Z1663" s="9"/>
      <c r="AA1663" s="10"/>
      <c r="AB1663" s="11"/>
      <c r="AC1663" s="10"/>
      <c r="AD1663" s="7">
        <f>SUM(F1663+H1663+J1663+L1663+N1663+P1663+R1663+T1663+V1663+X1663+Z1663+AB1663)</f>
        <v>0</v>
      </c>
      <c r="AE1663" s="7">
        <f>E1663+AD1663</f>
        <v>0</v>
      </c>
      <c r="AF1663" s="8">
        <f>G1663+I1663+K1663+M1663+O1663+Q1663+S1663+U1663+W1663+Y1663+AA1663+AC1663</f>
        <v>0</v>
      </c>
      <c r="AG1663" s="153">
        <f>SUM(AE1663-AF1663)</f>
        <v>0</v>
      </c>
    </row>
    <row r="1664" spans="1:42" customHeight="1" ht="11.5">
      <c r="A1664" s="5"/>
      <c r="B1664" s="173"/>
      <c r="C1664" s="167"/>
      <c r="D1664" s="88"/>
      <c r="E1664" s="174"/>
      <c r="F1664" s="9"/>
      <c r="G1664" s="10"/>
      <c r="H1664" s="9"/>
      <c r="I1664" s="10"/>
      <c r="J1664" s="152"/>
      <c r="K1664" s="10"/>
      <c r="L1664" s="152"/>
      <c r="M1664" s="10"/>
      <c r="N1664" s="152"/>
      <c r="O1664" s="10"/>
      <c r="P1664" s="152"/>
      <c r="Q1664" s="10"/>
      <c r="R1664" s="9"/>
      <c r="S1664" s="10"/>
      <c r="T1664" s="9"/>
      <c r="U1664" s="10"/>
      <c r="V1664" s="9"/>
      <c r="W1664" s="10"/>
      <c r="X1664" s="9"/>
      <c r="Y1664" s="10"/>
      <c r="Z1664" s="9"/>
      <c r="AA1664" s="10"/>
      <c r="AB1664" s="11"/>
      <c r="AC1664" s="10"/>
      <c r="AD1664" s="7">
        <f>SUM(F1664+H1664+J1664+L1664+N1664+P1664+R1664+T1664+V1664+X1664+Z1664+AB1664)</f>
        <v>0</v>
      </c>
      <c r="AE1664" s="7">
        <f>E1664+AD1664</f>
        <v>0</v>
      </c>
      <c r="AF1664" s="8">
        <f>G1664+I1664+K1664+M1664+O1664+Q1664+S1664+U1664+W1664+Y1664+AA1664+AC1664</f>
        <v>0</v>
      </c>
      <c r="AG1664" s="153">
        <f>SUM(AE1664-AF1664)</f>
        <v>0</v>
      </c>
    </row>
    <row r="1665" spans="1:42" customHeight="1" ht="11.5">
      <c r="A1665" s="5"/>
      <c r="B1665" s="173"/>
      <c r="C1665" s="167"/>
      <c r="D1665" s="88"/>
      <c r="E1665" s="174"/>
      <c r="F1665" s="9"/>
      <c r="G1665" s="10"/>
      <c r="H1665" s="9"/>
      <c r="I1665" s="10"/>
      <c r="J1665" s="152"/>
      <c r="K1665" s="10"/>
      <c r="L1665" s="152"/>
      <c r="M1665" s="10"/>
      <c r="N1665" s="152"/>
      <c r="O1665" s="10"/>
      <c r="P1665" s="152"/>
      <c r="Q1665" s="10"/>
      <c r="R1665" s="9"/>
      <c r="S1665" s="10"/>
      <c r="T1665" s="9"/>
      <c r="U1665" s="10"/>
      <c r="V1665" s="9"/>
      <c r="W1665" s="10"/>
      <c r="X1665" s="9"/>
      <c r="Y1665" s="10"/>
      <c r="Z1665" s="9"/>
      <c r="AA1665" s="10"/>
      <c r="AB1665" s="11"/>
      <c r="AC1665" s="10"/>
      <c r="AD1665" s="7">
        <f>SUM(F1665+H1665+J1665+L1665+N1665+P1665+R1665+T1665+V1665+X1665+Z1665+AB1665)</f>
        <v>0</v>
      </c>
      <c r="AE1665" s="7">
        <f>E1665+AD1665</f>
        <v>0</v>
      </c>
      <c r="AF1665" s="8">
        <f>G1665+I1665+K1665+M1665+O1665+Q1665+S1665+U1665+W1665+Y1665+AA1665+AC1665</f>
        <v>0</v>
      </c>
      <c r="AG1665" s="153">
        <f>SUM(AE1665-AF1665)</f>
        <v>0</v>
      </c>
    </row>
    <row r="1666" spans="1:42" customHeight="1" ht="11.5">
      <c r="A1666" s="5"/>
      <c r="B1666" s="173"/>
      <c r="C1666" s="167"/>
      <c r="D1666" s="88"/>
      <c r="E1666" s="174"/>
      <c r="F1666" s="9"/>
      <c r="G1666" s="10"/>
      <c r="H1666" s="9"/>
      <c r="I1666" s="10"/>
      <c r="J1666" s="152"/>
      <c r="K1666" s="10"/>
      <c r="L1666" s="152"/>
      <c r="M1666" s="10"/>
      <c r="N1666" s="152"/>
      <c r="O1666" s="10"/>
      <c r="P1666" s="152"/>
      <c r="Q1666" s="10"/>
      <c r="R1666" s="9"/>
      <c r="S1666" s="10"/>
      <c r="T1666" s="9"/>
      <c r="U1666" s="10"/>
      <c r="V1666" s="9"/>
      <c r="W1666" s="10"/>
      <c r="X1666" s="9"/>
      <c r="Y1666" s="10"/>
      <c r="Z1666" s="9"/>
      <c r="AA1666" s="10"/>
      <c r="AB1666" s="11"/>
      <c r="AC1666" s="10"/>
      <c r="AD1666" s="7">
        <f>SUM(F1666+H1666+J1666+L1666+N1666+P1666+R1666+T1666+V1666+X1666+Z1666+AB1666)</f>
        <v>0</v>
      </c>
      <c r="AE1666" s="7">
        <f>E1666+AD1666</f>
        <v>0</v>
      </c>
      <c r="AF1666" s="8">
        <f>G1666+I1666+K1666+M1666+O1666+Q1666+S1666+U1666+W1666+Y1666+AA1666+AC1666</f>
        <v>0</v>
      </c>
      <c r="AG1666" s="153">
        <f>SUM(AE1666-AF1666)</f>
        <v>0</v>
      </c>
    </row>
    <row r="1667" spans="1:42" customHeight="1" ht="11.5">
      <c r="A1667" s="5"/>
      <c r="B1667" s="173"/>
      <c r="C1667" s="167"/>
      <c r="D1667" s="88"/>
      <c r="E1667" s="174"/>
      <c r="F1667" s="9"/>
      <c r="G1667" s="10"/>
      <c r="H1667" s="9"/>
      <c r="I1667" s="10"/>
      <c r="J1667" s="152"/>
      <c r="K1667" s="10"/>
      <c r="L1667" s="152"/>
      <c r="M1667" s="10"/>
      <c r="N1667" s="152"/>
      <c r="O1667" s="10"/>
      <c r="P1667" s="152"/>
      <c r="Q1667" s="10"/>
      <c r="R1667" s="9"/>
      <c r="S1667" s="10"/>
      <c r="T1667" s="9"/>
      <c r="U1667" s="10"/>
      <c r="V1667" s="9"/>
      <c r="W1667" s="10"/>
      <c r="X1667" s="9"/>
      <c r="Y1667" s="10"/>
      <c r="Z1667" s="9"/>
      <c r="AA1667" s="10"/>
      <c r="AB1667" s="11"/>
      <c r="AC1667" s="10"/>
      <c r="AD1667" s="7">
        <f>SUM(F1667+H1667+J1667+L1667+N1667+P1667+R1667+T1667+V1667+X1667+Z1667+AB1667)</f>
        <v>0</v>
      </c>
      <c r="AE1667" s="7">
        <f>E1667+AD1667</f>
        <v>0</v>
      </c>
      <c r="AF1667" s="8">
        <f>G1667+I1667+K1667+M1667+O1667+Q1667+S1667+U1667+W1667+Y1667+AA1667+AC1667</f>
        <v>0</v>
      </c>
      <c r="AG1667" s="153">
        <f>SUM(AE1667-AF1667)</f>
        <v>0</v>
      </c>
    </row>
    <row r="1668" spans="1:42" customHeight="1" ht="11.5">
      <c r="A1668" s="5"/>
      <c r="B1668" s="173"/>
      <c r="C1668" s="167"/>
      <c r="D1668" s="88"/>
      <c r="E1668" s="174"/>
      <c r="F1668" s="9"/>
      <c r="G1668" s="10"/>
      <c r="H1668" s="9"/>
      <c r="I1668" s="10"/>
      <c r="J1668" s="152"/>
      <c r="K1668" s="10"/>
      <c r="L1668" s="152"/>
      <c r="M1668" s="10"/>
      <c r="N1668" s="152"/>
      <c r="O1668" s="10"/>
      <c r="P1668" s="152"/>
      <c r="Q1668" s="10"/>
      <c r="R1668" s="9"/>
      <c r="S1668" s="10"/>
      <c r="T1668" s="9"/>
      <c r="U1668" s="10"/>
      <c r="V1668" s="9"/>
      <c r="W1668" s="10"/>
      <c r="X1668" s="9"/>
      <c r="Y1668" s="10"/>
      <c r="Z1668" s="9"/>
      <c r="AA1668" s="10"/>
      <c r="AB1668" s="11"/>
      <c r="AC1668" s="10"/>
      <c r="AD1668" s="7">
        <f>SUM(F1668+H1668+J1668+L1668+N1668+P1668+R1668+T1668+V1668+X1668+Z1668+AB1668)</f>
        <v>0</v>
      </c>
      <c r="AE1668" s="7">
        <f>E1668+AD1668</f>
        <v>0</v>
      </c>
      <c r="AF1668" s="8">
        <f>G1668+I1668+K1668+M1668+O1668+Q1668+S1668+U1668+W1668+Y1668+AA1668+AC1668</f>
        <v>0</v>
      </c>
      <c r="AG1668" s="153">
        <f>SUM(AE1668-AF1668)</f>
        <v>0</v>
      </c>
    </row>
    <row r="1669" spans="1:42" customHeight="1" ht="11.5">
      <c r="A1669" s="5"/>
      <c r="B1669" s="173"/>
      <c r="C1669" s="167"/>
      <c r="D1669" s="88"/>
      <c r="E1669" s="174"/>
      <c r="F1669" s="9"/>
      <c r="G1669" s="10"/>
      <c r="H1669" s="9"/>
      <c r="I1669" s="10"/>
      <c r="J1669" s="152"/>
      <c r="K1669" s="10"/>
      <c r="L1669" s="152"/>
      <c r="M1669" s="10"/>
      <c r="N1669" s="152"/>
      <c r="O1669" s="10"/>
      <c r="P1669" s="152"/>
      <c r="Q1669" s="10"/>
      <c r="R1669" s="9"/>
      <c r="S1669" s="10"/>
      <c r="T1669" s="9"/>
      <c r="U1669" s="10"/>
      <c r="V1669" s="9"/>
      <c r="W1669" s="10"/>
      <c r="X1669" s="9"/>
      <c r="Y1669" s="10"/>
      <c r="Z1669" s="9"/>
      <c r="AA1669" s="10"/>
      <c r="AB1669" s="11"/>
      <c r="AC1669" s="10"/>
      <c r="AD1669" s="7">
        <f>SUM(F1669+H1669+J1669+L1669+N1669+P1669+R1669+T1669+V1669+X1669+Z1669+AB1669)</f>
        <v>0</v>
      </c>
      <c r="AE1669" s="7">
        <f>E1669+AD1669</f>
        <v>0</v>
      </c>
      <c r="AF1669" s="8">
        <f>G1669+I1669+K1669+M1669+O1669+Q1669+S1669+U1669+W1669+Y1669+AA1669+AC1669</f>
        <v>0</v>
      </c>
      <c r="AG1669" s="153">
        <f>SUM(AE1669-AF1669)</f>
        <v>0</v>
      </c>
    </row>
    <row r="1670" spans="1:42" customHeight="1" ht="11.5">
      <c r="A1670" s="5"/>
      <c r="B1670" s="173"/>
      <c r="C1670" s="167"/>
      <c r="D1670" s="88"/>
      <c r="E1670" s="174"/>
      <c r="F1670" s="9"/>
      <c r="G1670" s="10"/>
      <c r="H1670" s="9"/>
      <c r="I1670" s="10"/>
      <c r="J1670" s="152"/>
      <c r="K1670" s="10"/>
      <c r="L1670" s="152"/>
      <c r="M1670" s="10"/>
      <c r="N1670" s="152"/>
      <c r="O1670" s="10"/>
      <c r="P1670" s="152"/>
      <c r="Q1670" s="10"/>
      <c r="R1670" s="9"/>
      <c r="S1670" s="10"/>
      <c r="T1670" s="9"/>
      <c r="U1670" s="10"/>
      <c r="V1670" s="9"/>
      <c r="W1670" s="10"/>
      <c r="X1670" s="9"/>
      <c r="Y1670" s="10"/>
      <c r="Z1670" s="9"/>
      <c r="AA1670" s="10"/>
      <c r="AB1670" s="11"/>
      <c r="AC1670" s="10"/>
      <c r="AD1670" s="7">
        <f>SUM(F1670+H1670+J1670+L1670+N1670+P1670+R1670+T1670+V1670+X1670+Z1670+AB1670)</f>
        <v>0</v>
      </c>
      <c r="AE1670" s="7">
        <f>E1670+AD1670</f>
        <v>0</v>
      </c>
      <c r="AF1670" s="8">
        <f>G1670+I1670+K1670+M1670+O1670+Q1670+S1670+U1670+W1670+Y1670+AA1670+AC1670</f>
        <v>0</v>
      </c>
      <c r="AG1670" s="153">
        <f>SUM(AE1670-AF1670)</f>
        <v>0</v>
      </c>
    </row>
    <row r="1671" spans="1:42" customHeight="1" ht="11.5">
      <c r="A1671" s="5"/>
      <c r="B1671" s="173"/>
      <c r="C1671" s="167"/>
      <c r="D1671" s="88"/>
      <c r="E1671" s="174"/>
      <c r="F1671" s="9"/>
      <c r="G1671" s="10"/>
      <c r="H1671" s="9"/>
      <c r="I1671" s="10"/>
      <c r="J1671" s="152"/>
      <c r="K1671" s="10"/>
      <c r="L1671" s="152"/>
      <c r="M1671" s="10"/>
      <c r="N1671" s="152"/>
      <c r="O1671" s="10"/>
      <c r="P1671" s="152"/>
      <c r="Q1671" s="10"/>
      <c r="R1671" s="9"/>
      <c r="S1671" s="10"/>
      <c r="T1671" s="9"/>
      <c r="U1671" s="10"/>
      <c r="V1671" s="9"/>
      <c r="W1671" s="10"/>
      <c r="X1671" s="9"/>
      <c r="Y1671" s="10"/>
      <c r="Z1671" s="9"/>
      <c r="AA1671" s="10"/>
      <c r="AB1671" s="11"/>
      <c r="AC1671" s="10"/>
      <c r="AD1671" s="7">
        <f>SUM(F1671+H1671+J1671+L1671+N1671+P1671+R1671+T1671+V1671+X1671+Z1671+AB1671)</f>
        <v>0</v>
      </c>
      <c r="AE1671" s="7">
        <f>E1671+AD1671</f>
        <v>0</v>
      </c>
      <c r="AF1671" s="8">
        <f>G1671+I1671+K1671+M1671+O1671+Q1671+S1671+U1671+W1671+Y1671+AA1671+AC1671</f>
        <v>0</v>
      </c>
      <c r="AG1671" s="153">
        <f>SUM(AE1671-AF1671)</f>
        <v>0</v>
      </c>
    </row>
    <row r="1672" spans="1:42" customHeight="1" ht="11.5">
      <c r="A1672" s="5"/>
      <c r="B1672" s="173"/>
      <c r="C1672" s="167"/>
      <c r="D1672" s="88"/>
      <c r="E1672" s="174"/>
      <c r="F1672" s="9"/>
      <c r="G1672" s="10"/>
      <c r="H1672" s="9"/>
      <c r="I1672" s="10"/>
      <c r="J1672" s="152"/>
      <c r="K1672" s="10"/>
      <c r="L1672" s="152"/>
      <c r="M1672" s="10"/>
      <c r="N1672" s="152"/>
      <c r="O1672" s="10"/>
      <c r="P1672" s="152"/>
      <c r="Q1672" s="10"/>
      <c r="R1672" s="9"/>
      <c r="S1672" s="10"/>
      <c r="T1672" s="9"/>
      <c r="U1672" s="10"/>
      <c r="V1672" s="9"/>
      <c r="W1672" s="10"/>
      <c r="X1672" s="9"/>
      <c r="Y1672" s="10"/>
      <c r="Z1672" s="9"/>
      <c r="AA1672" s="10"/>
      <c r="AB1672" s="11"/>
      <c r="AC1672" s="10"/>
      <c r="AD1672" s="7">
        <f>SUM(F1672+H1672+J1672+L1672+N1672+P1672+R1672+T1672+V1672+X1672+Z1672+AB1672)</f>
        <v>0</v>
      </c>
      <c r="AE1672" s="7">
        <f>E1672+AD1672</f>
        <v>0</v>
      </c>
      <c r="AF1672" s="8">
        <f>G1672+I1672+K1672+M1672+O1672+Q1672+S1672+U1672+W1672+Y1672+AA1672+AC1672</f>
        <v>0</v>
      </c>
      <c r="AG1672" s="153">
        <f>SUM(AE1672-AF1672)</f>
        <v>0</v>
      </c>
    </row>
    <row r="1673" spans="1:42" customHeight="1" ht="11.5">
      <c r="A1673" s="5"/>
      <c r="B1673" s="173"/>
      <c r="C1673" s="167"/>
      <c r="D1673" s="88"/>
      <c r="E1673" s="174"/>
      <c r="F1673" s="9"/>
      <c r="G1673" s="10"/>
      <c r="H1673" s="9"/>
      <c r="I1673" s="10"/>
      <c r="J1673" s="152"/>
      <c r="K1673" s="10"/>
      <c r="L1673" s="152"/>
      <c r="M1673" s="10"/>
      <c r="N1673" s="152"/>
      <c r="O1673" s="10"/>
      <c r="P1673" s="152"/>
      <c r="Q1673" s="10"/>
      <c r="R1673" s="9"/>
      <c r="S1673" s="10"/>
      <c r="T1673" s="9"/>
      <c r="U1673" s="10"/>
      <c r="V1673" s="9"/>
      <c r="W1673" s="10"/>
      <c r="X1673" s="9"/>
      <c r="Y1673" s="10"/>
      <c r="Z1673" s="9"/>
      <c r="AA1673" s="10"/>
      <c r="AB1673" s="11"/>
      <c r="AC1673" s="10"/>
      <c r="AD1673" s="7">
        <f>SUM(F1673+H1673+J1673+L1673+N1673+P1673+R1673+T1673+V1673+X1673+Z1673+AB1673)</f>
        <v>0</v>
      </c>
      <c r="AE1673" s="7">
        <f>E1673+AD1673</f>
        <v>0</v>
      </c>
      <c r="AF1673" s="8">
        <f>G1673+I1673+K1673+M1673+O1673+Q1673+S1673+U1673+W1673+Y1673+AA1673+AC1673</f>
        <v>0</v>
      </c>
      <c r="AG1673" s="153">
        <f>SUM(AE1673-AF1673)</f>
        <v>0</v>
      </c>
    </row>
    <row r="1674" spans="1:42" customHeight="1" ht="11.5">
      <c r="A1674" s="5"/>
      <c r="B1674" s="173"/>
      <c r="C1674" s="167"/>
      <c r="D1674" s="88"/>
      <c r="E1674" s="174"/>
      <c r="F1674" s="9"/>
      <c r="G1674" s="10"/>
      <c r="H1674" s="9"/>
      <c r="I1674" s="10"/>
      <c r="J1674" s="152"/>
      <c r="K1674" s="10"/>
      <c r="L1674" s="152"/>
      <c r="M1674" s="10"/>
      <c r="N1674" s="152"/>
      <c r="O1674" s="10"/>
      <c r="P1674" s="152"/>
      <c r="Q1674" s="10"/>
      <c r="R1674" s="9"/>
      <c r="S1674" s="10"/>
      <c r="T1674" s="9"/>
      <c r="U1674" s="10"/>
      <c r="V1674" s="9"/>
      <c r="W1674" s="10"/>
      <c r="X1674" s="9"/>
      <c r="Y1674" s="10"/>
      <c r="Z1674" s="9"/>
      <c r="AA1674" s="10"/>
      <c r="AB1674" s="11"/>
      <c r="AC1674" s="10"/>
      <c r="AD1674" s="7">
        <f>SUM(F1674+H1674+J1674+L1674+N1674+P1674+R1674+T1674+V1674+X1674+Z1674+AB1674)</f>
        <v>0</v>
      </c>
      <c r="AE1674" s="7">
        <f>E1674+AD1674</f>
        <v>0</v>
      </c>
      <c r="AF1674" s="8">
        <f>G1674+I1674+K1674+M1674+O1674+Q1674+S1674+U1674+W1674+Y1674+AA1674+AC1674</f>
        <v>0</v>
      </c>
      <c r="AG1674" s="153">
        <f>SUM(AE1674-AF1674)</f>
        <v>0</v>
      </c>
    </row>
    <row r="1675" spans="1:42" customHeight="1" ht="11.5">
      <c r="A1675" s="5"/>
      <c r="B1675" s="173"/>
      <c r="C1675" s="167"/>
      <c r="D1675" s="88"/>
      <c r="E1675" s="174"/>
      <c r="F1675" s="9"/>
      <c r="G1675" s="10"/>
      <c r="H1675" s="9"/>
      <c r="I1675" s="10"/>
      <c r="J1675" s="152"/>
      <c r="K1675" s="10"/>
      <c r="L1675" s="152"/>
      <c r="M1675" s="10"/>
      <c r="N1675" s="152"/>
      <c r="O1675" s="10"/>
      <c r="P1675" s="152"/>
      <c r="Q1675" s="10"/>
      <c r="R1675" s="9"/>
      <c r="S1675" s="10"/>
      <c r="T1675" s="9"/>
      <c r="U1675" s="10"/>
      <c r="V1675" s="9"/>
      <c r="W1675" s="10"/>
      <c r="X1675" s="9"/>
      <c r="Y1675" s="10"/>
      <c r="Z1675" s="9"/>
      <c r="AA1675" s="10"/>
      <c r="AB1675" s="11"/>
      <c r="AC1675" s="10"/>
      <c r="AD1675" s="7">
        <f>SUM(F1675+H1675+J1675+L1675+N1675+P1675+R1675+T1675+V1675+X1675+Z1675+AB1675)</f>
        <v>0</v>
      </c>
      <c r="AE1675" s="7">
        <f>E1675+AD1675</f>
        <v>0</v>
      </c>
      <c r="AF1675" s="8">
        <f>G1675+I1675+K1675+M1675+O1675+Q1675+S1675+U1675+W1675+Y1675+AA1675+AC1675</f>
        <v>0</v>
      </c>
      <c r="AG1675" s="153">
        <f>SUM(AE1675-AF1675)</f>
        <v>0</v>
      </c>
    </row>
    <row r="1676" spans="1:42" customHeight="1" ht="11.5">
      <c r="A1676" s="5"/>
      <c r="B1676" s="173"/>
      <c r="C1676" s="167"/>
      <c r="D1676" s="88"/>
      <c r="E1676" s="174"/>
      <c r="F1676" s="9"/>
      <c r="G1676" s="10"/>
      <c r="H1676" s="9"/>
      <c r="I1676" s="10"/>
      <c r="J1676" s="152"/>
      <c r="K1676" s="10"/>
      <c r="L1676" s="152"/>
      <c r="M1676" s="10"/>
      <c r="N1676" s="152"/>
      <c r="O1676" s="10"/>
      <c r="P1676" s="152"/>
      <c r="Q1676" s="10"/>
      <c r="R1676" s="9"/>
      <c r="S1676" s="10"/>
      <c r="T1676" s="9"/>
      <c r="U1676" s="10"/>
      <c r="V1676" s="9"/>
      <c r="W1676" s="10"/>
      <c r="X1676" s="9"/>
      <c r="Y1676" s="10"/>
      <c r="Z1676" s="9"/>
      <c r="AA1676" s="10"/>
      <c r="AB1676" s="11"/>
      <c r="AC1676" s="10"/>
      <c r="AD1676" s="7">
        <f>SUM(F1676+H1676+J1676+L1676+N1676+P1676+R1676+T1676+V1676+X1676+Z1676+AB1676)</f>
        <v>0</v>
      </c>
      <c r="AE1676" s="7">
        <f>E1676+AD1676</f>
        <v>0</v>
      </c>
      <c r="AF1676" s="8">
        <f>G1676+I1676+K1676+M1676+O1676+Q1676+S1676+U1676+W1676+Y1676+AA1676+AC1676</f>
        <v>0</v>
      </c>
      <c r="AG1676" s="153">
        <f>SUM(AE1676-AF1676)</f>
        <v>0</v>
      </c>
    </row>
    <row r="1677" spans="1:42" customHeight="1" ht="11.5">
      <c r="A1677" s="5"/>
      <c r="B1677" s="173"/>
      <c r="C1677" s="167"/>
      <c r="D1677" s="88"/>
      <c r="E1677" s="174"/>
      <c r="F1677" s="9"/>
      <c r="G1677" s="10"/>
      <c r="H1677" s="9"/>
      <c r="I1677" s="10"/>
      <c r="J1677" s="152"/>
      <c r="K1677" s="10"/>
      <c r="L1677" s="152"/>
      <c r="M1677" s="10"/>
      <c r="N1677" s="152"/>
      <c r="O1677" s="10"/>
      <c r="P1677" s="152"/>
      <c r="Q1677" s="10"/>
      <c r="R1677" s="9"/>
      <c r="S1677" s="10"/>
      <c r="T1677" s="9"/>
      <c r="U1677" s="10"/>
      <c r="V1677" s="9"/>
      <c r="W1677" s="10"/>
      <c r="X1677" s="9"/>
      <c r="Y1677" s="10"/>
      <c r="Z1677" s="9"/>
      <c r="AA1677" s="10"/>
      <c r="AB1677" s="11"/>
      <c r="AC1677" s="10"/>
      <c r="AD1677" s="7">
        <f>SUM(F1677+H1677+J1677+L1677+N1677+P1677+R1677+T1677+V1677+X1677+Z1677+AB1677)</f>
        <v>0</v>
      </c>
      <c r="AE1677" s="7">
        <f>E1677+AD1677</f>
        <v>0</v>
      </c>
      <c r="AF1677" s="8">
        <f>G1677+I1677+K1677+M1677+O1677+Q1677+S1677+U1677+W1677+Y1677+AA1677+AC1677</f>
        <v>0</v>
      </c>
      <c r="AG1677" s="153">
        <f>SUM(AE1677-AF1677)</f>
        <v>0</v>
      </c>
    </row>
    <row r="1678" spans="1:42" customHeight="1" ht="11.5">
      <c r="A1678" s="5"/>
      <c r="B1678" s="173"/>
      <c r="C1678" s="167"/>
      <c r="D1678" s="88"/>
      <c r="E1678" s="174"/>
      <c r="F1678" s="9"/>
      <c r="G1678" s="10"/>
      <c r="H1678" s="9"/>
      <c r="I1678" s="10"/>
      <c r="J1678" s="152"/>
      <c r="K1678" s="10"/>
      <c r="L1678" s="152"/>
      <c r="M1678" s="10"/>
      <c r="N1678" s="152"/>
      <c r="O1678" s="10"/>
      <c r="P1678" s="152"/>
      <c r="Q1678" s="10"/>
      <c r="R1678" s="9"/>
      <c r="S1678" s="10"/>
      <c r="T1678" s="9"/>
      <c r="U1678" s="10"/>
      <c r="V1678" s="9"/>
      <c r="W1678" s="10"/>
      <c r="X1678" s="9"/>
      <c r="Y1678" s="10"/>
      <c r="Z1678" s="9"/>
      <c r="AA1678" s="10"/>
      <c r="AB1678" s="11"/>
      <c r="AC1678" s="10"/>
      <c r="AD1678" s="7">
        <f>SUM(F1678+H1678+J1678+L1678+N1678+P1678+R1678+T1678+V1678+X1678+Z1678+AB1678)</f>
        <v>0</v>
      </c>
      <c r="AE1678" s="7">
        <f>E1678+AD1678</f>
        <v>0</v>
      </c>
      <c r="AF1678" s="8">
        <f>G1678+I1678+K1678+M1678+O1678+Q1678+S1678+U1678+W1678+Y1678+AA1678+AC1678</f>
        <v>0</v>
      </c>
      <c r="AG1678" s="153">
        <f>SUM(AE1678-AF1678)</f>
        <v>0</v>
      </c>
    </row>
    <row r="1679" spans="1:42" customHeight="1" ht="11.5">
      <c r="A1679" s="5"/>
      <c r="B1679" s="173"/>
      <c r="C1679" s="167"/>
      <c r="D1679" s="88"/>
      <c r="E1679" s="174"/>
      <c r="F1679" s="9"/>
      <c r="G1679" s="10"/>
      <c r="H1679" s="9"/>
      <c r="I1679" s="10"/>
      <c r="J1679" s="152"/>
      <c r="K1679" s="10"/>
      <c r="L1679" s="152"/>
      <c r="M1679" s="10"/>
      <c r="N1679" s="152"/>
      <c r="O1679" s="10"/>
      <c r="P1679" s="152"/>
      <c r="Q1679" s="10"/>
      <c r="R1679" s="9"/>
      <c r="S1679" s="10"/>
      <c r="T1679" s="9"/>
      <c r="U1679" s="10"/>
      <c r="V1679" s="9"/>
      <c r="W1679" s="10"/>
      <c r="X1679" s="9"/>
      <c r="Y1679" s="10"/>
      <c r="Z1679" s="9"/>
      <c r="AA1679" s="10"/>
      <c r="AB1679" s="11"/>
      <c r="AC1679" s="10"/>
      <c r="AD1679" s="7">
        <f>SUM(F1679+H1679+J1679+L1679+N1679+P1679+R1679+T1679+V1679+X1679+Z1679+AB1679)</f>
        <v>0</v>
      </c>
      <c r="AE1679" s="7">
        <f>E1679+AD1679</f>
        <v>0</v>
      </c>
      <c r="AF1679" s="8">
        <f>G1679+I1679+K1679+M1679+O1679+Q1679+S1679+U1679+W1679+Y1679+AA1679+AC1679</f>
        <v>0</v>
      </c>
      <c r="AG1679" s="153">
        <f>SUM(AE1679-AF1679)</f>
        <v>0</v>
      </c>
    </row>
    <row r="1680" spans="1:42" customHeight="1" ht="11.5">
      <c r="A1680" s="5"/>
      <c r="B1680" s="173"/>
      <c r="C1680" s="167"/>
      <c r="D1680" s="88"/>
      <c r="E1680" s="174"/>
      <c r="F1680" s="9"/>
      <c r="G1680" s="10"/>
      <c r="H1680" s="9"/>
      <c r="I1680" s="10"/>
      <c r="J1680" s="152"/>
      <c r="K1680" s="10"/>
      <c r="L1680" s="152"/>
      <c r="M1680" s="10"/>
      <c r="N1680" s="152"/>
      <c r="O1680" s="10"/>
      <c r="P1680" s="152"/>
      <c r="Q1680" s="10"/>
      <c r="R1680" s="9"/>
      <c r="S1680" s="10"/>
      <c r="T1680" s="9"/>
      <c r="U1680" s="10"/>
      <c r="V1680" s="9"/>
      <c r="W1680" s="10"/>
      <c r="X1680" s="9"/>
      <c r="Y1680" s="10"/>
      <c r="Z1680" s="9"/>
      <c r="AA1680" s="10"/>
      <c r="AB1680" s="11"/>
      <c r="AC1680" s="10"/>
      <c r="AD1680" s="7">
        <f>SUM(F1680+H1680+J1680+L1680+N1680+P1680+R1680+T1680+V1680+X1680+Z1680+AB1680)</f>
        <v>0</v>
      </c>
      <c r="AE1680" s="7">
        <f>E1680+AD1680</f>
        <v>0</v>
      </c>
      <c r="AF1680" s="8">
        <f>G1680+I1680+K1680+M1680+O1680+Q1680+S1680+U1680+W1680+Y1680+AA1680+AC1680</f>
        <v>0</v>
      </c>
      <c r="AG1680" s="153">
        <f>SUM(AE1680-AF1680)</f>
        <v>0</v>
      </c>
    </row>
    <row r="1681" spans="1:42" customHeight="1" ht="11.5">
      <c r="A1681" s="5"/>
      <c r="B1681" s="173"/>
      <c r="C1681" s="167"/>
      <c r="D1681" s="88"/>
      <c r="E1681" s="174"/>
      <c r="F1681" s="9"/>
      <c r="G1681" s="10"/>
      <c r="H1681" s="9"/>
      <c r="I1681" s="10"/>
      <c r="J1681" s="152"/>
      <c r="K1681" s="10"/>
      <c r="L1681" s="152"/>
      <c r="M1681" s="10"/>
      <c r="N1681" s="152"/>
      <c r="O1681" s="10"/>
      <c r="P1681" s="152"/>
      <c r="Q1681" s="10"/>
      <c r="R1681" s="9"/>
      <c r="S1681" s="10"/>
      <c r="T1681" s="9"/>
      <c r="U1681" s="10"/>
      <c r="V1681" s="9"/>
      <c r="W1681" s="10"/>
      <c r="X1681" s="9"/>
      <c r="Y1681" s="10"/>
      <c r="Z1681" s="9"/>
      <c r="AA1681" s="10"/>
      <c r="AB1681" s="11"/>
      <c r="AC1681" s="10"/>
      <c r="AD1681" s="7">
        <f>SUM(F1681+H1681+J1681+L1681+N1681+P1681+R1681+T1681+V1681+X1681+Z1681+AB1681)</f>
        <v>0</v>
      </c>
      <c r="AE1681" s="7">
        <f>E1681+AD1681</f>
        <v>0</v>
      </c>
      <c r="AF1681" s="8">
        <f>G1681+I1681+K1681+M1681+O1681+Q1681+S1681+U1681+W1681+Y1681+AA1681+AC1681</f>
        <v>0</v>
      </c>
      <c r="AG1681" s="153">
        <f>SUM(AE1681-AF1681)</f>
        <v>0</v>
      </c>
    </row>
    <row r="1682" spans="1:42" customHeight="1" ht="11.5">
      <c r="A1682" s="5"/>
      <c r="B1682" s="173"/>
      <c r="C1682" s="167"/>
      <c r="D1682" s="88"/>
      <c r="E1682" s="174"/>
      <c r="F1682" s="9"/>
      <c r="G1682" s="10"/>
      <c r="H1682" s="9"/>
      <c r="I1682" s="10"/>
      <c r="J1682" s="152"/>
      <c r="K1682" s="10"/>
      <c r="L1682" s="152"/>
      <c r="M1682" s="10"/>
      <c r="N1682" s="152"/>
      <c r="O1682" s="10"/>
      <c r="P1682" s="152"/>
      <c r="Q1682" s="10"/>
      <c r="R1682" s="9"/>
      <c r="S1682" s="10"/>
      <c r="T1682" s="9"/>
      <c r="U1682" s="10"/>
      <c r="V1682" s="9"/>
      <c r="W1682" s="10"/>
      <c r="X1682" s="9"/>
      <c r="Y1682" s="10"/>
      <c r="Z1682" s="9"/>
      <c r="AA1682" s="10"/>
      <c r="AB1682" s="11"/>
      <c r="AC1682" s="10"/>
      <c r="AD1682" s="7">
        <f>SUM(F1682+H1682+J1682+L1682+N1682+P1682+R1682+T1682+V1682+X1682+Z1682+AB1682)</f>
        <v>0</v>
      </c>
      <c r="AE1682" s="7">
        <f>E1682+AD1682</f>
        <v>0</v>
      </c>
      <c r="AF1682" s="8">
        <f>G1682+I1682+K1682+M1682+O1682+Q1682+S1682+U1682+W1682+Y1682+AA1682+AC1682</f>
        <v>0</v>
      </c>
      <c r="AG1682" s="153">
        <f>SUM(AE1682-AF1682)</f>
        <v>0</v>
      </c>
    </row>
    <row r="1683" spans="1:42" customHeight="1" ht="11.5">
      <c r="A1683" s="5"/>
      <c r="B1683" s="173"/>
      <c r="C1683" s="167"/>
      <c r="D1683" s="88"/>
      <c r="E1683" s="174"/>
      <c r="F1683" s="9"/>
      <c r="G1683" s="10"/>
      <c r="H1683" s="9"/>
      <c r="I1683" s="10"/>
      <c r="J1683" s="152"/>
      <c r="K1683" s="10"/>
      <c r="L1683" s="152"/>
      <c r="M1683" s="10"/>
      <c r="N1683" s="152"/>
      <c r="O1683" s="10"/>
      <c r="P1683" s="152"/>
      <c r="Q1683" s="10"/>
      <c r="R1683" s="9"/>
      <c r="S1683" s="10"/>
      <c r="T1683" s="9"/>
      <c r="U1683" s="10"/>
      <c r="V1683" s="9"/>
      <c r="W1683" s="10"/>
      <c r="X1683" s="9"/>
      <c r="Y1683" s="10"/>
      <c r="Z1683" s="9"/>
      <c r="AA1683" s="10"/>
      <c r="AB1683" s="11"/>
      <c r="AC1683" s="10"/>
      <c r="AD1683" s="7">
        <f>SUM(F1683+H1683+J1683+L1683+N1683+P1683+R1683+T1683+V1683+X1683+Z1683+AB1683)</f>
        <v>0</v>
      </c>
      <c r="AE1683" s="7">
        <f>E1683+AD1683</f>
        <v>0</v>
      </c>
      <c r="AF1683" s="8">
        <f>G1683+I1683+K1683+M1683+O1683+Q1683+S1683+U1683+W1683+Y1683+AA1683+AC1683</f>
        <v>0</v>
      </c>
      <c r="AG1683" s="153">
        <f>SUM(AE1683-AF1683)</f>
        <v>0</v>
      </c>
    </row>
    <row r="1684" spans="1:42" customHeight="1" ht="11.5">
      <c r="A1684" s="5"/>
      <c r="B1684" s="173"/>
      <c r="C1684" s="167"/>
      <c r="D1684" s="88"/>
      <c r="E1684" s="174"/>
      <c r="F1684" s="9"/>
      <c r="G1684" s="10"/>
      <c r="H1684" s="9"/>
      <c r="I1684" s="10"/>
      <c r="J1684" s="152"/>
      <c r="K1684" s="10"/>
      <c r="L1684" s="152"/>
      <c r="M1684" s="10"/>
      <c r="N1684" s="152"/>
      <c r="O1684" s="10"/>
      <c r="P1684" s="152"/>
      <c r="Q1684" s="10"/>
      <c r="R1684" s="9"/>
      <c r="S1684" s="10"/>
      <c r="T1684" s="9"/>
      <c r="U1684" s="10"/>
      <c r="V1684" s="9"/>
      <c r="W1684" s="10"/>
      <c r="X1684" s="9"/>
      <c r="Y1684" s="10"/>
      <c r="Z1684" s="9"/>
      <c r="AA1684" s="10"/>
      <c r="AB1684" s="11"/>
      <c r="AC1684" s="10"/>
      <c r="AD1684" s="7">
        <f>SUM(F1684+H1684+J1684+L1684+N1684+P1684+R1684+T1684+V1684+X1684+Z1684+AB1684)</f>
        <v>0</v>
      </c>
      <c r="AE1684" s="7">
        <f>E1684+AD1684</f>
        <v>0</v>
      </c>
      <c r="AF1684" s="8">
        <f>G1684+I1684+K1684+M1684+O1684+Q1684+S1684+U1684+W1684+Y1684+AA1684+AC1684</f>
        <v>0</v>
      </c>
      <c r="AG1684" s="153">
        <f>SUM(AE1684-AF1684)</f>
        <v>0</v>
      </c>
    </row>
    <row r="1685" spans="1:42" customHeight="1" ht="11.5">
      <c r="A1685" s="5"/>
      <c r="B1685" s="173"/>
      <c r="C1685" s="167"/>
      <c r="D1685" s="88"/>
      <c r="E1685" s="174"/>
      <c r="F1685" s="9"/>
      <c r="G1685" s="10"/>
      <c r="H1685" s="9"/>
      <c r="I1685" s="10"/>
      <c r="J1685" s="152"/>
      <c r="K1685" s="10"/>
      <c r="L1685" s="152"/>
      <c r="M1685" s="10"/>
      <c r="N1685" s="152"/>
      <c r="O1685" s="10"/>
      <c r="P1685" s="152"/>
      <c r="Q1685" s="10"/>
      <c r="R1685" s="9"/>
      <c r="S1685" s="10"/>
      <c r="T1685" s="9"/>
      <c r="U1685" s="10"/>
      <c r="V1685" s="9"/>
      <c r="W1685" s="10"/>
      <c r="X1685" s="9"/>
      <c r="Y1685" s="10"/>
      <c r="Z1685" s="9"/>
      <c r="AA1685" s="10"/>
      <c r="AB1685" s="11"/>
      <c r="AC1685" s="10"/>
      <c r="AD1685" s="7">
        <f>SUM(F1685+H1685+J1685+L1685+N1685+P1685+R1685+T1685+V1685+X1685+Z1685+AB1685)</f>
        <v>0</v>
      </c>
      <c r="AE1685" s="7">
        <f>E1685+AD1685</f>
        <v>0</v>
      </c>
      <c r="AF1685" s="8">
        <f>G1685+I1685+K1685+M1685+O1685+Q1685+S1685+U1685+W1685+Y1685+AA1685+AC1685</f>
        <v>0</v>
      </c>
      <c r="AG1685" s="153">
        <f>SUM(AE1685-AF1685)</f>
        <v>0</v>
      </c>
    </row>
    <row r="1686" spans="1:42" customHeight="1" ht="11.5">
      <c r="A1686" s="5"/>
      <c r="B1686" s="173"/>
      <c r="C1686" s="167"/>
      <c r="D1686" s="88"/>
      <c r="E1686" s="174"/>
      <c r="F1686" s="9"/>
      <c r="G1686" s="10"/>
      <c r="H1686" s="9"/>
      <c r="I1686" s="10"/>
      <c r="J1686" s="152"/>
      <c r="K1686" s="10"/>
      <c r="L1686" s="152"/>
      <c r="M1686" s="10"/>
      <c r="N1686" s="152"/>
      <c r="O1686" s="10"/>
      <c r="P1686" s="152"/>
      <c r="Q1686" s="10"/>
      <c r="R1686" s="9"/>
      <c r="S1686" s="10"/>
      <c r="T1686" s="9"/>
      <c r="U1686" s="10"/>
      <c r="V1686" s="9"/>
      <c r="W1686" s="10"/>
      <c r="X1686" s="9"/>
      <c r="Y1686" s="10"/>
      <c r="Z1686" s="9"/>
      <c r="AA1686" s="10"/>
      <c r="AB1686" s="11"/>
      <c r="AC1686" s="10"/>
      <c r="AD1686" s="7">
        <f>SUM(F1686+H1686+J1686+L1686+N1686+P1686+R1686+T1686+V1686+X1686+Z1686+AB1686)</f>
        <v>0</v>
      </c>
      <c r="AE1686" s="7">
        <f>E1686+AD1686</f>
        <v>0</v>
      </c>
      <c r="AF1686" s="8">
        <f>G1686+I1686+K1686+M1686+O1686+Q1686+S1686+U1686+W1686+Y1686+AA1686+AC1686</f>
        <v>0</v>
      </c>
      <c r="AG1686" s="153">
        <f>SUM(AE1686-AF1686)</f>
        <v>0</v>
      </c>
    </row>
    <row r="1687" spans="1:42" customHeight="1" ht="11.5">
      <c r="A1687" s="5"/>
      <c r="B1687" s="173"/>
      <c r="C1687" s="167"/>
      <c r="D1687" s="88"/>
      <c r="E1687" s="174"/>
      <c r="F1687" s="9"/>
      <c r="G1687" s="10"/>
      <c r="H1687" s="9"/>
      <c r="I1687" s="10"/>
      <c r="J1687" s="152"/>
      <c r="K1687" s="10"/>
      <c r="L1687" s="152"/>
      <c r="M1687" s="10"/>
      <c r="N1687" s="152"/>
      <c r="O1687" s="10"/>
      <c r="P1687" s="152"/>
      <c r="Q1687" s="10"/>
      <c r="R1687" s="9"/>
      <c r="S1687" s="10"/>
      <c r="T1687" s="9"/>
      <c r="U1687" s="10"/>
      <c r="V1687" s="9"/>
      <c r="W1687" s="10"/>
      <c r="X1687" s="9"/>
      <c r="Y1687" s="10"/>
      <c r="Z1687" s="9"/>
      <c r="AA1687" s="10"/>
      <c r="AB1687" s="11"/>
      <c r="AC1687" s="10"/>
      <c r="AD1687" s="7">
        <f>SUM(F1687+H1687+J1687+L1687+N1687+P1687+R1687+T1687+V1687+X1687+Z1687+AB1687)</f>
        <v>0</v>
      </c>
      <c r="AE1687" s="7">
        <f>E1687+AD1687</f>
        <v>0</v>
      </c>
      <c r="AF1687" s="8">
        <f>G1687+I1687+K1687+M1687+O1687+Q1687+S1687+U1687+W1687+Y1687+AA1687+AC1687</f>
        <v>0</v>
      </c>
      <c r="AG1687" s="153">
        <f>SUM(AE1687-AF1687)</f>
        <v>0</v>
      </c>
    </row>
    <row r="1688" spans="1:42" customHeight="1" ht="11.5">
      <c r="A1688" s="5"/>
      <c r="B1688" s="173"/>
      <c r="C1688" s="167"/>
      <c r="D1688" s="88"/>
      <c r="E1688" s="174"/>
      <c r="F1688" s="9"/>
      <c r="G1688" s="10"/>
      <c r="H1688" s="9"/>
      <c r="I1688" s="10"/>
      <c r="J1688" s="152"/>
      <c r="K1688" s="10"/>
      <c r="L1688" s="152"/>
      <c r="M1688" s="10"/>
      <c r="N1688" s="152"/>
      <c r="O1688" s="10"/>
      <c r="P1688" s="152"/>
      <c r="Q1688" s="10"/>
      <c r="R1688" s="9"/>
      <c r="S1688" s="10"/>
      <c r="T1688" s="9"/>
      <c r="U1688" s="10"/>
      <c r="V1688" s="9"/>
      <c r="W1688" s="10"/>
      <c r="X1688" s="9"/>
      <c r="Y1688" s="10"/>
      <c r="Z1688" s="9"/>
      <c r="AA1688" s="10"/>
      <c r="AB1688" s="11"/>
      <c r="AC1688" s="10"/>
      <c r="AD1688" s="7">
        <f>SUM(F1688+H1688+J1688+L1688+N1688+P1688+R1688+T1688+V1688+X1688+Z1688+AB1688)</f>
        <v>0</v>
      </c>
      <c r="AE1688" s="7">
        <f>E1688+AD1688</f>
        <v>0</v>
      </c>
      <c r="AF1688" s="8">
        <f>G1688+I1688+K1688+M1688+O1688+Q1688+S1688+U1688+W1688+Y1688+AA1688+AC1688</f>
        <v>0</v>
      </c>
      <c r="AG1688" s="153">
        <f>SUM(AE1688-AF1688)</f>
        <v>0</v>
      </c>
    </row>
    <row r="1689" spans="1:42" customHeight="1" ht="11.5">
      <c r="A1689" s="5"/>
      <c r="B1689" s="173"/>
      <c r="C1689" s="167"/>
      <c r="D1689" s="88"/>
      <c r="E1689" s="174"/>
      <c r="F1689" s="9"/>
      <c r="G1689" s="10"/>
      <c r="H1689" s="9"/>
      <c r="I1689" s="10"/>
      <c r="J1689" s="152"/>
      <c r="K1689" s="10"/>
      <c r="L1689" s="152"/>
      <c r="M1689" s="10"/>
      <c r="N1689" s="152"/>
      <c r="O1689" s="10"/>
      <c r="P1689" s="152"/>
      <c r="Q1689" s="10"/>
      <c r="R1689" s="9"/>
      <c r="S1689" s="10"/>
      <c r="T1689" s="9"/>
      <c r="U1689" s="10"/>
      <c r="V1689" s="9"/>
      <c r="W1689" s="10"/>
      <c r="X1689" s="9"/>
      <c r="Y1689" s="10"/>
      <c r="Z1689" s="9"/>
      <c r="AA1689" s="10"/>
      <c r="AB1689" s="11"/>
      <c r="AC1689" s="10"/>
      <c r="AD1689" s="7">
        <f>SUM(F1689+H1689+J1689+L1689+N1689+P1689+R1689+T1689+V1689+X1689+Z1689+AB1689)</f>
        <v>0</v>
      </c>
      <c r="AE1689" s="7">
        <f>E1689+AD1689</f>
        <v>0</v>
      </c>
      <c r="AF1689" s="8">
        <f>G1689+I1689+K1689+M1689+O1689+Q1689+S1689+U1689+W1689+Y1689+AA1689+AC1689</f>
        <v>0</v>
      </c>
      <c r="AG1689" s="153">
        <f>SUM(AE1689-AF1689)</f>
        <v>0</v>
      </c>
    </row>
    <row r="1690" spans="1:42" customHeight="1" ht="11.5">
      <c r="A1690" s="5"/>
      <c r="B1690" s="173"/>
      <c r="C1690" s="167"/>
      <c r="D1690" s="88"/>
      <c r="E1690" s="174"/>
      <c r="F1690" s="9"/>
      <c r="G1690" s="10"/>
      <c r="H1690" s="9"/>
      <c r="I1690" s="10"/>
      <c r="J1690" s="152"/>
      <c r="K1690" s="10"/>
      <c r="L1690" s="152"/>
      <c r="M1690" s="10"/>
      <c r="N1690" s="152"/>
      <c r="O1690" s="10"/>
      <c r="P1690" s="152"/>
      <c r="Q1690" s="10"/>
      <c r="R1690" s="9"/>
      <c r="S1690" s="10"/>
      <c r="T1690" s="9"/>
      <c r="U1690" s="10"/>
      <c r="V1690" s="9"/>
      <c r="W1690" s="10"/>
      <c r="X1690" s="9"/>
      <c r="Y1690" s="10"/>
      <c r="Z1690" s="9"/>
      <c r="AA1690" s="10"/>
      <c r="AB1690" s="11"/>
      <c r="AC1690" s="10"/>
      <c r="AD1690" s="7">
        <f>SUM(F1690+H1690+J1690+L1690+N1690+P1690+R1690+T1690+V1690+X1690+Z1690+AB1690)</f>
        <v>0</v>
      </c>
      <c r="AE1690" s="7">
        <f>E1690+AD1690</f>
        <v>0</v>
      </c>
      <c r="AF1690" s="8">
        <f>G1690+I1690+K1690+M1690+O1690+Q1690+S1690+U1690+W1690+Y1690+AA1690+AC1690</f>
        <v>0</v>
      </c>
      <c r="AG1690" s="153">
        <f>SUM(AE1690-AF1690)</f>
        <v>0</v>
      </c>
    </row>
    <row r="1691" spans="1:42" customHeight="1" ht="11.5">
      <c r="A1691" s="5"/>
      <c r="B1691" s="173"/>
      <c r="C1691" s="167"/>
      <c r="D1691" s="88"/>
      <c r="E1691" s="174"/>
      <c r="F1691" s="9"/>
      <c r="G1691" s="10"/>
      <c r="H1691" s="9"/>
      <c r="I1691" s="10"/>
      <c r="J1691" s="152"/>
      <c r="K1691" s="10"/>
      <c r="L1691" s="152"/>
      <c r="M1691" s="10"/>
      <c r="N1691" s="152"/>
      <c r="O1691" s="10"/>
      <c r="P1691" s="152"/>
      <c r="Q1691" s="10"/>
      <c r="R1691" s="9"/>
      <c r="S1691" s="10"/>
      <c r="T1691" s="9"/>
      <c r="U1691" s="10"/>
      <c r="V1691" s="9"/>
      <c r="W1691" s="10"/>
      <c r="X1691" s="9"/>
      <c r="Y1691" s="10"/>
      <c r="Z1691" s="9"/>
      <c r="AA1691" s="10"/>
      <c r="AB1691" s="11"/>
      <c r="AC1691" s="10"/>
      <c r="AD1691" s="7">
        <f>SUM(F1691+H1691+J1691+L1691+N1691+P1691+R1691+T1691+V1691+X1691+Z1691+AB1691)</f>
        <v>0</v>
      </c>
      <c r="AE1691" s="7">
        <f>E1691+AD1691</f>
        <v>0</v>
      </c>
      <c r="AF1691" s="8">
        <f>G1691+I1691+K1691+M1691+O1691+Q1691+S1691+U1691+W1691+Y1691+AA1691+AC1691</f>
        <v>0</v>
      </c>
      <c r="AG1691" s="153">
        <f>SUM(AE1691-AF1691)</f>
        <v>0</v>
      </c>
    </row>
    <row r="1692" spans="1:42" customHeight="1" ht="11.5">
      <c r="A1692" s="5"/>
      <c r="B1692" s="173"/>
      <c r="C1692" s="167"/>
      <c r="D1692" s="88"/>
      <c r="E1692" s="174"/>
      <c r="F1692" s="9"/>
      <c r="G1692" s="10"/>
      <c r="H1692" s="9"/>
      <c r="I1692" s="10"/>
      <c r="J1692" s="152"/>
      <c r="K1692" s="10"/>
      <c r="L1692" s="152"/>
      <c r="M1692" s="10"/>
      <c r="N1692" s="152"/>
      <c r="O1692" s="10"/>
      <c r="P1692" s="152"/>
      <c r="Q1692" s="10"/>
      <c r="R1692" s="9"/>
      <c r="S1692" s="10"/>
      <c r="T1692" s="9"/>
      <c r="U1692" s="10"/>
      <c r="V1692" s="9"/>
      <c r="W1692" s="10"/>
      <c r="X1692" s="9"/>
      <c r="Y1692" s="10"/>
      <c r="Z1692" s="9"/>
      <c r="AA1692" s="10"/>
      <c r="AB1692" s="11"/>
      <c r="AC1692" s="10"/>
      <c r="AD1692" s="7">
        <f>SUM(F1692+H1692+J1692+L1692+N1692+P1692+R1692+T1692+V1692+X1692+Z1692+AB1692)</f>
        <v>0</v>
      </c>
      <c r="AE1692" s="7">
        <f>E1692+AD1692</f>
        <v>0</v>
      </c>
      <c r="AF1692" s="8">
        <f>G1692+I1692+K1692+M1692+O1692+Q1692+S1692+U1692+W1692+Y1692+AA1692+AC1692</f>
        <v>0</v>
      </c>
      <c r="AG1692" s="153">
        <f>SUM(AE1692-AF1692)</f>
        <v>0</v>
      </c>
    </row>
    <row r="1693" spans="1:42" customHeight="1" ht="11.5">
      <c r="A1693" s="5"/>
      <c r="B1693" s="173"/>
      <c r="C1693" s="167"/>
      <c r="D1693" s="88"/>
      <c r="E1693" s="174"/>
      <c r="F1693" s="9"/>
      <c r="G1693" s="10"/>
      <c r="H1693" s="9"/>
      <c r="I1693" s="10"/>
      <c r="J1693" s="152"/>
      <c r="K1693" s="10"/>
      <c r="L1693" s="152"/>
      <c r="M1693" s="10"/>
      <c r="N1693" s="152"/>
      <c r="O1693" s="10"/>
      <c r="P1693" s="152"/>
      <c r="Q1693" s="10"/>
      <c r="R1693" s="9"/>
      <c r="S1693" s="10"/>
      <c r="T1693" s="9"/>
      <c r="U1693" s="10"/>
      <c r="V1693" s="9"/>
      <c r="W1693" s="10"/>
      <c r="X1693" s="9"/>
      <c r="Y1693" s="10"/>
      <c r="Z1693" s="9"/>
      <c r="AA1693" s="10"/>
      <c r="AB1693" s="11"/>
      <c r="AC1693" s="10"/>
      <c r="AD1693" s="7">
        <f>SUM(F1693+H1693+J1693+L1693+N1693+P1693+R1693+T1693+V1693+X1693+Z1693+AB1693)</f>
        <v>0</v>
      </c>
      <c r="AE1693" s="7">
        <f>E1693+AD1693</f>
        <v>0</v>
      </c>
      <c r="AF1693" s="8">
        <f>G1693+I1693+K1693+M1693+O1693+Q1693+S1693+U1693+W1693+Y1693+AA1693+AC1693</f>
        <v>0</v>
      </c>
      <c r="AG1693" s="153">
        <f>SUM(AE1693-AF1693)</f>
        <v>0</v>
      </c>
    </row>
    <row r="1694" spans="1:42" customHeight="1" ht="11.5">
      <c r="A1694" s="5"/>
      <c r="B1694" s="173"/>
      <c r="C1694" s="167"/>
      <c r="D1694" s="88"/>
      <c r="E1694" s="174"/>
      <c r="F1694" s="9"/>
      <c r="G1694" s="10"/>
      <c r="H1694" s="9"/>
      <c r="I1694" s="10"/>
      <c r="J1694" s="152"/>
      <c r="K1694" s="10"/>
      <c r="L1694" s="152"/>
      <c r="M1694" s="10"/>
      <c r="N1694" s="152"/>
      <c r="O1694" s="10"/>
      <c r="P1694" s="152"/>
      <c r="Q1694" s="10"/>
      <c r="R1694" s="9"/>
      <c r="S1694" s="10"/>
      <c r="T1694" s="9"/>
      <c r="U1694" s="10"/>
      <c r="V1694" s="9"/>
      <c r="W1694" s="10"/>
      <c r="X1694" s="9"/>
      <c r="Y1694" s="10"/>
      <c r="Z1694" s="9"/>
      <c r="AA1694" s="10"/>
      <c r="AB1694" s="11"/>
      <c r="AC1694" s="10"/>
      <c r="AD1694" s="7">
        <f>SUM(F1694+H1694+J1694+L1694+N1694+P1694+R1694+T1694+V1694+X1694+Z1694+AB1694)</f>
        <v>0</v>
      </c>
      <c r="AE1694" s="7">
        <f>E1694+AD1694</f>
        <v>0</v>
      </c>
      <c r="AF1694" s="8">
        <f>G1694+I1694+K1694+M1694+O1694+Q1694+S1694+U1694+W1694+Y1694+AA1694+AC1694</f>
        <v>0</v>
      </c>
      <c r="AG1694" s="153">
        <f>SUM(AE1694-AF1694)</f>
        <v>0</v>
      </c>
    </row>
    <row r="1695" spans="1:42" customHeight="1" ht="11.5">
      <c r="A1695" s="5"/>
      <c r="B1695" s="173"/>
      <c r="C1695" s="167"/>
      <c r="D1695" s="88"/>
      <c r="E1695" s="174"/>
      <c r="F1695" s="9"/>
      <c r="G1695" s="10"/>
      <c r="H1695" s="9"/>
      <c r="I1695" s="10"/>
      <c r="J1695" s="152"/>
      <c r="K1695" s="10"/>
      <c r="L1695" s="152"/>
      <c r="M1695" s="10"/>
      <c r="N1695" s="152"/>
      <c r="O1695" s="10"/>
      <c r="P1695" s="152"/>
      <c r="Q1695" s="10"/>
      <c r="R1695" s="9"/>
      <c r="S1695" s="10"/>
      <c r="T1695" s="9"/>
      <c r="U1695" s="10"/>
      <c r="V1695" s="9"/>
      <c r="W1695" s="10"/>
      <c r="X1695" s="9"/>
      <c r="Y1695" s="10"/>
      <c r="Z1695" s="9"/>
      <c r="AA1695" s="10"/>
      <c r="AB1695" s="11"/>
      <c r="AC1695" s="10"/>
      <c r="AD1695" s="7">
        <f>SUM(F1695+H1695+J1695+L1695+N1695+P1695+R1695+T1695+V1695+X1695+Z1695+AB1695)</f>
        <v>0</v>
      </c>
      <c r="AE1695" s="7">
        <f>E1695+AD1695</f>
        <v>0</v>
      </c>
      <c r="AF1695" s="8">
        <f>G1695+I1695+K1695+M1695+O1695+Q1695+S1695+U1695+W1695+Y1695+AA1695+AC1695</f>
        <v>0</v>
      </c>
      <c r="AG1695" s="153">
        <f>SUM(AE1695-AF1695)</f>
        <v>0</v>
      </c>
    </row>
    <row r="1696" spans="1:42" customHeight="1" ht="11.5">
      <c r="A1696" s="5"/>
      <c r="B1696" s="173"/>
      <c r="C1696" s="167"/>
      <c r="D1696" s="88"/>
      <c r="E1696" s="174"/>
      <c r="F1696" s="9"/>
      <c r="G1696" s="10"/>
      <c r="H1696" s="9"/>
      <c r="I1696" s="10"/>
      <c r="J1696" s="152"/>
      <c r="K1696" s="10"/>
      <c r="L1696" s="152"/>
      <c r="M1696" s="10"/>
      <c r="N1696" s="152"/>
      <c r="O1696" s="10"/>
      <c r="P1696" s="152"/>
      <c r="Q1696" s="10"/>
      <c r="R1696" s="9"/>
      <c r="S1696" s="10"/>
      <c r="T1696" s="9"/>
      <c r="U1696" s="10"/>
      <c r="V1696" s="9"/>
      <c r="W1696" s="10"/>
      <c r="X1696" s="9"/>
      <c r="Y1696" s="10"/>
      <c r="Z1696" s="9"/>
      <c r="AA1696" s="10"/>
      <c r="AB1696" s="11"/>
      <c r="AC1696" s="10"/>
      <c r="AD1696" s="7">
        <f>SUM(F1696+H1696+J1696+L1696+N1696+P1696+R1696+T1696+V1696+X1696+Z1696+AB1696)</f>
        <v>0</v>
      </c>
      <c r="AE1696" s="7">
        <f>E1696+AD1696</f>
        <v>0</v>
      </c>
      <c r="AF1696" s="8">
        <f>G1696+I1696+K1696+M1696+O1696+Q1696+S1696+U1696+W1696+Y1696+AA1696+AC1696</f>
        <v>0</v>
      </c>
      <c r="AG1696" s="153">
        <f>SUM(AE1696-AF1696)</f>
        <v>0</v>
      </c>
    </row>
    <row r="1697" spans="1:42" customHeight="1" ht="11.5">
      <c r="A1697" s="5"/>
      <c r="B1697" s="173"/>
      <c r="C1697" s="167"/>
      <c r="D1697" s="88"/>
      <c r="E1697" s="174"/>
      <c r="F1697" s="9"/>
      <c r="G1697" s="10"/>
      <c r="H1697" s="9"/>
      <c r="I1697" s="10"/>
      <c r="J1697" s="152"/>
      <c r="K1697" s="10"/>
      <c r="L1697" s="152"/>
      <c r="M1697" s="10"/>
      <c r="N1697" s="152"/>
      <c r="O1697" s="10"/>
      <c r="P1697" s="152"/>
      <c r="Q1697" s="10"/>
      <c r="R1697" s="9"/>
      <c r="S1697" s="10"/>
      <c r="T1697" s="9"/>
      <c r="U1697" s="10"/>
      <c r="V1697" s="9"/>
      <c r="W1697" s="10"/>
      <c r="X1697" s="9"/>
      <c r="Y1697" s="10"/>
      <c r="Z1697" s="9"/>
      <c r="AA1697" s="10"/>
      <c r="AB1697" s="11"/>
      <c r="AC1697" s="10"/>
      <c r="AD1697" s="7">
        <f>SUM(F1697+H1697+J1697+L1697+N1697+P1697+R1697+T1697+V1697+X1697+Z1697+AB1697)</f>
        <v>0</v>
      </c>
      <c r="AE1697" s="7">
        <f>E1697+AD1697</f>
        <v>0</v>
      </c>
      <c r="AF1697" s="8">
        <f>G1697+I1697+K1697+M1697+O1697+Q1697+S1697+U1697+W1697+Y1697+AA1697+AC1697</f>
        <v>0</v>
      </c>
      <c r="AG1697" s="153">
        <f>SUM(AE1697-AF1697)</f>
        <v>0</v>
      </c>
    </row>
    <row r="1698" spans="1:42" customHeight="1" ht="11.5">
      <c r="A1698" s="5"/>
      <c r="B1698" s="173"/>
      <c r="C1698" s="167"/>
      <c r="D1698" s="88"/>
      <c r="E1698" s="174"/>
      <c r="F1698" s="9"/>
      <c r="G1698" s="10"/>
      <c r="H1698" s="9"/>
      <c r="I1698" s="10"/>
      <c r="J1698" s="152"/>
      <c r="K1698" s="10"/>
      <c r="L1698" s="152"/>
      <c r="M1698" s="10"/>
      <c r="N1698" s="152"/>
      <c r="O1698" s="10"/>
      <c r="P1698" s="152"/>
      <c r="Q1698" s="10"/>
      <c r="R1698" s="9"/>
      <c r="S1698" s="10"/>
      <c r="T1698" s="9"/>
      <c r="U1698" s="10"/>
      <c r="V1698" s="9"/>
      <c r="W1698" s="10"/>
      <c r="X1698" s="9"/>
      <c r="Y1698" s="10"/>
      <c r="Z1698" s="9"/>
      <c r="AA1698" s="10"/>
      <c r="AB1698" s="11"/>
      <c r="AC1698" s="10"/>
      <c r="AD1698" s="7">
        <f>SUM(F1698+H1698+J1698+L1698+N1698+P1698+R1698+T1698+V1698+X1698+Z1698+AB1698)</f>
        <v>0</v>
      </c>
      <c r="AE1698" s="7">
        <f>E1698+AD1698</f>
        <v>0</v>
      </c>
      <c r="AF1698" s="8">
        <f>G1698+I1698+K1698+M1698+O1698+Q1698+S1698+U1698+W1698+Y1698+AA1698+AC1698</f>
        <v>0</v>
      </c>
      <c r="AG1698" s="153">
        <f>SUM(AE1698-AF1698)</f>
        <v>0</v>
      </c>
    </row>
    <row r="1699" spans="1:42" customHeight="1" ht="11.5">
      <c r="A1699" s="5"/>
      <c r="B1699" s="173"/>
      <c r="C1699" s="167"/>
      <c r="D1699" s="88"/>
      <c r="E1699" s="174"/>
      <c r="F1699" s="9"/>
      <c r="G1699" s="10"/>
      <c r="H1699" s="9"/>
      <c r="I1699" s="10"/>
      <c r="J1699" s="152"/>
      <c r="K1699" s="10"/>
      <c r="L1699" s="152"/>
      <c r="M1699" s="10"/>
      <c r="N1699" s="152"/>
      <c r="O1699" s="10"/>
      <c r="P1699" s="152"/>
      <c r="Q1699" s="10"/>
      <c r="R1699" s="9"/>
      <c r="S1699" s="10"/>
      <c r="T1699" s="9"/>
      <c r="U1699" s="10"/>
      <c r="V1699" s="9"/>
      <c r="W1699" s="10"/>
      <c r="X1699" s="9"/>
      <c r="Y1699" s="10"/>
      <c r="Z1699" s="9"/>
      <c r="AA1699" s="10"/>
      <c r="AB1699" s="11"/>
      <c r="AC1699" s="10"/>
      <c r="AD1699" s="7">
        <f>SUM(F1699+H1699+J1699+L1699+N1699+P1699+R1699+T1699+V1699+X1699+Z1699+AB1699)</f>
        <v>0</v>
      </c>
      <c r="AE1699" s="7">
        <f>E1699+AD1699</f>
        <v>0</v>
      </c>
      <c r="AF1699" s="8">
        <f>G1699+I1699+K1699+M1699+O1699+Q1699+S1699+U1699+W1699+Y1699+AA1699+AC1699</f>
        <v>0</v>
      </c>
      <c r="AG1699" s="153">
        <f>SUM(AE1699-AF1699)</f>
        <v>0</v>
      </c>
    </row>
    <row r="1700" spans="1:42" customHeight="1" ht="11.5">
      <c r="A1700" s="5"/>
      <c r="B1700" s="173"/>
      <c r="C1700" s="167"/>
      <c r="D1700" s="88"/>
      <c r="E1700" s="174"/>
      <c r="F1700" s="9"/>
      <c r="G1700" s="10"/>
      <c r="H1700" s="9"/>
      <c r="I1700" s="10"/>
      <c r="J1700" s="152"/>
      <c r="K1700" s="10"/>
      <c r="L1700" s="152"/>
      <c r="M1700" s="10"/>
      <c r="N1700" s="152"/>
      <c r="O1700" s="10"/>
      <c r="P1700" s="152"/>
      <c r="Q1700" s="10"/>
      <c r="R1700" s="9"/>
      <c r="S1700" s="10"/>
      <c r="T1700" s="9"/>
      <c r="U1700" s="10"/>
      <c r="V1700" s="9"/>
      <c r="W1700" s="10"/>
      <c r="X1700" s="9"/>
      <c r="Y1700" s="10"/>
      <c r="Z1700" s="9"/>
      <c r="AA1700" s="10"/>
      <c r="AB1700" s="11"/>
      <c r="AC1700" s="10"/>
      <c r="AD1700" s="7">
        <f>SUM(F1700+H1700+J1700+L1700+N1700+P1700+R1700+T1700+V1700+X1700+Z1700+AB1700)</f>
        <v>0</v>
      </c>
      <c r="AE1700" s="7">
        <f>E1700+AD1700</f>
        <v>0</v>
      </c>
      <c r="AF1700" s="8">
        <f>G1700+I1700+K1700+M1700+O1700+Q1700+S1700+U1700+W1700+Y1700+AA1700+AC1700</f>
        <v>0</v>
      </c>
      <c r="AG1700" s="153">
        <f>SUM(AE1700-AF1700)</f>
        <v>0</v>
      </c>
    </row>
    <row r="1701" spans="1:42" customHeight="1" ht="11.5">
      <c r="A1701" s="5"/>
      <c r="B1701" s="173"/>
      <c r="C1701" s="167"/>
      <c r="D1701" s="88"/>
      <c r="E1701" s="174"/>
      <c r="F1701" s="9"/>
      <c r="G1701" s="10"/>
      <c r="H1701" s="9"/>
      <c r="I1701" s="10"/>
      <c r="J1701" s="152"/>
      <c r="K1701" s="10"/>
      <c r="L1701" s="152"/>
      <c r="M1701" s="10"/>
      <c r="N1701" s="152"/>
      <c r="O1701" s="10"/>
      <c r="P1701" s="152"/>
      <c r="Q1701" s="10"/>
      <c r="R1701" s="9"/>
      <c r="S1701" s="10"/>
      <c r="T1701" s="9"/>
      <c r="U1701" s="10"/>
      <c r="V1701" s="9"/>
      <c r="W1701" s="10"/>
      <c r="X1701" s="9"/>
      <c r="Y1701" s="10"/>
      <c r="Z1701" s="9"/>
      <c r="AA1701" s="10"/>
      <c r="AB1701" s="11"/>
      <c r="AC1701" s="10"/>
      <c r="AD1701" s="7">
        <f>SUM(F1701+H1701+J1701+L1701+N1701+P1701+R1701+T1701+V1701+X1701+Z1701+AB1701)</f>
        <v>0</v>
      </c>
      <c r="AE1701" s="7">
        <f>E1701+AD1701</f>
        <v>0</v>
      </c>
      <c r="AF1701" s="8">
        <f>G1701+I1701+K1701+M1701+O1701+Q1701+S1701+U1701+W1701+Y1701+AA1701+AC1701</f>
        <v>0</v>
      </c>
      <c r="AG1701" s="153">
        <f>SUM(AE1701-AF1701)</f>
        <v>0</v>
      </c>
    </row>
    <row r="1702" spans="1:42" customHeight="1" ht="11.5">
      <c r="A1702" s="5"/>
      <c r="B1702" s="173"/>
      <c r="C1702" s="167"/>
      <c r="D1702" s="88"/>
      <c r="E1702" s="174"/>
      <c r="F1702" s="9"/>
      <c r="G1702" s="10"/>
      <c r="H1702" s="9"/>
      <c r="I1702" s="10"/>
      <c r="J1702" s="152"/>
      <c r="K1702" s="10"/>
      <c r="L1702" s="152"/>
      <c r="M1702" s="10"/>
      <c r="N1702" s="152"/>
      <c r="O1702" s="10"/>
      <c r="P1702" s="152"/>
      <c r="Q1702" s="10"/>
      <c r="R1702" s="9"/>
      <c r="S1702" s="10"/>
      <c r="T1702" s="9"/>
      <c r="U1702" s="10"/>
      <c r="V1702" s="9"/>
      <c r="W1702" s="10"/>
      <c r="X1702" s="9"/>
      <c r="Y1702" s="10"/>
      <c r="Z1702" s="9"/>
      <c r="AA1702" s="10"/>
      <c r="AB1702" s="11"/>
      <c r="AC1702" s="10"/>
      <c r="AD1702" s="7">
        <f>SUM(F1702+H1702+J1702+L1702+N1702+P1702+R1702+T1702+V1702+X1702+Z1702+AB1702)</f>
        <v>0</v>
      </c>
      <c r="AE1702" s="7">
        <f>E1702+AD1702</f>
        <v>0</v>
      </c>
      <c r="AF1702" s="8">
        <f>G1702+I1702+K1702+M1702+O1702+Q1702+S1702+U1702+W1702+Y1702+AA1702+AC1702</f>
        <v>0</v>
      </c>
      <c r="AG1702" s="153">
        <f>SUM(AE1702-AF1702)</f>
        <v>0</v>
      </c>
    </row>
    <row r="1703" spans="1:42" customHeight="1" ht="11.5">
      <c r="A1703" s="5"/>
      <c r="B1703" s="173"/>
      <c r="C1703" s="167"/>
      <c r="D1703" s="88"/>
      <c r="E1703" s="174"/>
      <c r="F1703" s="9"/>
      <c r="G1703" s="10"/>
      <c r="H1703" s="9"/>
      <c r="I1703" s="10"/>
      <c r="J1703" s="152"/>
      <c r="K1703" s="10"/>
      <c r="L1703" s="152"/>
      <c r="M1703" s="10"/>
      <c r="N1703" s="152"/>
      <c r="O1703" s="10"/>
      <c r="P1703" s="152"/>
      <c r="Q1703" s="10"/>
      <c r="R1703" s="9"/>
      <c r="S1703" s="10"/>
      <c r="T1703" s="9"/>
      <c r="U1703" s="10"/>
      <c r="V1703" s="9"/>
      <c r="W1703" s="10"/>
      <c r="X1703" s="9"/>
      <c r="Y1703" s="10"/>
      <c r="Z1703" s="9"/>
      <c r="AA1703" s="10"/>
      <c r="AB1703" s="11"/>
      <c r="AC1703" s="10"/>
      <c r="AD1703" s="7">
        <f>SUM(F1703+H1703+J1703+L1703+N1703+P1703+R1703+T1703+V1703+X1703+Z1703+AB1703)</f>
        <v>0</v>
      </c>
      <c r="AE1703" s="7">
        <f>E1703+AD1703</f>
        <v>0</v>
      </c>
      <c r="AF1703" s="8">
        <f>G1703+I1703+K1703+M1703+O1703+Q1703+S1703+U1703+W1703+Y1703+AA1703+AC1703</f>
        <v>0</v>
      </c>
      <c r="AG1703" s="153">
        <f>SUM(AE1703-AF1703)</f>
        <v>0</v>
      </c>
    </row>
    <row r="1704" spans="1:42" customHeight="1" ht="11.5">
      <c r="A1704" s="5"/>
      <c r="B1704" s="173"/>
      <c r="C1704" s="167"/>
      <c r="D1704" s="88"/>
      <c r="E1704" s="174"/>
      <c r="F1704" s="9"/>
      <c r="G1704" s="10"/>
      <c r="H1704" s="9"/>
      <c r="I1704" s="10"/>
      <c r="J1704" s="152"/>
      <c r="K1704" s="10"/>
      <c r="L1704" s="152"/>
      <c r="M1704" s="10"/>
      <c r="N1704" s="152"/>
      <c r="O1704" s="10"/>
      <c r="P1704" s="152"/>
      <c r="Q1704" s="10"/>
      <c r="R1704" s="9"/>
      <c r="S1704" s="10"/>
      <c r="T1704" s="9"/>
      <c r="U1704" s="10"/>
      <c r="V1704" s="9"/>
      <c r="W1704" s="10"/>
      <c r="X1704" s="9"/>
      <c r="Y1704" s="10"/>
      <c r="Z1704" s="9"/>
      <c r="AA1704" s="10"/>
      <c r="AB1704" s="11"/>
      <c r="AC1704" s="10"/>
      <c r="AD1704" s="7">
        <f>SUM(F1704+H1704+J1704+L1704+N1704+P1704+R1704+T1704+V1704+X1704+Z1704+AB1704)</f>
        <v>0</v>
      </c>
      <c r="AE1704" s="7">
        <f>E1704+AD1704</f>
        <v>0</v>
      </c>
      <c r="AF1704" s="8">
        <f>G1704+I1704+K1704+M1704+O1704+Q1704+S1704+U1704+W1704+Y1704+AA1704+AC1704</f>
        <v>0</v>
      </c>
      <c r="AG1704" s="153">
        <f>SUM(AE1704-AF1704)</f>
        <v>0</v>
      </c>
    </row>
    <row r="1705" spans="1:42" customHeight="1" ht="11.5">
      <c r="A1705" s="5"/>
      <c r="B1705" s="173"/>
      <c r="C1705" s="167"/>
      <c r="D1705" s="88"/>
      <c r="E1705" s="174"/>
      <c r="F1705" s="9"/>
      <c r="G1705" s="10"/>
      <c r="H1705" s="9"/>
      <c r="I1705" s="10"/>
      <c r="J1705" s="152"/>
      <c r="K1705" s="10"/>
      <c r="L1705" s="152"/>
      <c r="M1705" s="10"/>
      <c r="N1705" s="152"/>
      <c r="O1705" s="10"/>
      <c r="P1705" s="152"/>
      <c r="Q1705" s="10"/>
      <c r="R1705" s="9"/>
      <c r="S1705" s="10"/>
      <c r="T1705" s="9"/>
      <c r="U1705" s="10"/>
      <c r="V1705" s="9"/>
      <c r="W1705" s="10"/>
      <c r="X1705" s="9"/>
      <c r="Y1705" s="10"/>
      <c r="Z1705" s="9"/>
      <c r="AA1705" s="10"/>
      <c r="AB1705" s="11"/>
      <c r="AC1705" s="10"/>
      <c r="AD1705" s="7">
        <f>SUM(F1705+H1705+J1705+L1705+N1705+P1705+R1705+T1705+V1705+X1705+Z1705+AB1705)</f>
        <v>0</v>
      </c>
      <c r="AE1705" s="7">
        <f>E1705+AD1705</f>
        <v>0</v>
      </c>
      <c r="AF1705" s="8">
        <f>G1705+I1705+K1705+M1705+O1705+Q1705+S1705+U1705+W1705+Y1705+AA1705+AC1705</f>
        <v>0</v>
      </c>
      <c r="AG1705" s="153">
        <f>SUM(AE1705-AF1705)</f>
        <v>0</v>
      </c>
    </row>
    <row r="1706" spans="1:42" customHeight="1" ht="11.5">
      <c r="A1706" s="5"/>
      <c r="B1706" s="173"/>
      <c r="C1706" s="167"/>
      <c r="D1706" s="88"/>
      <c r="E1706" s="174"/>
      <c r="F1706" s="9"/>
      <c r="G1706" s="10"/>
      <c r="H1706" s="9"/>
      <c r="I1706" s="10"/>
      <c r="J1706" s="152"/>
      <c r="K1706" s="10"/>
      <c r="L1706" s="152"/>
      <c r="M1706" s="10"/>
      <c r="N1706" s="152"/>
      <c r="O1706" s="10"/>
      <c r="P1706" s="152"/>
      <c r="Q1706" s="10"/>
      <c r="R1706" s="9"/>
      <c r="S1706" s="10"/>
      <c r="T1706" s="9"/>
      <c r="U1706" s="10"/>
      <c r="V1706" s="9"/>
      <c r="W1706" s="10"/>
      <c r="X1706" s="9"/>
      <c r="Y1706" s="10"/>
      <c r="Z1706" s="9"/>
      <c r="AA1706" s="10"/>
      <c r="AB1706" s="11"/>
      <c r="AC1706" s="10"/>
      <c r="AD1706" s="7">
        <f>SUM(F1706+H1706+J1706+L1706+N1706+P1706+R1706+T1706+V1706+X1706+Z1706+AB1706)</f>
        <v>0</v>
      </c>
      <c r="AE1706" s="7">
        <f>E1706+AD1706</f>
        <v>0</v>
      </c>
      <c r="AF1706" s="8">
        <f>G1706+I1706+K1706+M1706+O1706+Q1706+S1706+U1706+W1706+Y1706+AA1706+AC1706</f>
        <v>0</v>
      </c>
      <c r="AG1706" s="153">
        <f>SUM(AE1706-AF1706)</f>
        <v>0</v>
      </c>
    </row>
    <row r="1707" spans="1:42" customHeight="1" ht="11.5">
      <c r="A1707" s="5"/>
      <c r="B1707" s="173"/>
      <c r="C1707" s="167"/>
      <c r="D1707" s="88"/>
      <c r="E1707" s="174"/>
      <c r="F1707" s="9"/>
      <c r="G1707" s="10"/>
      <c r="H1707" s="9"/>
      <c r="I1707" s="10"/>
      <c r="J1707" s="152"/>
      <c r="K1707" s="10"/>
      <c r="L1707" s="152"/>
      <c r="M1707" s="10"/>
      <c r="N1707" s="152"/>
      <c r="O1707" s="10"/>
      <c r="P1707" s="152"/>
      <c r="Q1707" s="10"/>
      <c r="R1707" s="9"/>
      <c r="S1707" s="10"/>
      <c r="T1707" s="9"/>
      <c r="U1707" s="10"/>
      <c r="V1707" s="9"/>
      <c r="W1707" s="10"/>
      <c r="X1707" s="9"/>
      <c r="Y1707" s="10"/>
      <c r="Z1707" s="9"/>
      <c r="AA1707" s="10"/>
      <c r="AB1707" s="11"/>
      <c r="AC1707" s="10"/>
      <c r="AD1707" s="7">
        <f>SUM(F1707+H1707+J1707+L1707+N1707+P1707+R1707+T1707+V1707+X1707+Z1707+AB1707)</f>
        <v>0</v>
      </c>
      <c r="AE1707" s="7">
        <f>E1707+AD1707</f>
        <v>0</v>
      </c>
      <c r="AF1707" s="8">
        <f>G1707+I1707+K1707+M1707+O1707+Q1707+S1707+U1707+W1707+Y1707+AA1707+AC1707</f>
        <v>0</v>
      </c>
      <c r="AG1707" s="153">
        <f>SUM(AE1707-AF1707)</f>
        <v>0</v>
      </c>
    </row>
    <row r="1708" spans="1:42" customHeight="1" ht="11.5">
      <c r="A1708" s="5"/>
      <c r="B1708" s="173"/>
      <c r="C1708" s="167"/>
      <c r="D1708" s="88"/>
      <c r="E1708" s="174"/>
      <c r="F1708" s="9"/>
      <c r="G1708" s="10"/>
      <c r="H1708" s="9"/>
      <c r="I1708" s="10"/>
      <c r="J1708" s="152"/>
      <c r="K1708" s="10"/>
      <c r="L1708" s="152"/>
      <c r="M1708" s="10"/>
      <c r="N1708" s="152"/>
      <c r="O1708" s="10"/>
      <c r="P1708" s="152"/>
      <c r="Q1708" s="10"/>
      <c r="R1708" s="9"/>
      <c r="S1708" s="10"/>
      <c r="T1708" s="9"/>
      <c r="U1708" s="10"/>
      <c r="V1708" s="9"/>
      <c r="W1708" s="10"/>
      <c r="X1708" s="9"/>
      <c r="Y1708" s="10"/>
      <c r="Z1708" s="9"/>
      <c r="AA1708" s="10"/>
      <c r="AB1708" s="11"/>
      <c r="AC1708" s="10"/>
      <c r="AD1708" s="7">
        <f>SUM(F1708+H1708+J1708+L1708+N1708+P1708+R1708+T1708+V1708+X1708+Z1708+AB1708)</f>
        <v>0</v>
      </c>
      <c r="AE1708" s="7">
        <f>E1708+AD1708</f>
        <v>0</v>
      </c>
      <c r="AF1708" s="8">
        <f>G1708+I1708+K1708+M1708+O1708+Q1708+S1708+U1708+W1708+Y1708+AA1708+AC1708</f>
        <v>0</v>
      </c>
      <c r="AG1708" s="153">
        <f>SUM(AE1708-AF1708)</f>
        <v>0</v>
      </c>
    </row>
    <row r="1709" spans="1:42" customHeight="1" ht="11.5">
      <c r="A1709" s="5"/>
      <c r="B1709" s="173"/>
      <c r="C1709" s="167"/>
      <c r="D1709" s="88"/>
      <c r="E1709" s="174"/>
      <c r="F1709" s="9"/>
      <c r="G1709" s="10"/>
      <c r="H1709" s="9"/>
      <c r="I1709" s="10"/>
      <c r="J1709" s="152"/>
      <c r="K1709" s="10"/>
      <c r="L1709" s="152"/>
      <c r="M1709" s="10"/>
      <c r="N1709" s="152"/>
      <c r="O1709" s="10"/>
      <c r="P1709" s="152"/>
      <c r="Q1709" s="10"/>
      <c r="R1709" s="9"/>
      <c r="S1709" s="10"/>
      <c r="T1709" s="9"/>
      <c r="U1709" s="10"/>
      <c r="V1709" s="9"/>
      <c r="W1709" s="10"/>
      <c r="X1709" s="9"/>
      <c r="Y1709" s="10"/>
      <c r="Z1709" s="9"/>
      <c r="AA1709" s="10"/>
      <c r="AB1709" s="11"/>
      <c r="AC1709" s="10"/>
      <c r="AD1709" s="7">
        <f>SUM(F1709+H1709+J1709+L1709+N1709+P1709+R1709+T1709+V1709+X1709+Z1709+AB1709)</f>
        <v>0</v>
      </c>
      <c r="AE1709" s="7">
        <f>E1709+AD1709</f>
        <v>0</v>
      </c>
      <c r="AF1709" s="8">
        <f>G1709+I1709+K1709+M1709+O1709+Q1709+S1709+U1709+W1709+Y1709+AA1709+AC1709</f>
        <v>0</v>
      </c>
      <c r="AG1709" s="153">
        <f>SUM(AE1709-AF1709)</f>
        <v>0</v>
      </c>
    </row>
    <row r="1710" spans="1:42" customHeight="1" ht="11.5">
      <c r="A1710" s="5"/>
      <c r="B1710" s="173"/>
      <c r="C1710" s="167"/>
      <c r="D1710" s="88"/>
      <c r="E1710" s="174"/>
      <c r="F1710" s="9"/>
      <c r="G1710" s="10"/>
      <c r="H1710" s="9"/>
      <c r="I1710" s="10"/>
      <c r="J1710" s="152"/>
      <c r="K1710" s="10"/>
      <c r="L1710" s="152"/>
      <c r="M1710" s="10"/>
      <c r="N1710" s="152"/>
      <c r="O1710" s="10"/>
      <c r="P1710" s="152"/>
      <c r="Q1710" s="10"/>
      <c r="R1710" s="9"/>
      <c r="S1710" s="10"/>
      <c r="T1710" s="9"/>
      <c r="U1710" s="10"/>
      <c r="V1710" s="9"/>
      <c r="W1710" s="10"/>
      <c r="X1710" s="9"/>
      <c r="Y1710" s="10"/>
      <c r="Z1710" s="9"/>
      <c r="AA1710" s="10"/>
      <c r="AB1710" s="11"/>
      <c r="AC1710" s="10"/>
      <c r="AD1710" s="7">
        <f>SUM(F1710+H1710+J1710+L1710+N1710+P1710+R1710+T1710+V1710+X1710+Z1710+AB1710)</f>
        <v>0</v>
      </c>
      <c r="AE1710" s="7">
        <f>E1710+AD1710</f>
        <v>0</v>
      </c>
      <c r="AF1710" s="8">
        <f>G1710+I1710+K1710+M1710+O1710+Q1710+S1710+U1710+W1710+Y1710+AA1710+AC1710</f>
        <v>0</v>
      </c>
      <c r="AG1710" s="153">
        <f>SUM(AE1710-AF1710)</f>
        <v>0</v>
      </c>
    </row>
    <row r="1711" spans="1:42" customHeight="1" ht="11.5">
      <c r="A1711" s="5"/>
      <c r="B1711" s="173"/>
      <c r="C1711" s="167"/>
      <c r="D1711" s="88"/>
      <c r="E1711" s="174"/>
      <c r="F1711" s="9"/>
      <c r="G1711" s="10"/>
      <c r="H1711" s="9"/>
      <c r="I1711" s="10"/>
      <c r="J1711" s="152"/>
      <c r="K1711" s="10"/>
      <c r="L1711" s="152"/>
      <c r="M1711" s="10"/>
      <c r="N1711" s="152"/>
      <c r="O1711" s="10"/>
      <c r="P1711" s="152"/>
      <c r="Q1711" s="10"/>
      <c r="R1711" s="9"/>
      <c r="S1711" s="10"/>
      <c r="T1711" s="9"/>
      <c r="U1711" s="10"/>
      <c r="V1711" s="9"/>
      <c r="W1711" s="10"/>
      <c r="X1711" s="9"/>
      <c r="Y1711" s="10"/>
      <c r="Z1711" s="9"/>
      <c r="AA1711" s="10"/>
      <c r="AB1711" s="11"/>
      <c r="AC1711" s="10"/>
      <c r="AD1711" s="7">
        <f>SUM(F1711+H1711+J1711+L1711+N1711+P1711+R1711+T1711+V1711+X1711+Z1711+AB1711)</f>
        <v>0</v>
      </c>
      <c r="AE1711" s="7">
        <f>E1711+AD1711</f>
        <v>0</v>
      </c>
      <c r="AF1711" s="8">
        <f>G1711+I1711+K1711+M1711+O1711+Q1711+S1711+U1711+W1711+Y1711+AA1711+AC1711</f>
        <v>0</v>
      </c>
      <c r="AG1711" s="153">
        <f>SUM(AE1711-AF1711)</f>
        <v>0</v>
      </c>
    </row>
    <row r="1712" spans="1:42" customHeight="1" ht="11.5">
      <c r="A1712" s="5"/>
      <c r="B1712" s="173"/>
      <c r="C1712" s="167"/>
      <c r="D1712" s="88"/>
      <c r="E1712" s="174"/>
      <c r="F1712" s="9"/>
      <c r="G1712" s="10"/>
      <c r="H1712" s="9"/>
      <c r="I1712" s="10"/>
      <c r="J1712" s="152"/>
      <c r="K1712" s="10"/>
      <c r="L1712" s="152"/>
      <c r="M1712" s="10"/>
      <c r="N1712" s="152"/>
      <c r="O1712" s="10"/>
      <c r="P1712" s="152"/>
      <c r="Q1712" s="10"/>
      <c r="R1712" s="9"/>
      <c r="S1712" s="10"/>
      <c r="T1712" s="9"/>
      <c r="U1712" s="10"/>
      <c r="V1712" s="9"/>
      <c r="W1712" s="10"/>
      <c r="X1712" s="9"/>
      <c r="Y1712" s="10"/>
      <c r="Z1712" s="9"/>
      <c r="AA1712" s="10"/>
      <c r="AB1712" s="11"/>
      <c r="AC1712" s="10"/>
      <c r="AD1712" s="7">
        <f>SUM(F1712+H1712+J1712+L1712+N1712+P1712+R1712+T1712+V1712+X1712+Z1712+AB1712)</f>
        <v>0</v>
      </c>
      <c r="AE1712" s="7">
        <f>E1712+AD1712</f>
        <v>0</v>
      </c>
      <c r="AF1712" s="8">
        <f>G1712+I1712+K1712+M1712+O1712+Q1712+S1712+U1712+W1712+Y1712+AA1712+AC1712</f>
        <v>0</v>
      </c>
      <c r="AG1712" s="153">
        <f>SUM(AE1712-AF1712)</f>
        <v>0</v>
      </c>
    </row>
    <row r="1713" spans="1:42" customHeight="1" ht="11.5">
      <c r="A1713" s="5"/>
      <c r="B1713" s="173"/>
      <c r="C1713" s="167"/>
      <c r="D1713" s="88"/>
      <c r="E1713" s="174"/>
      <c r="F1713" s="9"/>
      <c r="G1713" s="10"/>
      <c r="H1713" s="9"/>
      <c r="I1713" s="10"/>
      <c r="J1713" s="152"/>
      <c r="K1713" s="10"/>
      <c r="L1713" s="152"/>
      <c r="M1713" s="10"/>
      <c r="N1713" s="152"/>
      <c r="O1713" s="10"/>
      <c r="P1713" s="152"/>
      <c r="Q1713" s="10"/>
      <c r="R1713" s="9"/>
      <c r="S1713" s="10"/>
      <c r="T1713" s="9"/>
      <c r="U1713" s="10"/>
      <c r="V1713" s="9"/>
      <c r="W1713" s="10"/>
      <c r="X1713" s="9"/>
      <c r="Y1713" s="10"/>
      <c r="Z1713" s="9"/>
      <c r="AA1713" s="10"/>
      <c r="AB1713" s="11"/>
      <c r="AC1713" s="10"/>
      <c r="AD1713" s="7">
        <f>SUM(F1713+H1713+J1713+L1713+N1713+P1713+R1713+T1713+V1713+X1713+Z1713+AB1713)</f>
        <v>0</v>
      </c>
      <c r="AE1713" s="7">
        <f>E1713+AD1713</f>
        <v>0</v>
      </c>
      <c r="AF1713" s="8">
        <f>G1713+I1713+K1713+M1713+O1713+Q1713+S1713+U1713+W1713+Y1713+AA1713+AC1713</f>
        <v>0</v>
      </c>
      <c r="AG1713" s="153">
        <f>SUM(AE1713-AF1713)</f>
        <v>0</v>
      </c>
    </row>
    <row r="1714" spans="1:42" customHeight="1" ht="11.5">
      <c r="A1714" s="5"/>
      <c r="B1714" s="173"/>
      <c r="C1714" s="167"/>
      <c r="D1714" s="88"/>
      <c r="E1714" s="174"/>
      <c r="F1714" s="9"/>
      <c r="G1714" s="10"/>
      <c r="H1714" s="9"/>
      <c r="I1714" s="10"/>
      <c r="J1714" s="152"/>
      <c r="K1714" s="10"/>
      <c r="L1714" s="152"/>
      <c r="M1714" s="10"/>
      <c r="N1714" s="152"/>
      <c r="O1714" s="10"/>
      <c r="P1714" s="152"/>
      <c r="Q1714" s="10"/>
      <c r="R1714" s="9"/>
      <c r="S1714" s="10"/>
      <c r="T1714" s="9"/>
      <c r="U1714" s="10"/>
      <c r="V1714" s="9"/>
      <c r="W1714" s="10"/>
      <c r="X1714" s="9"/>
      <c r="Y1714" s="10"/>
      <c r="Z1714" s="9"/>
      <c r="AA1714" s="10"/>
      <c r="AB1714" s="11"/>
      <c r="AC1714" s="10"/>
      <c r="AD1714" s="7">
        <f>SUM(F1714+H1714+J1714+L1714+N1714+P1714+R1714+T1714+V1714+X1714+Z1714+AB1714)</f>
        <v>0</v>
      </c>
      <c r="AE1714" s="7">
        <f>E1714+AD1714</f>
        <v>0</v>
      </c>
      <c r="AF1714" s="8">
        <f>G1714+I1714+K1714+M1714+O1714+Q1714+S1714+U1714+W1714+Y1714+AA1714+AC1714</f>
        <v>0</v>
      </c>
      <c r="AG1714" s="153">
        <f>SUM(AE1714-AF1714)</f>
        <v>0</v>
      </c>
    </row>
    <row r="1715" spans="1:42" customHeight="1" ht="11.5">
      <c r="A1715" s="5"/>
      <c r="B1715" s="173"/>
      <c r="C1715" s="167"/>
      <c r="D1715" s="88"/>
      <c r="E1715" s="174"/>
      <c r="F1715" s="9"/>
      <c r="G1715" s="10"/>
      <c r="H1715" s="9"/>
      <c r="I1715" s="10"/>
      <c r="J1715" s="152"/>
      <c r="K1715" s="10"/>
      <c r="L1715" s="152"/>
      <c r="M1715" s="10"/>
      <c r="N1715" s="152"/>
      <c r="O1715" s="10"/>
      <c r="P1715" s="152"/>
      <c r="Q1715" s="10"/>
      <c r="R1715" s="9"/>
      <c r="S1715" s="10"/>
      <c r="T1715" s="9"/>
      <c r="U1715" s="10"/>
      <c r="V1715" s="9"/>
      <c r="W1715" s="10"/>
      <c r="X1715" s="9"/>
      <c r="Y1715" s="10"/>
      <c r="Z1715" s="9"/>
      <c r="AA1715" s="10"/>
      <c r="AB1715" s="11"/>
      <c r="AC1715" s="10"/>
      <c r="AD1715" s="7">
        <f>SUM(F1715+H1715+J1715+L1715+N1715+P1715+R1715+T1715+V1715+X1715+Z1715+AB1715)</f>
        <v>0</v>
      </c>
      <c r="AE1715" s="7">
        <f>E1715+AD1715</f>
        <v>0</v>
      </c>
      <c r="AF1715" s="8">
        <f>G1715+I1715+K1715+M1715+O1715+Q1715+S1715+U1715+W1715+Y1715+AA1715+AC1715</f>
        <v>0</v>
      </c>
      <c r="AG1715" s="153">
        <f>SUM(AE1715-AF1715)</f>
        <v>0</v>
      </c>
    </row>
    <row r="1716" spans="1:42" customHeight="1" ht="11.5">
      <c r="A1716" s="5"/>
      <c r="B1716" s="173"/>
      <c r="C1716" s="167"/>
      <c r="D1716" s="88"/>
      <c r="E1716" s="174"/>
      <c r="F1716" s="9"/>
      <c r="G1716" s="10"/>
      <c r="H1716" s="9"/>
      <c r="I1716" s="10"/>
      <c r="J1716" s="152"/>
      <c r="K1716" s="10"/>
      <c r="L1716" s="152"/>
      <c r="M1716" s="10"/>
      <c r="N1716" s="152"/>
      <c r="O1716" s="10"/>
      <c r="P1716" s="152"/>
      <c r="Q1716" s="10"/>
      <c r="R1716" s="9"/>
      <c r="S1716" s="10"/>
      <c r="T1716" s="9"/>
      <c r="U1716" s="10"/>
      <c r="V1716" s="9"/>
      <c r="W1716" s="10"/>
      <c r="X1716" s="9"/>
      <c r="Y1716" s="10"/>
      <c r="Z1716" s="9"/>
      <c r="AA1716" s="10"/>
      <c r="AB1716" s="11"/>
      <c r="AC1716" s="10"/>
      <c r="AD1716" s="7">
        <f>SUM(F1716+H1716+J1716+L1716+N1716+P1716+R1716+T1716+V1716+X1716+Z1716+AB1716)</f>
        <v>0</v>
      </c>
      <c r="AE1716" s="7">
        <f>E1716+AD1716</f>
        <v>0</v>
      </c>
      <c r="AF1716" s="8">
        <f>G1716+I1716+K1716+M1716+O1716+Q1716+S1716+U1716+W1716+Y1716+AA1716+AC1716</f>
        <v>0</v>
      </c>
      <c r="AG1716" s="153">
        <f>SUM(AE1716-AF1716)</f>
        <v>0</v>
      </c>
    </row>
    <row r="1717" spans="1:42" customHeight="1" ht="11.5">
      <c r="A1717" s="5"/>
      <c r="B1717" s="173"/>
      <c r="C1717" s="167"/>
      <c r="D1717" s="88"/>
      <c r="E1717" s="174"/>
      <c r="F1717" s="9"/>
      <c r="G1717" s="10"/>
      <c r="H1717" s="9"/>
      <c r="I1717" s="10"/>
      <c r="J1717" s="152"/>
      <c r="K1717" s="10"/>
      <c r="L1717" s="152"/>
      <c r="M1717" s="10"/>
      <c r="N1717" s="152"/>
      <c r="O1717" s="10"/>
      <c r="P1717" s="152"/>
      <c r="Q1717" s="10"/>
      <c r="R1717" s="9"/>
      <c r="S1717" s="10"/>
      <c r="T1717" s="9"/>
      <c r="U1717" s="10"/>
      <c r="V1717" s="9"/>
      <c r="W1717" s="10"/>
      <c r="X1717" s="9"/>
      <c r="Y1717" s="10"/>
      <c r="Z1717" s="9"/>
      <c r="AA1717" s="10"/>
      <c r="AB1717" s="11"/>
      <c r="AC1717" s="10"/>
      <c r="AD1717" s="7">
        <f>SUM(F1717+H1717+J1717+L1717+N1717+P1717+R1717+T1717+V1717+X1717+Z1717+AB1717)</f>
        <v>0</v>
      </c>
      <c r="AE1717" s="7">
        <f>E1717+AD1717</f>
        <v>0</v>
      </c>
      <c r="AF1717" s="8">
        <f>G1717+I1717+K1717+M1717+O1717+Q1717+S1717+U1717+W1717+Y1717+AA1717+AC1717</f>
        <v>0</v>
      </c>
      <c r="AG1717" s="153">
        <f>SUM(AE1717-AF1717)</f>
        <v>0</v>
      </c>
    </row>
    <row r="1718" spans="1:42" customHeight="1" ht="11.5">
      <c r="A1718" s="5"/>
      <c r="B1718" s="173"/>
      <c r="C1718" s="167"/>
      <c r="D1718" s="88"/>
      <c r="E1718" s="174"/>
      <c r="F1718" s="9"/>
      <c r="G1718" s="10"/>
      <c r="H1718" s="9"/>
      <c r="I1718" s="10"/>
      <c r="J1718" s="152"/>
      <c r="K1718" s="10"/>
      <c r="L1718" s="152"/>
      <c r="M1718" s="10"/>
      <c r="N1718" s="152"/>
      <c r="O1718" s="10"/>
      <c r="P1718" s="152"/>
      <c r="Q1718" s="10"/>
      <c r="R1718" s="9"/>
      <c r="S1718" s="10"/>
      <c r="T1718" s="9"/>
      <c r="U1718" s="10"/>
      <c r="V1718" s="9"/>
      <c r="W1718" s="10"/>
      <c r="X1718" s="9"/>
      <c r="Y1718" s="10"/>
      <c r="Z1718" s="9"/>
      <c r="AA1718" s="10"/>
      <c r="AB1718" s="11"/>
      <c r="AC1718" s="10"/>
      <c r="AD1718" s="7">
        <f>SUM(F1718+H1718+J1718+L1718+N1718+P1718+R1718+T1718+V1718+X1718+Z1718+AB1718)</f>
        <v>0</v>
      </c>
      <c r="AE1718" s="7">
        <f>E1718+AD1718</f>
        <v>0</v>
      </c>
      <c r="AF1718" s="8">
        <f>G1718+I1718+K1718+M1718+O1718+Q1718+S1718+U1718+W1718+Y1718+AA1718+AC1718</f>
        <v>0</v>
      </c>
      <c r="AG1718" s="153">
        <f>SUM(AE1718-AF1718)</f>
        <v>0</v>
      </c>
    </row>
    <row r="1719" spans="1:42" customHeight="1" ht="11.5">
      <c r="A1719" s="5"/>
      <c r="B1719" s="173"/>
      <c r="C1719" s="167"/>
      <c r="D1719" s="88"/>
      <c r="E1719" s="174"/>
      <c r="F1719" s="9"/>
      <c r="G1719" s="10"/>
      <c r="H1719" s="9"/>
      <c r="I1719" s="10"/>
      <c r="J1719" s="152"/>
      <c r="K1719" s="10"/>
      <c r="L1719" s="152"/>
      <c r="M1719" s="10"/>
      <c r="N1719" s="152"/>
      <c r="O1719" s="10"/>
      <c r="P1719" s="152"/>
      <c r="Q1719" s="10"/>
      <c r="R1719" s="9"/>
      <c r="S1719" s="10"/>
      <c r="T1719" s="9"/>
      <c r="U1719" s="10"/>
      <c r="V1719" s="9"/>
      <c r="W1719" s="10"/>
      <c r="X1719" s="9"/>
      <c r="Y1719" s="10"/>
      <c r="Z1719" s="9"/>
      <c r="AA1719" s="10"/>
      <c r="AB1719" s="11"/>
      <c r="AC1719" s="10"/>
      <c r="AD1719" s="7">
        <f>SUM(F1719+H1719+J1719+L1719+N1719+P1719+R1719+T1719+V1719+X1719+Z1719+AB1719)</f>
        <v>0</v>
      </c>
      <c r="AE1719" s="7">
        <f>E1719+AD1719</f>
        <v>0</v>
      </c>
      <c r="AF1719" s="8">
        <f>G1719+I1719+K1719+M1719+O1719+Q1719+S1719+U1719+W1719+Y1719+AA1719+AC1719</f>
        <v>0</v>
      </c>
      <c r="AG1719" s="153">
        <f>SUM(AE1719-AF1719)</f>
        <v>0</v>
      </c>
    </row>
    <row r="1720" spans="1:42" customHeight="1" ht="11.5">
      <c r="A1720" s="5"/>
      <c r="B1720" s="173"/>
      <c r="C1720" s="167"/>
      <c r="D1720" s="88"/>
      <c r="E1720" s="174"/>
      <c r="F1720" s="9"/>
      <c r="G1720" s="10"/>
      <c r="H1720" s="9"/>
      <c r="I1720" s="10"/>
      <c r="J1720" s="152"/>
      <c r="K1720" s="10"/>
      <c r="L1720" s="152"/>
      <c r="M1720" s="10"/>
      <c r="N1720" s="152"/>
      <c r="O1720" s="10"/>
      <c r="P1720" s="152"/>
      <c r="Q1720" s="10"/>
      <c r="R1720" s="9"/>
      <c r="S1720" s="10"/>
      <c r="T1720" s="9"/>
      <c r="U1720" s="10"/>
      <c r="V1720" s="9"/>
      <c r="W1720" s="10"/>
      <c r="X1720" s="9"/>
      <c r="Y1720" s="10"/>
      <c r="Z1720" s="9"/>
      <c r="AA1720" s="10"/>
      <c r="AB1720" s="11"/>
      <c r="AC1720" s="10"/>
      <c r="AD1720" s="7">
        <f>SUM(F1720+H1720+J1720+L1720+N1720+P1720+R1720+T1720+V1720+X1720+Z1720+AB1720)</f>
        <v>0</v>
      </c>
      <c r="AE1720" s="7">
        <f>E1720+AD1720</f>
        <v>0</v>
      </c>
      <c r="AF1720" s="8">
        <f>G1720+I1720+K1720+M1720+O1720+Q1720+S1720+U1720+W1720+Y1720+AA1720+AC1720</f>
        <v>0</v>
      </c>
      <c r="AG1720" s="153">
        <f>SUM(AE1720-AF1720)</f>
        <v>0</v>
      </c>
    </row>
    <row r="1721" spans="1:42" customHeight="1" ht="11.5">
      <c r="A1721" s="5"/>
      <c r="B1721" s="173"/>
      <c r="C1721" s="167"/>
      <c r="D1721" s="88"/>
      <c r="E1721" s="174"/>
      <c r="F1721" s="9"/>
      <c r="G1721" s="10"/>
      <c r="H1721" s="9"/>
      <c r="I1721" s="10"/>
      <c r="J1721" s="152"/>
      <c r="K1721" s="10"/>
      <c r="L1721" s="152"/>
      <c r="M1721" s="10"/>
      <c r="N1721" s="152"/>
      <c r="O1721" s="10"/>
      <c r="P1721" s="152"/>
      <c r="Q1721" s="10"/>
      <c r="R1721" s="9"/>
      <c r="S1721" s="10"/>
      <c r="T1721" s="9"/>
      <c r="U1721" s="10"/>
      <c r="V1721" s="9"/>
      <c r="W1721" s="10"/>
      <c r="X1721" s="9"/>
      <c r="Y1721" s="10"/>
      <c r="Z1721" s="9"/>
      <c r="AA1721" s="10"/>
      <c r="AB1721" s="11"/>
      <c r="AC1721" s="10"/>
      <c r="AD1721" s="7">
        <f>SUM(F1721+H1721+J1721+L1721+N1721+P1721+R1721+T1721+V1721+X1721+Z1721+AB1721)</f>
        <v>0</v>
      </c>
      <c r="AE1721" s="7">
        <f>E1721+AD1721</f>
        <v>0</v>
      </c>
      <c r="AF1721" s="8">
        <f>G1721+I1721+K1721+M1721+O1721+Q1721+S1721+U1721+W1721+Y1721+AA1721+AC1721</f>
        <v>0</v>
      </c>
      <c r="AG1721" s="153">
        <f>SUM(AE1721-AF1721)</f>
        <v>0</v>
      </c>
    </row>
    <row r="1722" spans="1:42" customHeight="1" ht="11.5">
      <c r="A1722" s="5"/>
      <c r="B1722" s="173"/>
      <c r="C1722" s="167"/>
      <c r="D1722" s="88"/>
      <c r="E1722" s="174"/>
      <c r="F1722" s="9"/>
      <c r="G1722" s="10"/>
      <c r="H1722" s="9"/>
      <c r="I1722" s="10"/>
      <c r="J1722" s="152"/>
      <c r="K1722" s="10"/>
      <c r="L1722" s="152"/>
      <c r="M1722" s="10"/>
      <c r="N1722" s="152"/>
      <c r="O1722" s="10"/>
      <c r="P1722" s="152"/>
      <c r="Q1722" s="10"/>
      <c r="R1722" s="9"/>
      <c r="S1722" s="10"/>
      <c r="T1722" s="9"/>
      <c r="U1722" s="10"/>
      <c r="V1722" s="9"/>
      <c r="W1722" s="10"/>
      <c r="X1722" s="9"/>
      <c r="Y1722" s="10"/>
      <c r="Z1722" s="9"/>
      <c r="AA1722" s="10"/>
      <c r="AB1722" s="11"/>
      <c r="AC1722" s="10"/>
      <c r="AD1722" s="7">
        <f>SUM(F1722+H1722+J1722+L1722+N1722+P1722+R1722+T1722+V1722+X1722+Z1722+AB1722)</f>
        <v>0</v>
      </c>
      <c r="AE1722" s="7">
        <f>E1722+AD1722</f>
        <v>0</v>
      </c>
      <c r="AF1722" s="8">
        <f>G1722+I1722+K1722+M1722+O1722+Q1722+S1722+U1722+W1722+Y1722+AA1722+AC1722</f>
        <v>0</v>
      </c>
      <c r="AG1722" s="153">
        <f>SUM(AE1722-AF1722)</f>
        <v>0</v>
      </c>
    </row>
    <row r="1723" spans="1:42" customHeight="1" ht="11.5">
      <c r="A1723" s="5"/>
      <c r="B1723" s="173"/>
      <c r="C1723" s="167"/>
      <c r="D1723" s="88"/>
      <c r="E1723" s="174"/>
      <c r="F1723" s="9"/>
      <c r="G1723" s="10"/>
      <c r="H1723" s="9"/>
      <c r="I1723" s="10"/>
      <c r="J1723" s="152"/>
      <c r="K1723" s="10"/>
      <c r="L1723" s="152"/>
      <c r="M1723" s="10"/>
      <c r="N1723" s="152"/>
      <c r="O1723" s="10"/>
      <c r="P1723" s="152"/>
      <c r="Q1723" s="10"/>
      <c r="R1723" s="9"/>
      <c r="S1723" s="10"/>
      <c r="T1723" s="9"/>
      <c r="U1723" s="10"/>
      <c r="V1723" s="9"/>
      <c r="W1723" s="10"/>
      <c r="X1723" s="9"/>
      <c r="Y1723" s="10"/>
      <c r="Z1723" s="9"/>
      <c r="AA1723" s="10"/>
      <c r="AB1723" s="11"/>
      <c r="AC1723" s="10"/>
      <c r="AD1723" s="7">
        <f>SUM(F1723+H1723+J1723+L1723+N1723+P1723+R1723+T1723+V1723+X1723+Z1723+AB1723)</f>
        <v>0</v>
      </c>
      <c r="AE1723" s="7">
        <f>E1723+AD1723</f>
        <v>0</v>
      </c>
      <c r="AF1723" s="8">
        <f>G1723+I1723+K1723+M1723+O1723+Q1723+S1723+U1723+W1723+Y1723+AA1723+AC1723</f>
        <v>0</v>
      </c>
      <c r="AG1723" s="153">
        <f>SUM(AE1723-AF1723)</f>
        <v>0</v>
      </c>
    </row>
    <row r="1724" spans="1:42" customHeight="1" ht="11.5">
      <c r="A1724" s="5"/>
      <c r="B1724" s="173"/>
      <c r="C1724" s="167"/>
      <c r="D1724" s="88"/>
      <c r="E1724" s="174"/>
      <c r="F1724" s="9"/>
      <c r="G1724" s="10"/>
      <c r="H1724" s="9"/>
      <c r="I1724" s="10"/>
      <c r="J1724" s="152"/>
      <c r="K1724" s="10"/>
      <c r="L1724" s="152"/>
      <c r="M1724" s="10"/>
      <c r="N1724" s="152"/>
      <c r="O1724" s="10"/>
      <c r="P1724" s="152"/>
      <c r="Q1724" s="10"/>
      <c r="R1724" s="9"/>
      <c r="S1724" s="10"/>
      <c r="T1724" s="9"/>
      <c r="U1724" s="10"/>
      <c r="V1724" s="9"/>
      <c r="W1724" s="10"/>
      <c r="X1724" s="9"/>
      <c r="Y1724" s="10"/>
      <c r="Z1724" s="9"/>
      <c r="AA1724" s="10"/>
      <c r="AB1724" s="11"/>
      <c r="AC1724" s="10"/>
      <c r="AD1724" s="7">
        <f>SUM(F1724+H1724+J1724+L1724+N1724+P1724+R1724+T1724+V1724+X1724+Z1724+AB1724)</f>
        <v>0</v>
      </c>
      <c r="AE1724" s="7">
        <f>E1724+AD1724</f>
        <v>0</v>
      </c>
      <c r="AF1724" s="8">
        <f>G1724+I1724+K1724+M1724+O1724+Q1724+S1724+U1724+W1724+Y1724+AA1724+AC1724</f>
        <v>0</v>
      </c>
      <c r="AG1724" s="153">
        <f>SUM(AE1724-AF1724)</f>
        <v>0</v>
      </c>
    </row>
    <row r="1725" spans="1:42" customHeight="1" ht="11.5">
      <c r="A1725" s="5"/>
      <c r="B1725" s="173"/>
      <c r="C1725" s="167"/>
      <c r="D1725" s="88"/>
      <c r="E1725" s="174"/>
      <c r="F1725" s="9"/>
      <c r="G1725" s="10"/>
      <c r="H1725" s="9"/>
      <c r="I1725" s="10"/>
      <c r="J1725" s="152"/>
      <c r="K1725" s="10"/>
      <c r="L1725" s="152"/>
      <c r="M1725" s="10"/>
      <c r="N1725" s="152"/>
      <c r="O1725" s="10"/>
      <c r="P1725" s="152"/>
      <c r="Q1725" s="10"/>
      <c r="R1725" s="9"/>
      <c r="S1725" s="10"/>
      <c r="T1725" s="9"/>
      <c r="U1725" s="10"/>
      <c r="V1725" s="9"/>
      <c r="W1725" s="10"/>
      <c r="X1725" s="9"/>
      <c r="Y1725" s="10"/>
      <c r="Z1725" s="9"/>
      <c r="AA1725" s="10"/>
      <c r="AB1725" s="11"/>
      <c r="AC1725" s="10"/>
      <c r="AD1725" s="7">
        <f>SUM(F1725+H1725+J1725+L1725+N1725+P1725+R1725+T1725+V1725+X1725+Z1725+AB1725)</f>
        <v>0</v>
      </c>
      <c r="AE1725" s="7">
        <f>E1725+AD1725</f>
        <v>0</v>
      </c>
      <c r="AF1725" s="8">
        <f>G1725+I1725+K1725+M1725+O1725+Q1725+S1725+U1725+W1725+Y1725+AA1725+AC1725</f>
        <v>0</v>
      </c>
      <c r="AG1725" s="153">
        <f>SUM(AE1725-AF1725)</f>
        <v>0</v>
      </c>
    </row>
    <row r="1726" spans="1:42" customHeight="1" ht="11.5">
      <c r="A1726" s="5"/>
      <c r="B1726" s="173"/>
      <c r="C1726" s="167"/>
      <c r="D1726" s="88"/>
      <c r="E1726" s="174"/>
      <c r="F1726" s="9"/>
      <c r="G1726" s="10"/>
      <c r="H1726" s="9"/>
      <c r="I1726" s="10"/>
      <c r="J1726" s="152"/>
      <c r="K1726" s="10"/>
      <c r="L1726" s="152"/>
      <c r="M1726" s="10"/>
      <c r="N1726" s="152"/>
      <c r="O1726" s="10"/>
      <c r="P1726" s="152"/>
      <c r="Q1726" s="10"/>
      <c r="R1726" s="9"/>
      <c r="S1726" s="10"/>
      <c r="T1726" s="9"/>
      <c r="U1726" s="10"/>
      <c r="V1726" s="9"/>
      <c r="W1726" s="10"/>
      <c r="X1726" s="9"/>
      <c r="Y1726" s="10"/>
      <c r="Z1726" s="9"/>
      <c r="AA1726" s="10"/>
      <c r="AB1726" s="11"/>
      <c r="AC1726" s="10"/>
      <c r="AD1726" s="7">
        <f>SUM(F1726+H1726+J1726+L1726+N1726+P1726+R1726+T1726+V1726+X1726+Z1726+AB1726)</f>
        <v>0</v>
      </c>
      <c r="AE1726" s="7">
        <f>E1726+AD1726</f>
        <v>0</v>
      </c>
      <c r="AF1726" s="8">
        <f>G1726+I1726+K1726+M1726+O1726+Q1726+S1726+U1726+W1726+Y1726+AA1726+AC1726</f>
        <v>0</v>
      </c>
      <c r="AG1726" s="153">
        <f>SUM(AE1726-AF1726)</f>
        <v>0</v>
      </c>
    </row>
    <row r="1727" spans="1:42" customHeight="1" ht="11.5">
      <c r="A1727" s="5"/>
      <c r="B1727" s="173"/>
      <c r="C1727" s="167"/>
      <c r="D1727" s="88"/>
      <c r="E1727" s="174"/>
      <c r="F1727" s="9"/>
      <c r="G1727" s="10"/>
      <c r="H1727" s="9"/>
      <c r="I1727" s="10"/>
      <c r="J1727" s="152"/>
      <c r="K1727" s="10"/>
      <c r="L1727" s="152"/>
      <c r="M1727" s="10"/>
      <c r="N1727" s="152"/>
      <c r="O1727" s="10"/>
      <c r="P1727" s="152"/>
      <c r="Q1727" s="10"/>
      <c r="R1727" s="9"/>
      <c r="S1727" s="10"/>
      <c r="T1727" s="9"/>
      <c r="U1727" s="10"/>
      <c r="V1727" s="9"/>
      <c r="W1727" s="10"/>
      <c r="X1727" s="9"/>
      <c r="Y1727" s="10"/>
      <c r="Z1727" s="9"/>
      <c r="AA1727" s="10"/>
      <c r="AB1727" s="11"/>
      <c r="AC1727" s="10"/>
      <c r="AD1727" s="7">
        <f>SUM(F1727+H1727+J1727+L1727+N1727+P1727+R1727+T1727+V1727+X1727+Z1727+AB1727)</f>
        <v>0</v>
      </c>
      <c r="AE1727" s="7">
        <f>E1727+AD1727</f>
        <v>0</v>
      </c>
      <c r="AF1727" s="8">
        <f>G1727+I1727+K1727+M1727+O1727+Q1727+S1727+U1727+W1727+Y1727+AA1727+AC1727</f>
        <v>0</v>
      </c>
      <c r="AG1727" s="153">
        <f>SUM(AE1727-AF1727)</f>
        <v>0</v>
      </c>
    </row>
    <row r="1728" spans="1:42" customHeight="1" ht="11.5">
      <c r="A1728" s="5"/>
      <c r="B1728" s="173"/>
      <c r="C1728" s="167"/>
      <c r="D1728" s="88"/>
      <c r="E1728" s="174"/>
      <c r="F1728" s="9"/>
      <c r="G1728" s="10"/>
      <c r="H1728" s="9"/>
      <c r="I1728" s="10"/>
      <c r="J1728" s="152"/>
      <c r="K1728" s="10"/>
      <c r="L1728" s="152"/>
      <c r="M1728" s="10"/>
      <c r="N1728" s="152"/>
      <c r="O1728" s="10"/>
      <c r="P1728" s="152"/>
      <c r="Q1728" s="10"/>
      <c r="R1728" s="9"/>
      <c r="S1728" s="10"/>
      <c r="T1728" s="9"/>
      <c r="U1728" s="10"/>
      <c r="V1728" s="9"/>
      <c r="W1728" s="10"/>
      <c r="X1728" s="9"/>
      <c r="Y1728" s="10"/>
      <c r="Z1728" s="9"/>
      <c r="AA1728" s="10"/>
      <c r="AB1728" s="11"/>
      <c r="AC1728" s="10"/>
      <c r="AD1728" s="7">
        <f>SUM(F1728+H1728+J1728+L1728+N1728+P1728+R1728+T1728+V1728+X1728+Z1728+AB1728)</f>
        <v>0</v>
      </c>
      <c r="AE1728" s="7">
        <f>E1728+AD1728</f>
        <v>0</v>
      </c>
      <c r="AF1728" s="8">
        <f>G1728+I1728+K1728+M1728+O1728+Q1728+S1728+U1728+W1728+Y1728+AA1728+AC1728</f>
        <v>0</v>
      </c>
      <c r="AG1728" s="153">
        <f>SUM(AE1728-AF1728)</f>
        <v>0</v>
      </c>
    </row>
    <row r="1729" spans="1:42" customHeight="1" ht="11.5">
      <c r="A1729" s="5"/>
      <c r="B1729" s="173"/>
      <c r="C1729" s="167"/>
      <c r="D1729" s="88"/>
      <c r="E1729" s="174"/>
      <c r="F1729" s="9"/>
      <c r="G1729" s="10"/>
      <c r="H1729" s="9"/>
      <c r="I1729" s="10"/>
      <c r="J1729" s="152"/>
      <c r="K1729" s="10"/>
      <c r="L1729" s="152"/>
      <c r="M1729" s="10"/>
      <c r="N1729" s="152"/>
      <c r="O1729" s="10"/>
      <c r="P1729" s="152"/>
      <c r="Q1729" s="10"/>
      <c r="R1729" s="9"/>
      <c r="S1729" s="10"/>
      <c r="T1729" s="9"/>
      <c r="U1729" s="10"/>
      <c r="V1729" s="9"/>
      <c r="W1729" s="10"/>
      <c r="X1729" s="9"/>
      <c r="Y1729" s="10"/>
      <c r="Z1729" s="9"/>
      <c r="AA1729" s="10"/>
      <c r="AB1729" s="11"/>
      <c r="AC1729" s="10"/>
      <c r="AD1729" s="7">
        <f>SUM(F1729+H1729+J1729+L1729+N1729+P1729+R1729+T1729+V1729+X1729+Z1729+AB1729)</f>
        <v>0</v>
      </c>
      <c r="AE1729" s="7">
        <f>E1729+AD1729</f>
        <v>0</v>
      </c>
      <c r="AF1729" s="8">
        <f>G1729+I1729+K1729+M1729+O1729+Q1729+S1729+U1729+W1729+Y1729+AA1729+AC1729</f>
        <v>0</v>
      </c>
      <c r="AG1729" s="153">
        <f>SUM(AE1729-AF1729)</f>
        <v>0</v>
      </c>
    </row>
    <row r="1730" spans="1:42" customHeight="1" ht="11.5">
      <c r="A1730" s="5"/>
      <c r="B1730" s="173"/>
      <c r="C1730" s="167"/>
      <c r="D1730" s="88"/>
      <c r="E1730" s="174"/>
      <c r="F1730" s="9"/>
      <c r="G1730" s="10"/>
      <c r="H1730" s="9"/>
      <c r="I1730" s="10"/>
      <c r="J1730" s="152"/>
      <c r="K1730" s="10"/>
      <c r="L1730" s="152"/>
      <c r="M1730" s="10"/>
      <c r="N1730" s="152"/>
      <c r="O1730" s="10"/>
      <c r="P1730" s="152"/>
      <c r="Q1730" s="10"/>
      <c r="R1730" s="9"/>
      <c r="S1730" s="10"/>
      <c r="T1730" s="9"/>
      <c r="U1730" s="10"/>
      <c r="V1730" s="9"/>
      <c r="W1730" s="10"/>
      <c r="X1730" s="9"/>
      <c r="Y1730" s="10"/>
      <c r="Z1730" s="9"/>
      <c r="AA1730" s="10"/>
      <c r="AB1730" s="11"/>
      <c r="AC1730" s="10"/>
      <c r="AD1730" s="7">
        <f>SUM(F1730+H1730+J1730+L1730+N1730+P1730+R1730+T1730+V1730+X1730+Z1730+AB1730)</f>
        <v>0</v>
      </c>
      <c r="AE1730" s="7">
        <f>E1730+AD1730</f>
        <v>0</v>
      </c>
      <c r="AF1730" s="8">
        <f>G1730+I1730+K1730+M1730+O1730+Q1730+S1730+U1730+W1730+Y1730+AA1730+AC1730</f>
        <v>0</v>
      </c>
      <c r="AG1730" s="153">
        <f>SUM(AE1730-AF1730)</f>
        <v>0</v>
      </c>
    </row>
    <row r="1731" spans="1:42" customHeight="1" ht="11.5">
      <c r="A1731" s="5"/>
      <c r="B1731" s="173"/>
      <c r="C1731" s="167"/>
      <c r="D1731" s="88"/>
      <c r="E1731" s="174"/>
      <c r="F1731" s="9"/>
      <c r="G1731" s="10"/>
      <c r="H1731" s="9"/>
      <c r="I1731" s="10"/>
      <c r="J1731" s="152"/>
      <c r="K1731" s="10"/>
      <c r="L1731" s="152"/>
      <c r="M1731" s="10"/>
      <c r="N1731" s="152"/>
      <c r="O1731" s="10"/>
      <c r="P1731" s="152"/>
      <c r="Q1731" s="10"/>
      <c r="R1731" s="9"/>
      <c r="S1731" s="10"/>
      <c r="T1731" s="9"/>
      <c r="U1731" s="10"/>
      <c r="V1731" s="9"/>
      <c r="W1731" s="10"/>
      <c r="X1731" s="9"/>
      <c r="Y1731" s="10"/>
      <c r="Z1731" s="9"/>
      <c r="AA1731" s="10"/>
      <c r="AB1731" s="11"/>
      <c r="AC1731" s="10"/>
      <c r="AD1731" s="7">
        <f>SUM(F1731+H1731+J1731+L1731+N1731+P1731+R1731+T1731+V1731+X1731+Z1731+AB1731)</f>
        <v>0</v>
      </c>
      <c r="AE1731" s="7">
        <f>E1731+AD1731</f>
        <v>0</v>
      </c>
      <c r="AF1731" s="8">
        <f>G1731+I1731+K1731+M1731+O1731+Q1731+S1731+U1731+W1731+Y1731+AA1731+AC1731</f>
        <v>0</v>
      </c>
      <c r="AG1731" s="153">
        <f>SUM(AE1731-AF1731)</f>
        <v>0</v>
      </c>
    </row>
    <row r="1732" spans="1:42" customHeight="1" ht="11.5">
      <c r="A1732" s="5"/>
      <c r="B1732" s="173"/>
      <c r="C1732" s="167"/>
      <c r="D1732" s="88"/>
      <c r="E1732" s="174"/>
      <c r="F1732" s="9"/>
      <c r="G1732" s="10"/>
      <c r="H1732" s="9"/>
      <c r="I1732" s="10"/>
      <c r="J1732" s="152"/>
      <c r="K1732" s="10"/>
      <c r="L1732" s="152"/>
      <c r="M1732" s="10"/>
      <c r="N1732" s="152"/>
      <c r="O1732" s="10"/>
      <c r="P1732" s="152"/>
      <c r="Q1732" s="10"/>
      <c r="R1732" s="9"/>
      <c r="S1732" s="10"/>
      <c r="T1732" s="9"/>
      <c r="U1732" s="10"/>
      <c r="V1732" s="9"/>
      <c r="W1732" s="10"/>
      <c r="X1732" s="9"/>
      <c r="Y1732" s="10"/>
      <c r="Z1732" s="9"/>
      <c r="AA1732" s="10"/>
      <c r="AB1732" s="11"/>
      <c r="AC1732" s="10"/>
      <c r="AD1732" s="7">
        <f>SUM(F1732+H1732+J1732+L1732+N1732+P1732+R1732+T1732+V1732+X1732+Z1732+AB1732)</f>
        <v>0</v>
      </c>
      <c r="AE1732" s="7">
        <f>E1732+AD1732</f>
        <v>0</v>
      </c>
      <c r="AF1732" s="8">
        <f>G1732+I1732+K1732+M1732+O1732+Q1732+S1732+U1732+W1732+Y1732+AA1732+AC1732</f>
        <v>0</v>
      </c>
      <c r="AG1732" s="153">
        <f>SUM(AE1732-AF1732)</f>
        <v>0</v>
      </c>
    </row>
    <row r="1733" spans="1:42" customHeight="1" ht="11.5">
      <c r="A1733" s="5"/>
      <c r="B1733" s="173"/>
      <c r="C1733" s="167"/>
      <c r="D1733" s="88"/>
      <c r="E1733" s="174"/>
      <c r="F1733" s="9"/>
      <c r="G1733" s="10"/>
      <c r="H1733" s="9"/>
      <c r="I1733" s="10"/>
      <c r="J1733" s="152"/>
      <c r="K1733" s="10"/>
      <c r="L1733" s="152"/>
      <c r="M1733" s="10"/>
      <c r="N1733" s="152"/>
      <c r="O1733" s="10"/>
      <c r="P1733" s="152"/>
      <c r="Q1733" s="10"/>
      <c r="R1733" s="9"/>
      <c r="S1733" s="10"/>
      <c r="T1733" s="9"/>
      <c r="U1733" s="10"/>
      <c r="V1733" s="9"/>
      <c r="W1733" s="10"/>
      <c r="X1733" s="9"/>
      <c r="Y1733" s="10"/>
      <c r="Z1733" s="9"/>
      <c r="AA1733" s="10"/>
      <c r="AB1733" s="11"/>
      <c r="AC1733" s="10"/>
      <c r="AD1733" s="7">
        <f>SUM(F1733+H1733+J1733+L1733+N1733+P1733+R1733+T1733+V1733+X1733+Z1733+AB1733)</f>
        <v>0</v>
      </c>
      <c r="AE1733" s="7">
        <f>E1733+AD1733</f>
        <v>0</v>
      </c>
      <c r="AF1733" s="8">
        <f>G1733+I1733+K1733+M1733+O1733+Q1733+S1733+U1733+W1733+Y1733+AA1733+AC1733</f>
        <v>0</v>
      </c>
      <c r="AG1733" s="153">
        <f>SUM(AE1733-AF1733)</f>
        <v>0</v>
      </c>
    </row>
    <row r="1734" spans="1:42" customHeight="1" ht="11.5">
      <c r="A1734" s="5"/>
      <c r="B1734" s="173"/>
      <c r="C1734" s="167"/>
      <c r="D1734" s="88"/>
      <c r="E1734" s="174"/>
      <c r="F1734" s="9"/>
      <c r="G1734" s="10"/>
      <c r="H1734" s="9"/>
      <c r="I1734" s="10"/>
      <c r="J1734" s="152"/>
      <c r="K1734" s="10"/>
      <c r="L1734" s="152"/>
      <c r="M1734" s="10"/>
      <c r="N1734" s="152"/>
      <c r="O1734" s="10"/>
      <c r="P1734" s="152"/>
      <c r="Q1734" s="10"/>
      <c r="R1734" s="9"/>
      <c r="S1734" s="10"/>
      <c r="T1734" s="9"/>
      <c r="U1734" s="10"/>
      <c r="V1734" s="9"/>
      <c r="W1734" s="10"/>
      <c r="X1734" s="9"/>
      <c r="Y1734" s="10"/>
      <c r="Z1734" s="9"/>
      <c r="AA1734" s="10"/>
      <c r="AB1734" s="11"/>
      <c r="AC1734" s="10"/>
      <c r="AD1734" s="7">
        <f>SUM(F1734+H1734+J1734+L1734+N1734+P1734+R1734+T1734+V1734+X1734+Z1734+AB1734)</f>
        <v>0</v>
      </c>
      <c r="AE1734" s="7">
        <f>E1734+AD1734</f>
        <v>0</v>
      </c>
      <c r="AF1734" s="8">
        <f>G1734+I1734+K1734+M1734+O1734+Q1734+S1734+U1734+W1734+Y1734+AA1734+AC1734</f>
        <v>0</v>
      </c>
      <c r="AG1734" s="153">
        <f>SUM(AE1734-AF1734)</f>
        <v>0</v>
      </c>
    </row>
    <row r="1735" spans="1:42" customHeight="1" ht="11.5">
      <c r="A1735" s="5"/>
      <c r="B1735" s="173"/>
      <c r="C1735" s="167"/>
      <c r="D1735" s="88"/>
      <c r="E1735" s="174"/>
      <c r="F1735" s="9"/>
      <c r="G1735" s="10"/>
      <c r="H1735" s="9"/>
      <c r="I1735" s="10"/>
      <c r="J1735" s="152"/>
      <c r="K1735" s="10"/>
      <c r="L1735" s="152"/>
      <c r="M1735" s="10"/>
      <c r="N1735" s="152"/>
      <c r="O1735" s="10"/>
      <c r="P1735" s="152"/>
      <c r="Q1735" s="10"/>
      <c r="R1735" s="9"/>
      <c r="S1735" s="10"/>
      <c r="T1735" s="9"/>
      <c r="U1735" s="10"/>
      <c r="V1735" s="9"/>
      <c r="W1735" s="10"/>
      <c r="X1735" s="9"/>
      <c r="Y1735" s="10"/>
      <c r="Z1735" s="9"/>
      <c r="AA1735" s="10"/>
      <c r="AB1735" s="11"/>
      <c r="AC1735" s="10"/>
      <c r="AD1735" s="7">
        <f>SUM(F1735+H1735+J1735+L1735+N1735+P1735+R1735+T1735+V1735+X1735+Z1735+AB1735)</f>
        <v>0</v>
      </c>
      <c r="AE1735" s="7">
        <f>E1735+AD1735</f>
        <v>0</v>
      </c>
      <c r="AF1735" s="8">
        <f>G1735+I1735+K1735+M1735+O1735+Q1735+S1735+U1735+W1735+Y1735+AA1735+AC1735</f>
        <v>0</v>
      </c>
      <c r="AG1735" s="153">
        <f>SUM(AE1735-AF1735)</f>
        <v>0</v>
      </c>
    </row>
    <row r="1736" spans="1:42" customHeight="1" ht="11.5">
      <c r="A1736" s="5"/>
      <c r="B1736" s="173"/>
      <c r="C1736" s="167"/>
      <c r="D1736" s="88"/>
      <c r="E1736" s="174"/>
      <c r="F1736" s="9"/>
      <c r="G1736" s="10"/>
      <c r="H1736" s="9"/>
      <c r="I1736" s="10"/>
      <c r="J1736" s="152"/>
      <c r="K1736" s="10"/>
      <c r="L1736" s="152"/>
      <c r="M1736" s="10"/>
      <c r="N1736" s="152"/>
      <c r="O1736" s="10"/>
      <c r="P1736" s="152"/>
      <c r="Q1736" s="10"/>
      <c r="R1736" s="9"/>
      <c r="S1736" s="10"/>
      <c r="T1736" s="9"/>
      <c r="U1736" s="10"/>
      <c r="V1736" s="9"/>
      <c r="W1736" s="10"/>
      <c r="X1736" s="9"/>
      <c r="Y1736" s="10"/>
      <c r="Z1736" s="9"/>
      <c r="AA1736" s="10"/>
      <c r="AB1736" s="11"/>
      <c r="AC1736" s="10"/>
      <c r="AD1736" s="7">
        <f>SUM(F1736+H1736+J1736+L1736+N1736+P1736+R1736+T1736+V1736+X1736+Z1736+AB1736)</f>
        <v>0</v>
      </c>
      <c r="AE1736" s="7">
        <f>E1736+AD1736</f>
        <v>0</v>
      </c>
      <c r="AF1736" s="8">
        <f>G1736+I1736+K1736+M1736+O1736+Q1736+S1736+U1736+W1736+Y1736+AA1736+AC1736</f>
        <v>0</v>
      </c>
      <c r="AG1736" s="153">
        <f>SUM(AE1736-AF1736)</f>
        <v>0</v>
      </c>
    </row>
    <row r="1737" spans="1:42" customHeight="1" ht="11.5">
      <c r="A1737" s="5"/>
      <c r="B1737" s="173"/>
      <c r="C1737" s="167"/>
      <c r="D1737" s="88"/>
      <c r="E1737" s="174"/>
      <c r="F1737" s="9"/>
      <c r="G1737" s="10"/>
      <c r="H1737" s="9"/>
      <c r="I1737" s="10"/>
      <c r="J1737" s="152"/>
      <c r="K1737" s="10"/>
      <c r="L1737" s="152"/>
      <c r="M1737" s="10"/>
      <c r="N1737" s="152"/>
      <c r="O1737" s="10"/>
      <c r="P1737" s="152"/>
      <c r="Q1737" s="10"/>
      <c r="R1737" s="9"/>
      <c r="S1737" s="10"/>
      <c r="T1737" s="9"/>
      <c r="U1737" s="10"/>
      <c r="V1737" s="9"/>
      <c r="W1737" s="10"/>
      <c r="X1737" s="9"/>
      <c r="Y1737" s="10"/>
      <c r="Z1737" s="9"/>
      <c r="AA1737" s="10"/>
      <c r="AB1737" s="11"/>
      <c r="AC1737" s="10"/>
      <c r="AD1737" s="7">
        <f>SUM(F1737+H1737+J1737+L1737+N1737+P1737+R1737+T1737+V1737+X1737+Z1737+AB1737)</f>
        <v>0</v>
      </c>
      <c r="AE1737" s="7">
        <f>E1737+AD1737</f>
        <v>0</v>
      </c>
      <c r="AF1737" s="8">
        <f>G1737+I1737+K1737+M1737+O1737+Q1737+S1737+U1737+W1737+Y1737+AA1737+AC1737</f>
        <v>0</v>
      </c>
      <c r="AG1737" s="153">
        <f>SUM(AE1737-AF1737)</f>
        <v>0</v>
      </c>
    </row>
    <row r="1738" spans="1:42" customHeight="1" ht="11.5">
      <c r="A1738" s="5"/>
      <c r="B1738" s="173"/>
      <c r="C1738" s="167"/>
      <c r="D1738" s="88"/>
      <c r="E1738" s="174"/>
      <c r="F1738" s="9"/>
      <c r="G1738" s="10"/>
      <c r="H1738" s="9"/>
      <c r="I1738" s="10"/>
      <c r="J1738" s="152"/>
      <c r="K1738" s="10"/>
      <c r="L1738" s="152"/>
      <c r="M1738" s="10"/>
      <c r="N1738" s="152"/>
      <c r="O1738" s="10"/>
      <c r="P1738" s="152"/>
      <c r="Q1738" s="10"/>
      <c r="R1738" s="9"/>
      <c r="S1738" s="10"/>
      <c r="T1738" s="9"/>
      <c r="U1738" s="10"/>
      <c r="V1738" s="9"/>
      <c r="W1738" s="10"/>
      <c r="X1738" s="9"/>
      <c r="Y1738" s="10"/>
      <c r="Z1738" s="9"/>
      <c r="AA1738" s="10"/>
      <c r="AB1738" s="11"/>
      <c r="AC1738" s="10"/>
      <c r="AD1738" s="7">
        <f>SUM(F1738+H1738+J1738+L1738+N1738+P1738+R1738+T1738+V1738+X1738+Z1738+AB1738)</f>
        <v>0</v>
      </c>
      <c r="AE1738" s="7">
        <f>E1738+AD1738</f>
        <v>0</v>
      </c>
      <c r="AF1738" s="8">
        <f>G1738+I1738+K1738+M1738+O1738+Q1738+S1738+U1738+W1738+Y1738+AA1738+AC1738</f>
        <v>0</v>
      </c>
      <c r="AG1738" s="153">
        <f>SUM(AE1738-AF1738)</f>
        <v>0</v>
      </c>
    </row>
    <row r="1739" spans="1:42" customHeight="1" ht="11.5">
      <c r="A1739" s="5"/>
      <c r="B1739" s="173"/>
      <c r="C1739" s="167"/>
      <c r="D1739" s="88"/>
      <c r="E1739" s="174"/>
      <c r="F1739" s="9"/>
      <c r="G1739" s="10"/>
      <c r="H1739" s="9"/>
      <c r="I1739" s="10"/>
      <c r="J1739" s="152"/>
      <c r="K1739" s="10"/>
      <c r="L1739" s="152"/>
      <c r="M1739" s="10"/>
      <c r="N1739" s="152"/>
      <c r="O1739" s="10"/>
      <c r="P1739" s="152"/>
      <c r="Q1739" s="10"/>
      <c r="R1739" s="9"/>
      <c r="S1739" s="10"/>
      <c r="T1739" s="9"/>
      <c r="U1739" s="10"/>
      <c r="V1739" s="9"/>
      <c r="W1739" s="10"/>
      <c r="X1739" s="9"/>
      <c r="Y1739" s="10"/>
      <c r="Z1739" s="9"/>
      <c r="AA1739" s="10"/>
      <c r="AB1739" s="11"/>
      <c r="AC1739" s="10"/>
      <c r="AD1739" s="7">
        <f>SUM(F1739+H1739+J1739+L1739+N1739+P1739+R1739+T1739+V1739+X1739+Z1739+AB1739)</f>
        <v>0</v>
      </c>
      <c r="AE1739" s="7">
        <f>E1739+AD1739</f>
        <v>0</v>
      </c>
      <c r="AF1739" s="8">
        <f>G1739+I1739+K1739+M1739+O1739+Q1739+S1739+U1739+W1739+Y1739+AA1739+AC1739</f>
        <v>0</v>
      </c>
      <c r="AG1739" s="153">
        <f>SUM(AE1739-AF1739)</f>
        <v>0</v>
      </c>
    </row>
    <row r="1740" spans="1:42" customHeight="1" ht="11.5">
      <c r="A1740" s="5"/>
      <c r="B1740" s="173"/>
      <c r="C1740" s="167"/>
      <c r="D1740" s="88"/>
      <c r="E1740" s="174"/>
      <c r="F1740" s="9"/>
      <c r="G1740" s="10"/>
      <c r="H1740" s="9"/>
      <c r="I1740" s="10"/>
      <c r="J1740" s="152"/>
      <c r="K1740" s="10"/>
      <c r="L1740" s="152"/>
      <c r="M1740" s="10"/>
      <c r="N1740" s="152"/>
      <c r="O1740" s="10"/>
      <c r="P1740" s="152"/>
      <c r="Q1740" s="10"/>
      <c r="R1740" s="9"/>
      <c r="S1740" s="10"/>
      <c r="T1740" s="9"/>
      <c r="U1740" s="10"/>
      <c r="V1740" s="9"/>
      <c r="W1740" s="10"/>
      <c r="X1740" s="9"/>
      <c r="Y1740" s="10"/>
      <c r="Z1740" s="9"/>
      <c r="AA1740" s="10"/>
      <c r="AB1740" s="11"/>
      <c r="AC1740" s="10"/>
      <c r="AD1740" s="7">
        <f>SUM(F1740+H1740+J1740+L1740+N1740+P1740+R1740+T1740+V1740+X1740+Z1740+AB1740)</f>
        <v>0</v>
      </c>
      <c r="AE1740" s="7">
        <f>E1740+AD1740</f>
        <v>0</v>
      </c>
      <c r="AF1740" s="8">
        <f>G1740+I1740+K1740+M1740+O1740+Q1740+S1740+U1740+W1740+Y1740+AA1740+AC1740</f>
        <v>0</v>
      </c>
      <c r="AG1740" s="153">
        <f>SUM(AE1740-AF1740)</f>
        <v>0</v>
      </c>
    </row>
    <row r="1741" spans="1:42" customHeight="1" ht="11.5">
      <c r="A1741" s="5"/>
      <c r="B1741" s="173"/>
      <c r="C1741" s="167"/>
      <c r="D1741" s="88"/>
      <c r="E1741" s="174"/>
      <c r="F1741" s="9"/>
      <c r="G1741" s="10"/>
      <c r="H1741" s="9"/>
      <c r="I1741" s="10"/>
      <c r="J1741" s="152"/>
      <c r="K1741" s="10"/>
      <c r="L1741" s="152"/>
      <c r="M1741" s="10"/>
      <c r="N1741" s="152"/>
      <c r="O1741" s="10"/>
      <c r="P1741" s="152"/>
      <c r="Q1741" s="10"/>
      <c r="R1741" s="9"/>
      <c r="S1741" s="10"/>
      <c r="T1741" s="9"/>
      <c r="U1741" s="10"/>
      <c r="V1741" s="9"/>
      <c r="W1741" s="10"/>
      <c r="X1741" s="9"/>
      <c r="Y1741" s="10"/>
      <c r="Z1741" s="9"/>
      <c r="AA1741" s="10"/>
      <c r="AB1741" s="11"/>
      <c r="AC1741" s="10"/>
      <c r="AD1741" s="7">
        <f>SUM(F1741+H1741+J1741+L1741+N1741+P1741+R1741+T1741+V1741+X1741+Z1741+AB1741)</f>
        <v>0</v>
      </c>
      <c r="AE1741" s="7">
        <f>E1741+AD1741</f>
        <v>0</v>
      </c>
      <c r="AF1741" s="8">
        <f>G1741+I1741+K1741+M1741+O1741+Q1741+S1741+U1741+W1741+Y1741+AA1741+AC1741</f>
        <v>0</v>
      </c>
      <c r="AG1741" s="153">
        <f>SUM(AE1741-AF1741)</f>
        <v>0</v>
      </c>
    </row>
    <row r="1742" spans="1:42" customHeight="1" ht="11.5">
      <c r="A1742" s="5"/>
      <c r="B1742" s="173"/>
      <c r="C1742" s="167"/>
      <c r="D1742" s="88"/>
      <c r="E1742" s="174"/>
      <c r="F1742" s="9"/>
      <c r="G1742" s="10"/>
      <c r="H1742" s="9"/>
      <c r="I1742" s="10"/>
      <c r="J1742" s="152"/>
      <c r="K1742" s="10"/>
      <c r="L1742" s="152"/>
      <c r="M1742" s="10"/>
      <c r="N1742" s="152"/>
      <c r="O1742" s="10"/>
      <c r="P1742" s="152"/>
      <c r="Q1742" s="10"/>
      <c r="R1742" s="9"/>
      <c r="S1742" s="10"/>
      <c r="T1742" s="9"/>
      <c r="U1742" s="10"/>
      <c r="V1742" s="9"/>
      <c r="W1742" s="10"/>
      <c r="X1742" s="9"/>
      <c r="Y1742" s="10"/>
      <c r="Z1742" s="9"/>
      <c r="AA1742" s="10"/>
      <c r="AB1742" s="11"/>
      <c r="AC1742" s="10"/>
      <c r="AD1742" s="7">
        <f>SUM(F1742+H1742+J1742+L1742+N1742+P1742+R1742+T1742+V1742+X1742+Z1742+AB1742)</f>
        <v>0</v>
      </c>
      <c r="AE1742" s="7">
        <f>E1742+AD1742</f>
        <v>0</v>
      </c>
      <c r="AF1742" s="8">
        <f>G1742+I1742+K1742+M1742+O1742+Q1742+S1742+U1742+W1742+Y1742+AA1742+AC1742</f>
        <v>0</v>
      </c>
      <c r="AG1742" s="153">
        <f>SUM(AE1742-AF1742)</f>
        <v>0</v>
      </c>
    </row>
    <row r="1743" spans="1:42" customHeight="1" ht="11.5">
      <c r="A1743" s="5"/>
      <c r="B1743" s="173"/>
      <c r="C1743" s="167"/>
      <c r="D1743" s="88"/>
      <c r="E1743" s="174"/>
      <c r="F1743" s="9"/>
      <c r="G1743" s="10"/>
      <c r="H1743" s="9"/>
      <c r="I1743" s="10"/>
      <c r="J1743" s="152"/>
      <c r="K1743" s="10"/>
      <c r="L1743" s="152"/>
      <c r="M1743" s="10"/>
      <c r="N1743" s="152"/>
      <c r="O1743" s="10"/>
      <c r="P1743" s="152"/>
      <c r="Q1743" s="10"/>
      <c r="R1743" s="9"/>
      <c r="S1743" s="10"/>
      <c r="T1743" s="9"/>
      <c r="U1743" s="10"/>
      <c r="V1743" s="9"/>
      <c r="W1743" s="10"/>
      <c r="X1743" s="9"/>
      <c r="Y1743" s="10"/>
      <c r="Z1743" s="9"/>
      <c r="AA1743" s="10"/>
      <c r="AB1743" s="11"/>
      <c r="AC1743" s="10"/>
      <c r="AD1743" s="7">
        <f>SUM(F1743+H1743+J1743+L1743+N1743+P1743+R1743+T1743+V1743+X1743+Z1743+AB1743)</f>
        <v>0</v>
      </c>
      <c r="AE1743" s="7">
        <f>E1743+AD1743</f>
        <v>0</v>
      </c>
      <c r="AF1743" s="8">
        <f>G1743+I1743+K1743+M1743+O1743+Q1743+S1743+U1743+W1743+Y1743+AA1743+AC1743</f>
        <v>0</v>
      </c>
      <c r="AG1743" s="153">
        <f>SUM(AE1743-AF1743)</f>
        <v>0</v>
      </c>
    </row>
    <row r="1744" spans="1:42" customHeight="1" ht="11.5">
      <c r="A1744" s="5"/>
      <c r="B1744" s="173"/>
      <c r="C1744" s="167"/>
      <c r="D1744" s="88"/>
      <c r="E1744" s="174"/>
      <c r="F1744" s="9"/>
      <c r="G1744" s="10"/>
      <c r="H1744" s="9"/>
      <c r="I1744" s="10"/>
      <c r="J1744" s="152"/>
      <c r="K1744" s="10"/>
      <c r="L1744" s="152"/>
      <c r="M1744" s="10"/>
      <c r="N1744" s="152"/>
      <c r="O1744" s="10"/>
      <c r="P1744" s="152"/>
      <c r="Q1744" s="10"/>
      <c r="R1744" s="9"/>
      <c r="S1744" s="10"/>
      <c r="T1744" s="9"/>
      <c r="U1744" s="10"/>
      <c r="V1744" s="9"/>
      <c r="W1744" s="10"/>
      <c r="X1744" s="9"/>
      <c r="Y1744" s="10"/>
      <c r="Z1744" s="9"/>
      <c r="AA1744" s="10"/>
      <c r="AB1744" s="11"/>
      <c r="AC1744" s="10"/>
      <c r="AD1744" s="7">
        <f>SUM(F1744+H1744+J1744+L1744+N1744+P1744+R1744+T1744+V1744+X1744+Z1744+AB1744)</f>
        <v>0</v>
      </c>
      <c r="AE1744" s="7">
        <f>E1744+AD1744</f>
        <v>0</v>
      </c>
      <c r="AF1744" s="8">
        <f>G1744+I1744+K1744+M1744+O1744+Q1744+S1744+U1744+W1744+Y1744+AA1744+AC1744</f>
        <v>0</v>
      </c>
      <c r="AG1744" s="153">
        <f>SUM(AE1744-AF1744)</f>
        <v>0</v>
      </c>
    </row>
    <row r="1745" spans="1:42" customHeight="1" ht="11.5">
      <c r="A1745" s="5"/>
      <c r="B1745" s="173"/>
      <c r="C1745" s="167"/>
      <c r="D1745" s="88"/>
      <c r="E1745" s="174"/>
      <c r="F1745" s="9"/>
      <c r="G1745" s="10"/>
      <c r="H1745" s="9"/>
      <c r="I1745" s="10"/>
      <c r="J1745" s="152"/>
      <c r="K1745" s="10"/>
      <c r="L1745" s="152"/>
      <c r="M1745" s="10"/>
      <c r="N1745" s="152"/>
      <c r="O1745" s="10"/>
      <c r="P1745" s="152"/>
      <c r="Q1745" s="10"/>
      <c r="R1745" s="9"/>
      <c r="S1745" s="10"/>
      <c r="T1745" s="9"/>
      <c r="U1745" s="10"/>
      <c r="V1745" s="9"/>
      <c r="W1745" s="10"/>
      <c r="X1745" s="9"/>
      <c r="Y1745" s="10"/>
      <c r="Z1745" s="9"/>
      <c r="AA1745" s="10"/>
      <c r="AB1745" s="11"/>
      <c r="AC1745" s="10"/>
      <c r="AD1745" s="7">
        <f>SUM(F1745+H1745+J1745+L1745+N1745+P1745+R1745+T1745+V1745+X1745+Z1745+AB1745)</f>
        <v>0</v>
      </c>
      <c r="AE1745" s="7">
        <f>E1745+AD1745</f>
        <v>0</v>
      </c>
      <c r="AF1745" s="8">
        <f>G1745+I1745+K1745+M1745+O1745+Q1745+S1745+U1745+W1745+Y1745+AA1745+AC1745</f>
        <v>0</v>
      </c>
      <c r="AG1745" s="153">
        <f>SUM(AE1745-AF1745)</f>
        <v>0</v>
      </c>
    </row>
    <row r="1746" spans="1:42" customHeight="1" ht="11.5">
      <c r="A1746" s="5"/>
      <c r="B1746" s="173"/>
      <c r="C1746" s="167"/>
      <c r="D1746" s="88"/>
      <c r="E1746" s="174"/>
      <c r="F1746" s="9"/>
      <c r="G1746" s="10"/>
      <c r="H1746" s="9"/>
      <c r="I1746" s="10"/>
      <c r="J1746" s="152"/>
      <c r="K1746" s="10"/>
      <c r="L1746" s="152"/>
      <c r="M1746" s="10"/>
      <c r="N1746" s="152"/>
      <c r="O1746" s="10"/>
      <c r="P1746" s="152"/>
      <c r="Q1746" s="10"/>
      <c r="R1746" s="9"/>
      <c r="S1746" s="10"/>
      <c r="T1746" s="9"/>
      <c r="U1746" s="10"/>
      <c r="V1746" s="9"/>
      <c r="W1746" s="10"/>
      <c r="X1746" s="9"/>
      <c r="Y1746" s="10"/>
      <c r="Z1746" s="9"/>
      <c r="AA1746" s="10"/>
      <c r="AB1746" s="11"/>
      <c r="AC1746" s="10"/>
      <c r="AD1746" s="7">
        <f>SUM(F1746+H1746+J1746+L1746+N1746+P1746+R1746+T1746+V1746+X1746+Z1746+AB1746)</f>
        <v>0</v>
      </c>
      <c r="AE1746" s="7">
        <f>E1746+AD1746</f>
        <v>0</v>
      </c>
      <c r="AF1746" s="8">
        <f>G1746+I1746+K1746+M1746+O1746+Q1746+S1746+U1746+W1746+Y1746+AA1746+AC1746</f>
        <v>0</v>
      </c>
      <c r="AG1746" s="153">
        <f>SUM(AE1746-AF1746)</f>
        <v>0</v>
      </c>
    </row>
    <row r="1747" spans="1:42" customHeight="1" ht="11.5">
      <c r="A1747" s="5"/>
      <c r="B1747" s="173"/>
      <c r="C1747" s="167"/>
      <c r="D1747" s="88"/>
      <c r="E1747" s="174"/>
      <c r="F1747" s="9"/>
      <c r="G1747" s="10"/>
      <c r="H1747" s="9"/>
      <c r="I1747" s="10"/>
      <c r="J1747" s="152"/>
      <c r="K1747" s="10"/>
      <c r="L1747" s="152"/>
      <c r="M1747" s="10"/>
      <c r="N1747" s="152"/>
      <c r="O1747" s="10"/>
      <c r="P1747" s="152"/>
      <c r="Q1747" s="10"/>
      <c r="R1747" s="9"/>
      <c r="S1747" s="10"/>
      <c r="T1747" s="9"/>
      <c r="U1747" s="10"/>
      <c r="V1747" s="9"/>
      <c r="W1747" s="10"/>
      <c r="X1747" s="9"/>
      <c r="Y1747" s="10"/>
      <c r="Z1747" s="9"/>
      <c r="AA1747" s="10"/>
      <c r="AB1747" s="11"/>
      <c r="AC1747" s="10"/>
      <c r="AD1747" s="7">
        <f>SUM(F1747+H1747+J1747+L1747+N1747+P1747+R1747+T1747+V1747+X1747+Z1747+AB1747)</f>
        <v>0</v>
      </c>
      <c r="AE1747" s="7">
        <f>E1747+AD1747</f>
        <v>0</v>
      </c>
      <c r="AF1747" s="8">
        <f>G1747+I1747+K1747+M1747+O1747+Q1747+S1747+U1747+W1747+Y1747+AA1747+AC1747</f>
        <v>0</v>
      </c>
      <c r="AG1747" s="153">
        <f>SUM(AE1747-AF1747)</f>
        <v>0</v>
      </c>
    </row>
    <row r="1748" spans="1:42" customHeight="1" ht="11.5">
      <c r="A1748" s="5"/>
      <c r="B1748" s="173"/>
      <c r="C1748" s="167"/>
      <c r="D1748" s="88"/>
      <c r="E1748" s="174"/>
      <c r="F1748" s="9"/>
      <c r="G1748" s="10"/>
      <c r="H1748" s="9"/>
      <c r="I1748" s="10"/>
      <c r="J1748" s="152"/>
      <c r="K1748" s="10"/>
      <c r="L1748" s="152"/>
      <c r="M1748" s="10"/>
      <c r="N1748" s="152"/>
      <c r="O1748" s="10"/>
      <c r="P1748" s="152"/>
      <c r="Q1748" s="10"/>
      <c r="R1748" s="9"/>
      <c r="S1748" s="10"/>
      <c r="T1748" s="9"/>
      <c r="U1748" s="10"/>
      <c r="V1748" s="9"/>
      <c r="W1748" s="10"/>
      <c r="X1748" s="9"/>
      <c r="Y1748" s="10"/>
      <c r="Z1748" s="9"/>
      <c r="AA1748" s="10"/>
      <c r="AB1748" s="11"/>
      <c r="AC1748" s="10"/>
      <c r="AD1748" s="7">
        <f>SUM(F1748+H1748+J1748+L1748+N1748+P1748+R1748+T1748+V1748+X1748+Z1748+AB1748)</f>
        <v>0</v>
      </c>
      <c r="AE1748" s="7">
        <f>E1748+AD1748</f>
        <v>0</v>
      </c>
      <c r="AF1748" s="8">
        <f>G1748+I1748+K1748+M1748+O1748+Q1748+S1748+U1748+W1748+Y1748+AA1748+AC1748</f>
        <v>0</v>
      </c>
      <c r="AG1748" s="153">
        <f>SUM(AE1748-AF1748)</f>
        <v>0</v>
      </c>
    </row>
    <row r="1749" spans="1:42" customHeight="1" ht="11.5">
      <c r="A1749" s="5"/>
      <c r="B1749" s="173"/>
      <c r="C1749" s="167"/>
      <c r="D1749" s="88"/>
      <c r="E1749" s="174"/>
      <c r="F1749" s="9"/>
      <c r="G1749" s="10"/>
      <c r="H1749" s="9"/>
      <c r="I1749" s="10"/>
      <c r="J1749" s="152"/>
      <c r="K1749" s="10"/>
      <c r="L1749" s="152"/>
      <c r="M1749" s="10"/>
      <c r="N1749" s="152"/>
      <c r="O1749" s="10"/>
      <c r="P1749" s="152"/>
      <c r="Q1749" s="10"/>
      <c r="R1749" s="9"/>
      <c r="S1749" s="10"/>
      <c r="T1749" s="9"/>
      <c r="U1749" s="10"/>
      <c r="V1749" s="9"/>
      <c r="W1749" s="10"/>
      <c r="X1749" s="9"/>
      <c r="Y1749" s="10"/>
      <c r="Z1749" s="9"/>
      <c r="AA1749" s="10"/>
      <c r="AB1749" s="11"/>
      <c r="AC1749" s="10"/>
      <c r="AD1749" s="7">
        <f>SUM(F1749+H1749+J1749+L1749+N1749+P1749+R1749+T1749+V1749+X1749+Z1749+AB1749)</f>
        <v>0</v>
      </c>
      <c r="AE1749" s="7">
        <f>E1749+AD1749</f>
        <v>0</v>
      </c>
      <c r="AF1749" s="8">
        <f>G1749+I1749+K1749+M1749+O1749+Q1749+S1749+U1749+W1749+Y1749+AA1749+AC1749</f>
        <v>0</v>
      </c>
      <c r="AG1749" s="153">
        <f>SUM(AE1749-AF1749)</f>
        <v>0</v>
      </c>
    </row>
    <row r="1750" spans="1:42" customHeight="1" ht="11.5">
      <c r="A1750" s="5"/>
      <c r="B1750" s="173"/>
      <c r="C1750" s="167"/>
      <c r="D1750" s="88"/>
      <c r="E1750" s="174"/>
      <c r="F1750" s="9"/>
      <c r="G1750" s="10"/>
      <c r="H1750" s="9"/>
      <c r="I1750" s="10"/>
      <c r="J1750" s="152"/>
      <c r="K1750" s="10"/>
      <c r="L1750" s="152"/>
      <c r="M1750" s="10"/>
      <c r="N1750" s="152"/>
      <c r="O1750" s="10"/>
      <c r="P1750" s="152"/>
      <c r="Q1750" s="10"/>
      <c r="R1750" s="9"/>
      <c r="S1750" s="10"/>
      <c r="T1750" s="9"/>
      <c r="U1750" s="10"/>
      <c r="V1750" s="9"/>
      <c r="W1750" s="10"/>
      <c r="X1750" s="9"/>
      <c r="Y1750" s="10"/>
      <c r="Z1750" s="9"/>
      <c r="AA1750" s="10"/>
      <c r="AB1750" s="11"/>
      <c r="AC1750" s="10"/>
      <c r="AD1750" s="7">
        <f>SUM(F1750+H1750+J1750+L1750+N1750+P1750+R1750+T1750+V1750+X1750+Z1750+AB1750)</f>
        <v>0</v>
      </c>
      <c r="AE1750" s="7">
        <f>E1750+AD1750</f>
        <v>0</v>
      </c>
      <c r="AF1750" s="8">
        <f>G1750+I1750+K1750+M1750+O1750+Q1750+S1750+U1750+W1750+Y1750+AA1750+AC1750</f>
        <v>0</v>
      </c>
      <c r="AG1750" s="153">
        <f>SUM(AE1750-AF1750)</f>
        <v>0</v>
      </c>
    </row>
    <row r="1751" spans="1:42" customHeight="1" ht="11.5">
      <c r="A1751" s="5"/>
      <c r="B1751" s="173"/>
      <c r="C1751" s="167"/>
      <c r="D1751" s="88"/>
      <c r="E1751" s="174"/>
      <c r="F1751" s="9"/>
      <c r="G1751" s="10"/>
      <c r="H1751" s="9"/>
      <c r="I1751" s="10"/>
      <c r="J1751" s="152"/>
      <c r="K1751" s="10"/>
      <c r="L1751" s="152"/>
      <c r="M1751" s="10"/>
      <c r="N1751" s="152"/>
      <c r="O1751" s="10"/>
      <c r="P1751" s="152"/>
      <c r="Q1751" s="10"/>
      <c r="R1751" s="9"/>
      <c r="S1751" s="10"/>
      <c r="T1751" s="9"/>
      <c r="U1751" s="10"/>
      <c r="V1751" s="9"/>
      <c r="W1751" s="10"/>
      <c r="X1751" s="9"/>
      <c r="Y1751" s="10"/>
      <c r="Z1751" s="9"/>
      <c r="AA1751" s="10"/>
      <c r="AB1751" s="11"/>
      <c r="AC1751" s="10"/>
      <c r="AD1751" s="7">
        <f>SUM(F1751+H1751+J1751+L1751+N1751+P1751+R1751+T1751+V1751+X1751+Z1751+AB1751)</f>
        <v>0</v>
      </c>
      <c r="AE1751" s="7">
        <f>E1751+AD1751</f>
        <v>0</v>
      </c>
      <c r="AF1751" s="8">
        <f>G1751+I1751+K1751+M1751+O1751+Q1751+S1751+U1751+W1751+Y1751+AA1751+AC1751</f>
        <v>0</v>
      </c>
      <c r="AG1751" s="153">
        <f>SUM(AE1751-AF1751)</f>
        <v>0</v>
      </c>
    </row>
    <row r="1752" spans="1:42" customHeight="1" ht="11.5">
      <c r="A1752" s="5"/>
      <c r="B1752" s="173"/>
      <c r="C1752" s="167"/>
      <c r="D1752" s="88"/>
      <c r="E1752" s="174"/>
      <c r="F1752" s="9"/>
      <c r="G1752" s="10"/>
      <c r="H1752" s="9"/>
      <c r="I1752" s="10"/>
      <c r="J1752" s="152"/>
      <c r="K1752" s="10"/>
      <c r="L1752" s="152"/>
      <c r="M1752" s="10"/>
      <c r="N1752" s="152"/>
      <c r="O1752" s="10"/>
      <c r="P1752" s="152"/>
      <c r="Q1752" s="10"/>
      <c r="R1752" s="9"/>
      <c r="S1752" s="10"/>
      <c r="T1752" s="9"/>
      <c r="U1752" s="10"/>
      <c r="V1752" s="9"/>
      <c r="W1752" s="10"/>
      <c r="X1752" s="9"/>
      <c r="Y1752" s="10"/>
      <c r="Z1752" s="9"/>
      <c r="AA1752" s="10"/>
      <c r="AB1752" s="11"/>
      <c r="AC1752" s="10"/>
      <c r="AD1752" s="7">
        <f>SUM(F1752+H1752+J1752+L1752+N1752+P1752+R1752+T1752+V1752+X1752+Z1752+AB1752)</f>
        <v>0</v>
      </c>
      <c r="AE1752" s="7">
        <f>E1752+AD1752</f>
        <v>0</v>
      </c>
      <c r="AF1752" s="8">
        <f>G1752+I1752+K1752+M1752+O1752+Q1752+S1752+U1752+W1752+Y1752+AA1752+AC1752</f>
        <v>0</v>
      </c>
      <c r="AG1752" s="153">
        <f>SUM(AE1752-AF1752)</f>
        <v>0</v>
      </c>
    </row>
    <row r="1753" spans="1:42" customHeight="1" ht="11.5">
      <c r="A1753" s="5"/>
      <c r="B1753" s="173"/>
      <c r="C1753" s="167"/>
      <c r="D1753" s="88"/>
      <c r="E1753" s="174"/>
      <c r="F1753" s="9"/>
      <c r="G1753" s="10"/>
      <c r="H1753" s="9"/>
      <c r="I1753" s="10"/>
      <c r="J1753" s="152"/>
      <c r="K1753" s="10"/>
      <c r="L1753" s="152"/>
      <c r="M1753" s="10"/>
      <c r="N1753" s="152"/>
      <c r="O1753" s="10"/>
      <c r="P1753" s="152"/>
      <c r="Q1753" s="10"/>
      <c r="R1753" s="9"/>
      <c r="S1753" s="10"/>
      <c r="T1753" s="9"/>
      <c r="U1753" s="10"/>
      <c r="V1753" s="9"/>
      <c r="W1753" s="10"/>
      <c r="X1753" s="9"/>
      <c r="Y1753" s="10"/>
      <c r="Z1753" s="9"/>
      <c r="AA1753" s="10"/>
      <c r="AB1753" s="11"/>
      <c r="AC1753" s="10"/>
      <c r="AD1753" s="7">
        <f>SUM(F1753+H1753+J1753+L1753+N1753+P1753+R1753+T1753+V1753+X1753+Z1753+AB1753)</f>
        <v>0</v>
      </c>
      <c r="AE1753" s="7">
        <f>E1753+AD1753</f>
        <v>0</v>
      </c>
      <c r="AF1753" s="8">
        <f>G1753+I1753+K1753+M1753+O1753+Q1753+S1753+U1753+W1753+Y1753+AA1753+AC1753</f>
        <v>0</v>
      </c>
      <c r="AG1753" s="153">
        <f>SUM(AE1753-AF1753)</f>
        <v>0</v>
      </c>
    </row>
    <row r="1754" spans="1:42" customHeight="1" ht="11.5">
      <c r="A1754" s="5"/>
      <c r="B1754" s="173"/>
      <c r="C1754" s="167"/>
      <c r="D1754" s="88"/>
      <c r="E1754" s="174"/>
      <c r="F1754" s="9"/>
      <c r="G1754" s="10"/>
      <c r="H1754" s="9"/>
      <c r="I1754" s="10"/>
      <c r="J1754" s="152"/>
      <c r="K1754" s="10"/>
      <c r="L1754" s="152"/>
      <c r="M1754" s="10"/>
      <c r="N1754" s="152"/>
      <c r="O1754" s="10"/>
      <c r="P1754" s="152"/>
      <c r="Q1754" s="10"/>
      <c r="R1754" s="9"/>
      <c r="S1754" s="10"/>
      <c r="T1754" s="9"/>
      <c r="U1754" s="10"/>
      <c r="V1754" s="9"/>
      <c r="W1754" s="10"/>
      <c r="X1754" s="9"/>
      <c r="Y1754" s="10"/>
      <c r="Z1754" s="9"/>
      <c r="AA1754" s="10"/>
      <c r="AB1754" s="11"/>
      <c r="AC1754" s="10"/>
      <c r="AD1754" s="7">
        <f>SUM(F1754+H1754+J1754+L1754+N1754+P1754+R1754+T1754+V1754+X1754+Z1754+AB1754)</f>
        <v>0</v>
      </c>
      <c r="AE1754" s="7">
        <f>E1754+AD1754</f>
        <v>0</v>
      </c>
      <c r="AF1754" s="8">
        <f>G1754+I1754+K1754+M1754+O1754+Q1754+S1754+U1754+W1754+Y1754+AA1754+AC1754</f>
        <v>0</v>
      </c>
      <c r="AG1754" s="153">
        <f>SUM(AE1754-AF1754)</f>
        <v>0</v>
      </c>
    </row>
    <row r="1755" spans="1:42" customHeight="1" ht="11.5">
      <c r="A1755" s="5"/>
      <c r="B1755" s="173"/>
      <c r="C1755" s="167"/>
      <c r="D1755" s="88"/>
      <c r="E1755" s="174"/>
      <c r="F1755" s="9"/>
      <c r="G1755" s="10"/>
      <c r="H1755" s="9"/>
      <c r="I1755" s="10"/>
      <c r="J1755" s="152"/>
      <c r="K1755" s="10"/>
      <c r="L1755" s="152"/>
      <c r="M1755" s="10"/>
      <c r="N1755" s="152"/>
      <c r="O1755" s="10"/>
      <c r="P1755" s="152"/>
      <c r="Q1755" s="10"/>
      <c r="R1755" s="9"/>
      <c r="S1755" s="10"/>
      <c r="T1755" s="9"/>
      <c r="U1755" s="10"/>
      <c r="V1755" s="9"/>
      <c r="W1755" s="10"/>
      <c r="X1755" s="9"/>
      <c r="Y1755" s="10"/>
      <c r="Z1755" s="9"/>
      <c r="AA1755" s="10"/>
      <c r="AB1755" s="11"/>
      <c r="AC1755" s="10"/>
      <c r="AD1755" s="7">
        <f>SUM(F1755+H1755+J1755+L1755+N1755+P1755+R1755+T1755+V1755+X1755+Z1755+AB1755)</f>
        <v>0</v>
      </c>
      <c r="AE1755" s="7">
        <f>E1755+AD1755</f>
        <v>0</v>
      </c>
      <c r="AF1755" s="8">
        <f>G1755+I1755+K1755+M1755+O1755+Q1755+S1755+U1755+W1755+Y1755+AA1755+AC1755</f>
        <v>0</v>
      </c>
      <c r="AG1755" s="153">
        <f>SUM(AE1755-AF1755)</f>
        <v>0</v>
      </c>
    </row>
    <row r="1756" spans="1:42" customHeight="1" ht="11.5">
      <c r="A1756" s="5"/>
      <c r="B1756" s="173"/>
      <c r="C1756" s="167"/>
      <c r="D1756" s="88"/>
      <c r="E1756" s="174"/>
      <c r="F1756" s="9"/>
      <c r="G1756" s="10"/>
      <c r="H1756" s="9"/>
      <c r="I1756" s="10"/>
      <c r="J1756" s="152"/>
      <c r="K1756" s="10"/>
      <c r="L1756" s="152"/>
      <c r="M1756" s="10"/>
      <c r="N1756" s="152"/>
      <c r="O1756" s="10"/>
      <c r="P1756" s="152"/>
      <c r="Q1756" s="10"/>
      <c r="R1756" s="9"/>
      <c r="S1756" s="10"/>
      <c r="T1756" s="9"/>
      <c r="U1756" s="10"/>
      <c r="V1756" s="9"/>
      <c r="W1756" s="10"/>
      <c r="X1756" s="9"/>
      <c r="Y1756" s="10"/>
      <c r="Z1756" s="9"/>
      <c r="AA1756" s="10"/>
      <c r="AB1756" s="11"/>
      <c r="AC1756" s="10"/>
      <c r="AD1756" s="7">
        <f>SUM(F1756+H1756+J1756+L1756+N1756+P1756+R1756+T1756+V1756+X1756+Z1756+AB1756)</f>
        <v>0</v>
      </c>
      <c r="AE1756" s="7">
        <f>E1756+AD1756</f>
        <v>0</v>
      </c>
      <c r="AF1756" s="8">
        <f>G1756+I1756+K1756+M1756+O1756+Q1756+S1756+U1756+W1756+Y1756+AA1756+AC1756</f>
        <v>0</v>
      </c>
      <c r="AG1756" s="153">
        <f>SUM(AE1756-AF1756)</f>
        <v>0</v>
      </c>
    </row>
    <row r="1757" spans="1:42" customHeight="1" ht="11.5">
      <c r="A1757" s="5"/>
      <c r="B1757" s="173"/>
      <c r="C1757" s="167"/>
      <c r="D1757" s="88"/>
      <c r="E1757" s="174"/>
      <c r="F1757" s="9"/>
      <c r="G1757" s="10"/>
      <c r="H1757" s="9"/>
      <c r="I1757" s="10"/>
      <c r="J1757" s="152"/>
      <c r="K1757" s="10"/>
      <c r="L1757" s="152"/>
      <c r="M1757" s="10"/>
      <c r="N1757" s="152"/>
      <c r="O1757" s="10"/>
      <c r="P1757" s="152"/>
      <c r="Q1757" s="10"/>
      <c r="R1757" s="9"/>
      <c r="S1757" s="10"/>
      <c r="T1757" s="9"/>
      <c r="U1757" s="10"/>
      <c r="V1757" s="9"/>
      <c r="W1757" s="10"/>
      <c r="X1757" s="9"/>
      <c r="Y1757" s="10"/>
      <c r="Z1757" s="9"/>
      <c r="AA1757" s="10"/>
      <c r="AB1757" s="11"/>
      <c r="AC1757" s="10"/>
      <c r="AD1757" s="7">
        <f>SUM(F1757+H1757+J1757+L1757+N1757+P1757+R1757+T1757+V1757+X1757+Z1757+AB1757)</f>
        <v>0</v>
      </c>
      <c r="AE1757" s="7">
        <f>E1757+AD1757</f>
        <v>0</v>
      </c>
      <c r="AF1757" s="8">
        <f>G1757+I1757+K1757+M1757+O1757+Q1757+S1757+U1757+W1757+Y1757+AA1757+AC1757</f>
        <v>0</v>
      </c>
      <c r="AG1757" s="153">
        <f>SUM(AE1757-AF1757)</f>
        <v>0</v>
      </c>
    </row>
    <row r="1758" spans="1:42" customHeight="1" ht="11.5">
      <c r="A1758" s="5"/>
      <c r="B1758" s="173"/>
      <c r="C1758" s="167"/>
      <c r="D1758" s="88"/>
      <c r="E1758" s="174"/>
      <c r="F1758" s="9"/>
      <c r="G1758" s="10"/>
      <c r="H1758" s="9"/>
      <c r="I1758" s="10"/>
      <c r="J1758" s="152"/>
      <c r="K1758" s="10"/>
      <c r="L1758" s="152"/>
      <c r="M1758" s="10"/>
      <c r="N1758" s="152"/>
      <c r="O1758" s="10"/>
      <c r="P1758" s="152"/>
      <c r="Q1758" s="10"/>
      <c r="R1758" s="9"/>
      <c r="S1758" s="10"/>
      <c r="T1758" s="9"/>
      <c r="U1758" s="10"/>
      <c r="V1758" s="9"/>
      <c r="W1758" s="10"/>
      <c r="X1758" s="9"/>
      <c r="Y1758" s="10"/>
      <c r="Z1758" s="9"/>
      <c r="AA1758" s="10"/>
      <c r="AB1758" s="11"/>
      <c r="AC1758" s="10"/>
      <c r="AD1758" s="7">
        <f>SUM(F1758+H1758+J1758+L1758+N1758+P1758+R1758+T1758+V1758+X1758+Z1758+AB1758)</f>
        <v>0</v>
      </c>
      <c r="AE1758" s="7">
        <f>E1758+AD1758</f>
        <v>0</v>
      </c>
      <c r="AF1758" s="8">
        <f>G1758+I1758+K1758+M1758+O1758+Q1758+S1758+U1758+W1758+Y1758+AA1758+AC1758</f>
        <v>0</v>
      </c>
      <c r="AG1758" s="153">
        <f>SUM(AE1758-AF1758)</f>
        <v>0</v>
      </c>
    </row>
    <row r="1759" spans="1:42" customHeight="1" ht="11.5">
      <c r="A1759" s="5"/>
      <c r="B1759" s="173"/>
      <c r="C1759" s="167"/>
      <c r="D1759" s="88"/>
      <c r="E1759" s="174"/>
      <c r="F1759" s="9"/>
      <c r="G1759" s="10"/>
      <c r="H1759" s="9"/>
      <c r="I1759" s="10"/>
      <c r="J1759" s="152"/>
      <c r="K1759" s="10"/>
      <c r="L1759" s="152"/>
      <c r="M1759" s="10"/>
      <c r="N1759" s="152"/>
      <c r="O1759" s="10"/>
      <c r="P1759" s="152"/>
      <c r="Q1759" s="10"/>
      <c r="R1759" s="9"/>
      <c r="S1759" s="10"/>
      <c r="T1759" s="9"/>
      <c r="U1759" s="10"/>
      <c r="V1759" s="9"/>
      <c r="W1759" s="10"/>
      <c r="X1759" s="9"/>
      <c r="Y1759" s="10"/>
      <c r="Z1759" s="9"/>
      <c r="AA1759" s="10"/>
      <c r="AB1759" s="11"/>
      <c r="AC1759" s="10"/>
      <c r="AD1759" s="7">
        <f>SUM(F1759+H1759+J1759+L1759+N1759+P1759+R1759+T1759+V1759+X1759+Z1759+AB1759)</f>
        <v>0</v>
      </c>
      <c r="AE1759" s="7">
        <f>E1759+AD1759</f>
        <v>0</v>
      </c>
      <c r="AF1759" s="8">
        <f>G1759+I1759+K1759+M1759+O1759+Q1759+S1759+U1759+W1759+Y1759+AA1759+AC1759</f>
        <v>0</v>
      </c>
      <c r="AG1759" s="153">
        <f>SUM(AE1759-AF1759)</f>
        <v>0</v>
      </c>
    </row>
    <row r="1760" spans="1:42" customHeight="1" ht="11.5">
      <c r="A1760" s="5"/>
      <c r="B1760" s="173"/>
      <c r="C1760" s="167"/>
      <c r="D1760" s="88"/>
      <c r="E1760" s="174"/>
      <c r="F1760" s="9"/>
      <c r="G1760" s="10"/>
      <c r="H1760" s="9"/>
      <c r="I1760" s="10"/>
      <c r="J1760" s="152"/>
      <c r="K1760" s="10"/>
      <c r="L1760" s="152"/>
      <c r="M1760" s="10"/>
      <c r="N1760" s="152"/>
      <c r="O1760" s="10"/>
      <c r="P1760" s="152"/>
      <c r="Q1760" s="10"/>
      <c r="R1760" s="9"/>
      <c r="S1760" s="10"/>
      <c r="T1760" s="9"/>
      <c r="U1760" s="10"/>
      <c r="V1760" s="9"/>
      <c r="W1760" s="10"/>
      <c r="X1760" s="9"/>
      <c r="Y1760" s="10"/>
      <c r="Z1760" s="9"/>
      <c r="AA1760" s="10"/>
      <c r="AB1760" s="11"/>
      <c r="AC1760" s="10"/>
      <c r="AD1760" s="7">
        <f>SUM(F1760+H1760+J1760+L1760+N1760+P1760+R1760+T1760+V1760+X1760+Z1760+AB1760)</f>
        <v>0</v>
      </c>
      <c r="AE1760" s="7">
        <f>E1760+AD1760</f>
        <v>0</v>
      </c>
      <c r="AF1760" s="8">
        <f>G1760+I1760+K1760+M1760+O1760+Q1760+S1760+U1760+W1760+Y1760+AA1760+AC1760</f>
        <v>0</v>
      </c>
      <c r="AG1760" s="153">
        <f>SUM(AE1760-AF1760)</f>
        <v>0</v>
      </c>
    </row>
    <row r="1761" spans="1:42" customHeight="1" ht="11.5">
      <c r="A1761" s="5"/>
      <c r="B1761" s="173"/>
      <c r="C1761" s="167"/>
      <c r="D1761" s="88"/>
      <c r="E1761" s="174"/>
      <c r="F1761" s="9"/>
      <c r="G1761" s="10"/>
      <c r="H1761" s="9"/>
      <c r="I1761" s="10"/>
      <c r="J1761" s="152"/>
      <c r="K1761" s="10"/>
      <c r="L1761" s="152"/>
      <c r="M1761" s="10"/>
      <c r="N1761" s="152"/>
      <c r="O1761" s="10"/>
      <c r="P1761" s="152"/>
      <c r="Q1761" s="10"/>
      <c r="R1761" s="9"/>
      <c r="S1761" s="10"/>
      <c r="T1761" s="9"/>
      <c r="U1761" s="10"/>
      <c r="V1761" s="9"/>
      <c r="W1761" s="10"/>
      <c r="X1761" s="9"/>
      <c r="Y1761" s="10"/>
      <c r="Z1761" s="9"/>
      <c r="AA1761" s="10"/>
      <c r="AB1761" s="11"/>
      <c r="AC1761" s="10"/>
      <c r="AD1761" s="7">
        <f>SUM(F1761+H1761+J1761+L1761+N1761+P1761+R1761+T1761+V1761+X1761+Z1761+AB1761)</f>
        <v>0</v>
      </c>
      <c r="AE1761" s="7">
        <f>E1761+AD1761</f>
        <v>0</v>
      </c>
      <c r="AF1761" s="8">
        <f>G1761+I1761+K1761+M1761+O1761+Q1761+S1761+U1761+W1761+Y1761+AA1761+AC1761</f>
        <v>0</v>
      </c>
      <c r="AG1761" s="153">
        <f>SUM(AE1761-AF1761)</f>
        <v>0</v>
      </c>
    </row>
    <row r="1762" spans="1:42" customHeight="1" ht="11.5">
      <c r="A1762" s="5"/>
      <c r="B1762" s="173"/>
      <c r="C1762" s="167"/>
      <c r="D1762" s="88"/>
      <c r="E1762" s="174"/>
      <c r="F1762" s="9"/>
      <c r="G1762" s="10"/>
      <c r="H1762" s="9"/>
      <c r="I1762" s="10"/>
      <c r="J1762" s="152"/>
      <c r="K1762" s="10"/>
      <c r="L1762" s="152"/>
      <c r="M1762" s="10"/>
      <c r="N1762" s="152"/>
      <c r="O1762" s="10"/>
      <c r="P1762" s="152"/>
      <c r="Q1762" s="10"/>
      <c r="R1762" s="9"/>
      <c r="S1762" s="10"/>
      <c r="T1762" s="9"/>
      <c r="U1762" s="10"/>
      <c r="V1762" s="9"/>
      <c r="W1762" s="10"/>
      <c r="X1762" s="9"/>
      <c r="Y1762" s="10"/>
      <c r="Z1762" s="9"/>
      <c r="AA1762" s="10"/>
      <c r="AB1762" s="11"/>
      <c r="AC1762" s="10"/>
      <c r="AD1762" s="7">
        <f>SUM(F1762+H1762+J1762+L1762+N1762+P1762+R1762+T1762+V1762+X1762+Z1762+AB1762)</f>
        <v>0</v>
      </c>
      <c r="AE1762" s="7">
        <f>E1762+AD1762</f>
        <v>0</v>
      </c>
      <c r="AF1762" s="8">
        <f>G1762+I1762+K1762+M1762+O1762+Q1762+S1762+U1762+W1762+Y1762+AA1762+AC1762</f>
        <v>0</v>
      </c>
      <c r="AG1762" s="153">
        <f>SUM(AE1762-AF1762)</f>
        <v>0</v>
      </c>
    </row>
    <row r="1763" spans="1:42" customHeight="1" ht="11.5">
      <c r="A1763" s="5"/>
      <c r="B1763" s="173"/>
      <c r="C1763" s="167"/>
      <c r="D1763" s="88"/>
      <c r="E1763" s="174"/>
      <c r="F1763" s="9"/>
      <c r="G1763" s="10"/>
      <c r="H1763" s="9"/>
      <c r="I1763" s="10"/>
      <c r="J1763" s="152"/>
      <c r="K1763" s="10"/>
      <c r="L1763" s="152"/>
      <c r="M1763" s="10"/>
      <c r="N1763" s="152"/>
      <c r="O1763" s="10"/>
      <c r="P1763" s="152"/>
      <c r="Q1763" s="10"/>
      <c r="R1763" s="9"/>
      <c r="S1763" s="10"/>
      <c r="T1763" s="9"/>
      <c r="U1763" s="10"/>
      <c r="V1763" s="9"/>
      <c r="W1763" s="10"/>
      <c r="X1763" s="9"/>
      <c r="Y1763" s="10"/>
      <c r="Z1763" s="9"/>
      <c r="AA1763" s="10"/>
      <c r="AB1763" s="11"/>
      <c r="AC1763" s="10"/>
      <c r="AD1763" s="7">
        <f>SUM(F1763+H1763+J1763+L1763+N1763+P1763+R1763+T1763+V1763+X1763+Z1763+AB1763)</f>
        <v>0</v>
      </c>
      <c r="AE1763" s="7">
        <f>E1763+AD1763</f>
        <v>0</v>
      </c>
      <c r="AF1763" s="8">
        <f>G1763+I1763+K1763+M1763+O1763+Q1763+S1763+U1763+W1763+Y1763+AA1763+AC1763</f>
        <v>0</v>
      </c>
      <c r="AG1763" s="153">
        <f>SUM(AE1763-AF1763)</f>
        <v>0</v>
      </c>
    </row>
    <row r="1764" spans="1:42" customHeight="1" ht="11.5">
      <c r="A1764" s="5"/>
      <c r="B1764" s="173"/>
      <c r="C1764" s="167"/>
      <c r="D1764" s="88"/>
      <c r="E1764" s="174"/>
      <c r="F1764" s="9"/>
      <c r="G1764" s="10"/>
      <c r="H1764" s="9"/>
      <c r="I1764" s="10"/>
      <c r="J1764" s="152"/>
      <c r="K1764" s="10"/>
      <c r="L1764" s="152"/>
      <c r="M1764" s="10"/>
      <c r="N1764" s="152"/>
      <c r="O1764" s="10"/>
      <c r="P1764" s="152"/>
      <c r="Q1764" s="10"/>
      <c r="R1764" s="9"/>
      <c r="S1764" s="10"/>
      <c r="T1764" s="9"/>
      <c r="U1764" s="10"/>
      <c r="V1764" s="9"/>
      <c r="W1764" s="10"/>
      <c r="X1764" s="9"/>
      <c r="Y1764" s="10"/>
      <c r="Z1764" s="9"/>
      <c r="AA1764" s="10"/>
      <c r="AB1764" s="11"/>
      <c r="AC1764" s="10"/>
      <c r="AD1764" s="7">
        <f>SUM(F1764+H1764+J1764+L1764+N1764+P1764+R1764+T1764+V1764+X1764+Z1764+AB1764)</f>
        <v>0</v>
      </c>
      <c r="AE1764" s="7">
        <f>E1764+AD1764</f>
        <v>0</v>
      </c>
      <c r="AF1764" s="8">
        <f>G1764+I1764+K1764+M1764+O1764+Q1764+S1764+U1764+W1764+Y1764+AA1764+AC1764</f>
        <v>0</v>
      </c>
      <c r="AG1764" s="153">
        <f>SUM(AE1764-AF1764)</f>
        <v>0</v>
      </c>
    </row>
    <row r="1765" spans="1:42" customHeight="1" ht="11.5">
      <c r="A1765" s="5"/>
      <c r="B1765" s="173"/>
      <c r="C1765" s="167"/>
      <c r="D1765" s="88"/>
      <c r="E1765" s="174"/>
      <c r="F1765" s="9"/>
      <c r="G1765" s="10"/>
      <c r="H1765" s="9"/>
      <c r="I1765" s="10"/>
      <c r="J1765" s="152"/>
      <c r="K1765" s="10"/>
      <c r="L1765" s="152"/>
      <c r="M1765" s="10"/>
      <c r="N1765" s="152"/>
      <c r="O1765" s="10"/>
      <c r="P1765" s="152"/>
      <c r="Q1765" s="10"/>
      <c r="R1765" s="9"/>
      <c r="S1765" s="10"/>
      <c r="T1765" s="9"/>
      <c r="U1765" s="10"/>
      <c r="V1765" s="9"/>
      <c r="W1765" s="10"/>
      <c r="X1765" s="9"/>
      <c r="Y1765" s="10"/>
      <c r="Z1765" s="9"/>
      <c r="AA1765" s="10"/>
      <c r="AB1765" s="11"/>
      <c r="AC1765" s="10"/>
      <c r="AD1765" s="7">
        <f>SUM(F1765+H1765+J1765+L1765+N1765+P1765+R1765+T1765+V1765+X1765+Z1765+AB1765)</f>
        <v>0</v>
      </c>
      <c r="AE1765" s="7">
        <f>E1765+AD1765</f>
        <v>0</v>
      </c>
      <c r="AF1765" s="8">
        <f>G1765+I1765+K1765+M1765+O1765+Q1765+S1765+U1765+W1765+Y1765+AA1765+AC1765</f>
        <v>0</v>
      </c>
      <c r="AG1765" s="153">
        <f>SUM(AE1765-AF1765)</f>
        <v>0</v>
      </c>
    </row>
    <row r="1766" spans="1:42" customHeight="1" ht="11.5">
      <c r="A1766" s="5"/>
      <c r="B1766" s="173"/>
      <c r="C1766" s="167"/>
      <c r="D1766" s="88"/>
      <c r="E1766" s="174"/>
      <c r="F1766" s="9"/>
      <c r="G1766" s="10"/>
      <c r="H1766" s="9"/>
      <c r="I1766" s="10"/>
      <c r="J1766" s="152"/>
      <c r="K1766" s="10"/>
      <c r="L1766" s="152"/>
      <c r="M1766" s="10"/>
      <c r="N1766" s="152"/>
      <c r="O1766" s="10"/>
      <c r="P1766" s="152"/>
      <c r="Q1766" s="10"/>
      <c r="R1766" s="9"/>
      <c r="S1766" s="10"/>
      <c r="T1766" s="9"/>
      <c r="U1766" s="10"/>
      <c r="V1766" s="9"/>
      <c r="W1766" s="10"/>
      <c r="X1766" s="9"/>
      <c r="Y1766" s="10"/>
      <c r="Z1766" s="9"/>
      <c r="AA1766" s="10"/>
      <c r="AB1766" s="11"/>
      <c r="AC1766" s="10"/>
      <c r="AD1766" s="7">
        <f>SUM(F1766+H1766+J1766+L1766+N1766+P1766+R1766+T1766+V1766+X1766+Z1766+AB1766)</f>
        <v>0</v>
      </c>
      <c r="AE1766" s="7">
        <f>E1766+AD1766</f>
        <v>0</v>
      </c>
      <c r="AF1766" s="8">
        <f>G1766+I1766+K1766+M1766+O1766+Q1766+S1766+U1766+W1766+Y1766+AA1766+AC1766</f>
        <v>0</v>
      </c>
      <c r="AG1766" s="153">
        <f>SUM(AE1766-AF1766)</f>
        <v>0</v>
      </c>
    </row>
    <row r="1767" spans="1:42" customHeight="1" ht="11.5">
      <c r="A1767" s="5"/>
      <c r="B1767" s="173"/>
      <c r="C1767" s="167"/>
      <c r="D1767" s="88"/>
      <c r="E1767" s="174"/>
      <c r="F1767" s="9"/>
      <c r="G1767" s="10"/>
      <c r="H1767" s="9"/>
      <c r="I1767" s="10"/>
      <c r="J1767" s="152"/>
      <c r="K1767" s="10"/>
      <c r="L1767" s="152"/>
      <c r="M1767" s="10"/>
      <c r="N1767" s="152"/>
      <c r="O1767" s="10"/>
      <c r="P1767" s="152"/>
      <c r="Q1767" s="10"/>
      <c r="R1767" s="9"/>
      <c r="S1767" s="10"/>
      <c r="T1767" s="9"/>
      <c r="U1767" s="10"/>
      <c r="V1767" s="9"/>
      <c r="W1767" s="10"/>
      <c r="X1767" s="9"/>
      <c r="Y1767" s="10"/>
      <c r="Z1767" s="9"/>
      <c r="AA1767" s="10"/>
      <c r="AB1767" s="11"/>
      <c r="AC1767" s="10"/>
      <c r="AD1767" s="7">
        <f>SUM(F1767+H1767+J1767+L1767+N1767+P1767+R1767+T1767+V1767+X1767+Z1767+AB1767)</f>
        <v>0</v>
      </c>
      <c r="AE1767" s="7">
        <f>E1767+AD1767</f>
        <v>0</v>
      </c>
      <c r="AF1767" s="8">
        <f>G1767+I1767+K1767+M1767+O1767+Q1767+S1767+U1767+W1767+Y1767+AA1767+AC1767</f>
        <v>0</v>
      </c>
      <c r="AG1767" s="153">
        <f>SUM(AE1767-AF1767)</f>
        <v>0</v>
      </c>
    </row>
    <row r="1768" spans="1:42" customHeight="1" ht="11.5">
      <c r="A1768" s="5"/>
      <c r="B1768" s="173"/>
      <c r="C1768" s="167"/>
      <c r="D1768" s="88"/>
      <c r="E1768" s="174"/>
      <c r="F1768" s="9"/>
      <c r="G1768" s="10"/>
      <c r="H1768" s="9"/>
      <c r="I1768" s="10"/>
      <c r="J1768" s="152"/>
      <c r="K1768" s="10"/>
      <c r="L1768" s="152"/>
      <c r="M1768" s="10"/>
      <c r="N1768" s="152"/>
      <c r="O1768" s="10"/>
      <c r="P1768" s="152"/>
      <c r="Q1768" s="10"/>
      <c r="R1768" s="9"/>
      <c r="S1768" s="10"/>
      <c r="T1768" s="9"/>
      <c r="U1768" s="10"/>
      <c r="V1768" s="9"/>
      <c r="W1768" s="10"/>
      <c r="X1768" s="9"/>
      <c r="Y1768" s="10"/>
      <c r="Z1768" s="9"/>
      <c r="AA1768" s="10"/>
      <c r="AB1768" s="11"/>
      <c r="AC1768" s="10"/>
      <c r="AD1768" s="7">
        <f>SUM(F1768+H1768+J1768+L1768+N1768+P1768+R1768+T1768+V1768+X1768+Z1768+AB1768)</f>
        <v>0</v>
      </c>
      <c r="AE1768" s="7">
        <f>E1768+AD1768</f>
        <v>0</v>
      </c>
      <c r="AF1768" s="8">
        <f>G1768+I1768+K1768+M1768+O1768+Q1768+S1768+U1768+W1768+Y1768+AA1768+AC1768</f>
        <v>0</v>
      </c>
      <c r="AG1768" s="153">
        <f>SUM(AE1768-AF1768)</f>
        <v>0</v>
      </c>
    </row>
    <row r="1769" spans="1:42" customHeight="1" ht="11.5">
      <c r="A1769" s="5"/>
      <c r="B1769" s="173"/>
      <c r="C1769" s="167"/>
      <c r="D1769" s="88"/>
      <c r="E1769" s="174"/>
      <c r="F1769" s="9"/>
      <c r="G1769" s="10"/>
      <c r="H1769" s="9"/>
      <c r="I1769" s="10"/>
      <c r="J1769" s="152"/>
      <c r="K1769" s="10"/>
      <c r="L1769" s="152"/>
      <c r="M1769" s="10"/>
      <c r="N1769" s="152"/>
      <c r="O1769" s="10"/>
      <c r="P1769" s="152"/>
      <c r="Q1769" s="10"/>
      <c r="R1769" s="9"/>
      <c r="S1769" s="10"/>
      <c r="T1769" s="9"/>
      <c r="U1769" s="10"/>
      <c r="V1769" s="9"/>
      <c r="W1769" s="10"/>
      <c r="X1769" s="9"/>
      <c r="Y1769" s="10"/>
      <c r="Z1769" s="9"/>
      <c r="AA1769" s="10"/>
      <c r="AB1769" s="11"/>
      <c r="AC1769" s="10"/>
      <c r="AD1769" s="7">
        <f>SUM(F1769+H1769+J1769+L1769+N1769+P1769+R1769+T1769+V1769+X1769+Z1769+AB1769)</f>
        <v>0</v>
      </c>
      <c r="AE1769" s="7">
        <f>E1769+AD1769</f>
        <v>0</v>
      </c>
      <c r="AF1769" s="8">
        <f>G1769+I1769+K1769+M1769+O1769+Q1769+S1769+U1769+W1769+Y1769+AA1769+AC1769</f>
        <v>0</v>
      </c>
      <c r="AG1769" s="153">
        <f>SUM(AE1769-AF1769)</f>
        <v>0</v>
      </c>
    </row>
    <row r="1770" spans="1:42" customHeight="1" ht="11.5">
      <c r="A1770" s="5"/>
      <c r="B1770" s="173"/>
      <c r="C1770" s="167"/>
      <c r="D1770" s="88"/>
      <c r="E1770" s="174"/>
      <c r="F1770" s="9"/>
      <c r="G1770" s="10"/>
      <c r="H1770" s="9"/>
      <c r="I1770" s="10"/>
      <c r="J1770" s="152"/>
      <c r="K1770" s="10"/>
      <c r="L1770" s="152"/>
      <c r="M1770" s="10"/>
      <c r="N1770" s="152"/>
      <c r="O1770" s="10"/>
      <c r="P1770" s="152"/>
      <c r="Q1770" s="10"/>
      <c r="R1770" s="9"/>
      <c r="S1770" s="10"/>
      <c r="T1770" s="9"/>
      <c r="U1770" s="10"/>
      <c r="V1770" s="9"/>
      <c r="W1770" s="10"/>
      <c r="X1770" s="9"/>
      <c r="Y1770" s="10"/>
      <c r="Z1770" s="9"/>
      <c r="AA1770" s="10"/>
      <c r="AB1770" s="11"/>
      <c r="AC1770" s="10"/>
      <c r="AD1770" s="7">
        <f>SUM(F1770+H1770+J1770+L1770+N1770+P1770+R1770+T1770+V1770+X1770+Z1770+AB1770)</f>
        <v>0</v>
      </c>
      <c r="AE1770" s="7">
        <f>E1770+AD1770</f>
        <v>0</v>
      </c>
      <c r="AF1770" s="8">
        <f>G1770+I1770+K1770+M1770+O1770+Q1770+S1770+U1770+W1770+Y1770+AA1770+AC1770</f>
        <v>0</v>
      </c>
      <c r="AG1770" s="153">
        <f>SUM(AE1770-AF1770)</f>
        <v>0</v>
      </c>
    </row>
    <row r="1771" spans="1:42" customHeight="1" ht="11.5">
      <c r="A1771" s="5"/>
      <c r="B1771" s="173"/>
      <c r="C1771" s="167"/>
      <c r="D1771" s="88"/>
      <c r="E1771" s="174"/>
      <c r="F1771" s="9"/>
      <c r="G1771" s="10"/>
      <c r="H1771" s="9"/>
      <c r="I1771" s="10"/>
      <c r="J1771" s="152"/>
      <c r="K1771" s="10"/>
      <c r="L1771" s="152"/>
      <c r="M1771" s="10"/>
      <c r="N1771" s="152"/>
      <c r="O1771" s="10"/>
      <c r="P1771" s="152"/>
      <c r="Q1771" s="10"/>
      <c r="R1771" s="9"/>
      <c r="S1771" s="10"/>
      <c r="T1771" s="9"/>
      <c r="U1771" s="10"/>
      <c r="V1771" s="9"/>
      <c r="W1771" s="10"/>
      <c r="X1771" s="9"/>
      <c r="Y1771" s="10"/>
      <c r="Z1771" s="9"/>
      <c r="AA1771" s="10"/>
      <c r="AB1771" s="11"/>
      <c r="AC1771" s="10"/>
      <c r="AD1771" s="7">
        <f>SUM(F1771+H1771+J1771+L1771+N1771+P1771+R1771+T1771+V1771+X1771+Z1771+AB1771)</f>
        <v>0</v>
      </c>
      <c r="AE1771" s="7">
        <f>E1771+AD1771</f>
        <v>0</v>
      </c>
      <c r="AF1771" s="8">
        <f>G1771+I1771+K1771+M1771+O1771+Q1771+S1771+U1771+W1771+Y1771+AA1771+AC1771</f>
        <v>0</v>
      </c>
      <c r="AG1771" s="153">
        <f>SUM(AE1771-AF1771)</f>
        <v>0</v>
      </c>
    </row>
    <row r="1772" spans="1:42" customHeight="1" ht="11.5">
      <c r="A1772" s="5"/>
      <c r="B1772" s="173"/>
      <c r="C1772" s="167"/>
      <c r="D1772" s="88"/>
      <c r="E1772" s="174"/>
      <c r="F1772" s="9"/>
      <c r="G1772" s="10"/>
      <c r="H1772" s="9"/>
      <c r="I1772" s="10"/>
      <c r="J1772" s="152"/>
      <c r="K1772" s="10"/>
      <c r="L1772" s="152"/>
      <c r="M1772" s="10"/>
      <c r="N1772" s="152"/>
      <c r="O1772" s="10"/>
      <c r="P1772" s="152"/>
      <c r="Q1772" s="10"/>
      <c r="R1772" s="9"/>
      <c r="S1772" s="10"/>
      <c r="T1772" s="9"/>
      <c r="U1772" s="10"/>
      <c r="V1772" s="9"/>
      <c r="W1772" s="10"/>
      <c r="X1772" s="9"/>
      <c r="Y1772" s="10"/>
      <c r="Z1772" s="9"/>
      <c r="AA1772" s="10"/>
      <c r="AB1772" s="11"/>
      <c r="AC1772" s="10"/>
      <c r="AD1772" s="7">
        <f>SUM(F1772+H1772+J1772+L1772+N1772+P1772+R1772+T1772+V1772+X1772+Z1772+AB1772)</f>
        <v>0</v>
      </c>
      <c r="AE1772" s="7">
        <f>E1772+AD1772</f>
        <v>0</v>
      </c>
      <c r="AF1772" s="8">
        <f>G1772+I1772+K1772+M1772+O1772+Q1772+S1772+U1772+W1772+Y1772+AA1772+AC1772</f>
        <v>0</v>
      </c>
      <c r="AG1772" s="153">
        <f>SUM(AE1772-AF1772)</f>
        <v>0</v>
      </c>
    </row>
    <row r="1773" spans="1:42" customHeight="1" ht="11.5">
      <c r="A1773" s="5"/>
      <c r="B1773" s="173"/>
      <c r="C1773" s="167"/>
      <c r="D1773" s="88"/>
      <c r="E1773" s="174"/>
      <c r="F1773" s="9"/>
      <c r="G1773" s="10"/>
      <c r="H1773" s="9"/>
      <c r="I1773" s="10"/>
      <c r="J1773" s="152"/>
      <c r="K1773" s="10"/>
      <c r="L1773" s="152"/>
      <c r="M1773" s="10"/>
      <c r="N1773" s="152"/>
      <c r="O1773" s="10"/>
      <c r="P1773" s="152"/>
      <c r="Q1773" s="10"/>
      <c r="R1773" s="9"/>
      <c r="S1773" s="10"/>
      <c r="T1773" s="9"/>
      <c r="U1773" s="10"/>
      <c r="V1773" s="9"/>
      <c r="W1773" s="10"/>
      <c r="X1773" s="9"/>
      <c r="Y1773" s="10"/>
      <c r="Z1773" s="9"/>
      <c r="AA1773" s="10"/>
      <c r="AB1773" s="11"/>
      <c r="AC1773" s="10"/>
      <c r="AD1773" s="7">
        <f>SUM(F1773+H1773+J1773+L1773+N1773+P1773+R1773+T1773+V1773+X1773+Z1773+AB1773)</f>
        <v>0</v>
      </c>
      <c r="AE1773" s="7">
        <f>E1773+AD1773</f>
        <v>0</v>
      </c>
      <c r="AF1773" s="8">
        <f>G1773+I1773+K1773+M1773+O1773+Q1773+S1773+U1773+W1773+Y1773+AA1773+AC1773</f>
        <v>0</v>
      </c>
      <c r="AG1773" s="153">
        <f>SUM(AE1773-AF1773)</f>
        <v>0</v>
      </c>
    </row>
    <row r="1774" spans="1:42" customHeight="1" ht="11.5">
      <c r="A1774" s="5"/>
      <c r="B1774" s="173"/>
      <c r="C1774" s="167"/>
      <c r="D1774" s="88"/>
      <c r="E1774" s="174"/>
      <c r="F1774" s="9"/>
      <c r="G1774" s="10"/>
      <c r="H1774" s="9"/>
      <c r="I1774" s="10"/>
      <c r="J1774" s="152"/>
      <c r="K1774" s="10"/>
      <c r="L1774" s="152"/>
      <c r="M1774" s="10"/>
      <c r="N1774" s="152"/>
      <c r="O1774" s="10"/>
      <c r="P1774" s="152"/>
      <c r="Q1774" s="10"/>
      <c r="R1774" s="9"/>
      <c r="S1774" s="10"/>
      <c r="T1774" s="9"/>
      <c r="U1774" s="10"/>
      <c r="V1774" s="9"/>
      <c r="W1774" s="10"/>
      <c r="X1774" s="9"/>
      <c r="Y1774" s="10"/>
      <c r="Z1774" s="9"/>
      <c r="AA1774" s="10"/>
      <c r="AB1774" s="11"/>
      <c r="AC1774" s="10"/>
      <c r="AD1774" s="7">
        <f>SUM(F1774+H1774+J1774+L1774+N1774+P1774+R1774+T1774+V1774+X1774+Z1774+AB1774)</f>
        <v>0</v>
      </c>
      <c r="AE1774" s="7">
        <f>E1774+AD1774</f>
        <v>0</v>
      </c>
      <c r="AF1774" s="8">
        <f>G1774+I1774+K1774+M1774+O1774+Q1774+S1774+U1774+W1774+Y1774+AA1774+AC1774</f>
        <v>0</v>
      </c>
      <c r="AG1774" s="153">
        <f>SUM(AE1774-AF1774)</f>
        <v>0</v>
      </c>
    </row>
    <row r="1775" spans="1:42" customHeight="1" ht="11.5">
      <c r="A1775" s="5"/>
      <c r="B1775" s="173"/>
      <c r="C1775" s="167"/>
      <c r="D1775" s="88"/>
      <c r="E1775" s="174"/>
      <c r="F1775" s="9"/>
      <c r="G1775" s="10"/>
      <c r="H1775" s="9"/>
      <c r="I1775" s="10"/>
      <c r="J1775" s="152"/>
      <c r="K1775" s="10"/>
      <c r="L1775" s="152"/>
      <c r="M1775" s="10"/>
      <c r="N1775" s="152"/>
      <c r="O1775" s="10"/>
      <c r="P1775" s="152"/>
      <c r="Q1775" s="10"/>
      <c r="R1775" s="9"/>
      <c r="S1775" s="10"/>
      <c r="T1775" s="9"/>
      <c r="U1775" s="10"/>
      <c r="V1775" s="9"/>
      <c r="W1775" s="10"/>
      <c r="X1775" s="9"/>
      <c r="Y1775" s="10"/>
      <c r="Z1775" s="9"/>
      <c r="AA1775" s="10"/>
      <c r="AB1775" s="11"/>
      <c r="AC1775" s="10"/>
      <c r="AD1775" s="7">
        <f>SUM(F1775+H1775+J1775+L1775+N1775+P1775+R1775+T1775+V1775+X1775+Z1775+AB1775)</f>
        <v>0</v>
      </c>
      <c r="AE1775" s="7">
        <f>E1775+AD1775</f>
        <v>0</v>
      </c>
      <c r="AF1775" s="8">
        <f>G1775+I1775+K1775+M1775+O1775+Q1775+S1775+U1775+W1775+Y1775+AA1775+AC1775</f>
        <v>0</v>
      </c>
      <c r="AG1775" s="153">
        <f>SUM(AE1775-AF1775)</f>
        <v>0</v>
      </c>
    </row>
    <row r="1776" spans="1:42" customHeight="1" ht="11.5">
      <c r="A1776" s="5"/>
      <c r="B1776" s="173"/>
      <c r="C1776" s="167"/>
      <c r="D1776" s="88"/>
      <c r="E1776" s="174"/>
      <c r="F1776" s="9"/>
      <c r="G1776" s="10"/>
      <c r="H1776" s="9"/>
      <c r="I1776" s="10"/>
      <c r="J1776" s="152"/>
      <c r="K1776" s="10"/>
      <c r="L1776" s="152"/>
      <c r="M1776" s="10"/>
      <c r="N1776" s="152"/>
      <c r="O1776" s="10"/>
      <c r="P1776" s="152"/>
      <c r="Q1776" s="10"/>
      <c r="R1776" s="9"/>
      <c r="S1776" s="10"/>
      <c r="T1776" s="9"/>
      <c r="U1776" s="10"/>
      <c r="V1776" s="9"/>
      <c r="W1776" s="10"/>
      <c r="X1776" s="9"/>
      <c r="Y1776" s="10"/>
      <c r="Z1776" s="9"/>
      <c r="AA1776" s="10"/>
      <c r="AB1776" s="11"/>
      <c r="AC1776" s="10"/>
      <c r="AD1776" s="7">
        <f>SUM(F1776+H1776+J1776+L1776+N1776+P1776+R1776+T1776+V1776+X1776+Z1776+AB1776)</f>
        <v>0</v>
      </c>
      <c r="AE1776" s="7">
        <f>E1776+AD1776</f>
        <v>0</v>
      </c>
      <c r="AF1776" s="8">
        <f>G1776+I1776+K1776+M1776+O1776+Q1776+S1776+U1776+W1776+Y1776+AA1776+AC1776</f>
        <v>0</v>
      </c>
      <c r="AG1776" s="153">
        <f>SUM(AE1776-AF1776)</f>
        <v>0</v>
      </c>
    </row>
    <row r="1777" spans="1:42" customHeight="1" ht="11.5">
      <c r="A1777" s="5"/>
      <c r="B1777" s="173"/>
      <c r="C1777" s="167"/>
      <c r="D1777" s="88"/>
      <c r="E1777" s="174"/>
      <c r="F1777" s="9"/>
      <c r="G1777" s="10"/>
      <c r="H1777" s="9"/>
      <c r="I1777" s="10"/>
      <c r="J1777" s="152"/>
      <c r="K1777" s="10"/>
      <c r="L1777" s="152"/>
      <c r="M1777" s="10"/>
      <c r="N1777" s="152"/>
      <c r="O1777" s="10"/>
      <c r="P1777" s="152"/>
      <c r="Q1777" s="10"/>
      <c r="R1777" s="9"/>
      <c r="S1777" s="10"/>
      <c r="T1777" s="9"/>
      <c r="U1777" s="10"/>
      <c r="V1777" s="9"/>
      <c r="W1777" s="10"/>
      <c r="X1777" s="9"/>
      <c r="Y1777" s="10"/>
      <c r="Z1777" s="9"/>
      <c r="AA1777" s="10"/>
      <c r="AB1777" s="11"/>
      <c r="AC1777" s="10"/>
      <c r="AD1777" s="7">
        <f>SUM(F1777+H1777+J1777+L1777+N1777+P1777+R1777+T1777+V1777+X1777+Z1777+AB1777)</f>
        <v>0</v>
      </c>
      <c r="AE1777" s="7">
        <f>E1777+AD1777</f>
        <v>0</v>
      </c>
      <c r="AF1777" s="8">
        <f>G1777+I1777+K1777+M1777+O1777+Q1777+S1777+U1777+W1777+Y1777+AA1777+AC1777</f>
        <v>0</v>
      </c>
      <c r="AG1777" s="153">
        <f>SUM(AE1777-AF1777)</f>
        <v>0</v>
      </c>
    </row>
    <row r="1778" spans="1:42" customHeight="1" ht="11.5">
      <c r="A1778" s="5"/>
      <c r="B1778" s="173"/>
      <c r="C1778" s="167"/>
      <c r="D1778" s="88"/>
      <c r="E1778" s="174"/>
      <c r="F1778" s="9"/>
      <c r="G1778" s="10"/>
      <c r="H1778" s="9"/>
      <c r="I1778" s="10"/>
      <c r="J1778" s="152"/>
      <c r="K1778" s="10"/>
      <c r="L1778" s="152"/>
      <c r="M1778" s="10"/>
      <c r="N1778" s="152"/>
      <c r="O1778" s="10"/>
      <c r="P1778" s="152"/>
      <c r="Q1778" s="10"/>
      <c r="R1778" s="9"/>
      <c r="S1778" s="10"/>
      <c r="T1778" s="9"/>
      <c r="U1778" s="10"/>
      <c r="V1778" s="9"/>
      <c r="W1778" s="10"/>
      <c r="X1778" s="9"/>
      <c r="Y1778" s="10"/>
      <c r="Z1778" s="9"/>
      <c r="AA1778" s="10"/>
      <c r="AB1778" s="11"/>
      <c r="AC1778" s="10"/>
      <c r="AD1778" s="7">
        <f>SUM(F1778+H1778+J1778+L1778+N1778+P1778+R1778+T1778+V1778+X1778+Z1778+AB1778)</f>
        <v>0</v>
      </c>
      <c r="AE1778" s="7">
        <f>E1778+AD1778</f>
        <v>0</v>
      </c>
      <c r="AF1778" s="8">
        <f>G1778+I1778+K1778+M1778+O1778+Q1778+S1778+U1778+W1778+Y1778+AA1778+AC1778</f>
        <v>0</v>
      </c>
      <c r="AG1778" s="153">
        <f>SUM(AE1778-AF1778)</f>
        <v>0</v>
      </c>
    </row>
    <row r="1779" spans="1:42" customHeight="1" ht="11.5">
      <c r="A1779" s="5"/>
      <c r="B1779" s="173"/>
      <c r="C1779" s="167"/>
      <c r="D1779" s="88"/>
      <c r="E1779" s="174"/>
      <c r="F1779" s="9"/>
      <c r="G1779" s="10"/>
      <c r="H1779" s="9"/>
      <c r="I1779" s="10"/>
      <c r="J1779" s="152"/>
      <c r="K1779" s="10"/>
      <c r="L1779" s="152"/>
      <c r="M1779" s="10"/>
      <c r="N1779" s="152"/>
      <c r="O1779" s="10"/>
      <c r="P1779" s="152"/>
      <c r="Q1779" s="10"/>
      <c r="R1779" s="9"/>
      <c r="S1779" s="10"/>
      <c r="T1779" s="9"/>
      <c r="U1779" s="10"/>
      <c r="V1779" s="9"/>
      <c r="W1779" s="10"/>
      <c r="X1779" s="9"/>
      <c r="Y1779" s="10"/>
      <c r="Z1779" s="9"/>
      <c r="AA1779" s="10"/>
      <c r="AB1779" s="11"/>
      <c r="AC1779" s="10"/>
      <c r="AD1779" s="7">
        <f>SUM(F1779+H1779+J1779+L1779+N1779+P1779+R1779+T1779+V1779+X1779+Z1779+AB1779)</f>
        <v>0</v>
      </c>
      <c r="AE1779" s="7">
        <f>E1779+AD1779</f>
        <v>0</v>
      </c>
      <c r="AF1779" s="8">
        <f>G1779+I1779+K1779+M1779+O1779+Q1779+S1779+U1779+W1779+Y1779+AA1779+AC1779</f>
        <v>0</v>
      </c>
      <c r="AG1779" s="153">
        <f>SUM(AE1779-AF1779)</f>
        <v>0</v>
      </c>
    </row>
    <row r="1780" spans="1:42" customHeight="1" ht="11.5">
      <c r="A1780" s="5"/>
      <c r="B1780" s="173"/>
      <c r="C1780" s="167"/>
      <c r="D1780" s="88"/>
      <c r="E1780" s="174"/>
      <c r="F1780" s="9"/>
      <c r="G1780" s="10"/>
      <c r="H1780" s="9"/>
      <c r="I1780" s="10"/>
      <c r="J1780" s="152"/>
      <c r="K1780" s="10"/>
      <c r="L1780" s="152"/>
      <c r="M1780" s="10"/>
      <c r="N1780" s="152"/>
      <c r="O1780" s="10"/>
      <c r="P1780" s="152"/>
      <c r="Q1780" s="10"/>
      <c r="R1780" s="9"/>
      <c r="S1780" s="10"/>
      <c r="T1780" s="9"/>
      <c r="U1780" s="10"/>
      <c r="V1780" s="9"/>
      <c r="W1780" s="10"/>
      <c r="X1780" s="9"/>
      <c r="Y1780" s="10"/>
      <c r="Z1780" s="9"/>
      <c r="AA1780" s="10"/>
      <c r="AB1780" s="11"/>
      <c r="AC1780" s="10"/>
      <c r="AD1780" s="7">
        <f>SUM(F1780+H1780+J1780+L1780+N1780+P1780+R1780+T1780+V1780+X1780+Z1780+AB1780)</f>
        <v>0</v>
      </c>
      <c r="AE1780" s="7">
        <f>E1780+AD1780</f>
        <v>0</v>
      </c>
      <c r="AF1780" s="8">
        <f>G1780+I1780+K1780+M1780+O1780+Q1780+S1780+U1780+W1780+Y1780+AA1780+AC1780</f>
        <v>0</v>
      </c>
      <c r="AG1780" s="153">
        <f>SUM(AE1780-AF1780)</f>
        <v>0</v>
      </c>
    </row>
    <row r="1781" spans="1:42" customHeight="1" ht="11.5">
      <c r="A1781" s="5"/>
      <c r="B1781" s="173"/>
      <c r="C1781" s="167"/>
      <c r="D1781" s="88"/>
      <c r="E1781" s="174"/>
      <c r="F1781" s="9"/>
      <c r="G1781" s="10"/>
      <c r="H1781" s="9"/>
      <c r="I1781" s="10"/>
      <c r="J1781" s="152"/>
      <c r="K1781" s="10"/>
      <c r="L1781" s="152"/>
      <c r="M1781" s="10"/>
      <c r="N1781" s="152"/>
      <c r="O1781" s="10"/>
      <c r="P1781" s="152"/>
      <c r="Q1781" s="10"/>
      <c r="R1781" s="9"/>
      <c r="S1781" s="10"/>
      <c r="T1781" s="9"/>
      <c r="U1781" s="10"/>
      <c r="V1781" s="9"/>
      <c r="W1781" s="10"/>
      <c r="X1781" s="9"/>
      <c r="Y1781" s="10"/>
      <c r="Z1781" s="9"/>
      <c r="AA1781" s="10"/>
      <c r="AB1781" s="11"/>
      <c r="AC1781" s="10"/>
      <c r="AD1781" s="7">
        <f>SUM(F1781+H1781+J1781+L1781+N1781+P1781+R1781+T1781+V1781+X1781+Z1781+AB1781)</f>
        <v>0</v>
      </c>
      <c r="AE1781" s="7">
        <f>E1781+AD1781</f>
        <v>0</v>
      </c>
      <c r="AF1781" s="8">
        <f>G1781+I1781+K1781+M1781+O1781+Q1781+S1781+U1781+W1781+Y1781+AA1781+AC1781</f>
        <v>0</v>
      </c>
      <c r="AG1781" s="153">
        <f>SUM(AE1781-AF1781)</f>
        <v>0</v>
      </c>
    </row>
    <row r="1782" spans="1:42" customHeight="1" ht="11.5">
      <c r="A1782" s="5"/>
      <c r="B1782" s="173"/>
      <c r="C1782" s="167"/>
      <c r="D1782" s="88"/>
      <c r="E1782" s="174"/>
      <c r="F1782" s="9"/>
      <c r="G1782" s="10"/>
      <c r="H1782" s="9"/>
      <c r="I1782" s="10"/>
      <c r="J1782" s="152"/>
      <c r="K1782" s="10"/>
      <c r="L1782" s="152"/>
      <c r="M1782" s="10"/>
      <c r="N1782" s="152"/>
      <c r="O1782" s="10"/>
      <c r="P1782" s="152"/>
      <c r="Q1782" s="10"/>
      <c r="R1782" s="9"/>
      <c r="S1782" s="10"/>
      <c r="T1782" s="9"/>
      <c r="U1782" s="10"/>
      <c r="V1782" s="9"/>
      <c r="W1782" s="10"/>
      <c r="X1782" s="9"/>
      <c r="Y1782" s="10"/>
      <c r="Z1782" s="9"/>
      <c r="AA1782" s="10"/>
      <c r="AB1782" s="11"/>
      <c r="AC1782" s="10"/>
      <c r="AD1782" s="7">
        <f>SUM(F1782+H1782+J1782+L1782+N1782+P1782+R1782+T1782+V1782+X1782+Z1782+AB1782)</f>
        <v>0</v>
      </c>
      <c r="AE1782" s="7">
        <f>E1782+AD1782</f>
        <v>0</v>
      </c>
      <c r="AF1782" s="8">
        <f>G1782+I1782+K1782+M1782+O1782+Q1782+S1782+U1782+W1782+Y1782+AA1782+AC1782</f>
        <v>0</v>
      </c>
      <c r="AG1782" s="153">
        <f>SUM(AE1782-AF1782)</f>
        <v>0</v>
      </c>
    </row>
    <row r="1783" spans="1:42" customHeight="1" ht="11.5">
      <c r="A1783" s="5"/>
      <c r="B1783" s="173"/>
      <c r="C1783" s="167"/>
      <c r="D1783" s="88"/>
      <c r="E1783" s="174"/>
      <c r="F1783" s="9"/>
      <c r="G1783" s="10"/>
      <c r="H1783" s="9"/>
      <c r="I1783" s="10"/>
      <c r="J1783" s="152"/>
      <c r="K1783" s="10"/>
      <c r="L1783" s="152"/>
      <c r="M1783" s="10"/>
      <c r="N1783" s="152"/>
      <c r="O1783" s="10"/>
      <c r="P1783" s="152"/>
      <c r="Q1783" s="10"/>
      <c r="R1783" s="9"/>
      <c r="S1783" s="10"/>
      <c r="T1783" s="9"/>
      <c r="U1783" s="10"/>
      <c r="V1783" s="9"/>
      <c r="W1783" s="10"/>
      <c r="X1783" s="9"/>
      <c r="Y1783" s="10"/>
      <c r="Z1783" s="9"/>
      <c r="AA1783" s="10"/>
      <c r="AB1783" s="11"/>
      <c r="AC1783" s="10"/>
      <c r="AD1783" s="7">
        <f>SUM(F1783+H1783+J1783+L1783+N1783+P1783+R1783+T1783+V1783+X1783+Z1783+AB1783)</f>
        <v>0</v>
      </c>
      <c r="AE1783" s="7">
        <f>E1783+AD1783</f>
        <v>0</v>
      </c>
      <c r="AF1783" s="8">
        <f>G1783+I1783+K1783+M1783+O1783+Q1783+S1783+U1783+W1783+Y1783+AA1783+AC1783</f>
        <v>0</v>
      </c>
      <c r="AG1783" s="153">
        <f>SUM(AE1783-AF1783)</f>
        <v>0</v>
      </c>
    </row>
    <row r="1784" spans="1:42" customHeight="1" ht="11.5">
      <c r="A1784" s="5"/>
      <c r="B1784" s="173"/>
      <c r="C1784" s="167"/>
      <c r="D1784" s="88"/>
      <c r="E1784" s="174"/>
      <c r="F1784" s="9"/>
      <c r="G1784" s="10"/>
      <c r="H1784" s="9"/>
      <c r="I1784" s="10"/>
      <c r="J1784" s="152"/>
      <c r="K1784" s="10"/>
      <c r="L1784" s="152"/>
      <c r="M1784" s="10"/>
      <c r="N1784" s="152"/>
      <c r="O1784" s="10"/>
      <c r="P1784" s="152"/>
      <c r="Q1784" s="10"/>
      <c r="R1784" s="9"/>
      <c r="S1784" s="10"/>
      <c r="T1784" s="9"/>
      <c r="U1784" s="10"/>
      <c r="V1784" s="9"/>
      <c r="W1784" s="10"/>
      <c r="X1784" s="9"/>
      <c r="Y1784" s="10"/>
      <c r="Z1784" s="9"/>
      <c r="AA1784" s="10"/>
      <c r="AB1784" s="11"/>
      <c r="AC1784" s="10"/>
      <c r="AD1784" s="7">
        <f>SUM(F1784+H1784+J1784+L1784+N1784+P1784+R1784+T1784+V1784+X1784+Z1784+AB1784)</f>
        <v>0</v>
      </c>
      <c r="AE1784" s="7">
        <f>E1784+AD1784</f>
        <v>0</v>
      </c>
      <c r="AF1784" s="8">
        <f>G1784+I1784+K1784+M1784+O1784+Q1784+S1784+U1784+W1784+Y1784+AA1784+AC1784</f>
        <v>0</v>
      </c>
      <c r="AG1784" s="153">
        <f>SUM(AE1784-AF1784)</f>
        <v>0</v>
      </c>
    </row>
    <row r="1785" spans="1:42" customHeight="1" ht="11.5">
      <c r="A1785" s="5"/>
      <c r="B1785" s="173"/>
      <c r="C1785" s="167"/>
      <c r="D1785" s="88"/>
      <c r="E1785" s="174"/>
      <c r="F1785" s="9"/>
      <c r="G1785" s="10"/>
      <c r="H1785" s="9"/>
      <c r="I1785" s="10"/>
      <c r="J1785" s="152"/>
      <c r="K1785" s="10"/>
      <c r="L1785" s="152"/>
      <c r="M1785" s="10"/>
      <c r="N1785" s="152"/>
      <c r="O1785" s="10"/>
      <c r="P1785" s="152"/>
      <c r="Q1785" s="10"/>
      <c r="R1785" s="9"/>
      <c r="S1785" s="10"/>
      <c r="T1785" s="9"/>
      <c r="U1785" s="10"/>
      <c r="V1785" s="9"/>
      <c r="W1785" s="10"/>
      <c r="X1785" s="9"/>
      <c r="Y1785" s="10"/>
      <c r="Z1785" s="9"/>
      <c r="AA1785" s="10"/>
      <c r="AB1785" s="11"/>
      <c r="AC1785" s="10"/>
      <c r="AD1785" s="7">
        <f>SUM(F1785+H1785+J1785+L1785+N1785+P1785+R1785+T1785+V1785+X1785+Z1785+AB1785)</f>
        <v>0</v>
      </c>
      <c r="AE1785" s="7">
        <f>E1785+AD1785</f>
        <v>0</v>
      </c>
      <c r="AF1785" s="8">
        <f>G1785+I1785+K1785+M1785+O1785+Q1785+S1785+U1785+W1785+Y1785+AA1785+AC1785</f>
        <v>0</v>
      </c>
      <c r="AG1785" s="153">
        <f>SUM(AE1785-AF1785)</f>
        <v>0</v>
      </c>
    </row>
    <row r="1786" spans="1:42" customHeight="1" ht="11.5">
      <c r="A1786" s="5"/>
      <c r="B1786" s="173"/>
      <c r="C1786" s="167"/>
      <c r="D1786" s="88"/>
      <c r="E1786" s="174"/>
      <c r="F1786" s="9"/>
      <c r="G1786" s="10"/>
      <c r="H1786" s="9"/>
      <c r="I1786" s="10"/>
      <c r="J1786" s="152"/>
      <c r="K1786" s="10"/>
      <c r="L1786" s="152"/>
      <c r="M1786" s="10"/>
      <c r="N1786" s="152"/>
      <c r="O1786" s="10"/>
      <c r="P1786" s="152"/>
      <c r="Q1786" s="10"/>
      <c r="R1786" s="9"/>
      <c r="S1786" s="10"/>
      <c r="T1786" s="9"/>
      <c r="U1786" s="10"/>
      <c r="V1786" s="9"/>
      <c r="W1786" s="10"/>
      <c r="X1786" s="9"/>
      <c r="Y1786" s="10"/>
      <c r="Z1786" s="9"/>
      <c r="AA1786" s="10"/>
      <c r="AB1786" s="11"/>
      <c r="AC1786" s="10"/>
      <c r="AD1786" s="7">
        <f>SUM(F1786+H1786+J1786+L1786+N1786+P1786+R1786+T1786+V1786+X1786+Z1786+AB1786)</f>
        <v>0</v>
      </c>
      <c r="AE1786" s="7">
        <f>E1786+AD1786</f>
        <v>0</v>
      </c>
      <c r="AF1786" s="8">
        <f>G1786+I1786+K1786+M1786+O1786+Q1786+S1786+U1786+W1786+Y1786+AA1786+AC1786</f>
        <v>0</v>
      </c>
      <c r="AG1786" s="153">
        <f>SUM(AE1786-AF1786)</f>
        <v>0</v>
      </c>
    </row>
    <row r="1787" spans="1:42" customHeight="1" ht="11.5">
      <c r="A1787" s="5"/>
      <c r="B1787" s="173"/>
      <c r="C1787" s="167"/>
      <c r="D1787" s="88"/>
      <c r="E1787" s="174"/>
      <c r="F1787" s="9"/>
      <c r="G1787" s="10"/>
      <c r="H1787" s="9"/>
      <c r="I1787" s="10"/>
      <c r="J1787" s="152"/>
      <c r="K1787" s="10"/>
      <c r="L1787" s="152"/>
      <c r="M1787" s="10"/>
      <c r="N1787" s="152"/>
      <c r="O1787" s="10"/>
      <c r="P1787" s="152"/>
      <c r="Q1787" s="10"/>
      <c r="R1787" s="9"/>
      <c r="S1787" s="10"/>
      <c r="T1787" s="9"/>
      <c r="U1787" s="10"/>
      <c r="V1787" s="9"/>
      <c r="W1787" s="10"/>
      <c r="X1787" s="9"/>
      <c r="Y1787" s="10"/>
      <c r="Z1787" s="9"/>
      <c r="AA1787" s="10"/>
      <c r="AB1787" s="11"/>
      <c r="AC1787" s="10"/>
      <c r="AD1787" s="7">
        <f>SUM(F1787+H1787+J1787+L1787+N1787+P1787+R1787+T1787+V1787+X1787+Z1787+AB1787)</f>
        <v>0</v>
      </c>
      <c r="AE1787" s="7">
        <f>E1787+AD1787</f>
        <v>0</v>
      </c>
      <c r="AF1787" s="8">
        <f>G1787+I1787+K1787+M1787+O1787+Q1787+S1787+U1787+W1787+Y1787+AA1787+AC1787</f>
        <v>0</v>
      </c>
      <c r="AG1787" s="153">
        <f>SUM(AE1787-AF1787)</f>
        <v>0</v>
      </c>
    </row>
    <row r="1788" spans="1:42" customHeight="1" ht="11.5">
      <c r="A1788" s="5"/>
      <c r="B1788" s="173"/>
      <c r="C1788" s="167"/>
      <c r="D1788" s="88"/>
      <c r="E1788" s="174"/>
      <c r="F1788" s="9"/>
      <c r="G1788" s="10"/>
      <c r="H1788" s="9"/>
      <c r="I1788" s="10"/>
      <c r="J1788" s="152"/>
      <c r="K1788" s="10"/>
      <c r="L1788" s="152"/>
      <c r="M1788" s="10"/>
      <c r="N1788" s="152"/>
      <c r="O1788" s="10"/>
      <c r="P1788" s="152"/>
      <c r="Q1788" s="10"/>
      <c r="R1788" s="9"/>
      <c r="S1788" s="10"/>
      <c r="T1788" s="9"/>
      <c r="U1788" s="10"/>
      <c r="V1788" s="9"/>
      <c r="W1788" s="10"/>
      <c r="X1788" s="9"/>
      <c r="Y1788" s="10"/>
      <c r="Z1788" s="9"/>
      <c r="AA1788" s="10"/>
      <c r="AB1788" s="11"/>
      <c r="AC1788" s="10"/>
      <c r="AD1788" s="7">
        <f>SUM(F1788+H1788+J1788+L1788+N1788+P1788+R1788+T1788+V1788+X1788+Z1788+AB1788)</f>
        <v>0</v>
      </c>
      <c r="AE1788" s="7">
        <f>E1788+AD1788</f>
        <v>0</v>
      </c>
      <c r="AF1788" s="8">
        <f>G1788+I1788+K1788+M1788+O1788+Q1788+S1788+U1788+W1788+Y1788+AA1788+AC1788</f>
        <v>0</v>
      </c>
      <c r="AG1788" s="153">
        <f>SUM(AE1788-AF1788)</f>
        <v>0</v>
      </c>
    </row>
    <row r="1789" spans="1:42" customHeight="1" ht="11.5">
      <c r="A1789" s="5"/>
      <c r="B1789" s="173"/>
      <c r="C1789" s="167"/>
      <c r="D1789" s="88"/>
      <c r="E1789" s="174"/>
      <c r="F1789" s="9"/>
      <c r="G1789" s="10"/>
      <c r="H1789" s="9"/>
      <c r="I1789" s="10"/>
      <c r="J1789" s="152"/>
      <c r="K1789" s="10"/>
      <c r="L1789" s="152"/>
      <c r="M1789" s="10"/>
      <c r="N1789" s="152"/>
      <c r="O1789" s="10"/>
      <c r="P1789" s="152"/>
      <c r="Q1789" s="10"/>
      <c r="R1789" s="9"/>
      <c r="S1789" s="10"/>
      <c r="T1789" s="9"/>
      <c r="U1789" s="10"/>
      <c r="V1789" s="9"/>
      <c r="W1789" s="10"/>
      <c r="X1789" s="9"/>
      <c r="Y1789" s="10"/>
      <c r="Z1789" s="9"/>
      <c r="AA1789" s="10"/>
      <c r="AB1789" s="11"/>
      <c r="AC1789" s="10"/>
      <c r="AD1789" s="7">
        <f>SUM(F1789+H1789+J1789+L1789+N1789+P1789+R1789+T1789+V1789+X1789+Z1789+AB1789)</f>
        <v>0</v>
      </c>
      <c r="AE1789" s="7">
        <f>E1789+AD1789</f>
        <v>0</v>
      </c>
      <c r="AF1789" s="8">
        <f>G1789+I1789+K1789+M1789+O1789+Q1789+S1789+U1789+W1789+Y1789+AA1789+AC1789</f>
        <v>0</v>
      </c>
      <c r="AG1789" s="153">
        <f>SUM(AE1789-AF1789)</f>
        <v>0</v>
      </c>
    </row>
    <row r="1790" spans="1:42" customHeight="1" ht="11.5">
      <c r="A1790" s="5"/>
      <c r="B1790" s="173"/>
      <c r="C1790" s="167"/>
      <c r="D1790" s="88"/>
      <c r="E1790" s="174"/>
      <c r="F1790" s="9"/>
      <c r="G1790" s="10"/>
      <c r="H1790" s="9"/>
      <c r="I1790" s="10"/>
      <c r="J1790" s="152"/>
      <c r="K1790" s="10"/>
      <c r="L1790" s="152"/>
      <c r="M1790" s="10"/>
      <c r="N1790" s="152"/>
      <c r="O1790" s="10"/>
      <c r="P1790" s="152"/>
      <c r="Q1790" s="10"/>
      <c r="R1790" s="9"/>
      <c r="S1790" s="10"/>
      <c r="T1790" s="9"/>
      <c r="U1790" s="10"/>
      <c r="V1790" s="9"/>
      <c r="W1790" s="10"/>
      <c r="X1790" s="9"/>
      <c r="Y1790" s="10"/>
      <c r="Z1790" s="9"/>
      <c r="AA1790" s="10"/>
      <c r="AB1790" s="11"/>
      <c r="AC1790" s="10"/>
      <c r="AD1790" s="7">
        <f>SUM(F1790+H1790+J1790+L1790+N1790+P1790+R1790+T1790+V1790+X1790+Z1790+AB1790)</f>
        <v>0</v>
      </c>
      <c r="AE1790" s="7">
        <f>E1790+AD1790</f>
        <v>0</v>
      </c>
      <c r="AF1790" s="8">
        <f>G1790+I1790+K1790+M1790+O1790+Q1790+S1790+U1790+W1790+Y1790+AA1790+AC1790</f>
        <v>0</v>
      </c>
      <c r="AG1790" s="153">
        <f>SUM(AE1790-AF1790)</f>
        <v>0</v>
      </c>
    </row>
    <row r="1791" spans="1:42" customHeight="1" ht="11.5">
      <c r="A1791" s="5"/>
      <c r="B1791" s="173"/>
      <c r="C1791" s="167"/>
      <c r="D1791" s="88"/>
      <c r="E1791" s="174"/>
      <c r="F1791" s="9"/>
      <c r="G1791" s="10"/>
      <c r="H1791" s="9"/>
      <c r="I1791" s="10"/>
      <c r="J1791" s="152"/>
      <c r="K1791" s="10"/>
      <c r="L1791" s="152"/>
      <c r="M1791" s="10"/>
      <c r="N1791" s="152"/>
      <c r="O1791" s="10"/>
      <c r="P1791" s="152"/>
      <c r="Q1791" s="10"/>
      <c r="R1791" s="9"/>
      <c r="S1791" s="10"/>
      <c r="T1791" s="9"/>
      <c r="U1791" s="10"/>
      <c r="V1791" s="9"/>
      <c r="W1791" s="10"/>
      <c r="X1791" s="9"/>
      <c r="Y1791" s="10"/>
      <c r="Z1791" s="9"/>
      <c r="AA1791" s="10"/>
      <c r="AB1791" s="11"/>
      <c r="AC1791" s="10"/>
      <c r="AD1791" s="7">
        <f>SUM(F1791+H1791+J1791+L1791+N1791+P1791+R1791+T1791+V1791+X1791+Z1791+AB1791)</f>
        <v>0</v>
      </c>
      <c r="AE1791" s="7">
        <f>E1791+AD1791</f>
        <v>0</v>
      </c>
      <c r="AF1791" s="8">
        <f>G1791+I1791+K1791+M1791+O1791+Q1791+S1791+U1791+W1791+Y1791+AA1791+AC1791</f>
        <v>0</v>
      </c>
      <c r="AG1791" s="153">
        <f>SUM(AE1791-AF1791)</f>
        <v>0</v>
      </c>
    </row>
    <row r="1792" spans="1:42" customHeight="1" ht="11.5">
      <c r="A1792" s="5"/>
      <c r="B1792" s="173"/>
      <c r="C1792" s="167"/>
      <c r="D1792" s="88"/>
      <c r="E1792" s="174"/>
      <c r="F1792" s="9"/>
      <c r="G1792" s="10"/>
      <c r="H1792" s="9"/>
      <c r="I1792" s="10"/>
      <c r="J1792" s="152"/>
      <c r="K1792" s="10"/>
      <c r="L1792" s="152"/>
      <c r="M1792" s="10"/>
      <c r="N1792" s="152"/>
      <c r="O1792" s="10"/>
      <c r="P1792" s="152"/>
      <c r="Q1792" s="10"/>
      <c r="R1792" s="9"/>
      <c r="S1792" s="10"/>
      <c r="T1792" s="9"/>
      <c r="U1792" s="10"/>
      <c r="V1792" s="9"/>
      <c r="W1792" s="10"/>
      <c r="X1792" s="9"/>
      <c r="Y1792" s="10"/>
      <c r="Z1792" s="9"/>
      <c r="AA1792" s="10"/>
      <c r="AB1792" s="11"/>
      <c r="AC1792" s="10"/>
      <c r="AD1792" s="7">
        <f>SUM(F1792+H1792+J1792+L1792+N1792+P1792+R1792+T1792+V1792+X1792+Z1792+AB1792)</f>
        <v>0</v>
      </c>
      <c r="AE1792" s="7">
        <f>E1792+AD1792</f>
        <v>0</v>
      </c>
      <c r="AF1792" s="8">
        <f>G1792+I1792+K1792+M1792+O1792+Q1792+S1792+U1792+W1792+Y1792+AA1792+AC1792</f>
        <v>0</v>
      </c>
      <c r="AG1792" s="153">
        <f>SUM(AE1792-AF1792)</f>
        <v>0</v>
      </c>
    </row>
    <row r="1793" spans="1:42" customHeight="1" ht="11.5">
      <c r="A1793" s="5"/>
      <c r="B1793" s="173"/>
      <c r="C1793" s="167"/>
      <c r="D1793" s="88"/>
      <c r="E1793" s="174"/>
      <c r="F1793" s="9"/>
      <c r="G1793" s="10"/>
      <c r="H1793" s="9"/>
      <c r="I1793" s="10"/>
      <c r="J1793" s="152"/>
      <c r="K1793" s="10"/>
      <c r="L1793" s="152"/>
      <c r="M1793" s="10"/>
      <c r="N1793" s="152"/>
      <c r="O1793" s="10"/>
      <c r="P1793" s="152"/>
      <c r="Q1793" s="10"/>
      <c r="R1793" s="9"/>
      <c r="S1793" s="10"/>
      <c r="T1793" s="9"/>
      <c r="U1793" s="10"/>
      <c r="V1793" s="9"/>
      <c r="W1793" s="10"/>
      <c r="X1793" s="9"/>
      <c r="Y1793" s="10"/>
      <c r="Z1793" s="9"/>
      <c r="AA1793" s="10"/>
      <c r="AB1793" s="11"/>
      <c r="AC1793" s="10"/>
      <c r="AD1793" s="7">
        <f>SUM(F1793+H1793+J1793+L1793+N1793+P1793+R1793+T1793+V1793+X1793+Z1793+AB1793)</f>
        <v>0</v>
      </c>
      <c r="AE1793" s="7">
        <f>E1793+AD1793</f>
        <v>0</v>
      </c>
      <c r="AF1793" s="8">
        <f>G1793+I1793+K1793+M1793+O1793+Q1793+S1793+U1793+W1793+Y1793+AA1793+AC1793</f>
        <v>0</v>
      </c>
      <c r="AG1793" s="153">
        <f>SUM(AE1793-AF1793)</f>
        <v>0</v>
      </c>
    </row>
    <row r="1794" spans="1:42" customHeight="1" ht="11.5">
      <c r="A1794" s="5"/>
      <c r="B1794" s="173"/>
      <c r="C1794" s="167"/>
      <c r="D1794" s="88"/>
      <c r="E1794" s="174"/>
      <c r="F1794" s="9"/>
      <c r="G1794" s="10"/>
      <c r="H1794" s="9"/>
      <c r="I1794" s="10"/>
      <c r="J1794" s="152"/>
      <c r="K1794" s="10"/>
      <c r="L1794" s="152"/>
      <c r="M1794" s="10"/>
      <c r="N1794" s="152"/>
      <c r="O1794" s="10"/>
      <c r="P1794" s="152"/>
      <c r="Q1794" s="10"/>
      <c r="R1794" s="9"/>
      <c r="S1794" s="10"/>
      <c r="T1794" s="9"/>
      <c r="U1794" s="10"/>
      <c r="V1794" s="9"/>
      <c r="W1794" s="10"/>
      <c r="X1794" s="9"/>
      <c r="Y1794" s="10"/>
      <c r="Z1794" s="9"/>
      <c r="AA1794" s="10"/>
      <c r="AB1794" s="11"/>
      <c r="AC1794" s="10"/>
      <c r="AD1794" s="7">
        <f>SUM(F1794+H1794+J1794+L1794+N1794+P1794+R1794+T1794+V1794+X1794+Z1794+AB1794)</f>
        <v>0</v>
      </c>
      <c r="AE1794" s="7">
        <f>E1794+AD1794</f>
        <v>0</v>
      </c>
      <c r="AF1794" s="8">
        <f>G1794+I1794+K1794+M1794+O1794+Q1794+S1794+U1794+W1794+Y1794+AA1794+AC1794</f>
        <v>0</v>
      </c>
      <c r="AG1794" s="153">
        <f>SUM(AE1794-AF1794)</f>
        <v>0</v>
      </c>
    </row>
    <row r="1795" spans="1:42" customHeight="1" ht="11.5">
      <c r="A1795" s="5"/>
      <c r="B1795" s="173"/>
      <c r="C1795" s="167"/>
      <c r="D1795" s="88"/>
      <c r="E1795" s="174"/>
      <c r="F1795" s="9"/>
      <c r="G1795" s="10"/>
      <c r="H1795" s="9"/>
      <c r="I1795" s="10"/>
      <c r="J1795" s="152"/>
      <c r="K1795" s="10"/>
      <c r="L1795" s="152"/>
      <c r="M1795" s="10"/>
      <c r="N1795" s="152"/>
      <c r="O1795" s="10"/>
      <c r="P1795" s="152"/>
      <c r="Q1795" s="10"/>
      <c r="R1795" s="9"/>
      <c r="S1795" s="10"/>
      <c r="T1795" s="9"/>
      <c r="U1795" s="10"/>
      <c r="V1795" s="9"/>
      <c r="W1795" s="10"/>
      <c r="X1795" s="9"/>
      <c r="Y1795" s="10"/>
      <c r="Z1795" s="9"/>
      <c r="AA1795" s="10"/>
      <c r="AB1795" s="11"/>
      <c r="AC1795" s="10"/>
      <c r="AD1795" s="7">
        <f>SUM(F1795+H1795+J1795+L1795+N1795+P1795+R1795+T1795+V1795+X1795+Z1795+AB1795)</f>
        <v>0</v>
      </c>
      <c r="AE1795" s="7">
        <f>E1795+AD1795</f>
        <v>0</v>
      </c>
      <c r="AF1795" s="8">
        <f>G1795+I1795+K1795+M1795+O1795+Q1795+S1795+U1795+W1795+Y1795+AA1795+AC1795</f>
        <v>0</v>
      </c>
      <c r="AG1795" s="153">
        <f>SUM(AE1795-AF1795)</f>
        <v>0</v>
      </c>
    </row>
    <row r="1796" spans="1:42" customHeight="1" ht="11.5">
      <c r="A1796" s="5"/>
      <c r="B1796" s="173"/>
      <c r="C1796" s="167"/>
      <c r="D1796" s="88"/>
      <c r="E1796" s="174"/>
      <c r="F1796" s="9"/>
      <c r="G1796" s="10"/>
      <c r="H1796" s="9"/>
      <c r="I1796" s="10"/>
      <c r="J1796" s="152"/>
      <c r="K1796" s="10"/>
      <c r="L1796" s="152"/>
      <c r="M1796" s="10"/>
      <c r="N1796" s="152"/>
      <c r="O1796" s="10"/>
      <c r="P1796" s="152"/>
      <c r="Q1796" s="10"/>
      <c r="R1796" s="9"/>
      <c r="S1796" s="10"/>
      <c r="T1796" s="9"/>
      <c r="U1796" s="10"/>
      <c r="V1796" s="9"/>
      <c r="W1796" s="10"/>
      <c r="X1796" s="9"/>
      <c r="Y1796" s="10"/>
      <c r="Z1796" s="9"/>
      <c r="AA1796" s="10"/>
      <c r="AB1796" s="11"/>
      <c r="AC1796" s="10"/>
      <c r="AD1796" s="7">
        <f>SUM(F1796+H1796+J1796+L1796+N1796+P1796+R1796+T1796+V1796+X1796+Z1796+AB1796)</f>
        <v>0</v>
      </c>
      <c r="AE1796" s="7">
        <f>E1796+AD1796</f>
        <v>0</v>
      </c>
      <c r="AF1796" s="8">
        <f>G1796+I1796+K1796+M1796+O1796+Q1796+S1796+U1796+W1796+Y1796+AA1796+AC1796</f>
        <v>0</v>
      </c>
      <c r="AG1796" s="153">
        <f>SUM(AE1796-AF1796)</f>
        <v>0</v>
      </c>
    </row>
    <row r="1797" spans="1:42" customHeight="1" ht="11.5">
      <c r="A1797" s="5"/>
      <c r="B1797" s="173"/>
      <c r="C1797" s="167"/>
      <c r="D1797" s="88"/>
      <c r="E1797" s="174"/>
      <c r="F1797" s="9"/>
      <c r="G1797" s="10"/>
      <c r="H1797" s="9"/>
      <c r="I1797" s="10"/>
      <c r="J1797" s="152"/>
      <c r="K1797" s="10"/>
      <c r="L1797" s="152"/>
      <c r="M1797" s="10"/>
      <c r="N1797" s="152"/>
      <c r="O1797" s="10"/>
      <c r="P1797" s="152"/>
      <c r="Q1797" s="10"/>
      <c r="R1797" s="9"/>
      <c r="S1797" s="10"/>
      <c r="T1797" s="9"/>
      <c r="U1797" s="10"/>
      <c r="V1797" s="9"/>
      <c r="W1797" s="10"/>
      <c r="X1797" s="9"/>
      <c r="Y1797" s="10"/>
      <c r="Z1797" s="9"/>
      <c r="AA1797" s="10"/>
      <c r="AB1797" s="11"/>
      <c r="AC1797" s="10"/>
      <c r="AD1797" s="7">
        <f>SUM(F1797+H1797+J1797+L1797+N1797+P1797+R1797+T1797+V1797+X1797+Z1797+AB1797)</f>
        <v>0</v>
      </c>
      <c r="AE1797" s="7">
        <f>E1797+AD1797</f>
        <v>0</v>
      </c>
      <c r="AF1797" s="8">
        <f>G1797+I1797+K1797+M1797+O1797+Q1797+S1797+U1797+W1797+Y1797+AA1797+AC1797</f>
        <v>0</v>
      </c>
      <c r="AG1797" s="153">
        <f>SUM(AE1797-AF1797)</f>
        <v>0</v>
      </c>
    </row>
    <row r="1798" spans="1:42" customHeight="1" ht="11.5">
      <c r="A1798" s="5"/>
      <c r="B1798" s="173"/>
      <c r="C1798" s="167"/>
      <c r="D1798" s="88"/>
      <c r="E1798" s="174"/>
      <c r="F1798" s="9"/>
      <c r="G1798" s="10"/>
      <c r="H1798" s="9"/>
      <c r="I1798" s="10"/>
      <c r="J1798" s="152"/>
      <c r="K1798" s="10"/>
      <c r="L1798" s="152"/>
      <c r="M1798" s="10"/>
      <c r="N1798" s="152"/>
      <c r="O1798" s="10"/>
      <c r="P1798" s="152"/>
      <c r="Q1798" s="10"/>
      <c r="R1798" s="9"/>
      <c r="S1798" s="10"/>
      <c r="T1798" s="9"/>
      <c r="U1798" s="10"/>
      <c r="V1798" s="9"/>
      <c r="W1798" s="10"/>
      <c r="X1798" s="9"/>
      <c r="Y1798" s="10"/>
      <c r="Z1798" s="9"/>
      <c r="AA1798" s="10"/>
      <c r="AB1798" s="11"/>
      <c r="AC1798" s="10"/>
      <c r="AD1798" s="7">
        <f>SUM(F1798+H1798+J1798+L1798+N1798+P1798+R1798+T1798+V1798+X1798+Z1798+AB1798)</f>
        <v>0</v>
      </c>
      <c r="AE1798" s="7">
        <f>E1798+AD1798</f>
        <v>0</v>
      </c>
      <c r="AF1798" s="8">
        <f>G1798+I1798+K1798+M1798+O1798+Q1798+S1798+U1798+W1798+Y1798+AA1798+AC1798</f>
        <v>0</v>
      </c>
      <c r="AG1798" s="153">
        <f>SUM(AE1798-AF1798)</f>
        <v>0</v>
      </c>
    </row>
    <row r="1799" spans="1:42" customHeight="1" ht="11.5">
      <c r="A1799" s="5"/>
      <c r="B1799" s="173"/>
      <c r="C1799" s="167"/>
      <c r="D1799" s="88"/>
      <c r="E1799" s="174"/>
      <c r="F1799" s="9"/>
      <c r="G1799" s="10"/>
      <c r="H1799" s="9"/>
      <c r="I1799" s="10"/>
      <c r="J1799" s="152"/>
      <c r="K1799" s="10"/>
      <c r="L1799" s="152"/>
      <c r="M1799" s="10"/>
      <c r="N1799" s="152"/>
      <c r="O1799" s="10"/>
      <c r="P1799" s="152"/>
      <c r="Q1799" s="10"/>
      <c r="R1799" s="9"/>
      <c r="S1799" s="10"/>
      <c r="T1799" s="9"/>
      <c r="U1799" s="10"/>
      <c r="V1799" s="9"/>
      <c r="W1799" s="10"/>
      <c r="X1799" s="9"/>
      <c r="Y1799" s="10"/>
      <c r="Z1799" s="9"/>
      <c r="AA1799" s="10"/>
      <c r="AB1799" s="11"/>
      <c r="AC1799" s="10"/>
      <c r="AD1799" s="7">
        <f>SUM(F1799+H1799+J1799+L1799+N1799+P1799+R1799+T1799+V1799+X1799+Z1799+AB1799)</f>
        <v>0</v>
      </c>
      <c r="AE1799" s="7">
        <f>E1799+AD1799</f>
        <v>0</v>
      </c>
      <c r="AF1799" s="8">
        <f>G1799+I1799+K1799+M1799+O1799+Q1799+S1799+U1799+W1799+Y1799+AA1799+AC1799</f>
        <v>0</v>
      </c>
      <c r="AG1799" s="153">
        <f>SUM(AE1799-AF1799)</f>
        <v>0</v>
      </c>
    </row>
    <row r="1800" spans="1:42" customHeight="1" ht="11.5">
      <c r="A1800" s="5"/>
      <c r="B1800" s="173"/>
      <c r="C1800" s="167"/>
      <c r="D1800" s="88"/>
      <c r="E1800" s="174"/>
      <c r="F1800" s="9"/>
      <c r="G1800" s="10"/>
      <c r="H1800" s="9"/>
      <c r="I1800" s="10"/>
      <c r="J1800" s="152"/>
      <c r="K1800" s="10"/>
      <c r="L1800" s="152"/>
      <c r="M1800" s="10"/>
      <c r="N1800" s="152"/>
      <c r="O1800" s="10"/>
      <c r="P1800" s="152"/>
      <c r="Q1800" s="10"/>
      <c r="R1800" s="9"/>
      <c r="S1800" s="10"/>
      <c r="T1800" s="9"/>
      <c r="U1800" s="10"/>
      <c r="V1800" s="9"/>
      <c r="W1800" s="10"/>
      <c r="X1800" s="9"/>
      <c r="Y1800" s="10"/>
      <c r="Z1800" s="9"/>
      <c r="AA1800" s="10"/>
      <c r="AB1800" s="11"/>
      <c r="AC1800" s="10"/>
      <c r="AD1800" s="7">
        <f>SUM(F1800+H1800+J1800+L1800+N1800+P1800+R1800+T1800+V1800+X1800+Z1800+AB1800)</f>
        <v>0</v>
      </c>
      <c r="AE1800" s="7">
        <f>E1800+AD1800</f>
        <v>0</v>
      </c>
      <c r="AF1800" s="8">
        <f>G1800+I1800+K1800+M1800+O1800+Q1800+S1800+U1800+W1800+Y1800+AA1800+AC1800</f>
        <v>0</v>
      </c>
      <c r="AG1800" s="153">
        <f>SUM(AE1800-AF1800)</f>
        <v>0</v>
      </c>
    </row>
    <row r="1801" spans="1:42" customHeight="1" ht="11.5">
      <c r="A1801" s="5"/>
      <c r="B1801" s="173"/>
      <c r="C1801" s="167"/>
      <c r="D1801" s="88"/>
      <c r="E1801" s="174"/>
      <c r="F1801" s="9"/>
      <c r="G1801" s="10"/>
      <c r="H1801" s="9"/>
      <c r="I1801" s="10"/>
      <c r="J1801" s="152"/>
      <c r="K1801" s="10"/>
      <c r="L1801" s="152"/>
      <c r="M1801" s="10"/>
      <c r="N1801" s="152"/>
      <c r="O1801" s="10"/>
      <c r="P1801" s="152"/>
      <c r="Q1801" s="10"/>
      <c r="R1801" s="9"/>
      <c r="S1801" s="10"/>
      <c r="T1801" s="9"/>
      <c r="U1801" s="10"/>
      <c r="V1801" s="9"/>
      <c r="W1801" s="10"/>
      <c r="X1801" s="9"/>
      <c r="Y1801" s="10"/>
      <c r="Z1801" s="9"/>
      <c r="AA1801" s="10"/>
      <c r="AB1801" s="11"/>
      <c r="AC1801" s="10"/>
      <c r="AD1801" s="7">
        <f>SUM(F1801+H1801+J1801+L1801+N1801+P1801+R1801+T1801+V1801+X1801+Z1801+AB1801)</f>
        <v>0</v>
      </c>
      <c r="AE1801" s="7">
        <f>E1801+AD1801</f>
        <v>0</v>
      </c>
      <c r="AF1801" s="8">
        <f>G1801+I1801+K1801+M1801+O1801+Q1801+S1801+U1801+W1801+Y1801+AA1801+AC1801</f>
        <v>0</v>
      </c>
      <c r="AG1801" s="153">
        <f>SUM(AE1801-AF1801)</f>
        <v>0</v>
      </c>
    </row>
    <row r="1802" spans="1:42" customHeight="1" ht="11.5">
      <c r="A1802" s="5"/>
      <c r="B1802" s="173"/>
      <c r="C1802" s="167"/>
      <c r="D1802" s="88"/>
      <c r="E1802" s="174"/>
      <c r="F1802" s="9"/>
      <c r="G1802" s="10"/>
      <c r="H1802" s="9"/>
      <c r="I1802" s="10"/>
      <c r="J1802" s="152"/>
      <c r="K1802" s="10"/>
      <c r="L1802" s="152"/>
      <c r="M1802" s="10"/>
      <c r="N1802" s="152"/>
      <c r="O1802" s="10"/>
      <c r="P1802" s="152"/>
      <c r="Q1802" s="10"/>
      <c r="R1802" s="9"/>
      <c r="S1802" s="10"/>
      <c r="T1802" s="9"/>
      <c r="U1802" s="10"/>
      <c r="V1802" s="9"/>
      <c r="W1802" s="10"/>
      <c r="X1802" s="9"/>
      <c r="Y1802" s="10"/>
      <c r="Z1802" s="9"/>
      <c r="AA1802" s="10"/>
      <c r="AB1802" s="11"/>
      <c r="AC1802" s="10"/>
      <c r="AD1802" s="7">
        <f>SUM(F1802+H1802+J1802+L1802+N1802+P1802+R1802+T1802+V1802+X1802+Z1802+AB1802)</f>
        <v>0</v>
      </c>
      <c r="AE1802" s="7">
        <f>E1802+AD1802</f>
        <v>0</v>
      </c>
      <c r="AF1802" s="8">
        <f>G1802+I1802+K1802+M1802+O1802+Q1802+S1802+U1802+W1802+Y1802+AA1802+AC1802</f>
        <v>0</v>
      </c>
      <c r="AG1802" s="153">
        <f>SUM(AE1802-AF1802)</f>
        <v>0</v>
      </c>
    </row>
    <row r="1803" spans="1:42" customHeight="1" ht="11.5">
      <c r="A1803" s="5"/>
      <c r="B1803" s="173"/>
      <c r="C1803" s="167"/>
      <c r="D1803" s="88"/>
      <c r="E1803" s="174"/>
      <c r="F1803" s="9"/>
      <c r="G1803" s="10"/>
      <c r="H1803" s="9"/>
      <c r="I1803" s="10"/>
      <c r="J1803" s="152"/>
      <c r="K1803" s="10"/>
      <c r="L1803" s="152"/>
      <c r="M1803" s="10"/>
      <c r="N1803" s="152"/>
      <c r="O1803" s="10"/>
      <c r="P1803" s="152"/>
      <c r="Q1803" s="10"/>
      <c r="R1803" s="9"/>
      <c r="S1803" s="10"/>
      <c r="T1803" s="9"/>
      <c r="U1803" s="10"/>
      <c r="V1803" s="9"/>
      <c r="W1803" s="10"/>
      <c r="X1803" s="9"/>
      <c r="Y1803" s="10"/>
      <c r="Z1803" s="9"/>
      <c r="AA1803" s="10"/>
      <c r="AB1803" s="11"/>
      <c r="AC1803" s="10"/>
      <c r="AD1803" s="7">
        <f>SUM(F1803+H1803+J1803+L1803+N1803+P1803+R1803+T1803+V1803+X1803+Z1803+AB1803)</f>
        <v>0</v>
      </c>
      <c r="AE1803" s="7">
        <f>E1803+AD1803</f>
        <v>0</v>
      </c>
      <c r="AF1803" s="8">
        <f>G1803+I1803+K1803+M1803+O1803+Q1803+S1803+U1803+W1803+Y1803+AA1803+AC1803</f>
        <v>0</v>
      </c>
      <c r="AG1803" s="153">
        <f>SUM(AE1803-AF1803)</f>
        <v>0</v>
      </c>
    </row>
    <row r="1804" spans="1:42" customHeight="1" ht="11.5">
      <c r="A1804" s="5"/>
      <c r="B1804" s="173"/>
      <c r="C1804" s="167"/>
      <c r="D1804" s="88"/>
      <c r="E1804" s="174"/>
      <c r="F1804" s="9"/>
      <c r="G1804" s="10"/>
      <c r="H1804" s="9"/>
      <c r="I1804" s="10"/>
      <c r="J1804" s="152"/>
      <c r="K1804" s="10"/>
      <c r="L1804" s="152"/>
      <c r="M1804" s="10"/>
      <c r="N1804" s="152"/>
      <c r="O1804" s="10"/>
      <c r="P1804" s="152"/>
      <c r="Q1804" s="10"/>
      <c r="R1804" s="9"/>
      <c r="S1804" s="10"/>
      <c r="T1804" s="9"/>
      <c r="U1804" s="10"/>
      <c r="V1804" s="9"/>
      <c r="W1804" s="10"/>
      <c r="X1804" s="9"/>
      <c r="Y1804" s="10"/>
      <c r="Z1804" s="9"/>
      <c r="AA1804" s="10"/>
      <c r="AB1804" s="11"/>
      <c r="AC1804" s="10"/>
      <c r="AD1804" s="7">
        <f>SUM(F1804+H1804+J1804+L1804+N1804+P1804+R1804+T1804+V1804+X1804+Z1804+AB1804)</f>
        <v>0</v>
      </c>
      <c r="AE1804" s="7">
        <f>E1804+AD1804</f>
        <v>0</v>
      </c>
      <c r="AF1804" s="8">
        <f>G1804+I1804+K1804+M1804+O1804+Q1804+S1804+U1804+W1804+Y1804+AA1804+AC1804</f>
        <v>0</v>
      </c>
      <c r="AG1804" s="153">
        <f>SUM(AE1804-AF1804)</f>
        <v>0</v>
      </c>
    </row>
    <row r="1805" spans="1:42" customHeight="1" ht="11.5">
      <c r="A1805" s="5"/>
      <c r="B1805" s="173"/>
      <c r="C1805" s="167"/>
      <c r="D1805" s="88"/>
      <c r="E1805" s="174"/>
      <c r="F1805" s="9"/>
      <c r="G1805" s="10"/>
      <c r="H1805" s="9"/>
      <c r="I1805" s="10"/>
      <c r="J1805" s="152"/>
      <c r="K1805" s="10"/>
      <c r="L1805" s="152"/>
      <c r="M1805" s="10"/>
      <c r="N1805" s="152"/>
      <c r="O1805" s="10"/>
      <c r="P1805" s="152"/>
      <c r="Q1805" s="10"/>
      <c r="R1805" s="9"/>
      <c r="S1805" s="10"/>
      <c r="T1805" s="9"/>
      <c r="U1805" s="10"/>
      <c r="V1805" s="9"/>
      <c r="W1805" s="10"/>
      <c r="X1805" s="9"/>
      <c r="Y1805" s="10"/>
      <c r="Z1805" s="9"/>
      <c r="AA1805" s="10"/>
      <c r="AB1805" s="11"/>
      <c r="AC1805" s="10"/>
      <c r="AD1805" s="7">
        <f>SUM(F1805+H1805+J1805+L1805+N1805+P1805+R1805+T1805+V1805+X1805+Z1805+AB1805)</f>
        <v>0</v>
      </c>
      <c r="AE1805" s="7">
        <f>E1805+AD1805</f>
        <v>0</v>
      </c>
      <c r="AF1805" s="8">
        <f>G1805+I1805+K1805+M1805+O1805+Q1805+S1805+U1805+W1805+Y1805+AA1805+AC1805</f>
        <v>0</v>
      </c>
      <c r="AG1805" s="153">
        <f>SUM(AE1805-AF1805)</f>
        <v>0</v>
      </c>
    </row>
    <row r="1806" spans="1:42" customHeight="1" ht="11.5">
      <c r="A1806" s="5"/>
      <c r="B1806" s="173"/>
      <c r="C1806" s="167"/>
      <c r="D1806" s="88"/>
      <c r="E1806" s="174"/>
      <c r="F1806" s="9"/>
      <c r="G1806" s="10"/>
      <c r="H1806" s="9"/>
      <c r="I1806" s="10"/>
      <c r="J1806" s="152"/>
      <c r="K1806" s="10"/>
      <c r="L1806" s="152"/>
      <c r="M1806" s="10"/>
      <c r="N1806" s="152"/>
      <c r="O1806" s="10"/>
      <c r="P1806" s="152"/>
      <c r="Q1806" s="10"/>
      <c r="R1806" s="9"/>
      <c r="S1806" s="10"/>
      <c r="T1806" s="9"/>
      <c r="U1806" s="10"/>
      <c r="V1806" s="9"/>
      <c r="W1806" s="10"/>
      <c r="X1806" s="9"/>
      <c r="Y1806" s="10"/>
      <c r="Z1806" s="9"/>
      <c r="AA1806" s="10"/>
      <c r="AB1806" s="11"/>
      <c r="AC1806" s="10"/>
      <c r="AD1806" s="7">
        <f>SUM(F1806+H1806+J1806+L1806+N1806+P1806+R1806+T1806+V1806+X1806+Z1806+AB1806)</f>
        <v>0</v>
      </c>
      <c r="AE1806" s="7">
        <f>E1806+AD1806</f>
        <v>0</v>
      </c>
      <c r="AF1806" s="8">
        <f>G1806+I1806+K1806+M1806+O1806+Q1806+S1806+U1806+W1806+Y1806+AA1806+AC1806</f>
        <v>0</v>
      </c>
      <c r="AG1806" s="153">
        <f>SUM(AE1806-AF1806)</f>
        <v>0</v>
      </c>
    </row>
    <row r="1807" spans="1:42" customHeight="1" ht="11.5">
      <c r="A1807" s="5"/>
      <c r="B1807" s="173"/>
      <c r="C1807" s="167"/>
      <c r="D1807" s="88"/>
      <c r="E1807" s="174"/>
      <c r="F1807" s="9"/>
      <c r="G1807" s="10"/>
      <c r="H1807" s="9"/>
      <c r="I1807" s="10"/>
      <c r="J1807" s="152"/>
      <c r="K1807" s="10"/>
      <c r="L1807" s="152"/>
      <c r="M1807" s="10"/>
      <c r="N1807" s="152"/>
      <c r="O1807" s="10"/>
      <c r="P1807" s="152"/>
      <c r="Q1807" s="10"/>
      <c r="R1807" s="9"/>
      <c r="S1807" s="10"/>
      <c r="T1807" s="9"/>
      <c r="U1807" s="10"/>
      <c r="V1807" s="9"/>
      <c r="W1807" s="10"/>
      <c r="X1807" s="9"/>
      <c r="Y1807" s="10"/>
      <c r="Z1807" s="9"/>
      <c r="AA1807" s="10"/>
      <c r="AB1807" s="11"/>
      <c r="AC1807" s="10"/>
      <c r="AD1807" s="7">
        <f>SUM(F1807+H1807+J1807+L1807+N1807+P1807+R1807+T1807+V1807+X1807+Z1807+AB1807)</f>
        <v>0</v>
      </c>
      <c r="AE1807" s="7">
        <f>E1807+AD1807</f>
        <v>0</v>
      </c>
      <c r="AF1807" s="8">
        <f>G1807+I1807+K1807+M1807+O1807+Q1807+S1807+U1807+W1807+Y1807+AA1807+AC1807</f>
        <v>0</v>
      </c>
      <c r="AG1807" s="153">
        <f>SUM(AE1807-AF1807)</f>
        <v>0</v>
      </c>
    </row>
    <row r="1808" spans="1:42" customHeight="1" ht="11.5">
      <c r="A1808" s="5"/>
      <c r="B1808" s="173"/>
      <c r="C1808" s="167"/>
      <c r="D1808" s="88"/>
      <c r="E1808" s="174"/>
      <c r="F1808" s="9"/>
      <c r="G1808" s="10"/>
      <c r="H1808" s="9"/>
      <c r="I1808" s="10"/>
      <c r="J1808" s="152"/>
      <c r="K1808" s="10"/>
      <c r="L1808" s="152"/>
      <c r="M1808" s="10"/>
      <c r="N1808" s="152"/>
      <c r="O1808" s="10"/>
      <c r="P1808" s="152"/>
      <c r="Q1808" s="10"/>
      <c r="R1808" s="176"/>
      <c r="S1808" s="177"/>
      <c r="T1808" s="176"/>
      <c r="U1808" s="177"/>
      <c r="V1808" s="9"/>
      <c r="W1808" s="177"/>
      <c r="X1808" s="9"/>
      <c r="Y1808" s="10"/>
      <c r="Z1808" s="9"/>
      <c r="AA1808" s="10"/>
      <c r="AB1808" s="11"/>
      <c r="AC1808" s="10"/>
      <c r="AD1808" s="7">
        <f>SUM(F1808+H1808+J1808+L1808+N1808+P1808+R1808+T1808+V1808+X1808+Z1808+AB1808)</f>
        <v>0</v>
      </c>
      <c r="AE1808" s="7">
        <f>E1808+AD1808</f>
        <v>0</v>
      </c>
      <c r="AF1808" s="8">
        <f>G1808+I1808+K1808+M1808+O1808+Q1808+S1808+U1808+W1808+Y1808+AA1808+AC1808</f>
        <v>0</v>
      </c>
      <c r="AG1808" s="153">
        <f>SUM(AE1808-AF1808)</f>
        <v>0</v>
      </c>
    </row>
    <row r="1809" spans="1:42" customHeight="1" ht="11.5">
      <c r="A1809" s="178"/>
      <c r="B1809" s="173"/>
      <c r="C1809" s="167"/>
      <c r="D1809" s="88"/>
      <c r="E1809" s="174"/>
      <c r="F1809" s="9"/>
      <c r="G1809" s="10"/>
      <c r="H1809" s="9"/>
      <c r="I1809" s="10"/>
      <c r="J1809" s="152"/>
      <c r="K1809" s="10"/>
      <c r="L1809" s="152"/>
      <c r="M1809" s="10"/>
      <c r="N1809" s="152"/>
      <c r="O1809" s="10"/>
      <c r="P1809" s="152"/>
      <c r="Q1809" s="10"/>
      <c r="R1809" s="176"/>
      <c r="S1809" s="177"/>
      <c r="T1809" s="176"/>
      <c r="U1809" s="177"/>
      <c r="V1809" s="9"/>
      <c r="W1809" s="177"/>
      <c r="X1809" s="9"/>
      <c r="Y1809" s="10"/>
      <c r="Z1809" s="9"/>
      <c r="AA1809" s="10"/>
      <c r="AB1809" s="11"/>
      <c r="AC1809" s="10"/>
      <c r="AD1809" s="7">
        <f>SUM(F1809+H1809+J1809+L1809+N1809+P1809+R1809+T1809+V1809+X1809+Z1809+AB1809)</f>
        <v>0</v>
      </c>
      <c r="AE1809" s="7">
        <f>E1809+AD1809</f>
        <v>0</v>
      </c>
      <c r="AF1809" s="8">
        <f>G1809+I1809+K1809+M1809+O1809+Q1809+S1809+U1809+W1809+Y1809+AA1809+AC1809</f>
        <v>0</v>
      </c>
      <c r="AG1809" s="153">
        <f>SUM(AE1809-AF1809)</f>
        <v>0</v>
      </c>
    </row>
    <row r="1810" spans="1:42" customHeight="1" ht="12">
      <c r="A1810" s="179"/>
      <c r="B1810" s="180"/>
      <c r="C1810" s="181"/>
      <c r="D1810" s="90"/>
      <c r="E1810" s="182"/>
      <c r="F1810" s="9"/>
      <c r="G1810" s="10"/>
      <c r="H1810" s="9"/>
      <c r="I1810" s="10"/>
      <c r="J1810" s="152"/>
      <c r="K1810" s="10"/>
      <c r="L1810" s="152"/>
      <c r="M1810" s="10"/>
      <c r="N1810" s="152"/>
      <c r="O1810" s="10"/>
      <c r="P1810" s="152"/>
      <c r="Q1810" s="10"/>
      <c r="R1810" s="176"/>
      <c r="S1810" s="183"/>
      <c r="T1810" s="176"/>
      <c r="U1810" s="177"/>
      <c r="V1810" s="9"/>
      <c r="W1810" s="177"/>
      <c r="X1810" s="9"/>
      <c r="Y1810" s="10"/>
      <c r="Z1810" s="9"/>
      <c r="AA1810" s="10"/>
      <c r="AB1810" s="11"/>
      <c r="AC1810" s="10"/>
      <c r="AD1810" s="7">
        <f>SUM(F1810+H1810+J1810+L1810+N1810+P1810+R1810+T1810+V1810+X1810+Z1810+AB1810)</f>
        <v>0</v>
      </c>
      <c r="AE1810" s="7">
        <f>E1810+AD1810</f>
        <v>0</v>
      </c>
      <c r="AF1810" s="8">
        <f>G1810+I1810+K1810+M1810+O1810+Q1810+S1810+U1810+W1810+Y1810+AA1810+AC1810</f>
        <v>0</v>
      </c>
      <c r="AG1810" s="153">
        <f>SUM(AE1810-AF1810)</f>
        <v>0</v>
      </c>
    </row>
    <row r="1811" spans="1:42" customHeight="1" ht="12">
      <c r="C1811" s="92"/>
      <c r="D1811" s="92"/>
      <c r="E1811" s="184">
        <f>SUM(E9:E1810)</f>
        <v>10725920</v>
      </c>
      <c r="F1811" s="185">
        <f>SUM(F9:F1810)</f>
        <v>9909467</v>
      </c>
      <c r="G1811" s="93">
        <f>SUM(G9:G1810)</f>
        <v>10330555</v>
      </c>
      <c r="H1811" s="185">
        <f>SUM(H9:H1810)</f>
        <v>10470303</v>
      </c>
      <c r="I1811" s="93">
        <f>SUM(I9:I1810)</f>
        <v>10891338</v>
      </c>
      <c r="J1811" s="185">
        <f>SUM(J9:J1810)</f>
        <v>10182407</v>
      </c>
      <c r="K1811" s="93">
        <f>SUM(K9:K1810)</f>
        <v>11012905</v>
      </c>
      <c r="L1811" s="185">
        <f>SUM(L9:L1810)</f>
        <v>9498715</v>
      </c>
      <c r="M1811" s="93">
        <f>SUM(M9:M1810)</f>
        <v>10228346</v>
      </c>
      <c r="N1811" s="185">
        <f>SUM(N9:N1810)</f>
        <v>10642675</v>
      </c>
      <c r="O1811" s="93">
        <f>SUM(O9:O1810)</f>
        <v>10221925</v>
      </c>
      <c r="P1811" s="185">
        <f>SUM(P9:P1810)</f>
        <v>8960114</v>
      </c>
      <c r="Q1811" s="93">
        <f>SUM(Q9:Q1810)</f>
        <v>10862344</v>
      </c>
      <c r="R1811" s="185">
        <f>SUM(R9:R1810)</f>
        <v>12841908</v>
      </c>
      <c r="S1811" s="93">
        <f>SUM(S9:S1810)</f>
        <v>0</v>
      </c>
      <c r="T1811" s="185">
        <f>SUM(T9:T1810)</f>
        <v>0</v>
      </c>
      <c r="U1811" s="93">
        <f>SUM(U9:U1810)</f>
        <v>0</v>
      </c>
      <c r="V1811" s="185">
        <f>SUM(V9:V1810)</f>
        <v>0</v>
      </c>
      <c r="W1811" s="93">
        <f>SUM(W9:W1810)</f>
        <v>0</v>
      </c>
      <c r="X1811" s="185">
        <f>SUM(X9:X1810)</f>
        <v>0</v>
      </c>
      <c r="Y1811" s="93">
        <f>SUM(Y9:Y1810)</f>
        <v>0</v>
      </c>
      <c r="Z1811" s="185">
        <f>SUM(Z9:Z1810)</f>
        <v>0</v>
      </c>
      <c r="AA1811" s="93">
        <f>SUM(AA9:AA1810)</f>
        <v>0</v>
      </c>
      <c r="AB1811" s="185">
        <f>SUM(AB9:AB1810)</f>
        <v>0</v>
      </c>
      <c r="AC1811" s="186">
        <f>SUM(AC9:AC1810)</f>
        <v>0</v>
      </c>
      <c r="AD1811" s="94">
        <f>SUM(AD9:AD1810)</f>
        <v>72505589</v>
      </c>
      <c r="AE1811" s="94">
        <f>SUM(AE9:AE1810)</f>
        <v>83231509</v>
      </c>
      <c r="AF1811" s="95">
        <f>SUM(AF9:AF1810)</f>
        <v>63547413</v>
      </c>
      <c r="AG1811" s="187">
        <f>SUM(AG9:AG1810)</f>
        <v>19684096</v>
      </c>
    </row>
    <row r="1812" spans="1:42">
      <c r="B1812" s="91"/>
    </row>
  </sheetData>
  <sheetProtection objects="1" scenarios="1" formatCells="1" formatColumns="1" formatRows="1" insertColumns="1" insertRows="1" insertHyperlinks="1" deleteColumns="1" deleteRows="1" sort="1" autoFilter="1" pivotTables="1" selectLockedCells="1" selectUnlockedCells="1"/>
  <mergeCells>
    <mergeCell ref="C4:G4"/>
    <mergeCell ref="R6:S7"/>
    <mergeCell ref="T6:U7"/>
    <mergeCell ref="AF6:AF8"/>
    <mergeCell ref="AG6:AG8"/>
    <mergeCell ref="V6:W7"/>
    <mergeCell ref="X6:Y7"/>
    <mergeCell ref="Z6:AA7"/>
    <mergeCell ref="AB6:AC7"/>
    <mergeCell ref="AD6:AD7"/>
    <mergeCell ref="A6:A8"/>
    <mergeCell ref="B6:B8"/>
    <mergeCell ref="C6:C8"/>
    <mergeCell ref="D6:D8"/>
    <mergeCell ref="E6:E8"/>
    <mergeCell ref="F6:G7"/>
    <mergeCell ref="AF5:AG5"/>
    <mergeCell ref="AD5:AE5"/>
    <mergeCell ref="F5:AC5"/>
    <mergeCell ref="C3:D3"/>
    <mergeCell ref="J6:K7"/>
    <mergeCell ref="L6:M7"/>
    <mergeCell ref="N6:O7"/>
    <mergeCell ref="AE6:AE7"/>
    <mergeCell ref="P6:Q7"/>
    <mergeCell ref="H6:I7"/>
  </mergeCells>
  <conditionalFormatting sqref="B1812:B65536">
    <cfRule type="expression" dxfId="0" priority="1">
      <formula>AND(COUNTIF($B$1812:$B$65536, A1)&gt;1,NOT(ISBLANK(A1)))</formula>
    </cfRule>
    <cfRule type="expression" dxfId="0" priority="2">
      <formula>AND(COUNTIF($B$1812:$B$65536, A1)&gt;1,NOT(ISBLANK(A1)))</formula>
    </cfRule>
  </conditionalFormatting>
  <conditionalFormatting sqref="B1:B8">
    <cfRule type="expression" dxfId="1" priority="3">
      <formula>AND(COUNTIF($B$1:$B$8, A1)+COUNTIF($B$694:$B$735, A1)+COUNTIF($B$743:$B$1811, A1)&gt;1,NOT(ISBLANK(A1)))</formula>
    </cfRule>
    <cfRule type="expression" dxfId="1" priority="4">
      <formula>AND(COUNTIF($B$1:$B$8, A1)+COUNTIF($B$694:$B$735, A1)+COUNTIF($B$743:$B$1811, A1)&gt;1,NOT(ISBLANK(A1)))</formula>
    </cfRule>
  </conditionalFormatting>
  <conditionalFormatting sqref="B694:B735">
    <cfRule type="expression" dxfId="1" priority="5">
      <formula>AND(COUNTIF($B$1:$B$8, A1)+COUNTIF($B$694:$B$735, A1)+COUNTIF($B$743:$B$1811, A1)&gt;1,NOT(ISBLANK(A1)))</formula>
    </cfRule>
    <cfRule type="expression" dxfId="1" priority="6">
      <formula>AND(COUNTIF($B$1:$B$8, A1)+COUNTIF($B$694:$B$735, A1)+COUNTIF($B$743:$B$1811, A1)&gt;1,NOT(ISBLANK(A1)))</formula>
    </cfRule>
  </conditionalFormatting>
  <conditionalFormatting sqref="B743:B1811">
    <cfRule type="expression" dxfId="1" priority="7">
      <formula>AND(COUNTIF($B$1:$B$8, A1)+COUNTIF($B$694:$B$735, A1)+COUNTIF($B$743:$B$1811, A1)&gt;1,NOT(ISBLANK(A1)))</formula>
    </cfRule>
    <cfRule type="expression" dxfId="1" priority="8">
      <formula>AND(COUNTIF($B$1:$B$8, A1)+COUNTIF($B$694:$B$735, A1)+COUNTIF($B$743:$B$1811, A1)&gt;1,NOT(ISBLANK(A1)))</formula>
    </cfRule>
  </conditionalFormatting>
  <conditionalFormatting sqref="B9:B693">
    <cfRule type="expression" dxfId="2" priority="9">
      <formula>AND(COUNTIF($B$9:$B$693, A1)&gt;1,NOT(ISBLANK(A1)))</formula>
    </cfRule>
    <cfRule type="expression" dxfId="2" priority="10">
      <formula>AND(COUNTIF($B$9:$B$693, A1)&gt;1,NOT(ISBLANK(A1)))</formula>
    </cfRule>
  </conditionalFormatting>
  <conditionalFormatting sqref="B736:B742">
    <cfRule type="expression" dxfId="3" priority="11">
      <formula>AND(COUNTIF($B$736:$B$742, A1)&gt;1,NOT(ISBLANK(A1)))</formula>
    </cfRule>
    <cfRule type="expression" dxfId="3" priority="12">
      <formula>AND(COUNTIF($B$736:$B$742, A1)&gt;1,NOT(ISBLANK(A1)))</formula>
    </cfRule>
  </conditionalFormatting>
  <printOptions gridLines="false" gridLinesSet="true" horizontalCentered="true"/>
  <pageMargins left="0" right="0" top="0.59055118110236" bottom="0.39370078740157" header="0.51181102362205" footer="0.51181102362205"/>
  <pageSetup paperSize="9" orientation="landscape" scale="75" fitToHeight="1" fitToWidth="1" pageOrder="downThenOver"/>
  <headerFooter differentOddEven="false" differentFirst="false" scaleWithDoc="true" alignWithMargins="true">
    <oddFooter>&amp;RBOI-WI-001-F01-1</oddFooter>
    <evenFooter>&amp;RBOI-WI-001-F01-1</evenFooter>
  </headerFooter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2054"/>
  <sheetViews>
    <sheetView tabSelected="1" workbookViewId="0" showGridLines="true" showRowColHeaders="1">
      <pane xSplit="2" ySplit="2" activePane="bottomRight" state="frozen" topLeftCell="C131"/>
      <selection pane="bottomRight" activeCell="H150" sqref="H150"/>
    </sheetView>
  </sheetViews>
  <sheetFormatPr customHeight="true" defaultRowHeight="11.5" defaultColWidth="9.1796875" outlineLevelRow="0" outlineLevelCol="0"/>
  <cols>
    <col min="1" max="1" width="13.7265625" customWidth="true" style="61"/>
    <col min="2" max="2" width="3.26953125" customWidth="true" style="15"/>
    <col min="3" max="3" width="8.1796875" customWidth="true" style="64"/>
    <col min="4" max="4" width="15" customWidth="true" style="64"/>
    <col min="5" max="5" width="15" customWidth="true" style="42"/>
    <col min="6" max="6" width="10.453125" customWidth="true" style="42"/>
    <col min="7" max="7" width="8" customWidth="true" style="42"/>
    <col min="8" max="8" width="24.54296875" customWidth="true" style="42"/>
    <col min="9" max="9" width="25.453125" customWidth="true" style="42"/>
    <col min="10" max="10" width="10.26953125" customWidth="true" style="42"/>
    <col min="11" max="11" width="10.26953125" customWidth="true" style="6"/>
    <col min="12" max="12" width="18.1796875" customWidth="true" style="6"/>
    <col min="13" max="13" width="9.1796875" style="1"/>
    <col min="14" max="14" width="9.1796875" style="1"/>
    <col min="15" max="15" width="9.1796875" style="1"/>
    <col min="16" max="16" width="9.1796875" style="1"/>
    <col min="17" max="17" width="9.1796875" style="1"/>
    <col min="18" max="18" width="9.1796875" style="1"/>
    <col min="19" max="19" width="9.1796875" style="1"/>
    <col min="20" max="20" width="9.1796875" style="1"/>
    <col min="21" max="21" width="9.1796875" style="1"/>
    <col min="22" max="22" width="9.1796875" style="1"/>
  </cols>
  <sheetData>
    <row r="1" spans="1:22" customHeight="1" ht="30.75" s="12" customFormat="1">
      <c r="A1" s="136" t="s">
        <v>1748</v>
      </c>
      <c r="B1" s="136"/>
      <c r="C1" s="136"/>
      <c r="D1" s="136"/>
      <c r="E1" s="136"/>
      <c r="F1" s="136"/>
      <c r="G1" s="136"/>
      <c r="H1" s="136"/>
      <c r="I1" s="136"/>
      <c r="J1" s="50"/>
      <c r="K1" s="49">
        <f>SUM(J119:J148)</f>
        <v>548049</v>
      </c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</row>
    <row r="2" spans="1:22" customHeight="1" ht="34.5" s="12" customFormat="1">
      <c r="A2" s="18" t="s">
        <v>1749</v>
      </c>
      <c r="B2" s="54" t="s">
        <v>1750</v>
      </c>
      <c r="C2" s="19" t="s">
        <v>1751</v>
      </c>
      <c r="D2" s="37" t="s">
        <v>1752</v>
      </c>
      <c r="E2" s="37" t="s">
        <v>1753</v>
      </c>
      <c r="F2" s="65" t="s">
        <v>1754</v>
      </c>
      <c r="G2" s="37" t="s">
        <v>1755</v>
      </c>
      <c r="H2" s="13" t="s">
        <v>1756</v>
      </c>
      <c r="I2" s="43" t="s">
        <v>1757</v>
      </c>
      <c r="J2" s="48" t="s">
        <v>1758</v>
      </c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</row>
    <row r="3" spans="1:22" customHeight="1" ht="11.5" s="12" customFormat="1">
      <c r="A3" s="22" t="s">
        <v>1759</v>
      </c>
      <c r="B3" s="55"/>
      <c r="C3" s="23" t="s">
        <v>4</v>
      </c>
      <c r="D3" s="38" t="s">
        <v>1760</v>
      </c>
      <c r="E3" s="38" t="s">
        <v>1761</v>
      </c>
      <c r="F3" s="38" t="s">
        <v>1759</v>
      </c>
      <c r="G3" s="38">
        <v>140</v>
      </c>
      <c r="H3" s="24" t="s">
        <v>81</v>
      </c>
      <c r="I3" s="44" t="s">
        <v>37</v>
      </c>
      <c r="J3" s="44">
        <v>4000</v>
      </c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</row>
    <row r="4" spans="1:22" customHeight="1" ht="11.5" s="12" customFormat="1">
      <c r="A4" s="22" t="s">
        <v>1759</v>
      </c>
      <c r="B4" s="55"/>
      <c r="C4" s="23" t="s">
        <v>4</v>
      </c>
      <c r="D4" s="38" t="s">
        <v>1760</v>
      </c>
      <c r="E4" s="38" t="s">
        <v>1761</v>
      </c>
      <c r="F4" s="38" t="s">
        <v>1759</v>
      </c>
      <c r="G4" s="38">
        <v>141</v>
      </c>
      <c r="H4" s="24" t="s">
        <v>82</v>
      </c>
      <c r="I4" s="44" t="s">
        <v>37</v>
      </c>
      <c r="J4" s="44">
        <v>10000</v>
      </c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</row>
    <row r="5" spans="1:22" customHeight="1" ht="11.5" s="12" customFormat="1">
      <c r="A5" s="22" t="s">
        <v>1759</v>
      </c>
      <c r="B5" s="55"/>
      <c r="C5" s="23" t="s">
        <v>4</v>
      </c>
      <c r="D5" s="38" t="s">
        <v>1760</v>
      </c>
      <c r="E5" s="38" t="s">
        <v>1761</v>
      </c>
      <c r="F5" s="38" t="s">
        <v>1759</v>
      </c>
      <c r="G5" s="38">
        <v>142</v>
      </c>
      <c r="H5" s="24" t="s">
        <v>86</v>
      </c>
      <c r="I5" s="44" t="s">
        <v>37</v>
      </c>
      <c r="J5" s="44">
        <v>5000</v>
      </c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</row>
    <row r="6" spans="1:22" customHeight="1" ht="11.5" s="12" customFormat="1">
      <c r="A6" s="22" t="s">
        <v>1759</v>
      </c>
      <c r="B6" s="55"/>
      <c r="C6" s="23" t="s">
        <v>4</v>
      </c>
      <c r="D6" s="38" t="s">
        <v>1760</v>
      </c>
      <c r="E6" s="38" t="s">
        <v>1761</v>
      </c>
      <c r="F6" s="38" t="s">
        <v>1759</v>
      </c>
      <c r="G6" s="38">
        <v>143</v>
      </c>
      <c r="H6" s="24" t="s">
        <v>89</v>
      </c>
      <c r="I6" s="44" t="s">
        <v>37</v>
      </c>
      <c r="J6" s="44">
        <v>24000</v>
      </c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</row>
    <row r="7" spans="1:22" customHeight="1" ht="11.5" s="12" customFormat="1">
      <c r="A7" s="22" t="s">
        <v>1759</v>
      </c>
      <c r="B7" s="55"/>
      <c r="C7" s="23" t="s">
        <v>4</v>
      </c>
      <c r="D7" s="38" t="s">
        <v>1760</v>
      </c>
      <c r="E7" s="38" t="s">
        <v>1761</v>
      </c>
      <c r="F7" s="38" t="s">
        <v>1759</v>
      </c>
      <c r="G7" s="38">
        <v>144</v>
      </c>
      <c r="H7" s="24" t="s">
        <v>116</v>
      </c>
      <c r="I7" s="44" t="s">
        <v>37</v>
      </c>
      <c r="J7" s="44">
        <v>20000</v>
      </c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</row>
    <row r="8" spans="1:22" customHeight="1" ht="11.5" s="12" customFormat="1">
      <c r="A8" s="22" t="s">
        <v>1759</v>
      </c>
      <c r="B8" s="55"/>
      <c r="C8" s="23" t="s">
        <v>4</v>
      </c>
      <c r="D8" s="38" t="s">
        <v>1760</v>
      </c>
      <c r="E8" s="38" t="s">
        <v>1761</v>
      </c>
      <c r="F8" s="38" t="s">
        <v>1759</v>
      </c>
      <c r="G8" s="38">
        <v>145</v>
      </c>
      <c r="H8" s="24" t="s">
        <v>120</v>
      </c>
      <c r="I8" s="44" t="s">
        <v>37</v>
      </c>
      <c r="J8" s="44">
        <v>15000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</row>
    <row r="9" spans="1:22" customHeight="1" ht="11.5" s="12" customFormat="1">
      <c r="A9" s="26" t="s">
        <v>1759</v>
      </c>
      <c r="B9" s="56"/>
      <c r="C9" s="27" t="s">
        <v>4</v>
      </c>
      <c r="D9" s="39" t="s">
        <v>1760</v>
      </c>
      <c r="E9" s="39" t="s">
        <v>1761</v>
      </c>
      <c r="F9" s="39" t="s">
        <v>1759</v>
      </c>
      <c r="G9" s="39">
        <v>146</v>
      </c>
      <c r="H9" s="28" t="s">
        <v>257</v>
      </c>
      <c r="I9" s="45" t="s">
        <v>37</v>
      </c>
      <c r="J9" s="45">
        <v>10000</v>
      </c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</row>
    <row r="10" spans="1:22" customHeight="1" ht="11.5" s="12" customFormat="1">
      <c r="A10" s="26" t="s">
        <v>1759</v>
      </c>
      <c r="B10" s="56"/>
      <c r="C10" s="27" t="s">
        <v>4</v>
      </c>
      <c r="D10" s="39" t="s">
        <v>1760</v>
      </c>
      <c r="E10" s="39" t="s">
        <v>1761</v>
      </c>
      <c r="F10" s="39" t="s">
        <v>1759</v>
      </c>
      <c r="G10" s="39">
        <v>147</v>
      </c>
      <c r="H10" s="28" t="s">
        <v>259</v>
      </c>
      <c r="I10" s="45" t="s">
        <v>37</v>
      </c>
      <c r="J10" s="45">
        <v>8000</v>
      </c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</row>
    <row r="11" spans="1:22" customHeight="1" ht="11.5" s="12" customFormat="1">
      <c r="A11" s="26" t="s">
        <v>1759</v>
      </c>
      <c r="B11" s="56"/>
      <c r="C11" s="27" t="s">
        <v>4</v>
      </c>
      <c r="D11" s="39" t="s">
        <v>1760</v>
      </c>
      <c r="E11" s="39" t="s">
        <v>1761</v>
      </c>
      <c r="F11" s="39" t="s">
        <v>1759</v>
      </c>
      <c r="G11" s="39">
        <v>148</v>
      </c>
      <c r="H11" s="28" t="s">
        <v>128</v>
      </c>
      <c r="I11" s="45" t="s">
        <v>37</v>
      </c>
      <c r="J11" s="45">
        <v>10000</v>
      </c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</row>
    <row r="12" spans="1:22" customHeight="1" ht="11.5" s="12" customFormat="1">
      <c r="A12" s="26" t="s">
        <v>1759</v>
      </c>
      <c r="B12" s="56"/>
      <c r="C12" s="27" t="s">
        <v>4</v>
      </c>
      <c r="D12" s="39" t="s">
        <v>1760</v>
      </c>
      <c r="E12" s="39" t="s">
        <v>1761</v>
      </c>
      <c r="F12" s="39" t="s">
        <v>1759</v>
      </c>
      <c r="G12" s="39">
        <v>149</v>
      </c>
      <c r="H12" s="28" t="s">
        <v>437</v>
      </c>
      <c r="I12" s="45" t="s">
        <v>37</v>
      </c>
      <c r="J12" s="45">
        <v>20000</v>
      </c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</row>
    <row r="13" spans="1:22" customHeight="1" ht="11.5" s="12" customFormat="1">
      <c r="A13" s="26" t="s">
        <v>1759</v>
      </c>
      <c r="B13" s="56"/>
      <c r="C13" s="27" t="s">
        <v>4</v>
      </c>
      <c r="D13" s="39" t="s">
        <v>1760</v>
      </c>
      <c r="E13" s="39" t="s">
        <v>1761</v>
      </c>
      <c r="F13" s="39" t="s">
        <v>1759</v>
      </c>
      <c r="G13" s="39">
        <v>150</v>
      </c>
      <c r="H13" s="28" t="s">
        <v>249</v>
      </c>
      <c r="I13" s="45" t="s">
        <v>37</v>
      </c>
      <c r="J13" s="45">
        <v>50214</v>
      </c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</row>
    <row r="14" spans="1:22" customHeight="1" ht="11.5" s="12" customFormat="1">
      <c r="A14" s="26" t="s">
        <v>1759</v>
      </c>
      <c r="B14" s="56"/>
      <c r="C14" s="27" t="s">
        <v>4</v>
      </c>
      <c r="D14" s="39" t="s">
        <v>1760</v>
      </c>
      <c r="E14" s="39" t="s">
        <v>1761</v>
      </c>
      <c r="F14" s="39" t="s">
        <v>1759</v>
      </c>
      <c r="G14" s="39">
        <v>151</v>
      </c>
      <c r="H14" s="28" t="s">
        <v>299</v>
      </c>
      <c r="I14" s="45" t="s">
        <v>37</v>
      </c>
      <c r="J14" s="45">
        <v>20000</v>
      </c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</row>
    <row r="15" spans="1:22" customHeight="1" ht="11.5" s="12" customFormat="1">
      <c r="A15" s="35" t="s">
        <v>1759</v>
      </c>
      <c r="B15" s="32"/>
      <c r="C15" s="36" t="s">
        <v>4</v>
      </c>
      <c r="D15" s="36" t="s">
        <v>1760</v>
      </c>
      <c r="E15" s="36" t="s">
        <v>1761</v>
      </c>
      <c r="F15" s="36" t="s">
        <v>1759</v>
      </c>
      <c r="G15" s="36">
        <v>152</v>
      </c>
      <c r="H15" s="31" t="s">
        <v>261</v>
      </c>
      <c r="I15" s="46" t="s">
        <v>37</v>
      </c>
      <c r="J15" s="46">
        <v>5000</v>
      </c>
      <c r="K15" s="33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</row>
    <row r="16" spans="1:22" customHeight="1" ht="11.5" s="12" customFormat="1">
      <c r="A16" s="35" t="s">
        <v>1759</v>
      </c>
      <c r="B16" s="32"/>
      <c r="C16" s="36" t="s">
        <v>4</v>
      </c>
      <c r="D16" s="36" t="s">
        <v>1760</v>
      </c>
      <c r="E16" s="36" t="s">
        <v>1761</v>
      </c>
      <c r="F16" s="36" t="s">
        <v>1759</v>
      </c>
      <c r="G16" s="36">
        <v>153</v>
      </c>
      <c r="H16" s="31" t="s">
        <v>323</v>
      </c>
      <c r="I16" s="46" t="s">
        <v>37</v>
      </c>
      <c r="J16" s="46">
        <v>90000</v>
      </c>
      <c r="K16" s="34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</row>
    <row r="17" spans="1:22" customHeight="1" ht="11.5" s="12" customFormat="1">
      <c r="A17" s="29" t="s">
        <v>1759</v>
      </c>
      <c r="B17" s="57"/>
      <c r="C17" s="30" t="s">
        <v>4</v>
      </c>
      <c r="D17" s="36" t="s">
        <v>1760</v>
      </c>
      <c r="E17" s="36" t="s">
        <v>1761</v>
      </c>
      <c r="F17" s="36" t="s">
        <v>1759</v>
      </c>
      <c r="G17" s="36">
        <v>154</v>
      </c>
      <c r="H17" s="31" t="s">
        <v>495</v>
      </c>
      <c r="I17" s="46" t="s">
        <v>37</v>
      </c>
      <c r="J17" s="46">
        <v>250000</v>
      </c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</row>
    <row r="18" spans="1:22" customHeight="1" ht="11.5" s="12" customFormat="1">
      <c r="A18" s="26" t="s">
        <v>1759</v>
      </c>
      <c r="B18" s="56"/>
      <c r="C18" s="27" t="s">
        <v>4</v>
      </c>
      <c r="D18" s="39" t="s">
        <v>1760</v>
      </c>
      <c r="E18" s="39" t="s">
        <v>1761</v>
      </c>
      <c r="F18" s="39" t="s">
        <v>1759</v>
      </c>
      <c r="G18" s="39">
        <v>155</v>
      </c>
      <c r="H18" s="28" t="s">
        <v>263</v>
      </c>
      <c r="I18" s="45" t="s">
        <v>37</v>
      </c>
      <c r="J18" s="45">
        <v>10000</v>
      </c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</row>
    <row r="19" spans="1:22" customHeight="1" ht="11.5" s="12" customFormat="1">
      <c r="A19" s="26" t="s">
        <v>1759</v>
      </c>
      <c r="B19" s="56"/>
      <c r="C19" s="27" t="s">
        <v>4</v>
      </c>
      <c r="D19" s="39" t="s">
        <v>1760</v>
      </c>
      <c r="E19" s="39" t="s">
        <v>1761</v>
      </c>
      <c r="F19" s="39" t="s">
        <v>1759</v>
      </c>
      <c r="G19" s="39">
        <v>156</v>
      </c>
      <c r="H19" s="28" t="s">
        <v>533</v>
      </c>
      <c r="I19" s="45" t="s">
        <v>37</v>
      </c>
      <c r="J19" s="45">
        <v>10000</v>
      </c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</row>
    <row r="20" spans="1:22" customHeight="1" ht="11.5" s="12" customFormat="1">
      <c r="A20" s="26" t="s">
        <v>1759</v>
      </c>
      <c r="B20" s="56"/>
      <c r="C20" s="27" t="s">
        <v>4</v>
      </c>
      <c r="D20" s="39" t="s">
        <v>1760</v>
      </c>
      <c r="E20" s="39" t="s">
        <v>1761</v>
      </c>
      <c r="F20" s="39" t="s">
        <v>1759</v>
      </c>
      <c r="G20" s="39">
        <v>157</v>
      </c>
      <c r="H20" s="28" t="s">
        <v>377</v>
      </c>
      <c r="I20" s="45" t="s">
        <v>37</v>
      </c>
      <c r="J20" s="45">
        <v>30000</v>
      </c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</row>
    <row r="21" spans="1:22" customHeight="1" ht="11.5" s="12" customFormat="1">
      <c r="A21" s="26" t="s">
        <v>1759</v>
      </c>
      <c r="B21" s="56"/>
      <c r="C21" s="27" t="s">
        <v>4</v>
      </c>
      <c r="D21" s="39" t="s">
        <v>1760</v>
      </c>
      <c r="E21" s="39" t="s">
        <v>1761</v>
      </c>
      <c r="F21" s="39" t="s">
        <v>1759</v>
      </c>
      <c r="G21" s="39">
        <v>158</v>
      </c>
      <c r="H21" s="28" t="s">
        <v>313</v>
      </c>
      <c r="I21" s="45" t="s">
        <v>37</v>
      </c>
      <c r="J21" s="45">
        <v>15000</v>
      </c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</row>
    <row r="22" spans="1:22" customHeight="1" ht="11.5" s="12" customFormat="1">
      <c r="A22" s="26" t="s">
        <v>1759</v>
      </c>
      <c r="B22" s="56"/>
      <c r="C22" s="27" t="s">
        <v>4</v>
      </c>
      <c r="D22" s="39" t="s">
        <v>1760</v>
      </c>
      <c r="E22" s="39" t="s">
        <v>1761</v>
      </c>
      <c r="F22" s="39" t="s">
        <v>1759</v>
      </c>
      <c r="G22" s="39">
        <v>159</v>
      </c>
      <c r="H22" s="28" t="s">
        <v>307</v>
      </c>
      <c r="I22" s="45" t="s">
        <v>37</v>
      </c>
      <c r="J22" s="45">
        <v>15000</v>
      </c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</row>
    <row r="23" spans="1:22" customHeight="1" ht="11.5" s="12" customFormat="1">
      <c r="A23" s="26" t="s">
        <v>1759</v>
      </c>
      <c r="B23" s="56"/>
      <c r="C23" s="27" t="s">
        <v>4</v>
      </c>
      <c r="D23" s="39" t="s">
        <v>1760</v>
      </c>
      <c r="E23" s="39" t="s">
        <v>1761</v>
      </c>
      <c r="F23" s="39" t="s">
        <v>1759</v>
      </c>
      <c r="G23" s="39">
        <v>160</v>
      </c>
      <c r="H23" s="28" t="s">
        <v>903</v>
      </c>
      <c r="I23" s="45" t="s">
        <v>37</v>
      </c>
      <c r="J23" s="45">
        <v>30000</v>
      </c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</row>
    <row r="24" spans="1:22" customHeight="1" ht="11.5" s="12" customFormat="1">
      <c r="A24" s="26" t="s">
        <v>1759</v>
      </c>
      <c r="B24" s="56"/>
      <c r="C24" s="27" t="s">
        <v>4</v>
      </c>
      <c r="D24" s="39" t="s">
        <v>1760</v>
      </c>
      <c r="E24" s="39" t="s">
        <v>1761</v>
      </c>
      <c r="F24" s="39" t="s">
        <v>1759</v>
      </c>
      <c r="G24" s="39">
        <v>161</v>
      </c>
      <c r="H24" s="28" t="s">
        <v>505</v>
      </c>
      <c r="I24" s="45" t="s">
        <v>37</v>
      </c>
      <c r="J24" s="45">
        <v>40000</v>
      </c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</row>
    <row r="25" spans="1:22" customHeight="1" ht="11.5" s="12" customFormat="1">
      <c r="A25" s="26" t="s">
        <v>1759</v>
      </c>
      <c r="B25" s="56"/>
      <c r="C25" s="27" t="s">
        <v>4</v>
      </c>
      <c r="D25" s="39" t="s">
        <v>1760</v>
      </c>
      <c r="E25" s="39" t="s">
        <v>1761</v>
      </c>
      <c r="F25" s="39" t="s">
        <v>1759</v>
      </c>
      <c r="G25" s="39">
        <v>162</v>
      </c>
      <c r="H25" s="28" t="s">
        <v>507</v>
      </c>
      <c r="I25" s="45" t="s">
        <v>37</v>
      </c>
      <c r="J25" s="45">
        <v>10000</v>
      </c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</row>
    <row r="26" spans="1:22" customHeight="1" ht="11.5" s="12" customFormat="1">
      <c r="A26" s="26" t="s">
        <v>1759</v>
      </c>
      <c r="B26" s="56"/>
      <c r="C26" s="27" t="s">
        <v>4</v>
      </c>
      <c r="D26" s="39" t="s">
        <v>1760</v>
      </c>
      <c r="E26" s="39" t="s">
        <v>1761</v>
      </c>
      <c r="F26" s="39" t="s">
        <v>1759</v>
      </c>
      <c r="G26" s="39">
        <v>163</v>
      </c>
      <c r="H26" s="28" t="s">
        <v>371</v>
      </c>
      <c r="I26" s="45" t="s">
        <v>37</v>
      </c>
      <c r="J26" s="45">
        <v>10000</v>
      </c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</row>
    <row r="27" spans="1:22" customHeight="1" ht="11.5" s="12" customFormat="1">
      <c r="A27" s="26" t="s">
        <v>1759</v>
      </c>
      <c r="B27" s="56"/>
      <c r="C27" s="27" t="s">
        <v>4</v>
      </c>
      <c r="D27" s="39" t="s">
        <v>1760</v>
      </c>
      <c r="E27" s="39" t="s">
        <v>1761</v>
      </c>
      <c r="F27" s="39" t="s">
        <v>1759</v>
      </c>
      <c r="G27" s="39">
        <v>164</v>
      </c>
      <c r="H27" s="28" t="s">
        <v>144</v>
      </c>
      <c r="I27" s="45" t="s">
        <v>37</v>
      </c>
      <c r="J27" s="45">
        <v>5000</v>
      </c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</row>
    <row r="28" spans="1:22" customHeight="1" ht="11.5" s="12" customFormat="1">
      <c r="A28" s="26" t="s">
        <v>1759</v>
      </c>
      <c r="B28" s="56"/>
      <c r="C28" s="27" t="s">
        <v>4</v>
      </c>
      <c r="D28" s="39" t="s">
        <v>1760</v>
      </c>
      <c r="E28" s="39" t="s">
        <v>1761</v>
      </c>
      <c r="F28" s="39" t="s">
        <v>1759</v>
      </c>
      <c r="G28" s="39">
        <v>165</v>
      </c>
      <c r="H28" s="28" t="s">
        <v>245</v>
      </c>
      <c r="I28" s="45" t="s">
        <v>37</v>
      </c>
      <c r="J28" s="45">
        <v>5000</v>
      </c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</row>
    <row r="29" spans="1:22" customHeight="1" ht="11.5" s="12" customFormat="1">
      <c r="A29" s="26" t="s">
        <v>1759</v>
      </c>
      <c r="B29" s="56"/>
      <c r="C29" s="27" t="s">
        <v>4</v>
      </c>
      <c r="D29" s="39" t="s">
        <v>1760</v>
      </c>
      <c r="E29" s="39" t="s">
        <v>1761</v>
      </c>
      <c r="F29" s="39" t="s">
        <v>1759</v>
      </c>
      <c r="G29" s="39">
        <v>166</v>
      </c>
      <c r="H29" s="28" t="s">
        <v>243</v>
      </c>
      <c r="I29" s="45" t="s">
        <v>37</v>
      </c>
      <c r="J29" s="45">
        <v>5000</v>
      </c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</row>
    <row r="30" spans="1:22" customHeight="1" ht="11.5" s="12" customFormat="1">
      <c r="A30" s="35" t="s">
        <v>1759</v>
      </c>
      <c r="B30" s="32"/>
      <c r="C30" s="36" t="s">
        <v>4</v>
      </c>
      <c r="D30" s="36" t="s">
        <v>1760</v>
      </c>
      <c r="E30" s="36" t="s">
        <v>1761</v>
      </c>
      <c r="F30" s="36" t="s">
        <v>1759</v>
      </c>
      <c r="G30" s="36">
        <v>167</v>
      </c>
      <c r="H30" s="31" t="s">
        <v>265</v>
      </c>
      <c r="I30" s="46" t="s">
        <v>37</v>
      </c>
      <c r="J30" s="46">
        <v>5000</v>
      </c>
      <c r="K30" s="34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</row>
    <row r="31" spans="1:22" customHeight="1" ht="11.5" s="12" customFormat="1">
      <c r="A31" s="52" t="s">
        <v>1759</v>
      </c>
      <c r="B31" s="53"/>
      <c r="C31" s="30" t="s">
        <v>4</v>
      </c>
      <c r="D31" s="36" t="s">
        <v>1760</v>
      </c>
      <c r="E31" s="36" t="s">
        <v>1761</v>
      </c>
      <c r="F31" s="36" t="s">
        <v>1759</v>
      </c>
      <c r="G31" s="36">
        <v>168</v>
      </c>
      <c r="H31" s="31" t="s">
        <v>247</v>
      </c>
      <c r="I31" s="46" t="s">
        <v>37</v>
      </c>
      <c r="J31" s="46">
        <v>10000</v>
      </c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</row>
    <row r="32" spans="1:22" customHeight="1" ht="11.5" s="12" customFormat="1">
      <c r="A32" s="26" t="s">
        <v>1759</v>
      </c>
      <c r="B32" s="58"/>
      <c r="C32" s="27" t="s">
        <v>4</v>
      </c>
      <c r="D32" s="39" t="s">
        <v>1760</v>
      </c>
      <c r="E32" s="39" t="s">
        <v>1761</v>
      </c>
      <c r="F32" s="39" t="s">
        <v>1759</v>
      </c>
      <c r="G32" s="39">
        <v>169</v>
      </c>
      <c r="H32" s="28" t="s">
        <v>251</v>
      </c>
      <c r="I32" s="45" t="s">
        <v>37</v>
      </c>
      <c r="J32" s="45">
        <v>5000</v>
      </c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</row>
    <row r="33" spans="1:22" customHeight="1" ht="11.5" s="12" customFormat="1">
      <c r="A33" s="26" t="s">
        <v>1759</v>
      </c>
      <c r="B33" s="58"/>
      <c r="C33" s="27" t="s">
        <v>4</v>
      </c>
      <c r="D33" s="39" t="s">
        <v>1760</v>
      </c>
      <c r="E33" s="39" t="s">
        <v>1761</v>
      </c>
      <c r="F33" s="39" t="s">
        <v>1759</v>
      </c>
      <c r="G33" s="39">
        <v>170</v>
      </c>
      <c r="H33" s="28" t="s">
        <v>525</v>
      </c>
      <c r="I33" s="45" t="s">
        <v>37</v>
      </c>
      <c r="J33" s="45">
        <v>12000</v>
      </c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</row>
    <row r="34" spans="1:22" customHeight="1" ht="11.5" s="12" customFormat="1">
      <c r="A34" s="26" t="s">
        <v>1759</v>
      </c>
      <c r="B34" s="58"/>
      <c r="C34" s="27" t="s">
        <v>4</v>
      </c>
      <c r="D34" s="39" t="s">
        <v>1760</v>
      </c>
      <c r="E34" s="39" t="s">
        <v>1761</v>
      </c>
      <c r="F34" s="39" t="s">
        <v>1759</v>
      </c>
      <c r="G34" s="39">
        <v>171</v>
      </c>
      <c r="H34" s="28" t="s">
        <v>148</v>
      </c>
      <c r="I34" s="45" t="s">
        <v>37</v>
      </c>
      <c r="J34" s="45">
        <v>35000</v>
      </c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</row>
    <row r="35" spans="1:22" customHeight="1" ht="11.5" s="12" customFormat="1">
      <c r="A35" s="26" t="s">
        <v>1759</v>
      </c>
      <c r="B35" s="56"/>
      <c r="C35" s="27" t="s">
        <v>4</v>
      </c>
      <c r="D35" s="39" t="s">
        <v>1760</v>
      </c>
      <c r="E35" s="39" t="s">
        <v>1761</v>
      </c>
      <c r="F35" s="39" t="s">
        <v>1759</v>
      </c>
      <c r="G35" s="39">
        <v>172</v>
      </c>
      <c r="H35" s="28" t="s">
        <v>221</v>
      </c>
      <c r="I35" s="45" t="s">
        <v>37</v>
      </c>
      <c r="J35" s="45">
        <v>100000</v>
      </c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</row>
    <row r="36" spans="1:22" customHeight="1" ht="11.5" s="12" customFormat="1">
      <c r="A36" s="35" t="s">
        <v>1759</v>
      </c>
      <c r="B36" s="32"/>
      <c r="C36" s="36" t="s">
        <v>4</v>
      </c>
      <c r="D36" s="36" t="s">
        <v>1760</v>
      </c>
      <c r="E36" s="36" t="s">
        <v>1761</v>
      </c>
      <c r="F36" s="36" t="s">
        <v>1759</v>
      </c>
      <c r="G36" s="36">
        <v>173</v>
      </c>
      <c r="H36" s="31" t="s">
        <v>93</v>
      </c>
      <c r="I36" s="46" t="s">
        <v>92</v>
      </c>
      <c r="J36" s="46">
        <v>249264</v>
      </c>
      <c r="K36" s="34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</row>
    <row r="37" spans="1:22" customHeight="1" ht="11.5" s="12" customFormat="1">
      <c r="A37" s="29" t="s">
        <v>1759</v>
      </c>
      <c r="B37" s="57"/>
      <c r="C37" s="30" t="s">
        <v>4</v>
      </c>
      <c r="D37" s="36" t="s">
        <v>1760</v>
      </c>
      <c r="E37" s="36" t="s">
        <v>1761</v>
      </c>
      <c r="F37" s="36" t="s">
        <v>1759</v>
      </c>
      <c r="G37" s="36">
        <v>174</v>
      </c>
      <c r="H37" s="31" t="s">
        <v>97</v>
      </c>
      <c r="I37" s="46" t="s">
        <v>92</v>
      </c>
      <c r="J37" s="46">
        <v>5000</v>
      </c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</row>
    <row r="38" spans="1:22" customHeight="1" ht="11.5" s="12" customFormat="1">
      <c r="A38" s="26" t="s">
        <v>1759</v>
      </c>
      <c r="B38" s="56"/>
      <c r="C38" s="27" t="s">
        <v>4</v>
      </c>
      <c r="D38" s="39" t="s">
        <v>1760</v>
      </c>
      <c r="E38" s="39" t="s">
        <v>1761</v>
      </c>
      <c r="F38" s="39" t="s">
        <v>1759</v>
      </c>
      <c r="G38" s="39">
        <v>175</v>
      </c>
      <c r="H38" s="28" t="s">
        <v>271</v>
      </c>
      <c r="I38" s="45" t="s">
        <v>92</v>
      </c>
      <c r="J38" s="45">
        <v>5000</v>
      </c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</row>
    <row r="39" spans="1:22" customHeight="1" ht="11.5" s="12" customFormat="1">
      <c r="A39" s="26" t="s">
        <v>1759</v>
      </c>
      <c r="B39" s="56"/>
      <c r="C39" s="27" t="s">
        <v>4</v>
      </c>
      <c r="D39" s="39" t="s">
        <v>1760</v>
      </c>
      <c r="E39" s="39" t="s">
        <v>1761</v>
      </c>
      <c r="F39" s="39" t="s">
        <v>1759</v>
      </c>
      <c r="G39" s="39">
        <v>176</v>
      </c>
      <c r="H39" s="28" t="s">
        <v>139</v>
      </c>
      <c r="I39" s="45" t="s">
        <v>92</v>
      </c>
      <c r="J39" s="45">
        <v>5000</v>
      </c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</row>
    <row r="40" spans="1:22" customHeight="1" ht="11.5" s="12" customFormat="1">
      <c r="A40" s="26" t="s">
        <v>1759</v>
      </c>
      <c r="B40" s="56"/>
      <c r="C40" s="27" t="s">
        <v>4</v>
      </c>
      <c r="D40" s="39" t="s">
        <v>1760</v>
      </c>
      <c r="E40" s="39" t="s">
        <v>1761</v>
      </c>
      <c r="F40" s="39" t="s">
        <v>1759</v>
      </c>
      <c r="G40" s="39">
        <v>177</v>
      </c>
      <c r="H40" s="28" t="s">
        <v>241</v>
      </c>
      <c r="I40" s="45" t="s">
        <v>37</v>
      </c>
      <c r="J40" s="45">
        <v>5000</v>
      </c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</row>
    <row r="41" spans="1:22" customHeight="1" ht="11.5" s="12" customFormat="1">
      <c r="A41" s="26" t="s">
        <v>1759</v>
      </c>
      <c r="B41" s="56"/>
      <c r="C41" s="27" t="s">
        <v>4</v>
      </c>
      <c r="D41" s="39" t="s">
        <v>1760</v>
      </c>
      <c r="E41" s="39" t="s">
        <v>1761</v>
      </c>
      <c r="F41" s="39" t="s">
        <v>1759</v>
      </c>
      <c r="G41" s="39">
        <v>178</v>
      </c>
      <c r="H41" s="28" t="s">
        <v>301</v>
      </c>
      <c r="I41" s="45" t="s">
        <v>37</v>
      </c>
      <c r="J41" s="45">
        <v>20000</v>
      </c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</row>
    <row r="42" spans="1:22" customHeight="1" ht="11.5" s="12" customFormat="1">
      <c r="A42" s="26" t="s">
        <v>1759</v>
      </c>
      <c r="B42" s="56"/>
      <c r="C42" s="27" t="s">
        <v>4</v>
      </c>
      <c r="D42" s="39" t="s">
        <v>1760</v>
      </c>
      <c r="E42" s="39" t="s">
        <v>1761</v>
      </c>
      <c r="F42" s="39" t="s">
        <v>1759</v>
      </c>
      <c r="G42" s="39">
        <v>179</v>
      </c>
      <c r="H42" s="28" t="s">
        <v>153</v>
      </c>
      <c r="I42" s="45" t="s">
        <v>37</v>
      </c>
      <c r="J42" s="45">
        <v>30000</v>
      </c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</row>
    <row r="43" spans="1:22" customHeight="1" ht="11.5" s="12" customFormat="1">
      <c r="A43" s="26" t="s">
        <v>1759</v>
      </c>
      <c r="B43" s="56"/>
      <c r="C43" s="27" t="s">
        <v>4</v>
      </c>
      <c r="D43" s="39" t="s">
        <v>1760</v>
      </c>
      <c r="E43" s="39" t="s">
        <v>1761</v>
      </c>
      <c r="F43" s="39" t="s">
        <v>1759</v>
      </c>
      <c r="G43" s="39">
        <v>180</v>
      </c>
      <c r="H43" s="28" t="s">
        <v>617</v>
      </c>
      <c r="I43" s="45" t="s">
        <v>37</v>
      </c>
      <c r="J43" s="45">
        <v>30000</v>
      </c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</row>
    <row r="44" spans="1:22" customHeight="1" ht="11.5" s="12" customFormat="1">
      <c r="A44" s="26" t="s">
        <v>1759</v>
      </c>
      <c r="B44" s="56"/>
      <c r="C44" s="27" t="s">
        <v>4</v>
      </c>
      <c r="D44" s="39" t="s">
        <v>1760</v>
      </c>
      <c r="E44" s="39" t="s">
        <v>1761</v>
      </c>
      <c r="F44" s="39" t="s">
        <v>1759</v>
      </c>
      <c r="G44" s="39">
        <v>181</v>
      </c>
      <c r="H44" s="28" t="s">
        <v>497</v>
      </c>
      <c r="I44" s="45" t="s">
        <v>37</v>
      </c>
      <c r="J44" s="45">
        <v>70000</v>
      </c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</row>
    <row r="45" spans="1:22" customHeight="1" ht="11.5" s="12" customFormat="1">
      <c r="A45" s="26" t="s">
        <v>1759</v>
      </c>
      <c r="B45" s="56"/>
      <c r="C45" s="27" t="s">
        <v>4</v>
      </c>
      <c r="D45" s="39" t="s">
        <v>1760</v>
      </c>
      <c r="E45" s="39" t="s">
        <v>1761</v>
      </c>
      <c r="F45" s="39" t="s">
        <v>1759</v>
      </c>
      <c r="G45" s="39">
        <v>182</v>
      </c>
      <c r="H45" s="28" t="s">
        <v>911</v>
      </c>
      <c r="I45" s="45" t="s">
        <v>37</v>
      </c>
      <c r="J45" s="45">
        <v>20000</v>
      </c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</row>
    <row r="46" spans="1:22" customHeight="1" ht="11.5" s="12" customFormat="1">
      <c r="A46" s="26" t="s">
        <v>1759</v>
      </c>
      <c r="B46" s="56"/>
      <c r="C46" s="27" t="s">
        <v>4</v>
      </c>
      <c r="D46" s="39" t="s">
        <v>1760</v>
      </c>
      <c r="E46" s="39" t="s">
        <v>1761</v>
      </c>
      <c r="F46" s="39" t="s">
        <v>1759</v>
      </c>
      <c r="G46" s="39">
        <v>183</v>
      </c>
      <c r="H46" s="28" t="s">
        <v>913</v>
      </c>
      <c r="I46" s="45" t="s">
        <v>37</v>
      </c>
      <c r="J46" s="45">
        <v>36000</v>
      </c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</row>
    <row r="47" spans="1:22" customHeight="1" ht="11.5" s="12" customFormat="1">
      <c r="A47" s="26" t="s">
        <v>1759</v>
      </c>
      <c r="B47" s="56"/>
      <c r="C47" s="27" t="s">
        <v>4</v>
      </c>
      <c r="D47" s="39" t="s">
        <v>1760</v>
      </c>
      <c r="E47" s="39" t="s">
        <v>1761</v>
      </c>
      <c r="F47" s="39" t="s">
        <v>1759</v>
      </c>
      <c r="G47" s="39">
        <v>184</v>
      </c>
      <c r="H47" s="28" t="s">
        <v>961</v>
      </c>
      <c r="I47" s="45" t="s">
        <v>37</v>
      </c>
      <c r="J47" s="45">
        <v>156553</v>
      </c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</row>
    <row r="48" spans="1:22" customHeight="1" ht="11.5" s="12" customFormat="1">
      <c r="A48" s="26" t="s">
        <v>1759</v>
      </c>
      <c r="B48" s="56"/>
      <c r="C48" s="27" t="s">
        <v>4</v>
      </c>
      <c r="D48" s="39" t="s">
        <v>1760</v>
      </c>
      <c r="E48" s="39" t="s">
        <v>1761</v>
      </c>
      <c r="F48" s="39" t="s">
        <v>1759</v>
      </c>
      <c r="G48" s="39">
        <v>185</v>
      </c>
      <c r="H48" s="28" t="s">
        <v>967</v>
      </c>
      <c r="I48" s="45" t="s">
        <v>37</v>
      </c>
      <c r="J48" s="45">
        <v>70000</v>
      </c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</row>
    <row r="49" spans="1:22" customHeight="1" ht="11.5" s="12" customFormat="1">
      <c r="A49" s="26" t="s">
        <v>1759</v>
      </c>
      <c r="B49" s="56"/>
      <c r="C49" s="27" t="s">
        <v>4</v>
      </c>
      <c r="D49" s="39" t="s">
        <v>1760</v>
      </c>
      <c r="E49" s="39" t="s">
        <v>1761</v>
      </c>
      <c r="F49" s="39" t="s">
        <v>1759</v>
      </c>
      <c r="G49" s="39">
        <v>186</v>
      </c>
      <c r="H49" s="28" t="s">
        <v>907</v>
      </c>
      <c r="I49" s="45" t="s">
        <v>37</v>
      </c>
      <c r="J49" s="45">
        <v>60000</v>
      </c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</row>
    <row r="50" spans="1:22" customHeight="1" ht="11.5" s="12" customFormat="1">
      <c r="A50" s="26" t="s">
        <v>1759</v>
      </c>
      <c r="B50" s="56"/>
      <c r="C50" s="27" t="s">
        <v>4</v>
      </c>
      <c r="D50" s="39" t="s">
        <v>1760</v>
      </c>
      <c r="E50" s="39" t="s">
        <v>1761</v>
      </c>
      <c r="F50" s="39" t="s">
        <v>1759</v>
      </c>
      <c r="G50" s="39">
        <v>187</v>
      </c>
      <c r="H50" s="28" t="s">
        <v>971</v>
      </c>
      <c r="I50" s="45" t="s">
        <v>37</v>
      </c>
      <c r="J50" s="45">
        <v>1318</v>
      </c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</row>
    <row r="51" spans="1:22" customHeight="1" ht="11.5" s="12" customFormat="1">
      <c r="A51" s="26" t="s">
        <v>1759</v>
      </c>
      <c r="B51" s="56"/>
      <c r="C51" s="27" t="s">
        <v>4</v>
      </c>
      <c r="D51" s="39" t="s">
        <v>1760</v>
      </c>
      <c r="E51" s="39" t="s">
        <v>1762</v>
      </c>
      <c r="F51" s="39" t="s">
        <v>1759</v>
      </c>
      <c r="G51" s="39">
        <v>1</v>
      </c>
      <c r="H51" s="28" t="s">
        <v>114</v>
      </c>
      <c r="I51" s="45" t="s">
        <v>106</v>
      </c>
      <c r="J51" s="45">
        <v>141542</v>
      </c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</row>
    <row r="52" spans="1:22" customHeight="1" ht="11.5" s="12" customFormat="1">
      <c r="A52" s="35" t="s">
        <v>1759</v>
      </c>
      <c r="B52" s="32"/>
      <c r="C52" s="36" t="s">
        <v>4</v>
      </c>
      <c r="D52" s="36" t="s">
        <v>1760</v>
      </c>
      <c r="E52" s="36" t="s">
        <v>1762</v>
      </c>
      <c r="F52" s="36" t="s">
        <v>1759</v>
      </c>
      <c r="G52" s="36">
        <v>2</v>
      </c>
      <c r="H52" s="31" t="s">
        <v>737</v>
      </c>
      <c r="I52" s="46" t="s">
        <v>113</v>
      </c>
      <c r="J52" s="46">
        <v>172000</v>
      </c>
      <c r="K52" s="34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</row>
    <row r="53" spans="1:22" customHeight="1" ht="11.5" s="12" customFormat="1">
      <c r="A53" s="29" t="s">
        <v>1759</v>
      </c>
      <c r="B53" s="57"/>
      <c r="C53" s="30" t="s">
        <v>4</v>
      </c>
      <c r="D53" s="36" t="s">
        <v>1760</v>
      </c>
      <c r="E53" s="36" t="s">
        <v>1762</v>
      </c>
      <c r="F53" s="36" t="s">
        <v>1759</v>
      </c>
      <c r="G53" s="36">
        <v>3</v>
      </c>
      <c r="H53" s="31" t="s">
        <v>172</v>
      </c>
      <c r="I53" s="46" t="s">
        <v>102</v>
      </c>
      <c r="J53" s="46">
        <v>130251</v>
      </c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</row>
    <row r="54" spans="1:22" customHeight="1" ht="11.5" s="12" customFormat="1">
      <c r="A54" s="26" t="s">
        <v>1759</v>
      </c>
      <c r="B54" s="56"/>
      <c r="C54" s="27" t="s">
        <v>4</v>
      </c>
      <c r="D54" s="39" t="s">
        <v>1760</v>
      </c>
      <c r="E54" s="39" t="s">
        <v>1762</v>
      </c>
      <c r="F54" s="39" t="s">
        <v>1759</v>
      </c>
      <c r="G54" s="39">
        <v>4</v>
      </c>
      <c r="H54" s="28" t="s">
        <v>175</v>
      </c>
      <c r="I54" s="45" t="s">
        <v>106</v>
      </c>
      <c r="J54" s="45">
        <v>15808</v>
      </c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</row>
    <row r="55" spans="1:22" customHeight="1" ht="11.5" s="12" customFormat="1">
      <c r="A55" s="26" t="s">
        <v>1759</v>
      </c>
      <c r="B55" s="56"/>
      <c r="C55" s="27" t="s">
        <v>4</v>
      </c>
      <c r="D55" s="39" t="s">
        <v>1760</v>
      </c>
      <c r="E55" s="39" t="s">
        <v>1762</v>
      </c>
      <c r="F55" s="39" t="s">
        <v>1759</v>
      </c>
      <c r="G55" s="39">
        <v>5</v>
      </c>
      <c r="H55" s="28" t="s">
        <v>691</v>
      </c>
      <c r="I55" s="45" t="s">
        <v>1763</v>
      </c>
      <c r="J55" s="45">
        <v>1000</v>
      </c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</row>
    <row r="56" spans="1:22" customHeight="1" ht="11.5" s="12" customFormat="1">
      <c r="A56" s="26" t="s">
        <v>1759</v>
      </c>
      <c r="B56" s="56"/>
      <c r="C56" s="27" t="s">
        <v>4</v>
      </c>
      <c r="D56" s="39" t="s">
        <v>1760</v>
      </c>
      <c r="E56" s="39" t="s">
        <v>1762</v>
      </c>
      <c r="F56" s="39" t="s">
        <v>1759</v>
      </c>
      <c r="G56" s="39">
        <v>6</v>
      </c>
      <c r="H56" s="28" t="s">
        <v>108</v>
      </c>
      <c r="I56" s="45" t="s">
        <v>1763</v>
      </c>
      <c r="J56" s="45">
        <v>69000</v>
      </c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</row>
    <row r="57" spans="1:22" customHeight="1" ht="11.5" s="12" customFormat="1">
      <c r="A57" s="26" t="s">
        <v>1759</v>
      </c>
      <c r="B57" s="56"/>
      <c r="C57" s="27" t="s">
        <v>4</v>
      </c>
      <c r="D57" s="39" t="s">
        <v>1760</v>
      </c>
      <c r="E57" s="39" t="s">
        <v>1762</v>
      </c>
      <c r="F57" s="39" t="s">
        <v>1759</v>
      </c>
      <c r="G57" s="39">
        <v>7</v>
      </c>
      <c r="H57" s="28" t="s">
        <v>975</v>
      </c>
      <c r="I57" s="45" t="s">
        <v>37</v>
      </c>
      <c r="J57" s="45">
        <v>9000</v>
      </c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</row>
    <row r="58" spans="1:22" customHeight="1" ht="11.5" s="12" customFormat="1">
      <c r="A58" s="26" t="s">
        <v>1759</v>
      </c>
      <c r="B58" s="56"/>
      <c r="C58" s="27" t="s">
        <v>4</v>
      </c>
      <c r="D58" s="39" t="s">
        <v>1760</v>
      </c>
      <c r="E58" s="39" t="s">
        <v>1762</v>
      </c>
      <c r="F58" s="39" t="s">
        <v>1759</v>
      </c>
      <c r="G58" s="39">
        <v>8</v>
      </c>
      <c r="H58" s="28" t="s">
        <v>1045</v>
      </c>
      <c r="I58" s="45" t="s">
        <v>37</v>
      </c>
      <c r="J58" s="45">
        <v>9120</v>
      </c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</row>
    <row r="59" spans="1:22" customHeight="1" ht="11.5" s="12" customFormat="1">
      <c r="A59" s="26" t="s">
        <v>1759</v>
      </c>
      <c r="B59" s="56"/>
      <c r="C59" s="27" t="s">
        <v>4</v>
      </c>
      <c r="D59" s="39" t="s">
        <v>1760</v>
      </c>
      <c r="E59" s="39" t="s">
        <v>1762</v>
      </c>
      <c r="F59" s="39" t="s">
        <v>1759</v>
      </c>
      <c r="G59" s="39">
        <v>9</v>
      </c>
      <c r="H59" s="28" t="s">
        <v>959</v>
      </c>
      <c r="I59" s="45" t="s">
        <v>37</v>
      </c>
      <c r="J59" s="45">
        <v>240000</v>
      </c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</row>
    <row r="60" spans="1:22" customHeight="1" ht="11.5" s="12" customFormat="1">
      <c r="A60" s="26" t="s">
        <v>1759</v>
      </c>
      <c r="B60" s="56"/>
      <c r="C60" s="27" t="s">
        <v>4</v>
      </c>
      <c r="D60" s="39" t="s">
        <v>1760</v>
      </c>
      <c r="E60" s="39" t="s">
        <v>1762</v>
      </c>
      <c r="F60" s="39" t="s">
        <v>1759</v>
      </c>
      <c r="G60" s="39">
        <v>10</v>
      </c>
      <c r="H60" s="28" t="s">
        <v>957</v>
      </c>
      <c r="I60" s="45" t="s">
        <v>37</v>
      </c>
      <c r="J60" s="45">
        <v>19300</v>
      </c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</row>
    <row r="61" spans="1:22" customHeight="1" ht="11.5" s="12" customFormat="1">
      <c r="A61" s="26" t="s">
        <v>1759</v>
      </c>
      <c r="B61" s="56"/>
      <c r="C61" s="27" t="s">
        <v>4</v>
      </c>
      <c r="D61" s="39" t="s">
        <v>1760</v>
      </c>
      <c r="E61" s="39" t="s">
        <v>1762</v>
      </c>
      <c r="F61" s="39" t="s">
        <v>1759</v>
      </c>
      <c r="G61" s="39">
        <v>11</v>
      </c>
      <c r="H61" s="28" t="s">
        <v>969</v>
      </c>
      <c r="I61" s="45" t="s">
        <v>37</v>
      </c>
      <c r="J61" s="45">
        <v>10000</v>
      </c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</row>
    <row r="62" spans="1:22" customHeight="1" ht="11.5" s="12" customFormat="1">
      <c r="A62" s="26" t="s">
        <v>1759</v>
      </c>
      <c r="B62" s="56"/>
      <c r="C62" s="27" t="s">
        <v>4</v>
      </c>
      <c r="D62" s="39" t="s">
        <v>1760</v>
      </c>
      <c r="E62" s="39" t="s">
        <v>1762</v>
      </c>
      <c r="F62" s="39" t="s">
        <v>1759</v>
      </c>
      <c r="G62" s="39">
        <v>12</v>
      </c>
      <c r="H62" s="28" t="s">
        <v>983</v>
      </c>
      <c r="I62" s="45" t="s">
        <v>37</v>
      </c>
      <c r="J62" s="45">
        <v>50000</v>
      </c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</row>
    <row r="63" spans="1:22" customHeight="1" ht="11.5" s="12" customFormat="1">
      <c r="A63" s="26" t="s">
        <v>1759</v>
      </c>
      <c r="B63" s="56"/>
      <c r="C63" s="27" t="s">
        <v>4</v>
      </c>
      <c r="D63" s="39" t="s">
        <v>1760</v>
      </c>
      <c r="E63" s="39" t="s">
        <v>1762</v>
      </c>
      <c r="F63" s="39" t="s">
        <v>1759</v>
      </c>
      <c r="G63" s="39">
        <v>13</v>
      </c>
      <c r="H63" s="28" t="s">
        <v>909</v>
      </c>
      <c r="I63" s="45" t="s">
        <v>37</v>
      </c>
      <c r="J63" s="45">
        <v>60000</v>
      </c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</row>
    <row r="64" spans="1:22" customHeight="1" ht="11.5" s="12" customFormat="1">
      <c r="A64" s="26" t="s">
        <v>1759</v>
      </c>
      <c r="B64" s="56"/>
      <c r="C64" s="27" t="s">
        <v>4</v>
      </c>
      <c r="D64" s="39" t="s">
        <v>1760</v>
      </c>
      <c r="E64" s="39" t="s">
        <v>1762</v>
      </c>
      <c r="F64" s="39" t="s">
        <v>1759</v>
      </c>
      <c r="G64" s="39">
        <v>14</v>
      </c>
      <c r="H64" s="28" t="s">
        <v>1124</v>
      </c>
      <c r="I64" s="45" t="s">
        <v>37</v>
      </c>
      <c r="J64" s="45">
        <v>5000</v>
      </c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</row>
    <row r="65" spans="1:22" customHeight="1" ht="11.5" s="12" customFormat="1">
      <c r="A65" s="26" t="s">
        <v>1759</v>
      </c>
      <c r="B65" s="56"/>
      <c r="C65" s="27" t="s">
        <v>4</v>
      </c>
      <c r="D65" s="39" t="s">
        <v>1760</v>
      </c>
      <c r="E65" s="39" t="s">
        <v>1762</v>
      </c>
      <c r="F65" s="39" t="s">
        <v>1759</v>
      </c>
      <c r="G65" s="39">
        <v>15</v>
      </c>
      <c r="H65" s="28" t="s">
        <v>1121</v>
      </c>
      <c r="I65" s="45" t="s">
        <v>37</v>
      </c>
      <c r="J65" s="45">
        <v>65000</v>
      </c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</row>
    <row r="66" spans="1:22" customHeight="1" ht="11.5" s="12" customFormat="1">
      <c r="A66" s="26" t="s">
        <v>1759</v>
      </c>
      <c r="B66" s="56"/>
      <c r="C66" s="27" t="s">
        <v>4</v>
      </c>
      <c r="D66" s="39" t="s">
        <v>1760</v>
      </c>
      <c r="E66" s="39" t="s">
        <v>1762</v>
      </c>
      <c r="F66" s="39" t="s">
        <v>1759</v>
      </c>
      <c r="G66" s="39">
        <v>16</v>
      </c>
      <c r="H66" s="28" t="s">
        <v>1125</v>
      </c>
      <c r="I66" s="45" t="s">
        <v>37</v>
      </c>
      <c r="J66" s="45">
        <v>11960</v>
      </c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</row>
    <row r="67" spans="1:22" customHeight="1" ht="11.5" s="12" customFormat="1">
      <c r="A67" s="35" t="s">
        <v>1759</v>
      </c>
      <c r="B67" s="32"/>
      <c r="C67" s="36" t="s">
        <v>4</v>
      </c>
      <c r="D67" s="36" t="s">
        <v>1760</v>
      </c>
      <c r="E67" s="36" t="s">
        <v>1762</v>
      </c>
      <c r="F67" s="36" t="s">
        <v>1759</v>
      </c>
      <c r="G67" s="36">
        <v>17</v>
      </c>
      <c r="H67" s="31" t="s">
        <v>59</v>
      </c>
      <c r="I67" s="46" t="s">
        <v>37</v>
      </c>
      <c r="J67" s="46">
        <v>10000</v>
      </c>
      <c r="K67" s="34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</row>
    <row r="68" spans="1:22" customHeight="1" ht="11.5" s="12" customFormat="1">
      <c r="A68" s="29" t="s">
        <v>1759</v>
      </c>
      <c r="B68" s="57"/>
      <c r="C68" s="30" t="s">
        <v>4</v>
      </c>
      <c r="D68" s="36" t="s">
        <v>1760</v>
      </c>
      <c r="E68" s="36" t="s">
        <v>1762</v>
      </c>
      <c r="F68" s="36" t="s">
        <v>1759</v>
      </c>
      <c r="G68" s="36">
        <v>18</v>
      </c>
      <c r="H68" s="31" t="s">
        <v>1170</v>
      </c>
      <c r="I68" s="46" t="s">
        <v>37</v>
      </c>
      <c r="J68" s="46">
        <v>200</v>
      </c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</row>
    <row r="69" spans="1:22" customHeight="1" ht="11.5" s="12" customFormat="1">
      <c r="A69" s="26" t="s">
        <v>1759</v>
      </c>
      <c r="B69" s="56"/>
      <c r="C69" s="27" t="s">
        <v>4</v>
      </c>
      <c r="D69" s="39" t="s">
        <v>1760</v>
      </c>
      <c r="E69" s="39" t="s">
        <v>1762</v>
      </c>
      <c r="F69" s="39" t="s">
        <v>1759</v>
      </c>
      <c r="G69" s="39">
        <v>19</v>
      </c>
      <c r="H69" s="28" t="s">
        <v>1176</v>
      </c>
      <c r="I69" s="45" t="s">
        <v>37</v>
      </c>
      <c r="J69" s="45">
        <v>320</v>
      </c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</row>
    <row r="70" spans="1:22" customHeight="1" ht="11.5" s="12" customFormat="1">
      <c r="A70" s="26" t="s">
        <v>1759</v>
      </c>
      <c r="B70" s="56"/>
      <c r="C70" s="27" t="s">
        <v>4</v>
      </c>
      <c r="D70" s="39" t="s">
        <v>1760</v>
      </c>
      <c r="E70" s="39" t="s">
        <v>1762</v>
      </c>
      <c r="F70" s="39" t="s">
        <v>1759</v>
      </c>
      <c r="G70" s="39">
        <v>20</v>
      </c>
      <c r="H70" s="28" t="s">
        <v>1206</v>
      </c>
      <c r="I70" s="45" t="s">
        <v>37</v>
      </c>
      <c r="J70" s="45">
        <v>1000</v>
      </c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</row>
    <row r="71" spans="1:22" customHeight="1" ht="11.5" s="12" customFormat="1">
      <c r="A71" s="26" t="s">
        <v>1759</v>
      </c>
      <c r="B71" s="56"/>
      <c r="C71" s="27" t="s">
        <v>4</v>
      </c>
      <c r="D71" s="39" t="s">
        <v>1760</v>
      </c>
      <c r="E71" s="39" t="s">
        <v>1762</v>
      </c>
      <c r="F71" s="39" t="s">
        <v>1759</v>
      </c>
      <c r="G71" s="39">
        <v>21</v>
      </c>
      <c r="H71" s="28" t="s">
        <v>1177</v>
      </c>
      <c r="I71" s="45" t="s">
        <v>37</v>
      </c>
      <c r="J71" s="45">
        <v>2000</v>
      </c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</row>
    <row r="72" spans="1:22" customHeight="1" ht="11.5" s="12" customFormat="1">
      <c r="A72" s="26" t="s">
        <v>1759</v>
      </c>
      <c r="B72" s="56"/>
      <c r="C72" s="27" t="s">
        <v>4</v>
      </c>
      <c r="D72" s="39" t="s">
        <v>1760</v>
      </c>
      <c r="E72" s="39" t="s">
        <v>1762</v>
      </c>
      <c r="F72" s="39" t="s">
        <v>1759</v>
      </c>
      <c r="G72" s="39">
        <v>22</v>
      </c>
      <c r="H72" s="28" t="s">
        <v>1157</v>
      </c>
      <c r="I72" s="45" t="s">
        <v>37</v>
      </c>
      <c r="J72" s="45">
        <v>2000</v>
      </c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</row>
    <row r="73" spans="1:22" customHeight="1" ht="11.5" s="12" customFormat="1">
      <c r="A73" s="26" t="s">
        <v>1759</v>
      </c>
      <c r="B73" s="56"/>
      <c r="C73" s="27" t="s">
        <v>4</v>
      </c>
      <c r="D73" s="39" t="s">
        <v>1760</v>
      </c>
      <c r="E73" s="39" t="s">
        <v>1762</v>
      </c>
      <c r="F73" s="39" t="s">
        <v>1759</v>
      </c>
      <c r="G73" s="39">
        <v>23</v>
      </c>
      <c r="H73" s="28" t="s">
        <v>1158</v>
      </c>
      <c r="I73" s="45" t="s">
        <v>37</v>
      </c>
      <c r="J73" s="45">
        <v>1000</v>
      </c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</row>
    <row r="74" spans="1:22" customHeight="1" ht="11.5" s="12" customFormat="1">
      <c r="A74" s="26" t="s">
        <v>1759</v>
      </c>
      <c r="B74" s="56"/>
      <c r="C74" s="27" t="s">
        <v>4</v>
      </c>
      <c r="D74" s="39" t="s">
        <v>1760</v>
      </c>
      <c r="E74" s="39" t="s">
        <v>1762</v>
      </c>
      <c r="F74" s="39" t="s">
        <v>1759</v>
      </c>
      <c r="G74" s="39">
        <v>24</v>
      </c>
      <c r="H74" s="28" t="s">
        <v>1181</v>
      </c>
      <c r="I74" s="45" t="s">
        <v>37</v>
      </c>
      <c r="J74" s="45">
        <v>3200</v>
      </c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</row>
    <row r="75" spans="1:22" customHeight="1" ht="11.5" s="12" customFormat="1">
      <c r="A75" s="26" t="s">
        <v>1759</v>
      </c>
      <c r="B75" s="56"/>
      <c r="C75" s="27" t="s">
        <v>4</v>
      </c>
      <c r="D75" s="39" t="s">
        <v>1760</v>
      </c>
      <c r="E75" s="39" t="s">
        <v>1762</v>
      </c>
      <c r="F75" s="39" t="s">
        <v>1759</v>
      </c>
      <c r="G75" s="39">
        <v>25</v>
      </c>
      <c r="H75" s="28" t="s">
        <v>1209</v>
      </c>
      <c r="I75" s="45" t="s">
        <v>37</v>
      </c>
      <c r="J75" s="45">
        <v>4000</v>
      </c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</row>
    <row r="76" spans="1:22" customHeight="1" ht="11.5" s="12" customFormat="1">
      <c r="A76" s="26" t="s">
        <v>1759</v>
      </c>
      <c r="B76" s="56"/>
      <c r="C76" s="27" t="s">
        <v>4</v>
      </c>
      <c r="D76" s="39" t="s">
        <v>1760</v>
      </c>
      <c r="E76" s="39" t="s">
        <v>1762</v>
      </c>
      <c r="F76" s="39" t="s">
        <v>1759</v>
      </c>
      <c r="G76" s="39">
        <v>26</v>
      </c>
      <c r="H76" s="28" t="s">
        <v>1186</v>
      </c>
      <c r="I76" s="45" t="s">
        <v>37</v>
      </c>
      <c r="J76" s="45">
        <v>3000</v>
      </c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</row>
    <row r="77" spans="1:22" customHeight="1" ht="11.5" s="12" customFormat="1">
      <c r="A77" s="26" t="s">
        <v>1759</v>
      </c>
      <c r="B77" s="56"/>
      <c r="C77" s="27" t="s">
        <v>4</v>
      </c>
      <c r="D77" s="39" t="s">
        <v>1760</v>
      </c>
      <c r="E77" s="39" t="s">
        <v>1762</v>
      </c>
      <c r="F77" s="39" t="s">
        <v>1759</v>
      </c>
      <c r="G77" s="39">
        <v>27</v>
      </c>
      <c r="H77" s="28" t="s">
        <v>1187</v>
      </c>
      <c r="I77" s="45" t="s">
        <v>37</v>
      </c>
      <c r="J77" s="45">
        <v>1000</v>
      </c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</row>
    <row r="78" spans="1:22" customHeight="1" ht="11.5" s="12" customFormat="1">
      <c r="A78" s="26" t="s">
        <v>1759</v>
      </c>
      <c r="B78" s="56"/>
      <c r="C78" s="27" t="s">
        <v>4</v>
      </c>
      <c r="D78" s="39" t="s">
        <v>1760</v>
      </c>
      <c r="E78" s="39" t="s">
        <v>1762</v>
      </c>
      <c r="F78" s="39" t="s">
        <v>1759</v>
      </c>
      <c r="G78" s="39">
        <v>28</v>
      </c>
      <c r="H78" s="28" t="s">
        <v>1189</v>
      </c>
      <c r="I78" s="45" t="s">
        <v>37</v>
      </c>
      <c r="J78" s="45">
        <v>1000</v>
      </c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</row>
    <row r="79" spans="1:22" customHeight="1" ht="11.5" s="12" customFormat="1">
      <c r="A79" s="26" t="s">
        <v>1759</v>
      </c>
      <c r="B79" s="56"/>
      <c r="C79" s="27" t="s">
        <v>4</v>
      </c>
      <c r="D79" s="39" t="s">
        <v>1760</v>
      </c>
      <c r="E79" s="39" t="s">
        <v>1762</v>
      </c>
      <c r="F79" s="39" t="s">
        <v>1759</v>
      </c>
      <c r="G79" s="39">
        <v>29</v>
      </c>
      <c r="H79" s="28" t="s">
        <v>1163</v>
      </c>
      <c r="I79" s="45" t="s">
        <v>37</v>
      </c>
      <c r="J79" s="45">
        <v>4000</v>
      </c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</row>
    <row r="80" spans="1:22" customHeight="1" ht="11.5" s="12" customFormat="1">
      <c r="A80" s="26" t="s">
        <v>1759</v>
      </c>
      <c r="B80" s="56"/>
      <c r="C80" s="27" t="s">
        <v>4</v>
      </c>
      <c r="D80" s="39" t="s">
        <v>1760</v>
      </c>
      <c r="E80" s="39" t="s">
        <v>1762</v>
      </c>
      <c r="F80" s="39" t="s">
        <v>1759</v>
      </c>
      <c r="G80" s="39">
        <v>30</v>
      </c>
      <c r="H80" s="28" t="s">
        <v>1185</v>
      </c>
      <c r="I80" s="45" t="s">
        <v>37</v>
      </c>
      <c r="J80" s="45">
        <v>2000</v>
      </c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</row>
    <row r="81" spans="1:22" customHeight="1" ht="11.5" s="12" customFormat="1">
      <c r="A81" s="26" t="s">
        <v>1759</v>
      </c>
      <c r="B81" s="56"/>
      <c r="C81" s="27" t="s">
        <v>4</v>
      </c>
      <c r="D81" s="39" t="s">
        <v>1760</v>
      </c>
      <c r="E81" s="39" t="s">
        <v>1762</v>
      </c>
      <c r="F81" s="39" t="s">
        <v>1759</v>
      </c>
      <c r="G81" s="39">
        <v>31</v>
      </c>
      <c r="H81" s="28" t="s">
        <v>1164</v>
      </c>
      <c r="I81" s="45" t="s">
        <v>37</v>
      </c>
      <c r="J81" s="45">
        <v>1000</v>
      </c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</row>
    <row r="82" spans="1:22" customHeight="1" ht="11.5" s="12" customFormat="1">
      <c r="A82" s="35" t="s">
        <v>1759</v>
      </c>
      <c r="B82" s="32"/>
      <c r="C82" s="36" t="s">
        <v>4</v>
      </c>
      <c r="D82" s="36" t="s">
        <v>1760</v>
      </c>
      <c r="E82" s="36" t="s">
        <v>1762</v>
      </c>
      <c r="F82" s="36" t="s">
        <v>1759</v>
      </c>
      <c r="G82" s="36">
        <v>32</v>
      </c>
      <c r="H82" s="31" t="s">
        <v>1165</v>
      </c>
      <c r="I82" s="46" t="s">
        <v>37</v>
      </c>
      <c r="J82" s="46">
        <v>500</v>
      </c>
      <c r="K82" s="34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</row>
    <row r="83" spans="1:22" customHeight="1" ht="11.5" s="12" customFormat="1">
      <c r="A83" s="29" t="s">
        <v>1759</v>
      </c>
      <c r="B83" s="57"/>
      <c r="C83" s="30" t="s">
        <v>4</v>
      </c>
      <c r="D83" s="36" t="s">
        <v>1760</v>
      </c>
      <c r="E83" s="36" t="s">
        <v>1762</v>
      </c>
      <c r="F83" s="36" t="s">
        <v>1759</v>
      </c>
      <c r="G83" s="36">
        <v>33</v>
      </c>
      <c r="H83" s="31" t="s">
        <v>1184</v>
      </c>
      <c r="I83" s="46" t="s">
        <v>37</v>
      </c>
      <c r="J83" s="46">
        <v>400</v>
      </c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</row>
    <row r="84" spans="1:22" customHeight="1" ht="11.5" s="12" customFormat="1">
      <c r="A84" s="26" t="s">
        <v>1759</v>
      </c>
      <c r="B84" s="56"/>
      <c r="C84" s="27" t="s">
        <v>4</v>
      </c>
      <c r="D84" s="39" t="s">
        <v>1760</v>
      </c>
      <c r="E84" s="39" t="s">
        <v>1762</v>
      </c>
      <c r="F84" s="39" t="s">
        <v>1759</v>
      </c>
      <c r="G84" s="39">
        <v>34</v>
      </c>
      <c r="H84" s="28" t="s">
        <v>1191</v>
      </c>
      <c r="I84" s="45" t="s">
        <v>37</v>
      </c>
      <c r="J84" s="45">
        <v>200</v>
      </c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</row>
    <row r="85" spans="1:22" customHeight="1" ht="11.5" s="12" customFormat="1">
      <c r="A85" s="26" t="s">
        <v>1759</v>
      </c>
      <c r="B85" s="56"/>
      <c r="C85" s="27" t="s">
        <v>4</v>
      </c>
      <c r="D85" s="39" t="s">
        <v>1760</v>
      </c>
      <c r="E85" s="39" t="s">
        <v>1762</v>
      </c>
      <c r="F85" s="39" t="s">
        <v>1759</v>
      </c>
      <c r="G85" s="39">
        <v>35</v>
      </c>
      <c r="H85" s="28" t="s">
        <v>1192</v>
      </c>
      <c r="I85" s="45" t="s">
        <v>37</v>
      </c>
      <c r="J85" s="45">
        <v>100</v>
      </c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</row>
    <row r="86" spans="1:22" customHeight="1" ht="11.5" s="12" customFormat="1">
      <c r="A86" s="26" t="s">
        <v>1759</v>
      </c>
      <c r="B86" s="56"/>
      <c r="C86" s="27" t="s">
        <v>4</v>
      </c>
      <c r="D86" s="39" t="s">
        <v>1760</v>
      </c>
      <c r="E86" s="39" t="s">
        <v>1762</v>
      </c>
      <c r="F86" s="39" t="s">
        <v>1759</v>
      </c>
      <c r="G86" s="39">
        <v>36</v>
      </c>
      <c r="H86" s="28" t="s">
        <v>1199</v>
      </c>
      <c r="I86" s="45" t="s">
        <v>37</v>
      </c>
      <c r="J86" s="45">
        <v>5000</v>
      </c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</row>
    <row r="87" spans="1:22" customHeight="1" ht="11.5" s="12" customFormat="1">
      <c r="A87" s="26" t="s">
        <v>1759</v>
      </c>
      <c r="B87" s="56"/>
      <c r="C87" s="27" t="s">
        <v>4</v>
      </c>
      <c r="D87" s="39" t="s">
        <v>1760</v>
      </c>
      <c r="E87" s="39" t="s">
        <v>1762</v>
      </c>
      <c r="F87" s="39" t="s">
        <v>1759</v>
      </c>
      <c r="G87" s="39">
        <v>37</v>
      </c>
      <c r="H87" s="28" t="s">
        <v>917</v>
      </c>
      <c r="I87" s="45" t="s">
        <v>37</v>
      </c>
      <c r="J87" s="45">
        <v>20000</v>
      </c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</row>
    <row r="88" spans="1:22" customHeight="1" ht="11.5" s="12" customFormat="1">
      <c r="A88" s="26" t="s">
        <v>1759</v>
      </c>
      <c r="B88" s="56"/>
      <c r="C88" s="27" t="s">
        <v>4</v>
      </c>
      <c r="D88" s="39" t="s">
        <v>1760</v>
      </c>
      <c r="E88" s="39" t="s">
        <v>1762</v>
      </c>
      <c r="F88" s="39" t="s">
        <v>1759</v>
      </c>
      <c r="G88" s="39">
        <v>38</v>
      </c>
      <c r="H88" s="28" t="s">
        <v>1262</v>
      </c>
      <c r="I88" s="45" t="s">
        <v>37</v>
      </c>
      <c r="J88" s="45">
        <v>35000</v>
      </c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</row>
    <row r="89" spans="1:22" customHeight="1" ht="11.5" s="12" customFormat="1">
      <c r="A89" s="26" t="s">
        <v>1759</v>
      </c>
      <c r="B89" s="56"/>
      <c r="C89" s="27" t="s">
        <v>4</v>
      </c>
      <c r="D89" s="39" t="s">
        <v>1760</v>
      </c>
      <c r="E89" s="39" t="s">
        <v>1762</v>
      </c>
      <c r="F89" s="39" t="s">
        <v>1759</v>
      </c>
      <c r="G89" s="39">
        <v>39</v>
      </c>
      <c r="H89" s="28" t="s">
        <v>1122</v>
      </c>
      <c r="I89" s="45" t="s">
        <v>37</v>
      </c>
      <c r="J89" s="45">
        <v>30000</v>
      </c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</row>
    <row r="90" spans="1:22" customHeight="1" ht="11.5" s="12" customFormat="1">
      <c r="A90" s="26" t="s">
        <v>1759</v>
      </c>
      <c r="B90" s="56"/>
      <c r="C90" s="27" t="s">
        <v>4</v>
      </c>
      <c r="D90" s="39" t="s">
        <v>1760</v>
      </c>
      <c r="E90" s="39" t="s">
        <v>1762</v>
      </c>
      <c r="F90" s="39" t="s">
        <v>1759</v>
      </c>
      <c r="G90" s="39">
        <v>40</v>
      </c>
      <c r="H90" s="28" t="s">
        <v>1273</v>
      </c>
      <c r="I90" s="45" t="s">
        <v>37</v>
      </c>
      <c r="J90" s="45">
        <v>135000</v>
      </c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</row>
    <row r="91" spans="1:22" customHeight="1" ht="11.5" s="12" customFormat="1">
      <c r="A91" s="26" t="s">
        <v>1759</v>
      </c>
      <c r="B91" s="56"/>
      <c r="C91" s="27" t="s">
        <v>4</v>
      </c>
      <c r="D91" s="39" t="s">
        <v>1760</v>
      </c>
      <c r="E91" s="39" t="s">
        <v>1762</v>
      </c>
      <c r="F91" s="39" t="s">
        <v>1759</v>
      </c>
      <c r="G91" s="39">
        <v>41</v>
      </c>
      <c r="H91" s="28" t="s">
        <v>1289</v>
      </c>
      <c r="I91" s="45" t="s">
        <v>37</v>
      </c>
      <c r="J91" s="45">
        <v>19800</v>
      </c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</row>
    <row r="92" spans="1:22" customHeight="1" ht="11.5" s="12" customFormat="1">
      <c r="A92" s="26" t="s">
        <v>1759</v>
      </c>
      <c r="B92" s="56"/>
      <c r="C92" s="27" t="s">
        <v>4</v>
      </c>
      <c r="D92" s="39" t="s">
        <v>1760</v>
      </c>
      <c r="E92" s="39" t="s">
        <v>1762</v>
      </c>
      <c r="F92" s="39" t="s">
        <v>1759</v>
      </c>
      <c r="G92" s="39">
        <v>42</v>
      </c>
      <c r="H92" s="28" t="s">
        <v>1274</v>
      </c>
      <c r="I92" s="45" t="s">
        <v>37</v>
      </c>
      <c r="J92" s="45">
        <v>12000</v>
      </c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</row>
    <row r="93" spans="1:22" customHeight="1" ht="11.5" s="12" customFormat="1">
      <c r="A93" s="26" t="s">
        <v>1759</v>
      </c>
      <c r="B93" s="56"/>
      <c r="C93" s="27" t="s">
        <v>4</v>
      </c>
      <c r="D93" s="39" t="s">
        <v>1760</v>
      </c>
      <c r="E93" s="39" t="s">
        <v>1762</v>
      </c>
      <c r="F93" s="39" t="s">
        <v>1759</v>
      </c>
      <c r="G93" s="39">
        <v>43</v>
      </c>
      <c r="H93" s="28" t="s">
        <v>1284</v>
      </c>
      <c r="I93" s="45" t="s">
        <v>37</v>
      </c>
      <c r="J93" s="45">
        <v>45000</v>
      </c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</row>
    <row r="94" spans="1:22" customHeight="1" ht="11.5" s="12" customFormat="1">
      <c r="A94" s="26" t="s">
        <v>1759</v>
      </c>
      <c r="B94" s="56"/>
      <c r="C94" s="27" t="s">
        <v>4</v>
      </c>
      <c r="D94" s="39" t="s">
        <v>1760</v>
      </c>
      <c r="E94" s="39" t="s">
        <v>1762</v>
      </c>
      <c r="F94" s="39" t="s">
        <v>1759</v>
      </c>
      <c r="G94" s="39">
        <v>44</v>
      </c>
      <c r="H94" s="28" t="s">
        <v>1290</v>
      </c>
      <c r="I94" s="45" t="s">
        <v>37</v>
      </c>
      <c r="J94" s="45">
        <v>80000</v>
      </c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</row>
    <row r="95" spans="1:22" customHeight="1" ht="11.5" s="12" customFormat="1">
      <c r="A95" s="26" t="s">
        <v>1759</v>
      </c>
      <c r="B95" s="56"/>
      <c r="C95" s="27" t="s">
        <v>4</v>
      </c>
      <c r="D95" s="39" t="s">
        <v>1760</v>
      </c>
      <c r="E95" s="39" t="s">
        <v>1762</v>
      </c>
      <c r="F95" s="39" t="s">
        <v>1759</v>
      </c>
      <c r="G95" s="39">
        <v>45</v>
      </c>
      <c r="H95" s="28" t="s">
        <v>1285</v>
      </c>
      <c r="I95" s="45" t="s">
        <v>37</v>
      </c>
      <c r="J95" s="45">
        <v>65000</v>
      </c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</row>
    <row r="96" spans="1:22" customHeight="1" ht="11.5" s="12" customFormat="1">
      <c r="A96" s="26" t="s">
        <v>1759</v>
      </c>
      <c r="B96" s="56"/>
      <c r="C96" s="27" t="s">
        <v>4</v>
      </c>
      <c r="D96" s="39" t="s">
        <v>1760</v>
      </c>
      <c r="E96" s="39" t="s">
        <v>1762</v>
      </c>
      <c r="F96" s="39" t="s">
        <v>1759</v>
      </c>
      <c r="G96" s="39">
        <v>46</v>
      </c>
      <c r="H96" s="28" t="s">
        <v>1456</v>
      </c>
      <c r="I96" s="45" t="s">
        <v>37</v>
      </c>
      <c r="J96" s="45">
        <v>5000</v>
      </c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</row>
    <row r="97" spans="1:22" customHeight="1" ht="11.5" s="12" customFormat="1">
      <c r="A97" s="26" t="s">
        <v>1759</v>
      </c>
      <c r="B97" s="56"/>
      <c r="C97" s="27" t="s">
        <v>4</v>
      </c>
      <c r="D97" s="39" t="s">
        <v>1760</v>
      </c>
      <c r="E97" s="39" t="s">
        <v>1762</v>
      </c>
      <c r="F97" s="39" t="s">
        <v>1759</v>
      </c>
      <c r="G97" s="39">
        <v>47</v>
      </c>
      <c r="H97" s="28" t="s">
        <v>1313</v>
      </c>
      <c r="I97" s="45" t="s">
        <v>37</v>
      </c>
      <c r="J97" s="45">
        <v>25000</v>
      </c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</row>
    <row r="98" spans="1:22" customHeight="1" ht="11.5" s="12" customFormat="1">
      <c r="A98" s="26" t="s">
        <v>1759</v>
      </c>
      <c r="B98" s="56"/>
      <c r="C98" s="27" t="s">
        <v>4</v>
      </c>
      <c r="D98" s="39" t="s">
        <v>1760</v>
      </c>
      <c r="E98" s="39" t="s">
        <v>1762</v>
      </c>
      <c r="F98" s="39" t="s">
        <v>1759</v>
      </c>
      <c r="G98" s="39">
        <v>48</v>
      </c>
      <c r="H98" s="28" t="s">
        <v>1294</v>
      </c>
      <c r="I98" s="45" t="s">
        <v>37</v>
      </c>
      <c r="J98" s="45">
        <v>5000</v>
      </c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</row>
    <row r="99" spans="1:22" customHeight="1" ht="11.5" s="12" customFormat="1">
      <c r="A99" s="26" t="s">
        <v>1759</v>
      </c>
      <c r="B99" s="56"/>
      <c r="C99" s="27" t="s">
        <v>4</v>
      </c>
      <c r="D99" s="39" t="s">
        <v>1760</v>
      </c>
      <c r="E99" s="39" t="s">
        <v>1762</v>
      </c>
      <c r="F99" s="39" t="s">
        <v>1759</v>
      </c>
      <c r="G99" s="39">
        <v>49</v>
      </c>
      <c r="H99" s="28" t="s">
        <v>1292</v>
      </c>
      <c r="I99" s="45" t="s">
        <v>37</v>
      </c>
      <c r="J99" s="45">
        <v>10000</v>
      </c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</row>
    <row r="100" spans="1:22" customHeight="1" ht="11.5" s="12" customFormat="1">
      <c r="A100" s="26" t="s">
        <v>1759</v>
      </c>
      <c r="B100" s="56"/>
      <c r="C100" s="27" t="s">
        <v>4</v>
      </c>
      <c r="D100" s="39" t="s">
        <v>1760</v>
      </c>
      <c r="E100" s="39" t="s">
        <v>1762</v>
      </c>
      <c r="F100" s="39" t="s">
        <v>1759</v>
      </c>
      <c r="G100" s="39">
        <v>50</v>
      </c>
      <c r="H100" s="28" t="s">
        <v>1291</v>
      </c>
      <c r="I100" s="45" t="s">
        <v>37</v>
      </c>
      <c r="J100" s="45">
        <v>15000</v>
      </c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</row>
    <row r="101" spans="1:22" customHeight="1" ht="11.5" s="12" customFormat="1">
      <c r="A101" s="35" t="s">
        <v>1759</v>
      </c>
      <c r="B101" s="32"/>
      <c r="C101" s="36" t="s">
        <v>4</v>
      </c>
      <c r="D101" s="36" t="s">
        <v>1760</v>
      </c>
      <c r="E101" s="36" t="s">
        <v>1762</v>
      </c>
      <c r="F101" s="36" t="s">
        <v>1759</v>
      </c>
      <c r="G101" s="36">
        <v>51</v>
      </c>
      <c r="H101" s="31" t="s">
        <v>1293</v>
      </c>
      <c r="I101" s="46" t="s">
        <v>37</v>
      </c>
      <c r="J101" s="46">
        <v>25000</v>
      </c>
      <c r="K101" s="34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</row>
    <row r="102" spans="1:22" customHeight="1" ht="11.5" s="12" customFormat="1">
      <c r="A102" s="29" t="s">
        <v>1759</v>
      </c>
      <c r="B102" s="57"/>
      <c r="C102" s="30" t="s">
        <v>4</v>
      </c>
      <c r="D102" s="36" t="s">
        <v>1760</v>
      </c>
      <c r="E102" s="36" t="s">
        <v>1762</v>
      </c>
      <c r="F102" s="36" t="s">
        <v>1759</v>
      </c>
      <c r="G102" s="36">
        <v>52</v>
      </c>
      <c r="H102" s="31" t="s">
        <v>1318</v>
      </c>
      <c r="I102" s="46" t="s">
        <v>37</v>
      </c>
      <c r="J102" s="46">
        <v>4561</v>
      </c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</row>
    <row r="103" spans="1:22" customHeight="1" ht="11.5" s="12" customFormat="1">
      <c r="A103" s="26" t="s">
        <v>1759</v>
      </c>
      <c r="B103" s="56"/>
      <c r="C103" s="27" t="s">
        <v>4</v>
      </c>
      <c r="D103" s="39" t="s">
        <v>1760</v>
      </c>
      <c r="E103" s="39" t="s">
        <v>1762</v>
      </c>
      <c r="F103" s="39" t="s">
        <v>1759</v>
      </c>
      <c r="G103" s="39">
        <v>53</v>
      </c>
      <c r="H103" s="28" t="s">
        <v>381</v>
      </c>
      <c r="I103" s="45" t="s">
        <v>133</v>
      </c>
      <c r="J103" s="45">
        <v>10000</v>
      </c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</row>
    <row r="104" spans="1:22" customHeight="1" ht="11.5" s="12" customFormat="1">
      <c r="A104" s="26" t="s">
        <v>1759</v>
      </c>
      <c r="B104" s="56"/>
      <c r="C104" s="27" t="s">
        <v>4</v>
      </c>
      <c r="D104" s="39" t="s">
        <v>1760</v>
      </c>
      <c r="E104" s="39" t="s">
        <v>1762</v>
      </c>
      <c r="F104" s="39" t="s">
        <v>1759</v>
      </c>
      <c r="G104" s="39">
        <v>54</v>
      </c>
      <c r="H104" s="28" t="s">
        <v>419</v>
      </c>
      <c r="I104" s="45" t="s">
        <v>133</v>
      </c>
      <c r="J104" s="45">
        <v>20000</v>
      </c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</row>
    <row r="105" spans="1:22" customHeight="1" ht="11.5" s="12" customFormat="1">
      <c r="A105" s="26" t="s">
        <v>1759</v>
      </c>
      <c r="B105" s="56"/>
      <c r="C105" s="27" t="s">
        <v>4</v>
      </c>
      <c r="D105" s="39" t="s">
        <v>1760</v>
      </c>
      <c r="E105" s="39" t="s">
        <v>1762</v>
      </c>
      <c r="F105" s="39" t="s">
        <v>1759</v>
      </c>
      <c r="G105" s="39">
        <v>55</v>
      </c>
      <c r="H105" s="28" t="s">
        <v>421</v>
      </c>
      <c r="I105" s="45" t="s">
        <v>133</v>
      </c>
      <c r="J105" s="45">
        <v>20000</v>
      </c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</row>
    <row r="106" spans="1:22" customHeight="1" ht="11.5" s="12" customFormat="1">
      <c r="A106" s="26" t="s">
        <v>1759</v>
      </c>
      <c r="B106" s="56"/>
      <c r="C106" s="27" t="s">
        <v>4</v>
      </c>
      <c r="D106" s="39" t="s">
        <v>1760</v>
      </c>
      <c r="E106" s="39" t="s">
        <v>1762</v>
      </c>
      <c r="F106" s="39" t="s">
        <v>1759</v>
      </c>
      <c r="G106" s="39">
        <v>56</v>
      </c>
      <c r="H106" s="28" t="s">
        <v>441</v>
      </c>
      <c r="I106" s="45" t="s">
        <v>133</v>
      </c>
      <c r="J106" s="45">
        <v>34000</v>
      </c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</row>
    <row r="107" spans="1:22" customHeight="1" ht="11.5" s="12" customFormat="1">
      <c r="A107" s="26" t="s">
        <v>1759</v>
      </c>
      <c r="B107" s="56"/>
      <c r="C107" s="27" t="s">
        <v>4</v>
      </c>
      <c r="D107" s="39" t="s">
        <v>1760</v>
      </c>
      <c r="E107" s="39" t="s">
        <v>1762</v>
      </c>
      <c r="F107" s="39" t="s">
        <v>1759</v>
      </c>
      <c r="G107" s="39">
        <v>57</v>
      </c>
      <c r="H107" s="28" t="s">
        <v>443</v>
      </c>
      <c r="I107" s="45" t="s">
        <v>133</v>
      </c>
      <c r="J107" s="45">
        <v>2351</v>
      </c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</row>
    <row r="108" spans="1:22" customHeight="1" ht="11.5" s="12" customFormat="1">
      <c r="A108" s="26" t="s">
        <v>1759</v>
      </c>
      <c r="B108" s="56"/>
      <c r="C108" s="27" t="s">
        <v>4</v>
      </c>
      <c r="D108" s="39" t="s">
        <v>1760</v>
      </c>
      <c r="E108" s="39" t="s">
        <v>1761</v>
      </c>
      <c r="F108" s="39" t="s">
        <v>1759</v>
      </c>
      <c r="G108" s="39">
        <v>1</v>
      </c>
      <c r="H108" s="28" t="s">
        <v>205</v>
      </c>
      <c r="I108" s="45" t="s">
        <v>106</v>
      </c>
      <c r="J108" s="45">
        <v>20000</v>
      </c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</row>
    <row r="109" spans="1:22" customHeight="1" ht="11.5" s="12" customFormat="1">
      <c r="A109" s="26" t="s">
        <v>1759</v>
      </c>
      <c r="B109" s="56"/>
      <c r="C109" s="27" t="s">
        <v>4</v>
      </c>
      <c r="D109" s="39" t="s">
        <v>1760</v>
      </c>
      <c r="E109" s="39" t="s">
        <v>1761</v>
      </c>
      <c r="F109" s="39" t="s">
        <v>1759</v>
      </c>
      <c r="G109" s="39">
        <v>2</v>
      </c>
      <c r="H109" s="28" t="s">
        <v>477</v>
      </c>
      <c r="I109" s="45" t="s">
        <v>106</v>
      </c>
      <c r="J109" s="45">
        <v>60000</v>
      </c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</row>
    <row r="110" spans="1:22" customHeight="1" ht="11.5" s="12" customFormat="1">
      <c r="A110" s="26" t="s">
        <v>1759</v>
      </c>
      <c r="B110" s="56"/>
      <c r="C110" s="27" t="s">
        <v>4</v>
      </c>
      <c r="D110" s="39" t="s">
        <v>1760</v>
      </c>
      <c r="E110" s="39" t="s">
        <v>1761</v>
      </c>
      <c r="F110" s="39" t="s">
        <v>1759</v>
      </c>
      <c r="G110" s="39">
        <v>3</v>
      </c>
      <c r="H110" s="28" t="s">
        <v>114</v>
      </c>
      <c r="I110" s="45" t="s">
        <v>106</v>
      </c>
      <c r="J110" s="45">
        <v>170750</v>
      </c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</row>
    <row r="111" spans="1:22" customHeight="1" ht="11.5" s="12" customFormat="1">
      <c r="A111" s="26" t="s">
        <v>1759</v>
      </c>
      <c r="B111" s="56"/>
      <c r="C111" s="27" t="s">
        <v>4</v>
      </c>
      <c r="D111" s="39" t="s">
        <v>1760</v>
      </c>
      <c r="E111" s="39" t="s">
        <v>1761</v>
      </c>
      <c r="F111" s="39" t="s">
        <v>1759</v>
      </c>
      <c r="G111" s="39">
        <v>4</v>
      </c>
      <c r="H111" s="28" t="s">
        <v>279</v>
      </c>
      <c r="I111" s="45" t="s">
        <v>113</v>
      </c>
      <c r="J111" s="45">
        <v>10000</v>
      </c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</row>
    <row r="112" spans="1:22" customHeight="1" ht="11.5" s="12" customFormat="1">
      <c r="A112" s="26" t="s">
        <v>1759</v>
      </c>
      <c r="B112" s="56"/>
      <c r="C112" s="27" t="s">
        <v>4</v>
      </c>
      <c r="D112" s="39" t="s">
        <v>1760</v>
      </c>
      <c r="E112" s="39" t="s">
        <v>1761</v>
      </c>
      <c r="F112" s="39" t="s">
        <v>1759</v>
      </c>
      <c r="G112" s="39">
        <v>5</v>
      </c>
      <c r="H112" s="28" t="s">
        <v>273</v>
      </c>
      <c r="I112" s="45" t="s">
        <v>113</v>
      </c>
      <c r="J112" s="45">
        <v>10000</v>
      </c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</row>
    <row r="113" spans="1:22" customHeight="1" ht="11.5" s="12" customFormat="1">
      <c r="A113" s="26" t="s">
        <v>1759</v>
      </c>
      <c r="B113" s="56"/>
      <c r="C113" s="27" t="s">
        <v>4</v>
      </c>
      <c r="D113" s="39" t="s">
        <v>1760</v>
      </c>
      <c r="E113" s="39" t="s">
        <v>1761</v>
      </c>
      <c r="F113" s="39" t="s">
        <v>1759</v>
      </c>
      <c r="G113" s="39">
        <v>6</v>
      </c>
      <c r="H113" s="28" t="s">
        <v>227</v>
      </c>
      <c r="I113" s="45" t="s">
        <v>113</v>
      </c>
      <c r="J113" s="45">
        <v>10000</v>
      </c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</row>
    <row r="114" spans="1:22" customHeight="1" ht="11.5" s="12" customFormat="1">
      <c r="A114" s="26" t="s">
        <v>1759</v>
      </c>
      <c r="B114" s="56"/>
      <c r="C114" s="27" t="s">
        <v>4</v>
      </c>
      <c r="D114" s="39" t="s">
        <v>1760</v>
      </c>
      <c r="E114" s="39" t="s">
        <v>1761</v>
      </c>
      <c r="F114" s="39" t="s">
        <v>1759</v>
      </c>
      <c r="G114" s="39">
        <v>7</v>
      </c>
      <c r="H114" s="28" t="s">
        <v>289</v>
      </c>
      <c r="I114" s="45" t="s">
        <v>113</v>
      </c>
      <c r="J114" s="45">
        <v>6000</v>
      </c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</row>
    <row r="115" spans="1:22" customHeight="1" ht="11.5" s="12" customFormat="1">
      <c r="A115" s="26" t="s">
        <v>1759</v>
      </c>
      <c r="B115" s="56"/>
      <c r="C115" s="27" t="s">
        <v>4</v>
      </c>
      <c r="D115" s="39" t="s">
        <v>1760</v>
      </c>
      <c r="E115" s="39" t="s">
        <v>1761</v>
      </c>
      <c r="F115" s="39" t="s">
        <v>1759</v>
      </c>
      <c r="G115" s="39">
        <v>8</v>
      </c>
      <c r="H115" s="28" t="s">
        <v>545</v>
      </c>
      <c r="I115" s="45" t="s">
        <v>113</v>
      </c>
      <c r="J115" s="45">
        <v>10000</v>
      </c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</row>
    <row r="116" spans="1:22" customHeight="1" ht="11.5" s="12" customFormat="1">
      <c r="A116" s="26" t="s">
        <v>1759</v>
      </c>
      <c r="B116" s="56"/>
      <c r="C116" s="27" t="s">
        <v>4</v>
      </c>
      <c r="D116" s="39" t="s">
        <v>1760</v>
      </c>
      <c r="E116" s="39" t="s">
        <v>1761</v>
      </c>
      <c r="F116" s="39" t="s">
        <v>1759</v>
      </c>
      <c r="G116" s="39">
        <v>9</v>
      </c>
      <c r="H116" s="28" t="s">
        <v>1275</v>
      </c>
      <c r="I116" s="45" t="s">
        <v>113</v>
      </c>
      <c r="J116" s="45">
        <v>5000</v>
      </c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</row>
    <row r="117" spans="1:22" customHeight="1" ht="11.5" s="12" customFormat="1">
      <c r="A117" s="26" t="s">
        <v>1759</v>
      </c>
      <c r="B117" s="56"/>
      <c r="C117" s="27" t="s">
        <v>4</v>
      </c>
      <c r="D117" s="39" t="s">
        <v>1760</v>
      </c>
      <c r="E117" s="39" t="s">
        <v>1761</v>
      </c>
      <c r="F117" s="39" t="s">
        <v>1759</v>
      </c>
      <c r="G117" s="39">
        <v>10</v>
      </c>
      <c r="H117" s="28" t="s">
        <v>217</v>
      </c>
      <c r="I117" s="45" t="s">
        <v>113</v>
      </c>
      <c r="J117" s="45">
        <v>10000</v>
      </c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</row>
    <row r="118" spans="1:22" customHeight="1" ht="11.5" s="12" customFormat="1">
      <c r="A118" s="26" t="s">
        <v>1759</v>
      </c>
      <c r="B118" s="56"/>
      <c r="C118" s="27" t="s">
        <v>4</v>
      </c>
      <c r="D118" s="39" t="s">
        <v>1760</v>
      </c>
      <c r="E118" s="39" t="s">
        <v>1761</v>
      </c>
      <c r="F118" s="39" t="s">
        <v>1759</v>
      </c>
      <c r="G118" s="39">
        <v>11</v>
      </c>
      <c r="H118" s="28" t="s">
        <v>163</v>
      </c>
      <c r="I118" s="45" t="s">
        <v>113</v>
      </c>
      <c r="J118" s="45">
        <v>10000</v>
      </c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</row>
    <row r="119" spans="1:22" customHeight="1" ht="11.5">
      <c r="A119" s="14" t="s">
        <v>1759</v>
      </c>
      <c r="B119" s="59"/>
      <c r="C119" s="20" t="s">
        <v>4</v>
      </c>
      <c r="D119" s="62" t="s">
        <v>1760</v>
      </c>
      <c r="E119" s="40" t="s">
        <v>1761</v>
      </c>
      <c r="F119" s="66" t="s">
        <v>1759</v>
      </c>
      <c r="G119" s="40">
        <v>12</v>
      </c>
      <c r="H119" s="40" t="s">
        <v>164</v>
      </c>
      <c r="I119" s="47" t="s">
        <v>113</v>
      </c>
      <c r="J119" s="47">
        <v>5000</v>
      </c>
      <c r="K119" s="17"/>
    </row>
    <row r="120" spans="1:22" customHeight="1" ht="11.5">
      <c r="A120" s="14" t="s">
        <v>1759</v>
      </c>
      <c r="B120" s="59"/>
      <c r="C120" s="20" t="s">
        <v>4</v>
      </c>
      <c r="D120" s="62" t="s">
        <v>1760</v>
      </c>
      <c r="E120" s="40" t="s">
        <v>1761</v>
      </c>
      <c r="F120" s="66" t="s">
        <v>1759</v>
      </c>
      <c r="G120" s="40">
        <v>13</v>
      </c>
      <c r="H120" s="40" t="s">
        <v>165</v>
      </c>
      <c r="I120" s="47" t="s">
        <v>113</v>
      </c>
      <c r="J120" s="47">
        <v>20000</v>
      </c>
      <c r="K120" s="17"/>
    </row>
    <row r="121" spans="1:22" customHeight="1" ht="11.5">
      <c r="A121" s="14" t="s">
        <v>1759</v>
      </c>
      <c r="B121" s="59"/>
      <c r="C121" s="20" t="s">
        <v>4</v>
      </c>
      <c r="D121" s="62" t="s">
        <v>1760</v>
      </c>
      <c r="E121" s="40" t="s">
        <v>1761</v>
      </c>
      <c r="F121" s="66" t="s">
        <v>1759</v>
      </c>
      <c r="G121" s="40">
        <v>14</v>
      </c>
      <c r="H121" s="40" t="s">
        <v>167</v>
      </c>
      <c r="I121" s="47" t="s">
        <v>113</v>
      </c>
      <c r="J121" s="47">
        <v>20000</v>
      </c>
      <c r="K121" s="17"/>
    </row>
    <row r="122" spans="1:22" customHeight="1" ht="11.5">
      <c r="A122" s="14" t="s">
        <v>1759</v>
      </c>
      <c r="B122" s="59"/>
      <c r="C122" s="20" t="s">
        <v>4</v>
      </c>
      <c r="D122" s="62" t="s">
        <v>1760</v>
      </c>
      <c r="E122" s="40" t="s">
        <v>1761</v>
      </c>
      <c r="F122" s="66" t="s">
        <v>1759</v>
      </c>
      <c r="G122" s="40">
        <v>15</v>
      </c>
      <c r="H122" s="40" t="s">
        <v>168</v>
      </c>
      <c r="I122" s="47" t="s">
        <v>113</v>
      </c>
      <c r="J122" s="47">
        <v>30000</v>
      </c>
      <c r="K122" s="17"/>
    </row>
    <row r="123" spans="1:22" customHeight="1" ht="11.5">
      <c r="A123" s="14" t="s">
        <v>1759</v>
      </c>
      <c r="B123" s="59"/>
      <c r="C123" s="20" t="s">
        <v>4</v>
      </c>
      <c r="D123" s="62" t="s">
        <v>1760</v>
      </c>
      <c r="E123" s="40" t="s">
        <v>1761</v>
      </c>
      <c r="F123" s="66" t="s">
        <v>1759</v>
      </c>
      <c r="G123" s="40">
        <v>16</v>
      </c>
      <c r="H123" s="40" t="s">
        <v>555</v>
      </c>
      <c r="I123" s="47" t="s">
        <v>113</v>
      </c>
      <c r="J123" s="47">
        <v>4000</v>
      </c>
      <c r="K123" s="17"/>
    </row>
    <row r="124" spans="1:22" customHeight="1" ht="11.5">
      <c r="A124" s="14" t="s">
        <v>1759</v>
      </c>
      <c r="B124" s="59"/>
      <c r="C124" s="20" t="s">
        <v>4</v>
      </c>
      <c r="D124" s="62" t="s">
        <v>1760</v>
      </c>
      <c r="E124" s="40" t="s">
        <v>1761</v>
      </c>
      <c r="F124" s="66" t="s">
        <v>1759</v>
      </c>
      <c r="G124" s="40">
        <v>17</v>
      </c>
      <c r="H124" s="40" t="s">
        <v>1123</v>
      </c>
      <c r="I124" s="47" t="s">
        <v>113</v>
      </c>
      <c r="J124" s="47">
        <v>37161</v>
      </c>
      <c r="K124" s="17"/>
    </row>
    <row r="125" spans="1:22" customHeight="1" ht="11.5">
      <c r="A125" s="14" t="s">
        <v>1759</v>
      </c>
      <c r="B125" s="59"/>
      <c r="C125" s="20" t="s">
        <v>4</v>
      </c>
      <c r="D125" s="62" t="s">
        <v>1760</v>
      </c>
      <c r="E125" s="40" t="s">
        <v>1761</v>
      </c>
      <c r="F125" s="66" t="s">
        <v>1759</v>
      </c>
      <c r="G125" s="40">
        <v>18</v>
      </c>
      <c r="H125" s="40" t="s">
        <v>191</v>
      </c>
      <c r="I125" s="47" t="s">
        <v>102</v>
      </c>
      <c r="J125" s="47">
        <v>10000</v>
      </c>
      <c r="K125" s="17"/>
    </row>
    <row r="126" spans="1:22" customHeight="1" ht="11.5">
      <c r="A126" s="14" t="s">
        <v>1759</v>
      </c>
      <c r="B126" s="59"/>
      <c r="C126" s="20" t="s">
        <v>4</v>
      </c>
      <c r="D126" s="62" t="s">
        <v>1760</v>
      </c>
      <c r="E126" s="40" t="s">
        <v>1761</v>
      </c>
      <c r="F126" s="66" t="s">
        <v>1759</v>
      </c>
      <c r="G126" s="40">
        <v>19</v>
      </c>
      <c r="H126" s="40" t="s">
        <v>187</v>
      </c>
      <c r="I126" s="47" t="s">
        <v>102</v>
      </c>
      <c r="J126" s="47">
        <v>10000</v>
      </c>
      <c r="K126" s="17"/>
    </row>
    <row r="127" spans="1:22" customHeight="1" ht="11.5">
      <c r="A127" s="14" t="s">
        <v>1759</v>
      </c>
      <c r="B127" s="59"/>
      <c r="C127" s="20" t="s">
        <v>4</v>
      </c>
      <c r="D127" s="62" t="s">
        <v>1760</v>
      </c>
      <c r="E127" s="40" t="s">
        <v>1761</v>
      </c>
      <c r="F127" s="66" t="s">
        <v>1759</v>
      </c>
      <c r="G127" s="40">
        <v>20</v>
      </c>
      <c r="H127" s="40" t="s">
        <v>169</v>
      </c>
      <c r="I127" s="47" t="s">
        <v>102</v>
      </c>
      <c r="J127" s="47">
        <v>50000</v>
      </c>
      <c r="K127" s="17"/>
    </row>
    <row r="128" spans="1:22" customHeight="1" ht="11.5">
      <c r="A128" s="14" t="s">
        <v>1759</v>
      </c>
      <c r="B128" s="59"/>
      <c r="C128" s="20" t="s">
        <v>4</v>
      </c>
      <c r="D128" s="62" t="s">
        <v>1760</v>
      </c>
      <c r="E128" s="40" t="s">
        <v>1761</v>
      </c>
      <c r="F128" s="66" t="s">
        <v>1759</v>
      </c>
      <c r="G128" s="40">
        <v>21</v>
      </c>
      <c r="H128" s="40" t="s">
        <v>329</v>
      </c>
      <c r="I128" s="47" t="s">
        <v>102</v>
      </c>
      <c r="J128" s="47">
        <v>10000</v>
      </c>
      <c r="K128" s="17"/>
    </row>
    <row r="129" spans="1:22" customHeight="1" ht="11.5">
      <c r="A129" s="14" t="s">
        <v>1759</v>
      </c>
      <c r="B129" s="59"/>
      <c r="C129" s="20" t="s">
        <v>4</v>
      </c>
      <c r="D129" s="62" t="s">
        <v>1760</v>
      </c>
      <c r="E129" s="40" t="s">
        <v>1761</v>
      </c>
      <c r="F129" s="66" t="s">
        <v>1759</v>
      </c>
      <c r="G129" s="40">
        <v>22</v>
      </c>
      <c r="H129" s="40" t="s">
        <v>973</v>
      </c>
      <c r="I129" s="47" t="s">
        <v>102</v>
      </c>
      <c r="J129" s="47">
        <v>4000</v>
      </c>
      <c r="K129" s="17"/>
    </row>
    <row r="130" spans="1:22" customHeight="1" ht="11.5">
      <c r="A130" s="14" t="s">
        <v>1759</v>
      </c>
      <c r="B130" s="59"/>
      <c r="C130" s="20" t="s">
        <v>4</v>
      </c>
      <c r="D130" s="62" t="s">
        <v>1760</v>
      </c>
      <c r="E130" s="40" t="s">
        <v>1761</v>
      </c>
      <c r="F130" s="66" t="s">
        <v>1759</v>
      </c>
      <c r="G130" s="40">
        <v>23</v>
      </c>
      <c r="H130" s="40" t="s">
        <v>171</v>
      </c>
      <c r="I130" s="47" t="s">
        <v>102</v>
      </c>
      <c r="J130" s="47">
        <v>42888</v>
      </c>
      <c r="K130" s="17"/>
    </row>
    <row r="131" spans="1:22" customHeight="1" ht="11.5">
      <c r="A131" s="14" t="s">
        <v>1759</v>
      </c>
      <c r="B131" s="59"/>
      <c r="C131" s="20" t="s">
        <v>4</v>
      </c>
      <c r="D131" s="62" t="s">
        <v>1760</v>
      </c>
      <c r="E131" s="40" t="s">
        <v>1761</v>
      </c>
      <c r="F131" s="66" t="s">
        <v>1759</v>
      </c>
      <c r="G131" s="40">
        <v>24</v>
      </c>
      <c r="H131" s="40" t="s">
        <v>463</v>
      </c>
      <c r="I131" s="47" t="s">
        <v>1764</v>
      </c>
      <c r="J131" s="47">
        <v>25000</v>
      </c>
      <c r="K131" s="17"/>
    </row>
    <row r="132" spans="1:22" customHeight="1" ht="11.5">
      <c r="A132" s="14" t="s">
        <v>1759</v>
      </c>
      <c r="B132" s="59"/>
      <c r="C132" s="20" t="s">
        <v>4</v>
      </c>
      <c r="D132" s="62" t="s">
        <v>1760</v>
      </c>
      <c r="E132" s="40" t="s">
        <v>1761</v>
      </c>
      <c r="F132" s="66" t="s">
        <v>1759</v>
      </c>
      <c r="G132" s="40">
        <v>25</v>
      </c>
      <c r="H132" s="40" t="s">
        <v>50</v>
      </c>
      <c r="I132" s="47" t="s">
        <v>37</v>
      </c>
      <c r="J132" s="47">
        <v>5000</v>
      </c>
      <c r="K132" s="17"/>
    </row>
    <row r="133" spans="1:22" customHeight="1" ht="11.5">
      <c r="A133" s="14" t="s">
        <v>1759</v>
      </c>
      <c r="B133" s="59"/>
      <c r="C133" s="20" t="s">
        <v>4</v>
      </c>
      <c r="D133" s="62" t="s">
        <v>1760</v>
      </c>
      <c r="E133" s="40" t="s">
        <v>1761</v>
      </c>
      <c r="F133" s="66" t="s">
        <v>1759</v>
      </c>
      <c r="G133" s="40">
        <v>26</v>
      </c>
      <c r="H133" s="40" t="s">
        <v>215</v>
      </c>
      <c r="I133" s="47" t="s">
        <v>37</v>
      </c>
      <c r="J133" s="47">
        <v>30000</v>
      </c>
      <c r="K133" s="17"/>
    </row>
    <row r="134" spans="1:22" customHeight="1" ht="11.5">
      <c r="A134" s="14" t="s">
        <v>1759</v>
      </c>
      <c r="B134" s="59"/>
      <c r="C134" s="20" t="s">
        <v>4</v>
      </c>
      <c r="D134" s="62" t="s">
        <v>1760</v>
      </c>
      <c r="E134" s="40" t="s">
        <v>1761</v>
      </c>
      <c r="F134" s="66" t="s">
        <v>1759</v>
      </c>
      <c r="G134" s="40">
        <v>27</v>
      </c>
      <c r="H134" s="40" t="s">
        <v>51</v>
      </c>
      <c r="I134" s="47" t="s">
        <v>37</v>
      </c>
      <c r="J134" s="47">
        <v>10000</v>
      </c>
      <c r="K134" s="17"/>
    </row>
    <row r="135" spans="1:22" customHeight="1" ht="11.5">
      <c r="A135" s="14" t="s">
        <v>1759</v>
      </c>
      <c r="B135" s="59"/>
      <c r="C135" s="20" t="s">
        <v>4</v>
      </c>
      <c r="D135" s="62" t="s">
        <v>1760</v>
      </c>
      <c r="E135" s="40" t="s">
        <v>1761</v>
      </c>
      <c r="F135" s="66" t="s">
        <v>1759</v>
      </c>
      <c r="G135" s="40">
        <v>28</v>
      </c>
      <c r="H135" s="40" t="s">
        <v>225</v>
      </c>
      <c r="I135" s="47" t="s">
        <v>37</v>
      </c>
      <c r="J135" s="47">
        <v>10000</v>
      </c>
      <c r="K135" s="17"/>
    </row>
    <row r="136" spans="1:22" customHeight="1" ht="11.5">
      <c r="A136" s="14" t="s">
        <v>1759</v>
      </c>
      <c r="B136" s="59"/>
      <c r="C136" s="20" t="s">
        <v>4</v>
      </c>
      <c r="D136" s="62" t="s">
        <v>1760</v>
      </c>
      <c r="E136" s="40" t="s">
        <v>1761</v>
      </c>
      <c r="F136" s="66" t="s">
        <v>1759</v>
      </c>
      <c r="G136" s="40">
        <v>29</v>
      </c>
      <c r="H136" s="40" t="s">
        <v>183</v>
      </c>
      <c r="I136" s="47" t="s">
        <v>37</v>
      </c>
      <c r="J136" s="47">
        <v>20000</v>
      </c>
      <c r="K136" s="17"/>
    </row>
    <row r="137" spans="1:22" customHeight="1" ht="11.5">
      <c r="A137" s="14" t="s">
        <v>1759</v>
      </c>
      <c r="B137" s="59"/>
      <c r="C137" s="20" t="s">
        <v>4</v>
      </c>
      <c r="D137" s="62" t="s">
        <v>1760</v>
      </c>
      <c r="E137" s="40" t="s">
        <v>1761</v>
      </c>
      <c r="F137" s="66" t="s">
        <v>1759</v>
      </c>
      <c r="G137" s="40">
        <v>30</v>
      </c>
      <c r="H137" s="40" t="s">
        <v>337</v>
      </c>
      <c r="I137" s="47" t="s">
        <v>37</v>
      </c>
      <c r="J137" s="47">
        <v>20000</v>
      </c>
      <c r="K137" s="17"/>
    </row>
    <row r="138" spans="1:22" customHeight="1" ht="11.5">
      <c r="A138" s="14" t="s">
        <v>1759</v>
      </c>
      <c r="B138" s="59"/>
      <c r="C138" s="20" t="s">
        <v>4</v>
      </c>
      <c r="D138" s="62" t="s">
        <v>1760</v>
      </c>
      <c r="E138" s="40" t="s">
        <v>1761</v>
      </c>
      <c r="F138" s="66" t="s">
        <v>1759</v>
      </c>
      <c r="G138" s="40">
        <v>31</v>
      </c>
      <c r="H138" s="40" t="s">
        <v>193</v>
      </c>
      <c r="I138" s="47" t="s">
        <v>37</v>
      </c>
      <c r="J138" s="47">
        <v>5000</v>
      </c>
      <c r="K138" s="17"/>
    </row>
    <row r="139" spans="1:22" customHeight="1" ht="11.5">
      <c r="A139" s="14" t="s">
        <v>1759</v>
      </c>
      <c r="B139" s="59"/>
      <c r="C139" s="20" t="s">
        <v>4</v>
      </c>
      <c r="D139" s="62" t="s">
        <v>1760</v>
      </c>
      <c r="E139" s="40" t="s">
        <v>1761</v>
      </c>
      <c r="F139" s="66" t="s">
        <v>1759</v>
      </c>
      <c r="G139" s="40">
        <v>32</v>
      </c>
      <c r="H139" s="40" t="s">
        <v>333</v>
      </c>
      <c r="I139" s="47" t="s">
        <v>37</v>
      </c>
      <c r="J139" s="47">
        <v>15000</v>
      </c>
      <c r="K139" s="17"/>
    </row>
    <row r="140" spans="1:22" customHeight="1" ht="11.5">
      <c r="A140" s="14" t="s">
        <v>1759</v>
      </c>
      <c r="B140" s="59"/>
      <c r="C140" s="20" t="s">
        <v>4</v>
      </c>
      <c r="D140" s="62" t="s">
        <v>1760</v>
      </c>
      <c r="E140" s="40" t="s">
        <v>1761</v>
      </c>
      <c r="F140" s="66" t="s">
        <v>1759</v>
      </c>
      <c r="G140" s="40">
        <v>33</v>
      </c>
      <c r="H140" s="40" t="s">
        <v>207</v>
      </c>
      <c r="I140" s="47" t="s">
        <v>37</v>
      </c>
      <c r="J140" s="47">
        <v>20000</v>
      </c>
      <c r="K140" s="17"/>
    </row>
    <row r="141" spans="1:22" customHeight="1" ht="11.5">
      <c r="A141" s="14" t="s">
        <v>1759</v>
      </c>
      <c r="B141" s="59"/>
      <c r="C141" s="20" t="s">
        <v>4</v>
      </c>
      <c r="D141" s="62" t="s">
        <v>1760</v>
      </c>
      <c r="E141" s="40" t="s">
        <v>1761</v>
      </c>
      <c r="F141" s="66" t="s">
        <v>1759</v>
      </c>
      <c r="G141" s="40">
        <v>34</v>
      </c>
      <c r="H141" s="40" t="s">
        <v>293</v>
      </c>
      <c r="I141" s="47" t="s">
        <v>37</v>
      </c>
      <c r="J141" s="47">
        <v>10000</v>
      </c>
      <c r="K141" s="17"/>
    </row>
    <row r="142" spans="1:22" customHeight="1" ht="11.5">
      <c r="A142" s="14" t="s">
        <v>1759</v>
      </c>
      <c r="B142" s="59"/>
      <c r="C142" s="20" t="s">
        <v>4</v>
      </c>
      <c r="D142" s="62" t="s">
        <v>1760</v>
      </c>
      <c r="E142" s="40" t="s">
        <v>1761</v>
      </c>
      <c r="F142" s="66" t="s">
        <v>1759</v>
      </c>
      <c r="G142" s="40">
        <v>35</v>
      </c>
      <c r="H142" s="40" t="s">
        <v>213</v>
      </c>
      <c r="I142" s="47" t="s">
        <v>37</v>
      </c>
      <c r="J142" s="47">
        <v>20000</v>
      </c>
      <c r="K142" s="17"/>
    </row>
    <row r="143" spans="1:22" customHeight="1" ht="11.5">
      <c r="A143" s="14" t="s">
        <v>1759</v>
      </c>
      <c r="B143" s="59"/>
      <c r="C143" s="20" t="s">
        <v>4</v>
      </c>
      <c r="D143" s="62" t="s">
        <v>1760</v>
      </c>
      <c r="E143" s="40" t="s">
        <v>1761</v>
      </c>
      <c r="F143" s="66" t="s">
        <v>1759</v>
      </c>
      <c r="G143" s="40">
        <v>36</v>
      </c>
      <c r="H143" s="40" t="s">
        <v>303</v>
      </c>
      <c r="I143" s="47" t="s">
        <v>37</v>
      </c>
      <c r="J143" s="47">
        <v>5000</v>
      </c>
      <c r="K143" s="17"/>
    </row>
    <row r="144" spans="1:22" customHeight="1" ht="11.5">
      <c r="A144" s="14" t="s">
        <v>1759</v>
      </c>
      <c r="B144" s="59"/>
      <c r="C144" s="20" t="s">
        <v>4</v>
      </c>
      <c r="D144" s="62" t="s">
        <v>1760</v>
      </c>
      <c r="E144" s="40" t="s">
        <v>1761</v>
      </c>
      <c r="F144" s="66" t="s">
        <v>1759</v>
      </c>
      <c r="G144" s="40">
        <v>37</v>
      </c>
      <c r="H144" s="40" t="s">
        <v>231</v>
      </c>
      <c r="I144" s="47" t="s">
        <v>37</v>
      </c>
      <c r="J144" s="47">
        <v>40000</v>
      </c>
      <c r="K144" s="17"/>
    </row>
    <row r="145" spans="1:22" customHeight="1" ht="11.5">
      <c r="A145" s="14" t="s">
        <v>1759</v>
      </c>
      <c r="B145" s="59"/>
      <c r="C145" s="20" t="s">
        <v>4</v>
      </c>
      <c r="D145" s="62" t="s">
        <v>1760</v>
      </c>
      <c r="E145" s="40" t="s">
        <v>1761</v>
      </c>
      <c r="F145" s="66" t="s">
        <v>1759</v>
      </c>
      <c r="G145" s="40">
        <v>38</v>
      </c>
      <c r="H145" s="40" t="s">
        <v>281</v>
      </c>
      <c r="I145" s="47" t="s">
        <v>37</v>
      </c>
      <c r="J145" s="47">
        <v>10000</v>
      </c>
      <c r="K145" s="17"/>
    </row>
    <row r="146" spans="1:22" customHeight="1" ht="11.5">
      <c r="A146" s="14" t="s">
        <v>1759</v>
      </c>
      <c r="B146" s="59"/>
      <c r="C146" s="20" t="s">
        <v>4</v>
      </c>
      <c r="D146" s="62" t="s">
        <v>1760</v>
      </c>
      <c r="E146" s="40" t="s">
        <v>1761</v>
      </c>
      <c r="F146" s="66" t="s">
        <v>1759</v>
      </c>
      <c r="G146" s="40">
        <v>39</v>
      </c>
      <c r="H146" s="40" t="s">
        <v>229</v>
      </c>
      <c r="I146" s="47" t="s">
        <v>37</v>
      </c>
      <c r="J146" s="47">
        <v>30000</v>
      </c>
      <c r="K146" s="17"/>
    </row>
    <row r="147" spans="1:22" customHeight="1" ht="11.5">
      <c r="A147" s="14" t="s">
        <v>1759</v>
      </c>
      <c r="B147" s="59"/>
      <c r="C147" s="20" t="s">
        <v>4</v>
      </c>
      <c r="D147" s="62" t="s">
        <v>1760</v>
      </c>
      <c r="E147" s="40" t="s">
        <v>1761</v>
      </c>
      <c r="F147" s="66" t="s">
        <v>1759</v>
      </c>
      <c r="G147" s="40">
        <v>40</v>
      </c>
      <c r="H147" s="40" t="s">
        <v>233</v>
      </c>
      <c r="I147" s="47" t="s">
        <v>37</v>
      </c>
      <c r="J147" s="47">
        <v>10000</v>
      </c>
      <c r="K147" s="17"/>
    </row>
    <row r="148" spans="1:22" customHeight="1" ht="11.5">
      <c r="A148" s="3" t="s">
        <v>1759</v>
      </c>
      <c r="B148" s="60"/>
      <c r="C148" s="21" t="s">
        <v>4</v>
      </c>
      <c r="D148" s="63" t="s">
        <v>1760</v>
      </c>
      <c r="E148" s="41" t="s">
        <v>1761</v>
      </c>
      <c r="F148" s="67" t="s">
        <v>1759</v>
      </c>
      <c r="G148" s="41">
        <v>41</v>
      </c>
      <c r="H148" s="41" t="s">
        <v>451</v>
      </c>
      <c r="I148" s="41" t="s">
        <v>37</v>
      </c>
      <c r="J148" s="41">
        <v>20000</v>
      </c>
      <c r="K148" s="17"/>
    </row>
    <row r="149" spans="1:22" customHeight="1" ht="11.5">
      <c r="A149" s="61" t="s">
        <v>1759</v>
      </c>
      <c r="C149" s="64" t="s">
        <v>4</v>
      </c>
      <c r="D149" s="64" t="s">
        <v>1760</v>
      </c>
      <c r="E149" s="42" t="s">
        <v>1761</v>
      </c>
      <c r="F149" s="42" t="s">
        <v>1759</v>
      </c>
      <c r="G149" s="42">
        <v>42</v>
      </c>
      <c r="H149" s="42" t="s">
        <v>449</v>
      </c>
      <c r="I149" s="42" t="s">
        <v>37</v>
      </c>
      <c r="J149" s="51">
        <v>20000</v>
      </c>
      <c r="K149" s="17"/>
    </row>
    <row r="150" spans="1:22" customHeight="1" ht="11.5">
      <c r="A150" s="61" t="s">
        <v>1759</v>
      </c>
      <c r="C150" s="64" t="s">
        <v>4</v>
      </c>
      <c r="D150" s="64" t="s">
        <v>1760</v>
      </c>
      <c r="E150" s="42" t="s">
        <v>1761</v>
      </c>
      <c r="F150" s="42" t="s">
        <v>1759</v>
      </c>
      <c r="G150" s="42">
        <v>43</v>
      </c>
      <c r="H150" s="42" t="s">
        <v>457</v>
      </c>
      <c r="I150" s="42" t="s">
        <v>37</v>
      </c>
      <c r="J150" s="42">
        <v>20000</v>
      </c>
      <c r="K150" s="17"/>
    </row>
    <row r="151" spans="1:22" customHeight="1" ht="11.5">
      <c r="A151" s="61" t="s">
        <v>1759</v>
      </c>
      <c r="C151" s="64" t="s">
        <v>4</v>
      </c>
      <c r="D151" s="64" t="s">
        <v>1760</v>
      </c>
      <c r="E151" s="42" t="s">
        <v>1761</v>
      </c>
      <c r="F151" s="42" t="s">
        <v>1759</v>
      </c>
      <c r="G151" s="42">
        <v>44</v>
      </c>
      <c r="H151" s="42" t="s">
        <v>291</v>
      </c>
      <c r="I151" s="42" t="s">
        <v>37</v>
      </c>
      <c r="J151" s="42">
        <v>10000</v>
      </c>
      <c r="K151" s="17"/>
    </row>
    <row r="152" spans="1:22" customHeight="1" ht="11.5">
      <c r="A152" s="61" t="s">
        <v>1759</v>
      </c>
      <c r="C152" s="64" t="s">
        <v>4</v>
      </c>
      <c r="D152" s="64" t="s">
        <v>1760</v>
      </c>
      <c r="E152" s="42" t="s">
        <v>1761</v>
      </c>
      <c r="F152" s="42" t="s">
        <v>1759</v>
      </c>
      <c r="G152" s="42">
        <v>45</v>
      </c>
      <c r="H152" s="42" t="s">
        <v>325</v>
      </c>
      <c r="I152" s="42" t="s">
        <v>37</v>
      </c>
      <c r="J152" s="42">
        <v>40000</v>
      </c>
      <c r="K152" s="17"/>
    </row>
    <row r="153" spans="1:22" customHeight="1" ht="11.5">
      <c r="A153" s="61" t="s">
        <v>1759</v>
      </c>
      <c r="C153" s="64" t="s">
        <v>4</v>
      </c>
      <c r="D153" s="64" t="s">
        <v>1760</v>
      </c>
      <c r="E153" s="42" t="s">
        <v>1761</v>
      </c>
      <c r="F153" s="42" t="s">
        <v>1759</v>
      </c>
      <c r="G153" s="42">
        <v>46</v>
      </c>
      <c r="H153" s="42" t="s">
        <v>327</v>
      </c>
      <c r="I153" s="42" t="s">
        <v>37</v>
      </c>
      <c r="J153" s="42">
        <v>30000</v>
      </c>
      <c r="K153" s="17"/>
    </row>
    <row r="154" spans="1:22">
      <c r="A154" s="61" t="s">
        <v>1759</v>
      </c>
      <c r="C154" s="64" t="s">
        <v>4</v>
      </c>
      <c r="D154" s="64" t="s">
        <v>1760</v>
      </c>
      <c r="E154" s="42" t="s">
        <v>1761</v>
      </c>
      <c r="F154" s="42" t="s">
        <v>1759</v>
      </c>
      <c r="G154" s="42">
        <v>47</v>
      </c>
      <c r="H154" s="42" t="s">
        <v>383</v>
      </c>
      <c r="I154" s="42" t="s">
        <v>37</v>
      </c>
      <c r="J154" s="42">
        <v>10000</v>
      </c>
    </row>
    <row r="155" spans="1:22">
      <c r="A155" s="61" t="s">
        <v>1759</v>
      </c>
      <c r="C155" s="64" t="s">
        <v>4</v>
      </c>
      <c r="D155" s="64" t="s">
        <v>1760</v>
      </c>
      <c r="E155" s="42" t="s">
        <v>1761</v>
      </c>
      <c r="F155" s="42" t="s">
        <v>1759</v>
      </c>
      <c r="G155" s="42">
        <v>48</v>
      </c>
      <c r="H155" s="42" t="s">
        <v>475</v>
      </c>
      <c r="I155" s="42" t="s">
        <v>37</v>
      </c>
      <c r="J155" s="42">
        <v>40000</v>
      </c>
    </row>
    <row r="156" spans="1:22">
      <c r="A156" s="61" t="s">
        <v>1759</v>
      </c>
      <c r="C156" s="64" t="s">
        <v>4</v>
      </c>
      <c r="D156" s="64" t="s">
        <v>1760</v>
      </c>
      <c r="E156" s="42" t="s">
        <v>1761</v>
      </c>
      <c r="F156" s="42" t="s">
        <v>1759</v>
      </c>
      <c r="G156" s="42">
        <v>49</v>
      </c>
      <c r="H156" s="42" t="s">
        <v>711</v>
      </c>
      <c r="I156" s="42" t="s">
        <v>37</v>
      </c>
      <c r="J156" s="42">
        <v>10000</v>
      </c>
    </row>
    <row r="157" spans="1:22">
      <c r="A157" s="61" t="s">
        <v>1759</v>
      </c>
      <c r="C157" s="64" t="s">
        <v>4</v>
      </c>
      <c r="D157" s="64" t="s">
        <v>1760</v>
      </c>
      <c r="E157" s="42" t="s">
        <v>1761</v>
      </c>
      <c r="F157" s="42" t="s">
        <v>1759</v>
      </c>
      <c r="G157" s="42">
        <v>50</v>
      </c>
      <c r="H157" s="42" t="s">
        <v>603</v>
      </c>
      <c r="I157" s="42" t="s">
        <v>37</v>
      </c>
      <c r="J157" s="42">
        <v>50000</v>
      </c>
    </row>
    <row r="158" spans="1:22">
      <c r="A158" s="61" t="s">
        <v>1759</v>
      </c>
      <c r="C158" s="64" t="s">
        <v>4</v>
      </c>
      <c r="D158" s="64" t="s">
        <v>1760</v>
      </c>
      <c r="E158" s="42" t="s">
        <v>1761</v>
      </c>
      <c r="F158" s="42" t="s">
        <v>1759</v>
      </c>
      <c r="G158" s="42">
        <v>51</v>
      </c>
      <c r="H158" s="42" t="s">
        <v>605</v>
      </c>
      <c r="I158" s="42" t="s">
        <v>37</v>
      </c>
      <c r="J158" s="42">
        <v>5000</v>
      </c>
    </row>
    <row r="159" spans="1:22">
      <c r="A159" s="61" t="s">
        <v>1759</v>
      </c>
      <c r="C159" s="64" t="s">
        <v>4</v>
      </c>
      <c r="D159" s="64" t="s">
        <v>1760</v>
      </c>
      <c r="E159" s="42" t="s">
        <v>1761</v>
      </c>
      <c r="F159" s="42" t="s">
        <v>1759</v>
      </c>
      <c r="G159" s="42">
        <v>52</v>
      </c>
      <c r="H159" s="42" t="s">
        <v>385</v>
      </c>
      <c r="I159" s="42" t="s">
        <v>37</v>
      </c>
      <c r="J159" s="42">
        <v>9000</v>
      </c>
    </row>
    <row r="160" spans="1:22">
      <c r="A160" s="61" t="s">
        <v>1759</v>
      </c>
      <c r="C160" s="64" t="s">
        <v>4</v>
      </c>
      <c r="D160" s="64" t="s">
        <v>1760</v>
      </c>
      <c r="E160" s="42" t="s">
        <v>1761</v>
      </c>
      <c r="F160" s="42" t="s">
        <v>1759</v>
      </c>
      <c r="G160" s="42">
        <v>53</v>
      </c>
      <c r="H160" s="42" t="s">
        <v>481</v>
      </c>
      <c r="I160" s="42" t="s">
        <v>37</v>
      </c>
      <c r="J160" s="42">
        <v>10000</v>
      </c>
    </row>
    <row r="161" spans="1:22">
      <c r="A161" s="61" t="s">
        <v>1759</v>
      </c>
      <c r="C161" s="64" t="s">
        <v>4</v>
      </c>
      <c r="D161" s="64" t="s">
        <v>1760</v>
      </c>
      <c r="E161" s="42" t="s">
        <v>1761</v>
      </c>
      <c r="F161" s="42" t="s">
        <v>1759</v>
      </c>
      <c r="G161" s="42">
        <v>54</v>
      </c>
      <c r="H161" s="42" t="s">
        <v>319</v>
      </c>
      <c r="I161" s="42" t="s">
        <v>37</v>
      </c>
      <c r="J161" s="42">
        <v>10000</v>
      </c>
    </row>
    <row r="162" spans="1:22">
      <c r="A162" s="61" t="s">
        <v>1759</v>
      </c>
      <c r="C162" s="64" t="s">
        <v>4</v>
      </c>
      <c r="D162" s="64" t="s">
        <v>1760</v>
      </c>
      <c r="E162" s="42" t="s">
        <v>1761</v>
      </c>
      <c r="F162" s="42" t="s">
        <v>1759</v>
      </c>
      <c r="G162" s="42">
        <v>55</v>
      </c>
      <c r="H162" s="42" t="s">
        <v>321</v>
      </c>
      <c r="I162" s="42" t="s">
        <v>37</v>
      </c>
      <c r="J162" s="42">
        <v>5000</v>
      </c>
    </row>
    <row r="163" spans="1:22">
      <c r="A163" s="61" t="s">
        <v>1759</v>
      </c>
      <c r="C163" s="64" t="s">
        <v>4</v>
      </c>
      <c r="D163" s="64" t="s">
        <v>1760</v>
      </c>
      <c r="E163" s="42" t="s">
        <v>1761</v>
      </c>
      <c r="F163" s="42" t="s">
        <v>1759</v>
      </c>
      <c r="G163" s="42">
        <v>56</v>
      </c>
      <c r="H163" s="42" t="s">
        <v>561</v>
      </c>
      <c r="I163" s="42" t="s">
        <v>37</v>
      </c>
      <c r="J163" s="42">
        <v>100000</v>
      </c>
    </row>
    <row r="164" spans="1:22">
      <c r="A164" s="61" t="s">
        <v>1759</v>
      </c>
      <c r="C164" s="64" t="s">
        <v>4</v>
      </c>
      <c r="D164" s="64" t="s">
        <v>1760</v>
      </c>
      <c r="E164" s="42" t="s">
        <v>1761</v>
      </c>
      <c r="F164" s="42" t="s">
        <v>1759</v>
      </c>
      <c r="G164" s="42">
        <v>57</v>
      </c>
      <c r="H164" s="42" t="s">
        <v>483</v>
      </c>
      <c r="I164" s="42" t="s">
        <v>37</v>
      </c>
      <c r="J164" s="42">
        <v>30000</v>
      </c>
    </row>
    <row r="165" spans="1:22">
      <c r="A165" s="61" t="s">
        <v>1759</v>
      </c>
      <c r="C165" s="64" t="s">
        <v>4</v>
      </c>
      <c r="D165" s="64" t="s">
        <v>1760</v>
      </c>
      <c r="E165" s="42" t="s">
        <v>1761</v>
      </c>
      <c r="F165" s="42" t="s">
        <v>1759</v>
      </c>
      <c r="G165" s="42">
        <v>58</v>
      </c>
      <c r="H165" s="42" t="s">
        <v>485</v>
      </c>
      <c r="I165" s="42" t="s">
        <v>37</v>
      </c>
      <c r="J165" s="42">
        <v>40000</v>
      </c>
    </row>
    <row r="166" spans="1:22">
      <c r="A166" s="61" t="s">
        <v>1759</v>
      </c>
      <c r="C166" s="64" t="s">
        <v>4</v>
      </c>
      <c r="D166" s="64" t="s">
        <v>1760</v>
      </c>
      <c r="E166" s="42" t="s">
        <v>1761</v>
      </c>
      <c r="F166" s="42" t="s">
        <v>1759</v>
      </c>
      <c r="G166" s="42">
        <v>59</v>
      </c>
      <c r="H166" s="42" t="s">
        <v>567</v>
      </c>
      <c r="I166" s="42" t="s">
        <v>37</v>
      </c>
      <c r="J166" s="42">
        <v>30000</v>
      </c>
    </row>
    <row r="167" spans="1:22">
      <c r="A167" s="61" t="s">
        <v>1759</v>
      </c>
      <c r="C167" s="64" t="s">
        <v>4</v>
      </c>
      <c r="D167" s="64" t="s">
        <v>1760</v>
      </c>
      <c r="E167" s="42" t="s">
        <v>1761</v>
      </c>
      <c r="F167" s="42" t="s">
        <v>1759</v>
      </c>
      <c r="G167" s="42">
        <v>60</v>
      </c>
      <c r="H167" s="42" t="s">
        <v>461</v>
      </c>
      <c r="I167" s="42" t="s">
        <v>37</v>
      </c>
      <c r="J167" s="42">
        <v>140000</v>
      </c>
    </row>
    <row r="168" spans="1:22">
      <c r="A168" s="61" t="s">
        <v>1759</v>
      </c>
      <c r="C168" s="64" t="s">
        <v>4</v>
      </c>
      <c r="D168" s="64" t="s">
        <v>1760</v>
      </c>
      <c r="E168" s="42" t="s">
        <v>1761</v>
      </c>
      <c r="F168" s="42" t="s">
        <v>1759</v>
      </c>
      <c r="G168" s="42">
        <v>61</v>
      </c>
      <c r="H168" s="42" t="s">
        <v>565</v>
      </c>
      <c r="I168" s="42" t="s">
        <v>37</v>
      </c>
      <c r="J168" s="42">
        <v>150000</v>
      </c>
    </row>
    <row r="169" spans="1:22">
      <c r="A169" s="61" t="s">
        <v>1759</v>
      </c>
      <c r="C169" s="64" t="s">
        <v>4</v>
      </c>
      <c r="D169" s="64" t="s">
        <v>1760</v>
      </c>
      <c r="E169" s="42" t="s">
        <v>1761</v>
      </c>
      <c r="F169" s="42" t="s">
        <v>1759</v>
      </c>
      <c r="G169" s="42">
        <v>62</v>
      </c>
      <c r="H169" s="42" t="s">
        <v>423</v>
      </c>
      <c r="I169" s="42" t="s">
        <v>37</v>
      </c>
      <c r="J169" s="42">
        <v>30000</v>
      </c>
    </row>
    <row r="170" spans="1:22">
      <c r="A170" s="61" t="s">
        <v>1759</v>
      </c>
      <c r="C170" s="64" t="s">
        <v>4</v>
      </c>
      <c r="D170" s="64" t="s">
        <v>1760</v>
      </c>
      <c r="E170" s="42" t="s">
        <v>1761</v>
      </c>
      <c r="F170" s="42" t="s">
        <v>1759</v>
      </c>
      <c r="G170" s="42">
        <v>63</v>
      </c>
      <c r="H170" s="42" t="s">
        <v>425</v>
      </c>
      <c r="I170" s="42" t="s">
        <v>37</v>
      </c>
      <c r="J170" s="42">
        <v>30000</v>
      </c>
    </row>
    <row r="171" spans="1:22">
      <c r="A171" s="61" t="s">
        <v>1759</v>
      </c>
      <c r="C171" s="64" t="s">
        <v>4</v>
      </c>
      <c r="D171" s="64" t="s">
        <v>1760</v>
      </c>
      <c r="E171" s="42" t="s">
        <v>1761</v>
      </c>
      <c r="F171" s="42" t="s">
        <v>1759</v>
      </c>
      <c r="G171" s="42">
        <v>64</v>
      </c>
      <c r="H171" s="42" t="s">
        <v>427</v>
      </c>
      <c r="I171" s="42" t="s">
        <v>37</v>
      </c>
      <c r="J171" s="42">
        <v>40000</v>
      </c>
    </row>
    <row r="172" spans="1:22">
      <c r="A172" s="61" t="s">
        <v>1759</v>
      </c>
      <c r="C172" s="64" t="s">
        <v>4</v>
      </c>
      <c r="D172" s="64" t="s">
        <v>1760</v>
      </c>
      <c r="E172" s="42" t="s">
        <v>1761</v>
      </c>
      <c r="F172" s="42" t="s">
        <v>1759</v>
      </c>
      <c r="G172" s="42">
        <v>65</v>
      </c>
      <c r="H172" s="42" t="s">
        <v>429</v>
      </c>
      <c r="I172" s="42" t="s">
        <v>37</v>
      </c>
      <c r="J172" s="42">
        <v>30000</v>
      </c>
    </row>
    <row r="173" spans="1:22">
      <c r="A173" s="61" t="s">
        <v>1759</v>
      </c>
      <c r="C173" s="64" t="s">
        <v>4</v>
      </c>
      <c r="D173" s="64" t="s">
        <v>1760</v>
      </c>
      <c r="E173" s="42" t="s">
        <v>1761</v>
      </c>
      <c r="F173" s="42" t="s">
        <v>1759</v>
      </c>
      <c r="G173" s="42">
        <v>66</v>
      </c>
      <c r="H173" s="42" t="s">
        <v>435</v>
      </c>
      <c r="I173" s="42" t="s">
        <v>37</v>
      </c>
      <c r="J173" s="42">
        <v>50000</v>
      </c>
    </row>
    <row r="174" spans="1:22">
      <c r="A174" s="61" t="s">
        <v>1759</v>
      </c>
      <c r="C174" s="64" t="s">
        <v>4</v>
      </c>
      <c r="D174" s="64" t="s">
        <v>1760</v>
      </c>
      <c r="E174" s="42" t="s">
        <v>1761</v>
      </c>
      <c r="F174" s="42" t="s">
        <v>1759</v>
      </c>
      <c r="G174" s="42">
        <v>67</v>
      </c>
      <c r="H174" s="42" t="s">
        <v>445</v>
      </c>
      <c r="I174" s="42" t="s">
        <v>37</v>
      </c>
      <c r="J174" s="42">
        <v>20000</v>
      </c>
    </row>
    <row r="175" spans="1:22">
      <c r="A175" s="61" t="s">
        <v>1759</v>
      </c>
      <c r="C175" s="64" t="s">
        <v>4</v>
      </c>
      <c r="D175" s="64" t="s">
        <v>1760</v>
      </c>
      <c r="E175" s="42" t="s">
        <v>1761</v>
      </c>
      <c r="F175" s="42" t="s">
        <v>1759</v>
      </c>
      <c r="G175" s="42">
        <v>68</v>
      </c>
      <c r="H175" s="42" t="s">
        <v>431</v>
      </c>
      <c r="I175" s="42" t="s">
        <v>37</v>
      </c>
      <c r="J175" s="42">
        <v>10000</v>
      </c>
    </row>
    <row r="176" spans="1:22">
      <c r="A176" s="61" t="s">
        <v>1759</v>
      </c>
      <c r="C176" s="64" t="s">
        <v>4</v>
      </c>
      <c r="D176" s="64" t="s">
        <v>1760</v>
      </c>
      <c r="E176" s="42" t="s">
        <v>1761</v>
      </c>
      <c r="F176" s="42" t="s">
        <v>1759</v>
      </c>
      <c r="G176" s="42">
        <v>69</v>
      </c>
      <c r="H176" s="42" t="s">
        <v>433</v>
      </c>
      <c r="I176" s="42" t="s">
        <v>37</v>
      </c>
      <c r="J176" s="42">
        <v>60000</v>
      </c>
    </row>
    <row r="177" spans="1:22">
      <c r="A177" s="61" t="s">
        <v>1759</v>
      </c>
      <c r="C177" s="64" t="s">
        <v>4</v>
      </c>
      <c r="D177" s="64" t="s">
        <v>1760</v>
      </c>
      <c r="E177" s="42" t="s">
        <v>1761</v>
      </c>
      <c r="F177" s="42" t="s">
        <v>1759</v>
      </c>
      <c r="G177" s="42">
        <v>70</v>
      </c>
      <c r="H177" s="42" t="s">
        <v>657</v>
      </c>
      <c r="I177" s="42" t="s">
        <v>37</v>
      </c>
      <c r="J177" s="42">
        <v>5000</v>
      </c>
    </row>
    <row r="178" spans="1:22">
      <c r="A178" s="61" t="s">
        <v>1759</v>
      </c>
      <c r="C178" s="64" t="s">
        <v>4</v>
      </c>
      <c r="D178" s="64" t="s">
        <v>1760</v>
      </c>
      <c r="E178" s="42" t="s">
        <v>1761</v>
      </c>
      <c r="F178" s="42" t="s">
        <v>1759</v>
      </c>
      <c r="G178" s="42">
        <v>71</v>
      </c>
      <c r="H178" s="42" t="s">
        <v>491</v>
      </c>
      <c r="I178" s="42" t="s">
        <v>37</v>
      </c>
      <c r="J178" s="42">
        <v>30000</v>
      </c>
    </row>
    <row r="179" spans="1:22">
      <c r="A179" s="61" t="s">
        <v>1759</v>
      </c>
      <c r="C179" s="64" t="s">
        <v>4</v>
      </c>
      <c r="D179" s="64" t="s">
        <v>1760</v>
      </c>
      <c r="E179" s="42" t="s">
        <v>1761</v>
      </c>
      <c r="F179" s="42" t="s">
        <v>1759</v>
      </c>
      <c r="G179" s="42">
        <v>72</v>
      </c>
      <c r="H179" s="42" t="s">
        <v>569</v>
      </c>
      <c r="I179" s="42" t="s">
        <v>37</v>
      </c>
      <c r="J179" s="42">
        <v>5000</v>
      </c>
    </row>
    <row r="180" spans="1:22">
      <c r="A180" s="61" t="s">
        <v>1759</v>
      </c>
      <c r="C180" s="64" t="s">
        <v>4</v>
      </c>
      <c r="D180" s="64" t="s">
        <v>1760</v>
      </c>
      <c r="E180" s="42" t="s">
        <v>1761</v>
      </c>
      <c r="F180" s="42" t="s">
        <v>1759</v>
      </c>
      <c r="G180" s="42">
        <v>73</v>
      </c>
      <c r="H180" s="42" t="s">
        <v>519</v>
      </c>
      <c r="I180" s="42" t="s">
        <v>37</v>
      </c>
      <c r="J180" s="42">
        <v>200000</v>
      </c>
    </row>
    <row r="181" spans="1:22">
      <c r="A181" s="61" t="s">
        <v>1759</v>
      </c>
      <c r="C181" s="64" t="s">
        <v>4</v>
      </c>
      <c r="D181" s="64" t="s">
        <v>1760</v>
      </c>
      <c r="E181" s="42" t="s">
        <v>1761</v>
      </c>
      <c r="F181" s="42" t="s">
        <v>1759</v>
      </c>
      <c r="G181" s="42">
        <v>74</v>
      </c>
      <c r="H181" s="42" t="s">
        <v>515</v>
      </c>
      <c r="I181" s="42" t="s">
        <v>37</v>
      </c>
      <c r="J181" s="42">
        <v>20000</v>
      </c>
    </row>
    <row r="182" spans="1:22">
      <c r="A182" s="61" t="s">
        <v>1759</v>
      </c>
      <c r="C182" s="64" t="s">
        <v>4</v>
      </c>
      <c r="D182" s="64" t="s">
        <v>1760</v>
      </c>
      <c r="E182" s="42" t="s">
        <v>1761</v>
      </c>
      <c r="F182" s="42" t="s">
        <v>1759</v>
      </c>
      <c r="G182" s="42">
        <v>75</v>
      </c>
      <c r="H182" s="42" t="s">
        <v>513</v>
      </c>
      <c r="I182" s="42" t="s">
        <v>37</v>
      </c>
      <c r="J182" s="42">
        <v>10000</v>
      </c>
    </row>
    <row r="183" spans="1:22">
      <c r="A183" s="61" t="s">
        <v>1759</v>
      </c>
      <c r="C183" s="64" t="s">
        <v>4</v>
      </c>
      <c r="D183" s="64" t="s">
        <v>1760</v>
      </c>
      <c r="E183" s="42" t="s">
        <v>1761</v>
      </c>
      <c r="F183" s="42" t="s">
        <v>1759</v>
      </c>
      <c r="G183" s="42">
        <v>76</v>
      </c>
      <c r="H183" s="42" t="s">
        <v>527</v>
      </c>
      <c r="I183" s="42" t="s">
        <v>37</v>
      </c>
      <c r="J183" s="42">
        <v>20000</v>
      </c>
    </row>
    <row r="184" spans="1:22">
      <c r="A184" s="61" t="s">
        <v>1759</v>
      </c>
      <c r="C184" s="64" t="s">
        <v>4</v>
      </c>
      <c r="D184" s="64" t="s">
        <v>1760</v>
      </c>
      <c r="E184" s="42" t="s">
        <v>1761</v>
      </c>
      <c r="F184" s="42" t="s">
        <v>1759</v>
      </c>
      <c r="G184" s="42">
        <v>77</v>
      </c>
      <c r="H184" s="42" t="s">
        <v>597</v>
      </c>
      <c r="I184" s="42" t="s">
        <v>37</v>
      </c>
      <c r="J184" s="42">
        <v>30000</v>
      </c>
    </row>
    <row r="185" spans="1:22">
      <c r="A185" s="61" t="s">
        <v>1759</v>
      </c>
      <c r="C185" s="64" t="s">
        <v>4</v>
      </c>
      <c r="D185" s="64" t="s">
        <v>1760</v>
      </c>
      <c r="E185" s="42" t="s">
        <v>1761</v>
      </c>
      <c r="F185" s="42" t="s">
        <v>1759</v>
      </c>
      <c r="G185" s="42">
        <v>78</v>
      </c>
      <c r="H185" s="42" t="s">
        <v>599</v>
      </c>
      <c r="I185" s="42" t="s">
        <v>37</v>
      </c>
      <c r="J185" s="42">
        <v>315000</v>
      </c>
    </row>
    <row r="186" spans="1:22">
      <c r="A186" s="61" t="s">
        <v>1759</v>
      </c>
      <c r="C186" s="64" t="s">
        <v>4</v>
      </c>
      <c r="D186" s="64" t="s">
        <v>1760</v>
      </c>
      <c r="E186" s="42" t="s">
        <v>1761</v>
      </c>
      <c r="F186" s="42" t="s">
        <v>1759</v>
      </c>
      <c r="G186" s="42">
        <v>79</v>
      </c>
      <c r="H186" s="42" t="s">
        <v>601</v>
      </c>
      <c r="I186" s="42" t="s">
        <v>37</v>
      </c>
      <c r="J186" s="42">
        <v>40000</v>
      </c>
    </row>
    <row r="187" spans="1:22">
      <c r="A187" s="61" t="s">
        <v>1759</v>
      </c>
      <c r="C187" s="64" t="s">
        <v>4</v>
      </c>
      <c r="D187" s="64" t="s">
        <v>1760</v>
      </c>
      <c r="E187" s="42" t="s">
        <v>1761</v>
      </c>
      <c r="F187" s="42" t="s">
        <v>1759</v>
      </c>
      <c r="G187" s="42">
        <v>80</v>
      </c>
      <c r="H187" s="42" t="s">
        <v>673</v>
      </c>
      <c r="I187" s="42" t="s">
        <v>37</v>
      </c>
      <c r="J187" s="42">
        <v>30000</v>
      </c>
    </row>
    <row r="188" spans="1:22">
      <c r="A188" s="61" t="s">
        <v>1759</v>
      </c>
      <c r="C188" s="64" t="s">
        <v>4</v>
      </c>
      <c r="D188" s="64" t="s">
        <v>1760</v>
      </c>
      <c r="E188" s="42" t="s">
        <v>1761</v>
      </c>
      <c r="F188" s="42" t="s">
        <v>1759</v>
      </c>
      <c r="G188" s="42">
        <v>81</v>
      </c>
      <c r="H188" s="42" t="s">
        <v>543</v>
      </c>
      <c r="I188" s="42" t="s">
        <v>37</v>
      </c>
      <c r="J188" s="42">
        <v>10000</v>
      </c>
    </row>
    <row r="189" spans="1:22">
      <c r="A189" s="61" t="s">
        <v>1759</v>
      </c>
      <c r="C189" s="64" t="s">
        <v>4</v>
      </c>
      <c r="D189" s="64" t="s">
        <v>1760</v>
      </c>
      <c r="E189" s="42" t="s">
        <v>1761</v>
      </c>
      <c r="F189" s="42" t="s">
        <v>1759</v>
      </c>
      <c r="G189" s="42">
        <v>82</v>
      </c>
      <c r="H189" s="42" t="s">
        <v>447</v>
      </c>
      <c r="I189" s="42" t="s">
        <v>37</v>
      </c>
      <c r="J189" s="42">
        <v>20000</v>
      </c>
    </row>
    <row r="190" spans="1:22">
      <c r="A190" s="61" t="s">
        <v>1759</v>
      </c>
      <c r="C190" s="64" t="s">
        <v>4</v>
      </c>
      <c r="D190" s="64" t="s">
        <v>1760</v>
      </c>
      <c r="E190" s="42" t="s">
        <v>1761</v>
      </c>
      <c r="F190" s="42" t="s">
        <v>1759</v>
      </c>
      <c r="G190" s="42">
        <v>83</v>
      </c>
      <c r="H190" s="42" t="s">
        <v>541</v>
      </c>
      <c r="I190" s="42" t="s">
        <v>37</v>
      </c>
      <c r="J190" s="42">
        <v>10000</v>
      </c>
    </row>
    <row r="191" spans="1:22">
      <c r="A191" s="61" t="s">
        <v>1759</v>
      </c>
      <c r="C191" s="64" t="s">
        <v>4</v>
      </c>
      <c r="D191" s="64" t="s">
        <v>1760</v>
      </c>
      <c r="E191" s="42" t="s">
        <v>1761</v>
      </c>
      <c r="F191" s="42" t="s">
        <v>1759</v>
      </c>
      <c r="G191" s="42">
        <v>84</v>
      </c>
      <c r="H191" s="42" t="s">
        <v>557</v>
      </c>
      <c r="I191" s="42" t="s">
        <v>37</v>
      </c>
      <c r="J191" s="42">
        <v>20000</v>
      </c>
    </row>
    <row r="192" spans="1:22">
      <c r="A192" s="61" t="s">
        <v>1759</v>
      </c>
      <c r="C192" s="64" t="s">
        <v>4</v>
      </c>
      <c r="D192" s="64" t="s">
        <v>1760</v>
      </c>
      <c r="E192" s="42" t="s">
        <v>1761</v>
      </c>
      <c r="F192" s="42" t="s">
        <v>1759</v>
      </c>
      <c r="G192" s="42">
        <v>85</v>
      </c>
      <c r="H192" s="42" t="s">
        <v>607</v>
      </c>
      <c r="I192" s="42" t="s">
        <v>37</v>
      </c>
      <c r="J192" s="42">
        <v>5000</v>
      </c>
    </row>
    <row r="193" spans="1:22">
      <c r="A193" s="61" t="s">
        <v>1759</v>
      </c>
      <c r="C193" s="64" t="s">
        <v>4</v>
      </c>
      <c r="D193" s="64" t="s">
        <v>1760</v>
      </c>
      <c r="E193" s="42" t="s">
        <v>1761</v>
      </c>
      <c r="F193" s="42" t="s">
        <v>1759</v>
      </c>
      <c r="G193" s="42">
        <v>86</v>
      </c>
      <c r="H193" s="42" t="s">
        <v>563</v>
      </c>
      <c r="I193" s="42" t="s">
        <v>37</v>
      </c>
      <c r="J193" s="42">
        <v>15000</v>
      </c>
    </row>
    <row r="194" spans="1:22">
      <c r="A194" s="61" t="s">
        <v>1759</v>
      </c>
      <c r="C194" s="64" t="s">
        <v>4</v>
      </c>
      <c r="D194" s="64" t="s">
        <v>1760</v>
      </c>
      <c r="E194" s="42" t="s">
        <v>1761</v>
      </c>
      <c r="F194" s="42" t="s">
        <v>1759</v>
      </c>
      <c r="G194" s="42">
        <v>87</v>
      </c>
      <c r="H194" s="42" t="s">
        <v>615</v>
      </c>
      <c r="I194" s="42" t="s">
        <v>37</v>
      </c>
      <c r="J194" s="42">
        <v>20000</v>
      </c>
    </row>
    <row r="195" spans="1:22">
      <c r="A195" s="61" t="s">
        <v>1759</v>
      </c>
      <c r="C195" s="64" t="s">
        <v>4</v>
      </c>
      <c r="D195" s="64" t="s">
        <v>1760</v>
      </c>
      <c r="E195" s="42" t="s">
        <v>1761</v>
      </c>
      <c r="F195" s="42" t="s">
        <v>1759</v>
      </c>
      <c r="G195" s="42">
        <v>88</v>
      </c>
      <c r="H195" s="42" t="s">
        <v>671</v>
      </c>
      <c r="I195" s="42" t="s">
        <v>37</v>
      </c>
      <c r="J195" s="42">
        <v>5000</v>
      </c>
    </row>
    <row r="196" spans="1:22">
      <c r="A196" s="61" t="s">
        <v>1759</v>
      </c>
      <c r="C196" s="64" t="s">
        <v>4</v>
      </c>
      <c r="D196" s="64" t="s">
        <v>1760</v>
      </c>
      <c r="E196" s="42" t="s">
        <v>1761</v>
      </c>
      <c r="F196" s="42" t="s">
        <v>1759</v>
      </c>
      <c r="G196" s="42">
        <v>89</v>
      </c>
      <c r="H196" s="42" t="s">
        <v>677</v>
      </c>
      <c r="I196" s="42" t="s">
        <v>37</v>
      </c>
      <c r="J196" s="42">
        <v>33000</v>
      </c>
    </row>
    <row r="197" spans="1:22">
      <c r="A197" s="61" t="s">
        <v>1759</v>
      </c>
      <c r="C197" s="64" t="s">
        <v>4</v>
      </c>
      <c r="D197" s="64" t="s">
        <v>1760</v>
      </c>
      <c r="E197" s="42" t="s">
        <v>1761</v>
      </c>
      <c r="F197" s="42" t="s">
        <v>1759</v>
      </c>
      <c r="G197" s="42">
        <v>90</v>
      </c>
      <c r="H197" s="42" t="s">
        <v>679</v>
      </c>
      <c r="I197" s="42" t="s">
        <v>37</v>
      </c>
      <c r="J197" s="42">
        <v>10000</v>
      </c>
    </row>
    <row r="198" spans="1:22">
      <c r="A198" s="61" t="s">
        <v>1759</v>
      </c>
      <c r="C198" s="64" t="s">
        <v>4</v>
      </c>
      <c r="D198" s="64" t="s">
        <v>1760</v>
      </c>
      <c r="E198" s="42" t="s">
        <v>1761</v>
      </c>
      <c r="F198" s="42" t="s">
        <v>1759</v>
      </c>
      <c r="G198" s="42">
        <v>91</v>
      </c>
      <c r="H198" s="42" t="s">
        <v>681</v>
      </c>
      <c r="I198" s="42" t="s">
        <v>37</v>
      </c>
      <c r="J198" s="42">
        <v>10000</v>
      </c>
    </row>
    <row r="199" spans="1:22">
      <c r="A199" s="61" t="s">
        <v>1759</v>
      </c>
      <c r="C199" s="64" t="s">
        <v>4</v>
      </c>
      <c r="D199" s="64" t="s">
        <v>1760</v>
      </c>
      <c r="E199" s="42" t="s">
        <v>1761</v>
      </c>
      <c r="F199" s="42" t="s">
        <v>1759</v>
      </c>
      <c r="G199" s="42">
        <v>92</v>
      </c>
      <c r="H199" s="42" t="s">
        <v>665</v>
      </c>
      <c r="I199" s="42" t="s">
        <v>37</v>
      </c>
      <c r="J199" s="42">
        <v>5000</v>
      </c>
    </row>
    <row r="200" spans="1:22">
      <c r="A200" s="61" t="s">
        <v>1759</v>
      </c>
      <c r="C200" s="64" t="s">
        <v>4</v>
      </c>
      <c r="D200" s="64" t="s">
        <v>1760</v>
      </c>
      <c r="E200" s="42" t="s">
        <v>1761</v>
      </c>
      <c r="F200" s="42" t="s">
        <v>1759</v>
      </c>
      <c r="G200" s="42">
        <v>93</v>
      </c>
      <c r="H200" s="42" t="s">
        <v>663</v>
      </c>
      <c r="I200" s="42" t="s">
        <v>37</v>
      </c>
      <c r="J200" s="42">
        <v>8000</v>
      </c>
    </row>
    <row r="201" spans="1:22">
      <c r="A201" s="61" t="s">
        <v>1759</v>
      </c>
      <c r="C201" s="64" t="s">
        <v>4</v>
      </c>
      <c r="D201" s="64" t="s">
        <v>1760</v>
      </c>
      <c r="E201" s="42" t="s">
        <v>1761</v>
      </c>
      <c r="F201" s="42" t="s">
        <v>1759</v>
      </c>
      <c r="G201" s="42">
        <v>94</v>
      </c>
      <c r="H201" s="42" t="s">
        <v>661</v>
      </c>
      <c r="I201" s="42" t="s">
        <v>37</v>
      </c>
      <c r="J201" s="42">
        <v>12000</v>
      </c>
    </row>
    <row r="202" spans="1:22">
      <c r="A202" s="61" t="s">
        <v>1759</v>
      </c>
      <c r="C202" s="64" t="s">
        <v>4</v>
      </c>
      <c r="D202" s="64" t="s">
        <v>1760</v>
      </c>
      <c r="E202" s="42" t="s">
        <v>1761</v>
      </c>
      <c r="F202" s="42" t="s">
        <v>1759</v>
      </c>
      <c r="G202" s="42">
        <v>95</v>
      </c>
      <c r="H202" s="42" t="s">
        <v>537</v>
      </c>
      <c r="I202" s="42" t="s">
        <v>37</v>
      </c>
      <c r="J202" s="42">
        <v>10000</v>
      </c>
    </row>
    <row r="203" spans="1:22">
      <c r="A203" s="61" t="s">
        <v>1759</v>
      </c>
      <c r="C203" s="64" t="s">
        <v>4</v>
      </c>
      <c r="D203" s="64" t="s">
        <v>1760</v>
      </c>
      <c r="E203" s="42" t="s">
        <v>1761</v>
      </c>
      <c r="F203" s="42" t="s">
        <v>1759</v>
      </c>
      <c r="G203" s="42">
        <v>96</v>
      </c>
      <c r="H203" s="42" t="s">
        <v>659</v>
      </c>
      <c r="I203" s="42" t="s">
        <v>37</v>
      </c>
      <c r="J203" s="42">
        <v>10000</v>
      </c>
    </row>
    <row r="204" spans="1:22">
      <c r="A204" s="61" t="s">
        <v>1759</v>
      </c>
      <c r="C204" s="64" t="s">
        <v>4</v>
      </c>
      <c r="D204" s="64" t="s">
        <v>1760</v>
      </c>
      <c r="E204" s="42" t="s">
        <v>1761</v>
      </c>
      <c r="F204" s="42" t="s">
        <v>1759</v>
      </c>
      <c r="G204" s="42">
        <v>97</v>
      </c>
      <c r="H204" s="42" t="s">
        <v>675</v>
      </c>
      <c r="I204" s="42" t="s">
        <v>37</v>
      </c>
      <c r="J204" s="42">
        <v>60000</v>
      </c>
    </row>
    <row r="205" spans="1:22">
      <c r="A205" s="61" t="s">
        <v>1759</v>
      </c>
      <c r="C205" s="64" t="s">
        <v>4</v>
      </c>
      <c r="D205" s="64" t="s">
        <v>1760</v>
      </c>
      <c r="E205" s="42" t="s">
        <v>1761</v>
      </c>
      <c r="F205" s="42" t="s">
        <v>1759</v>
      </c>
      <c r="G205" s="42">
        <v>98</v>
      </c>
      <c r="H205" s="42" t="s">
        <v>797</v>
      </c>
      <c r="I205" s="42" t="s">
        <v>37</v>
      </c>
      <c r="J205" s="42">
        <v>10000</v>
      </c>
    </row>
    <row r="206" spans="1:22">
      <c r="A206" s="61" t="s">
        <v>1759</v>
      </c>
      <c r="C206" s="64" t="s">
        <v>4</v>
      </c>
      <c r="D206" s="64" t="s">
        <v>1760</v>
      </c>
      <c r="E206" s="42" t="s">
        <v>1761</v>
      </c>
      <c r="F206" s="42" t="s">
        <v>1759</v>
      </c>
      <c r="G206" s="42">
        <v>99</v>
      </c>
      <c r="H206" s="42" t="s">
        <v>799</v>
      </c>
      <c r="I206" s="42" t="s">
        <v>37</v>
      </c>
      <c r="J206" s="42">
        <v>5000</v>
      </c>
    </row>
    <row r="207" spans="1:22">
      <c r="A207" s="61" t="s">
        <v>1759</v>
      </c>
      <c r="C207" s="64" t="s">
        <v>4</v>
      </c>
      <c r="D207" s="64" t="s">
        <v>1760</v>
      </c>
      <c r="E207" s="42" t="s">
        <v>1761</v>
      </c>
      <c r="F207" s="42" t="s">
        <v>1759</v>
      </c>
      <c r="G207" s="42">
        <v>100</v>
      </c>
      <c r="H207" s="42" t="s">
        <v>809</v>
      </c>
      <c r="I207" s="42" t="s">
        <v>37</v>
      </c>
      <c r="J207" s="42">
        <v>25000</v>
      </c>
    </row>
    <row r="208" spans="1:22">
      <c r="A208" s="61" t="s">
        <v>1759</v>
      </c>
      <c r="C208" s="64" t="s">
        <v>4</v>
      </c>
      <c r="D208" s="64" t="s">
        <v>1760</v>
      </c>
      <c r="E208" s="42" t="s">
        <v>1761</v>
      </c>
      <c r="F208" s="42" t="s">
        <v>1759</v>
      </c>
      <c r="G208" s="42">
        <v>101</v>
      </c>
      <c r="H208" s="42" t="s">
        <v>717</v>
      </c>
      <c r="I208" s="42" t="s">
        <v>37</v>
      </c>
      <c r="J208" s="42">
        <v>30000</v>
      </c>
    </row>
    <row r="209" spans="1:22">
      <c r="A209" s="61" t="s">
        <v>1759</v>
      </c>
      <c r="C209" s="64" t="s">
        <v>4</v>
      </c>
      <c r="D209" s="64" t="s">
        <v>1760</v>
      </c>
      <c r="E209" s="42" t="s">
        <v>1761</v>
      </c>
      <c r="F209" s="42" t="s">
        <v>1759</v>
      </c>
      <c r="G209" s="42">
        <v>102</v>
      </c>
      <c r="H209" s="42" t="s">
        <v>743</v>
      </c>
      <c r="I209" s="42" t="s">
        <v>37</v>
      </c>
      <c r="J209" s="42">
        <v>30000</v>
      </c>
    </row>
    <row r="210" spans="1:22">
      <c r="A210" s="61" t="s">
        <v>1759</v>
      </c>
      <c r="C210" s="64" t="s">
        <v>4</v>
      </c>
      <c r="D210" s="64" t="s">
        <v>1760</v>
      </c>
      <c r="E210" s="42" t="s">
        <v>1761</v>
      </c>
      <c r="F210" s="42" t="s">
        <v>1759</v>
      </c>
      <c r="G210" s="42">
        <v>103</v>
      </c>
      <c r="H210" s="42" t="s">
        <v>745</v>
      </c>
      <c r="I210" s="42" t="s">
        <v>37</v>
      </c>
      <c r="J210" s="42">
        <v>10000</v>
      </c>
    </row>
    <row r="211" spans="1:22">
      <c r="A211" s="61" t="s">
        <v>1759</v>
      </c>
      <c r="C211" s="64" t="s">
        <v>4</v>
      </c>
      <c r="D211" s="64" t="s">
        <v>1760</v>
      </c>
      <c r="E211" s="42" t="s">
        <v>1761</v>
      </c>
      <c r="F211" s="42" t="s">
        <v>1759</v>
      </c>
      <c r="G211" s="42">
        <v>104</v>
      </c>
      <c r="H211" s="42" t="s">
        <v>747</v>
      </c>
      <c r="I211" s="42" t="s">
        <v>37</v>
      </c>
      <c r="J211" s="42">
        <v>10000</v>
      </c>
    </row>
    <row r="212" spans="1:22">
      <c r="A212" s="61" t="s">
        <v>1759</v>
      </c>
      <c r="C212" s="64" t="s">
        <v>4</v>
      </c>
      <c r="D212" s="64" t="s">
        <v>1760</v>
      </c>
      <c r="E212" s="42" t="s">
        <v>1761</v>
      </c>
      <c r="F212" s="42" t="s">
        <v>1759</v>
      </c>
      <c r="G212" s="42">
        <v>105</v>
      </c>
      <c r="H212" s="42" t="s">
        <v>749</v>
      </c>
      <c r="I212" s="42" t="s">
        <v>37</v>
      </c>
      <c r="J212" s="42">
        <v>60000</v>
      </c>
    </row>
    <row r="213" spans="1:22">
      <c r="A213" s="61" t="s">
        <v>1759</v>
      </c>
      <c r="C213" s="64" t="s">
        <v>4</v>
      </c>
      <c r="D213" s="64" t="s">
        <v>1760</v>
      </c>
      <c r="E213" s="42" t="s">
        <v>1761</v>
      </c>
      <c r="F213" s="42" t="s">
        <v>1759</v>
      </c>
      <c r="G213" s="42">
        <v>106</v>
      </c>
      <c r="H213" s="42" t="s">
        <v>751</v>
      </c>
      <c r="I213" s="42" t="s">
        <v>37</v>
      </c>
      <c r="J213" s="42">
        <v>35000</v>
      </c>
    </row>
    <row r="214" spans="1:22">
      <c r="A214" s="61" t="s">
        <v>1759</v>
      </c>
      <c r="C214" s="64" t="s">
        <v>4</v>
      </c>
      <c r="D214" s="64" t="s">
        <v>1760</v>
      </c>
      <c r="E214" s="42" t="s">
        <v>1761</v>
      </c>
      <c r="F214" s="42" t="s">
        <v>1759</v>
      </c>
      <c r="G214" s="42">
        <v>107</v>
      </c>
      <c r="H214" s="42" t="s">
        <v>683</v>
      </c>
      <c r="I214" s="42" t="s">
        <v>37</v>
      </c>
      <c r="J214" s="42">
        <v>110000</v>
      </c>
    </row>
    <row r="215" spans="1:22">
      <c r="A215" s="61" t="s">
        <v>1759</v>
      </c>
      <c r="C215" s="64" t="s">
        <v>4</v>
      </c>
      <c r="D215" s="64" t="s">
        <v>1760</v>
      </c>
      <c r="E215" s="42" t="s">
        <v>1761</v>
      </c>
      <c r="F215" s="42" t="s">
        <v>1759</v>
      </c>
      <c r="G215" s="42">
        <v>108</v>
      </c>
      <c r="H215" s="42" t="s">
        <v>719</v>
      </c>
      <c r="I215" s="42" t="s">
        <v>37</v>
      </c>
      <c r="J215" s="42">
        <v>10000</v>
      </c>
    </row>
    <row r="216" spans="1:22">
      <c r="A216" s="61" t="s">
        <v>1759</v>
      </c>
      <c r="C216" s="64" t="s">
        <v>4</v>
      </c>
      <c r="D216" s="64" t="s">
        <v>1760</v>
      </c>
      <c r="E216" s="42" t="s">
        <v>1761</v>
      </c>
      <c r="F216" s="42" t="s">
        <v>1759</v>
      </c>
      <c r="G216" s="42">
        <v>109</v>
      </c>
      <c r="H216" s="42" t="s">
        <v>915</v>
      </c>
      <c r="I216" s="42" t="s">
        <v>37</v>
      </c>
      <c r="J216" s="42">
        <v>40000</v>
      </c>
    </row>
    <row r="217" spans="1:22">
      <c r="A217" s="61" t="s">
        <v>1759</v>
      </c>
      <c r="C217" s="64" t="s">
        <v>4</v>
      </c>
      <c r="D217" s="64" t="s">
        <v>1760</v>
      </c>
      <c r="E217" s="42" t="s">
        <v>1761</v>
      </c>
      <c r="F217" s="42" t="s">
        <v>1759</v>
      </c>
      <c r="G217" s="42">
        <v>110</v>
      </c>
      <c r="H217" s="42" t="s">
        <v>763</v>
      </c>
      <c r="I217" s="42" t="s">
        <v>37</v>
      </c>
      <c r="J217" s="42">
        <v>10000</v>
      </c>
    </row>
    <row r="218" spans="1:22">
      <c r="A218" s="61" t="s">
        <v>1759</v>
      </c>
      <c r="C218" s="64" t="s">
        <v>4</v>
      </c>
      <c r="D218" s="64" t="s">
        <v>1760</v>
      </c>
      <c r="E218" s="42" t="s">
        <v>1761</v>
      </c>
      <c r="F218" s="42" t="s">
        <v>1759</v>
      </c>
      <c r="G218" s="42">
        <v>111</v>
      </c>
      <c r="H218" s="42" t="s">
        <v>769</v>
      </c>
      <c r="I218" s="42" t="s">
        <v>37</v>
      </c>
      <c r="J218" s="42">
        <v>10000</v>
      </c>
    </row>
    <row r="219" spans="1:22">
      <c r="A219" s="61" t="s">
        <v>1759</v>
      </c>
      <c r="C219" s="64" t="s">
        <v>4</v>
      </c>
      <c r="D219" s="64" t="s">
        <v>1760</v>
      </c>
      <c r="E219" s="42" t="s">
        <v>1761</v>
      </c>
      <c r="F219" s="42" t="s">
        <v>1759</v>
      </c>
      <c r="G219" s="42">
        <v>112</v>
      </c>
      <c r="H219" s="42" t="s">
        <v>811</v>
      </c>
      <c r="I219" s="42" t="s">
        <v>37</v>
      </c>
      <c r="J219" s="42">
        <v>20380</v>
      </c>
    </row>
    <row r="220" spans="1:22">
      <c r="A220" s="61" t="s">
        <v>1759</v>
      </c>
      <c r="C220" s="64" t="s">
        <v>4</v>
      </c>
      <c r="D220" s="64" t="s">
        <v>1760</v>
      </c>
      <c r="E220" s="42" t="s">
        <v>1761</v>
      </c>
      <c r="F220" s="42" t="s">
        <v>1759</v>
      </c>
      <c r="G220" s="42">
        <v>113</v>
      </c>
      <c r="H220" s="42" t="s">
        <v>761</v>
      </c>
      <c r="I220" s="42" t="s">
        <v>37</v>
      </c>
      <c r="J220" s="42">
        <v>11000</v>
      </c>
    </row>
    <row r="221" spans="1:22">
      <c r="A221" s="61" t="s">
        <v>1759</v>
      </c>
      <c r="C221" s="64" t="s">
        <v>4</v>
      </c>
      <c r="D221" s="64" t="s">
        <v>1760</v>
      </c>
      <c r="E221" s="42" t="s">
        <v>1761</v>
      </c>
      <c r="F221" s="42" t="s">
        <v>1759</v>
      </c>
      <c r="G221" s="42">
        <v>114</v>
      </c>
      <c r="H221" s="42" t="s">
        <v>919</v>
      </c>
      <c r="I221" s="42" t="s">
        <v>37</v>
      </c>
      <c r="J221" s="42">
        <v>40000</v>
      </c>
    </row>
    <row r="222" spans="1:22">
      <c r="A222" s="61" t="s">
        <v>1759</v>
      </c>
      <c r="C222" s="64" t="s">
        <v>4</v>
      </c>
      <c r="D222" s="64" t="s">
        <v>1760</v>
      </c>
      <c r="E222" s="42" t="s">
        <v>1761</v>
      </c>
      <c r="F222" s="42" t="s">
        <v>1759</v>
      </c>
      <c r="G222" s="42">
        <v>115</v>
      </c>
      <c r="H222" s="42" t="s">
        <v>283</v>
      </c>
      <c r="I222" s="42" t="s">
        <v>37</v>
      </c>
      <c r="J222" s="42">
        <v>5000</v>
      </c>
    </row>
    <row r="223" spans="1:22">
      <c r="A223" s="61" t="s">
        <v>1759</v>
      </c>
      <c r="C223" s="64" t="s">
        <v>4</v>
      </c>
      <c r="D223" s="64" t="s">
        <v>1760</v>
      </c>
      <c r="E223" s="42" t="s">
        <v>1761</v>
      </c>
      <c r="F223" s="42" t="s">
        <v>1759</v>
      </c>
      <c r="G223" s="42">
        <v>116</v>
      </c>
      <c r="H223" s="42" t="s">
        <v>267</v>
      </c>
      <c r="I223" s="42" t="s">
        <v>37</v>
      </c>
      <c r="J223" s="42">
        <v>10000</v>
      </c>
    </row>
    <row r="224" spans="1:22">
      <c r="A224" s="61" t="s">
        <v>1759</v>
      </c>
      <c r="C224" s="64" t="s">
        <v>4</v>
      </c>
      <c r="D224" s="64" t="s">
        <v>1760</v>
      </c>
      <c r="E224" s="42" t="s">
        <v>1761</v>
      </c>
      <c r="F224" s="42" t="s">
        <v>1759</v>
      </c>
      <c r="G224" s="42">
        <v>117</v>
      </c>
      <c r="H224" s="42" t="s">
        <v>269</v>
      </c>
      <c r="I224" s="42" t="s">
        <v>37</v>
      </c>
      <c r="J224" s="42">
        <v>5000</v>
      </c>
    </row>
    <row r="225" spans="1:22">
      <c r="A225" s="61" t="s">
        <v>1759</v>
      </c>
      <c r="C225" s="64" t="s">
        <v>4</v>
      </c>
      <c r="D225" s="64" t="s">
        <v>1760</v>
      </c>
      <c r="E225" s="42" t="s">
        <v>1761</v>
      </c>
      <c r="F225" s="42" t="s">
        <v>1759</v>
      </c>
      <c r="G225" s="42">
        <v>118</v>
      </c>
      <c r="H225" s="42" t="s">
        <v>361</v>
      </c>
      <c r="I225" s="42" t="s">
        <v>37</v>
      </c>
      <c r="J225" s="42">
        <v>10000</v>
      </c>
    </row>
    <row r="226" spans="1:22">
      <c r="A226" s="61" t="s">
        <v>1759</v>
      </c>
      <c r="C226" s="64" t="s">
        <v>4</v>
      </c>
      <c r="D226" s="64" t="s">
        <v>1760</v>
      </c>
      <c r="E226" s="42" t="s">
        <v>1761</v>
      </c>
      <c r="F226" s="42" t="s">
        <v>1759</v>
      </c>
      <c r="G226" s="42">
        <v>119</v>
      </c>
      <c r="H226" s="42" t="s">
        <v>315</v>
      </c>
      <c r="I226" s="42" t="s">
        <v>37</v>
      </c>
      <c r="J226" s="42">
        <v>20000</v>
      </c>
    </row>
    <row r="227" spans="1:22">
      <c r="A227" s="61" t="s">
        <v>1759</v>
      </c>
      <c r="C227" s="64" t="s">
        <v>4</v>
      </c>
      <c r="D227" s="64" t="s">
        <v>1760</v>
      </c>
      <c r="E227" s="42" t="s">
        <v>1761</v>
      </c>
      <c r="F227" s="42" t="s">
        <v>1759</v>
      </c>
      <c r="G227" s="42">
        <v>120</v>
      </c>
      <c r="H227" s="42" t="s">
        <v>309</v>
      </c>
      <c r="I227" s="42" t="s">
        <v>37</v>
      </c>
      <c r="J227" s="42">
        <v>5000</v>
      </c>
    </row>
    <row r="228" spans="1:22">
      <c r="A228" s="61" t="s">
        <v>1759</v>
      </c>
      <c r="C228" s="64" t="s">
        <v>4</v>
      </c>
      <c r="D228" s="64" t="s">
        <v>1760</v>
      </c>
      <c r="E228" s="42" t="s">
        <v>1761</v>
      </c>
      <c r="F228" s="42" t="s">
        <v>1759</v>
      </c>
      <c r="G228" s="42">
        <v>121</v>
      </c>
      <c r="H228" s="42" t="s">
        <v>531</v>
      </c>
      <c r="I228" s="42" t="s">
        <v>37</v>
      </c>
      <c r="J228" s="42">
        <v>5000</v>
      </c>
    </row>
    <row r="229" spans="1:22">
      <c r="A229" s="61" t="s">
        <v>1759</v>
      </c>
      <c r="C229" s="64" t="s">
        <v>4</v>
      </c>
      <c r="D229" s="64" t="s">
        <v>1760</v>
      </c>
      <c r="E229" s="42" t="s">
        <v>1761</v>
      </c>
      <c r="F229" s="42" t="s">
        <v>1759</v>
      </c>
      <c r="G229" s="42">
        <v>122</v>
      </c>
      <c r="H229" s="42" t="s">
        <v>473</v>
      </c>
      <c r="I229" s="42" t="s">
        <v>37</v>
      </c>
      <c r="J229" s="42">
        <v>30000</v>
      </c>
    </row>
    <row r="230" spans="1:22">
      <c r="A230" s="61" t="s">
        <v>1759</v>
      </c>
      <c r="C230" s="64" t="s">
        <v>4</v>
      </c>
      <c r="D230" s="64" t="s">
        <v>1760</v>
      </c>
      <c r="E230" s="42" t="s">
        <v>1761</v>
      </c>
      <c r="F230" s="42" t="s">
        <v>1759</v>
      </c>
      <c r="G230" s="42">
        <v>123</v>
      </c>
      <c r="H230" s="42" t="s">
        <v>697</v>
      </c>
      <c r="I230" s="42" t="s">
        <v>37</v>
      </c>
      <c r="J230" s="42">
        <v>10000</v>
      </c>
    </row>
    <row r="231" spans="1:22">
      <c r="A231" s="61" t="s">
        <v>1759</v>
      </c>
      <c r="C231" s="64" t="s">
        <v>4</v>
      </c>
      <c r="D231" s="64" t="s">
        <v>1760</v>
      </c>
      <c r="E231" s="42" t="s">
        <v>1761</v>
      </c>
      <c r="F231" s="42" t="s">
        <v>1759</v>
      </c>
      <c r="G231" s="42">
        <v>124</v>
      </c>
      <c r="H231" s="42" t="s">
        <v>459</v>
      </c>
      <c r="I231" s="42" t="s">
        <v>37</v>
      </c>
      <c r="J231" s="42">
        <v>20000</v>
      </c>
    </row>
    <row r="232" spans="1:22">
      <c r="A232" s="61" t="s">
        <v>1759</v>
      </c>
      <c r="C232" s="64" t="s">
        <v>4</v>
      </c>
      <c r="D232" s="64" t="s">
        <v>1760</v>
      </c>
      <c r="E232" s="42" t="s">
        <v>1761</v>
      </c>
      <c r="F232" s="42" t="s">
        <v>1759</v>
      </c>
      <c r="G232" s="42">
        <v>125</v>
      </c>
      <c r="H232" s="42" t="s">
        <v>493</v>
      </c>
      <c r="I232" s="42" t="s">
        <v>37</v>
      </c>
      <c r="J232" s="42">
        <v>10000</v>
      </c>
    </row>
    <row r="233" spans="1:22">
      <c r="A233" s="61" t="s">
        <v>1759</v>
      </c>
      <c r="C233" s="64" t="s">
        <v>4</v>
      </c>
      <c r="D233" s="64" t="s">
        <v>1760</v>
      </c>
      <c r="E233" s="42" t="s">
        <v>1761</v>
      </c>
      <c r="F233" s="42" t="s">
        <v>1759</v>
      </c>
      <c r="G233" s="42">
        <v>126</v>
      </c>
      <c r="H233" s="42" t="s">
        <v>179</v>
      </c>
      <c r="I233" s="42" t="s">
        <v>37</v>
      </c>
      <c r="J233" s="42">
        <v>30000</v>
      </c>
    </row>
    <row r="234" spans="1:22">
      <c r="A234" s="61" t="s">
        <v>1759</v>
      </c>
      <c r="C234" s="64" t="s">
        <v>4</v>
      </c>
      <c r="D234" s="64" t="s">
        <v>1760</v>
      </c>
      <c r="E234" s="42" t="s">
        <v>1761</v>
      </c>
      <c r="F234" s="42" t="s">
        <v>1759</v>
      </c>
      <c r="G234" s="42">
        <v>127</v>
      </c>
      <c r="H234" s="42" t="s">
        <v>54</v>
      </c>
      <c r="I234" s="42" t="s">
        <v>37</v>
      </c>
      <c r="J234" s="42">
        <v>10000</v>
      </c>
    </row>
    <row r="235" spans="1:22">
      <c r="A235" s="61" t="s">
        <v>1759</v>
      </c>
      <c r="C235" s="64" t="s">
        <v>4</v>
      </c>
      <c r="D235" s="64" t="s">
        <v>1760</v>
      </c>
      <c r="E235" s="42" t="s">
        <v>1761</v>
      </c>
      <c r="F235" s="42" t="s">
        <v>1759</v>
      </c>
      <c r="G235" s="42">
        <v>128</v>
      </c>
      <c r="H235" s="42" t="s">
        <v>55</v>
      </c>
      <c r="I235" s="42" t="s">
        <v>37</v>
      </c>
      <c r="J235" s="42">
        <v>30000</v>
      </c>
    </row>
    <row r="236" spans="1:22">
      <c r="A236" s="61" t="s">
        <v>1759</v>
      </c>
      <c r="C236" s="64" t="s">
        <v>4</v>
      </c>
      <c r="D236" s="64" t="s">
        <v>1760</v>
      </c>
      <c r="E236" s="42" t="s">
        <v>1761</v>
      </c>
      <c r="F236" s="42" t="s">
        <v>1759</v>
      </c>
      <c r="G236" s="42">
        <v>129</v>
      </c>
      <c r="H236" s="42" t="s">
        <v>58</v>
      </c>
      <c r="I236" s="42" t="s">
        <v>37</v>
      </c>
      <c r="J236" s="42">
        <v>10000</v>
      </c>
    </row>
    <row r="237" spans="1:22">
      <c r="A237" s="61" t="s">
        <v>1759</v>
      </c>
      <c r="C237" s="64" t="s">
        <v>4</v>
      </c>
      <c r="D237" s="64" t="s">
        <v>1760</v>
      </c>
      <c r="E237" s="42" t="s">
        <v>1761</v>
      </c>
      <c r="F237" s="42" t="s">
        <v>1759</v>
      </c>
      <c r="G237" s="42">
        <v>130</v>
      </c>
      <c r="H237" s="42" t="s">
        <v>60</v>
      </c>
      <c r="I237" s="42" t="s">
        <v>37</v>
      </c>
      <c r="J237" s="42">
        <v>30000</v>
      </c>
    </row>
    <row r="238" spans="1:22">
      <c r="A238" s="61" t="s">
        <v>1759</v>
      </c>
      <c r="C238" s="64" t="s">
        <v>4</v>
      </c>
      <c r="D238" s="64" t="s">
        <v>1760</v>
      </c>
      <c r="E238" s="42" t="s">
        <v>1761</v>
      </c>
      <c r="F238" s="42" t="s">
        <v>1759</v>
      </c>
      <c r="G238" s="42">
        <v>131</v>
      </c>
      <c r="H238" s="42" t="s">
        <v>593</v>
      </c>
      <c r="I238" s="42" t="s">
        <v>37</v>
      </c>
      <c r="J238" s="42">
        <v>85000</v>
      </c>
    </row>
    <row r="239" spans="1:22">
      <c r="A239" s="61" t="s">
        <v>1759</v>
      </c>
      <c r="C239" s="64" t="s">
        <v>4</v>
      </c>
      <c r="D239" s="64" t="s">
        <v>1760</v>
      </c>
      <c r="E239" s="42" t="s">
        <v>1761</v>
      </c>
      <c r="F239" s="42" t="s">
        <v>1759</v>
      </c>
      <c r="G239" s="42">
        <v>132</v>
      </c>
      <c r="H239" s="42" t="s">
        <v>67</v>
      </c>
      <c r="I239" s="42" t="s">
        <v>37</v>
      </c>
      <c r="J239" s="42">
        <v>39600</v>
      </c>
    </row>
    <row r="240" spans="1:22">
      <c r="A240" s="61" t="s">
        <v>1759</v>
      </c>
      <c r="C240" s="64" t="s">
        <v>4</v>
      </c>
      <c r="D240" s="64" t="s">
        <v>1760</v>
      </c>
      <c r="E240" s="42" t="s">
        <v>1761</v>
      </c>
      <c r="F240" s="42" t="s">
        <v>1759</v>
      </c>
      <c r="G240" s="42">
        <v>133</v>
      </c>
      <c r="H240" s="42" t="s">
        <v>70</v>
      </c>
      <c r="I240" s="42" t="s">
        <v>37</v>
      </c>
      <c r="J240" s="42">
        <v>15000</v>
      </c>
    </row>
    <row r="241" spans="1:22">
      <c r="A241" s="61" t="s">
        <v>1759</v>
      </c>
      <c r="C241" s="64" t="s">
        <v>4</v>
      </c>
      <c r="D241" s="64" t="s">
        <v>1760</v>
      </c>
      <c r="E241" s="42" t="s">
        <v>1761</v>
      </c>
      <c r="F241" s="42" t="s">
        <v>1759</v>
      </c>
      <c r="G241" s="42">
        <v>134</v>
      </c>
      <c r="H241" s="42" t="s">
        <v>71</v>
      </c>
      <c r="I241" s="42" t="s">
        <v>37</v>
      </c>
      <c r="J241" s="42">
        <v>20000</v>
      </c>
    </row>
    <row r="242" spans="1:22">
      <c r="A242" s="61" t="s">
        <v>1759</v>
      </c>
      <c r="C242" s="64" t="s">
        <v>4</v>
      </c>
      <c r="D242" s="64" t="s">
        <v>1760</v>
      </c>
      <c r="E242" s="42" t="s">
        <v>1761</v>
      </c>
      <c r="F242" s="42" t="s">
        <v>1759</v>
      </c>
      <c r="G242" s="42">
        <v>135</v>
      </c>
      <c r="H242" s="42" t="s">
        <v>74</v>
      </c>
      <c r="I242" s="42" t="s">
        <v>37</v>
      </c>
      <c r="J242" s="42">
        <v>10000</v>
      </c>
    </row>
    <row r="243" spans="1:22">
      <c r="A243" s="61" t="s">
        <v>1759</v>
      </c>
      <c r="C243" s="64" t="s">
        <v>4</v>
      </c>
      <c r="D243" s="64" t="s">
        <v>1760</v>
      </c>
      <c r="E243" s="42" t="s">
        <v>1761</v>
      </c>
      <c r="F243" s="42" t="s">
        <v>1759</v>
      </c>
      <c r="G243" s="42">
        <v>136</v>
      </c>
      <c r="H243" s="42" t="s">
        <v>469</v>
      </c>
      <c r="I243" s="42" t="s">
        <v>37</v>
      </c>
      <c r="J243" s="42">
        <v>20000</v>
      </c>
    </row>
    <row r="244" spans="1:22">
      <c r="A244" s="61" t="s">
        <v>1759</v>
      </c>
      <c r="C244" s="64" t="s">
        <v>4</v>
      </c>
      <c r="D244" s="64" t="s">
        <v>1760</v>
      </c>
      <c r="E244" s="42" t="s">
        <v>1761</v>
      </c>
      <c r="F244" s="42" t="s">
        <v>1759</v>
      </c>
      <c r="G244" s="42">
        <v>137</v>
      </c>
      <c r="H244" s="42" t="s">
        <v>78</v>
      </c>
      <c r="I244" s="42" t="s">
        <v>37</v>
      </c>
      <c r="J244" s="42">
        <v>20000</v>
      </c>
    </row>
    <row r="245" spans="1:22">
      <c r="A245" s="61" t="s">
        <v>1759</v>
      </c>
      <c r="C245" s="64" t="s">
        <v>4</v>
      </c>
      <c r="D245" s="64" t="s">
        <v>1760</v>
      </c>
      <c r="E245" s="42" t="s">
        <v>1761</v>
      </c>
      <c r="F245" s="42" t="s">
        <v>1759</v>
      </c>
      <c r="G245" s="42">
        <v>138</v>
      </c>
      <c r="H245" s="42" t="s">
        <v>79</v>
      </c>
      <c r="I245" s="42" t="s">
        <v>37</v>
      </c>
      <c r="J245" s="42">
        <v>65000</v>
      </c>
    </row>
    <row r="246" spans="1:22">
      <c r="A246" s="61" t="s">
        <v>1759</v>
      </c>
      <c r="C246" s="64" t="s">
        <v>4</v>
      </c>
      <c r="D246" s="64" t="s">
        <v>1760</v>
      </c>
      <c r="E246" s="42" t="s">
        <v>1761</v>
      </c>
      <c r="F246" s="42" t="s">
        <v>1759</v>
      </c>
      <c r="G246" s="42">
        <v>139</v>
      </c>
      <c r="H246" s="42" t="s">
        <v>80</v>
      </c>
      <c r="I246" s="42" t="s">
        <v>37</v>
      </c>
      <c r="J246" s="42">
        <v>20000</v>
      </c>
    </row>
    <row r="247" spans="1:22">
      <c r="A247" s="61" t="s">
        <v>1765</v>
      </c>
      <c r="C247" s="64" t="s">
        <v>4</v>
      </c>
      <c r="D247" s="64" t="s">
        <v>1760</v>
      </c>
      <c r="E247" s="42" t="s">
        <v>1766</v>
      </c>
      <c r="F247" s="42" t="s">
        <v>1765</v>
      </c>
      <c r="G247" s="42">
        <v>67</v>
      </c>
      <c r="H247" s="42" t="s">
        <v>1283</v>
      </c>
      <c r="I247" s="42" t="s">
        <v>37</v>
      </c>
      <c r="J247" s="42">
        <v>15000</v>
      </c>
    </row>
    <row r="248" spans="1:22">
      <c r="A248" s="61" t="s">
        <v>1765</v>
      </c>
      <c r="C248" s="64" t="s">
        <v>4</v>
      </c>
      <c r="D248" s="64" t="s">
        <v>1760</v>
      </c>
      <c r="E248" s="42" t="s">
        <v>1766</v>
      </c>
      <c r="F248" s="42" t="s">
        <v>1765</v>
      </c>
      <c r="G248" s="42">
        <v>68</v>
      </c>
      <c r="H248" s="42" t="s">
        <v>1295</v>
      </c>
      <c r="I248" s="42" t="s">
        <v>37</v>
      </c>
      <c r="J248" s="42">
        <v>10000</v>
      </c>
    </row>
    <row r="249" spans="1:22">
      <c r="A249" s="61" t="s">
        <v>1765</v>
      </c>
      <c r="C249" s="64" t="s">
        <v>4</v>
      </c>
      <c r="D249" s="64" t="s">
        <v>1760</v>
      </c>
      <c r="E249" s="42" t="s">
        <v>1766</v>
      </c>
      <c r="F249" s="42" t="s">
        <v>1765</v>
      </c>
      <c r="G249" s="42">
        <v>69</v>
      </c>
      <c r="H249" s="42" t="s">
        <v>415</v>
      </c>
      <c r="I249" s="42" t="s">
        <v>37</v>
      </c>
      <c r="J249" s="42">
        <v>5000</v>
      </c>
    </row>
    <row r="250" spans="1:22">
      <c r="A250" s="61" t="s">
        <v>1765</v>
      </c>
      <c r="C250" s="64" t="s">
        <v>4</v>
      </c>
      <c r="D250" s="64" t="s">
        <v>1760</v>
      </c>
      <c r="E250" s="42" t="s">
        <v>1766</v>
      </c>
      <c r="F250" s="42" t="s">
        <v>1765</v>
      </c>
      <c r="G250" s="42">
        <v>70</v>
      </c>
      <c r="H250" s="42" t="s">
        <v>950</v>
      </c>
      <c r="I250" s="42" t="s">
        <v>37</v>
      </c>
      <c r="J250" s="42">
        <v>10000</v>
      </c>
    </row>
    <row r="251" spans="1:22">
      <c r="A251" s="61" t="s">
        <v>1765</v>
      </c>
      <c r="C251" s="64" t="s">
        <v>4</v>
      </c>
      <c r="D251" s="64" t="s">
        <v>1760</v>
      </c>
      <c r="E251" s="42" t="s">
        <v>1766</v>
      </c>
      <c r="F251" s="42" t="s">
        <v>1765</v>
      </c>
      <c r="G251" s="42">
        <v>71</v>
      </c>
      <c r="H251" s="42" t="s">
        <v>951</v>
      </c>
      <c r="I251" s="42" t="s">
        <v>37</v>
      </c>
      <c r="J251" s="42">
        <v>10000</v>
      </c>
    </row>
    <row r="252" spans="1:22">
      <c r="A252" s="61" t="s">
        <v>1765</v>
      </c>
      <c r="C252" s="64" t="s">
        <v>4</v>
      </c>
      <c r="D252" s="64" t="s">
        <v>1760</v>
      </c>
      <c r="E252" s="42" t="s">
        <v>1766</v>
      </c>
      <c r="F252" s="42" t="s">
        <v>1765</v>
      </c>
      <c r="G252" s="42">
        <v>72</v>
      </c>
      <c r="H252" s="42" t="s">
        <v>948</v>
      </c>
      <c r="I252" s="42" t="s">
        <v>37</v>
      </c>
      <c r="J252" s="42">
        <v>5000</v>
      </c>
    </row>
    <row r="253" spans="1:22">
      <c r="A253" s="61" t="s">
        <v>1765</v>
      </c>
      <c r="C253" s="64" t="s">
        <v>4</v>
      </c>
      <c r="D253" s="64" t="s">
        <v>1760</v>
      </c>
      <c r="E253" s="42" t="s">
        <v>1766</v>
      </c>
      <c r="F253" s="42" t="s">
        <v>1765</v>
      </c>
      <c r="G253" s="42">
        <v>73</v>
      </c>
      <c r="H253" s="42" t="s">
        <v>1356</v>
      </c>
      <c r="I253" s="42" t="s">
        <v>37</v>
      </c>
      <c r="J253" s="42">
        <v>25000</v>
      </c>
    </row>
    <row r="254" spans="1:22">
      <c r="A254" s="61" t="s">
        <v>1765</v>
      </c>
      <c r="C254" s="64" t="s">
        <v>4</v>
      </c>
      <c r="D254" s="64" t="s">
        <v>1760</v>
      </c>
      <c r="E254" s="42" t="s">
        <v>1766</v>
      </c>
      <c r="F254" s="42" t="s">
        <v>1765</v>
      </c>
      <c r="G254" s="42">
        <v>74</v>
      </c>
      <c r="H254" s="42" t="s">
        <v>1354</v>
      </c>
      <c r="I254" s="42" t="s">
        <v>37</v>
      </c>
      <c r="J254" s="42">
        <v>4870</v>
      </c>
    </row>
    <row r="255" spans="1:22">
      <c r="A255" s="61" t="s">
        <v>1765</v>
      </c>
      <c r="C255" s="64" t="s">
        <v>4</v>
      </c>
      <c r="D255" s="64" t="s">
        <v>1760</v>
      </c>
      <c r="E255" s="42" t="s">
        <v>1766</v>
      </c>
      <c r="F255" s="42" t="s">
        <v>1765</v>
      </c>
      <c r="G255" s="42">
        <v>75</v>
      </c>
      <c r="H255" s="42" t="s">
        <v>1343</v>
      </c>
      <c r="I255" s="42" t="s">
        <v>37</v>
      </c>
      <c r="J255" s="42">
        <v>60000</v>
      </c>
    </row>
    <row r="256" spans="1:22">
      <c r="A256" s="61" t="s">
        <v>1765</v>
      </c>
      <c r="C256" s="64" t="s">
        <v>4</v>
      </c>
      <c r="D256" s="64" t="s">
        <v>1760</v>
      </c>
      <c r="E256" s="42" t="s">
        <v>1766</v>
      </c>
      <c r="F256" s="42" t="s">
        <v>1765</v>
      </c>
      <c r="G256" s="42">
        <v>76</v>
      </c>
      <c r="H256" s="42" t="s">
        <v>1345</v>
      </c>
      <c r="I256" s="42" t="s">
        <v>37</v>
      </c>
      <c r="J256" s="42">
        <v>4900</v>
      </c>
    </row>
    <row r="257" spans="1:22">
      <c r="A257" s="61" t="s">
        <v>1765</v>
      </c>
      <c r="C257" s="64" t="s">
        <v>4</v>
      </c>
      <c r="D257" s="64" t="s">
        <v>1760</v>
      </c>
      <c r="E257" s="42" t="s">
        <v>1766</v>
      </c>
      <c r="F257" s="42" t="s">
        <v>1765</v>
      </c>
      <c r="G257" s="42">
        <v>77</v>
      </c>
      <c r="H257" s="42" t="s">
        <v>52</v>
      </c>
      <c r="I257" s="42" t="s">
        <v>37</v>
      </c>
      <c r="J257" s="42">
        <v>20000</v>
      </c>
    </row>
    <row r="258" spans="1:22">
      <c r="A258" s="61" t="s">
        <v>1765</v>
      </c>
      <c r="C258" s="64" t="s">
        <v>4</v>
      </c>
      <c r="D258" s="64" t="s">
        <v>1760</v>
      </c>
      <c r="E258" s="42" t="s">
        <v>1766</v>
      </c>
      <c r="F258" s="42" t="s">
        <v>1765</v>
      </c>
      <c r="G258" s="42">
        <v>78</v>
      </c>
      <c r="H258" s="42" t="s">
        <v>56</v>
      </c>
      <c r="I258" s="42" t="s">
        <v>37</v>
      </c>
      <c r="J258" s="42">
        <v>115000</v>
      </c>
    </row>
    <row r="259" spans="1:22">
      <c r="A259" s="61" t="s">
        <v>1765</v>
      </c>
      <c r="C259" s="64" t="s">
        <v>4</v>
      </c>
      <c r="D259" s="64" t="s">
        <v>1760</v>
      </c>
      <c r="E259" s="42" t="s">
        <v>1766</v>
      </c>
      <c r="F259" s="42" t="s">
        <v>1765</v>
      </c>
      <c r="G259" s="42">
        <v>79</v>
      </c>
      <c r="H259" s="42" t="s">
        <v>61</v>
      </c>
      <c r="I259" s="42" t="s">
        <v>37</v>
      </c>
      <c r="J259" s="42">
        <v>5000</v>
      </c>
    </row>
    <row r="260" spans="1:22">
      <c r="A260" s="61" t="s">
        <v>1765</v>
      </c>
      <c r="C260" s="64" t="s">
        <v>4</v>
      </c>
      <c r="D260" s="64" t="s">
        <v>1760</v>
      </c>
      <c r="E260" s="42" t="s">
        <v>1766</v>
      </c>
      <c r="F260" s="42" t="s">
        <v>1765</v>
      </c>
      <c r="G260" s="42">
        <v>80</v>
      </c>
      <c r="H260" s="42" t="s">
        <v>803</v>
      </c>
      <c r="I260" s="42" t="s">
        <v>37</v>
      </c>
      <c r="J260" s="42">
        <v>10000</v>
      </c>
    </row>
    <row r="261" spans="1:22">
      <c r="A261" s="61" t="s">
        <v>1765</v>
      </c>
      <c r="C261" s="64" t="s">
        <v>4</v>
      </c>
      <c r="D261" s="64" t="s">
        <v>1760</v>
      </c>
      <c r="E261" s="42" t="s">
        <v>1766</v>
      </c>
      <c r="F261" s="42" t="s">
        <v>1765</v>
      </c>
      <c r="G261" s="42">
        <v>81</v>
      </c>
      <c r="H261" s="42" t="s">
        <v>639</v>
      </c>
      <c r="I261" s="42" t="s">
        <v>37</v>
      </c>
      <c r="J261" s="42">
        <v>10000</v>
      </c>
    </row>
    <row r="262" spans="1:22">
      <c r="A262" s="61" t="s">
        <v>1765</v>
      </c>
      <c r="C262" s="64" t="s">
        <v>4</v>
      </c>
      <c r="D262" s="64" t="s">
        <v>1760</v>
      </c>
      <c r="E262" s="42" t="s">
        <v>1766</v>
      </c>
      <c r="F262" s="42" t="s">
        <v>1765</v>
      </c>
      <c r="G262" s="42">
        <v>82</v>
      </c>
      <c r="H262" s="42" t="s">
        <v>579</v>
      </c>
      <c r="I262" s="42" t="s">
        <v>37</v>
      </c>
      <c r="J262" s="42">
        <v>20000</v>
      </c>
    </row>
    <row r="263" spans="1:22">
      <c r="A263" s="61" t="s">
        <v>1765</v>
      </c>
      <c r="C263" s="64" t="s">
        <v>4</v>
      </c>
      <c r="D263" s="64" t="s">
        <v>1760</v>
      </c>
      <c r="E263" s="42" t="s">
        <v>1766</v>
      </c>
      <c r="F263" s="42" t="s">
        <v>1765</v>
      </c>
      <c r="G263" s="42">
        <v>83</v>
      </c>
      <c r="H263" s="42" t="s">
        <v>609</v>
      </c>
      <c r="I263" s="42" t="s">
        <v>37</v>
      </c>
      <c r="J263" s="42">
        <v>5000</v>
      </c>
    </row>
    <row r="264" spans="1:22">
      <c r="A264" s="61" t="s">
        <v>1765</v>
      </c>
      <c r="C264" s="64" t="s">
        <v>4</v>
      </c>
      <c r="D264" s="64" t="s">
        <v>1760</v>
      </c>
      <c r="E264" s="42" t="s">
        <v>1766</v>
      </c>
      <c r="F264" s="42" t="s">
        <v>1765</v>
      </c>
      <c r="G264" s="42">
        <v>84</v>
      </c>
      <c r="H264" s="42" t="s">
        <v>189</v>
      </c>
      <c r="I264" s="42" t="s">
        <v>37</v>
      </c>
      <c r="J264" s="42">
        <v>5000</v>
      </c>
    </row>
    <row r="265" spans="1:22">
      <c r="A265" s="61" t="s">
        <v>1765</v>
      </c>
      <c r="C265" s="64" t="s">
        <v>4</v>
      </c>
      <c r="D265" s="64" t="s">
        <v>1760</v>
      </c>
      <c r="E265" s="42" t="s">
        <v>1766</v>
      </c>
      <c r="F265" s="42" t="s">
        <v>1765</v>
      </c>
      <c r="G265" s="42">
        <v>85</v>
      </c>
      <c r="H265" s="42" t="s">
        <v>403</v>
      </c>
      <c r="I265" s="42" t="s">
        <v>37</v>
      </c>
      <c r="J265" s="42">
        <v>20000</v>
      </c>
    </row>
    <row r="266" spans="1:22">
      <c r="A266" s="61" t="s">
        <v>1765</v>
      </c>
      <c r="C266" s="64" t="s">
        <v>4</v>
      </c>
      <c r="D266" s="64" t="s">
        <v>1760</v>
      </c>
      <c r="E266" s="42" t="s">
        <v>1766</v>
      </c>
      <c r="F266" s="42" t="s">
        <v>1765</v>
      </c>
      <c r="G266" s="42">
        <v>86</v>
      </c>
      <c r="H266" s="42" t="s">
        <v>72</v>
      </c>
      <c r="I266" s="42" t="s">
        <v>37</v>
      </c>
      <c r="J266" s="42">
        <v>40000</v>
      </c>
    </row>
    <row r="267" spans="1:22">
      <c r="A267" s="61" t="s">
        <v>1765</v>
      </c>
      <c r="C267" s="64" t="s">
        <v>4</v>
      </c>
      <c r="D267" s="64" t="s">
        <v>1760</v>
      </c>
      <c r="E267" s="42" t="s">
        <v>1766</v>
      </c>
      <c r="F267" s="42" t="s">
        <v>1765</v>
      </c>
      <c r="G267" s="42">
        <v>87</v>
      </c>
      <c r="H267" s="42" t="s">
        <v>75</v>
      </c>
      <c r="I267" s="42" t="s">
        <v>37</v>
      </c>
      <c r="J267" s="42">
        <v>10000</v>
      </c>
    </row>
    <row r="268" spans="1:22">
      <c r="A268" s="61" t="s">
        <v>1765</v>
      </c>
      <c r="C268" s="64" t="s">
        <v>4</v>
      </c>
      <c r="D268" s="64" t="s">
        <v>1760</v>
      </c>
      <c r="E268" s="42" t="s">
        <v>1766</v>
      </c>
      <c r="F268" s="42" t="s">
        <v>1765</v>
      </c>
      <c r="G268" s="42">
        <v>88</v>
      </c>
      <c r="H268" s="42" t="s">
        <v>335</v>
      </c>
      <c r="I268" s="42" t="s">
        <v>37</v>
      </c>
      <c r="J268" s="42">
        <v>20000</v>
      </c>
    </row>
    <row r="269" spans="1:22">
      <c r="A269" s="61" t="s">
        <v>1765</v>
      </c>
      <c r="C269" s="64" t="s">
        <v>4</v>
      </c>
      <c r="D269" s="64" t="s">
        <v>1760</v>
      </c>
      <c r="E269" s="42" t="s">
        <v>1766</v>
      </c>
      <c r="F269" s="42" t="s">
        <v>1765</v>
      </c>
      <c r="G269" s="42">
        <v>89</v>
      </c>
      <c r="H269" s="42" t="s">
        <v>709</v>
      </c>
      <c r="I269" s="42" t="s">
        <v>37</v>
      </c>
      <c r="J269" s="42">
        <v>40000</v>
      </c>
    </row>
    <row r="270" spans="1:22">
      <c r="A270" s="61" t="s">
        <v>1765</v>
      </c>
      <c r="C270" s="64" t="s">
        <v>4</v>
      </c>
      <c r="D270" s="64" t="s">
        <v>1760</v>
      </c>
      <c r="E270" s="42" t="s">
        <v>1766</v>
      </c>
      <c r="F270" s="42" t="s">
        <v>1765</v>
      </c>
      <c r="G270" s="42">
        <v>90</v>
      </c>
      <c r="H270" s="42" t="s">
        <v>76</v>
      </c>
      <c r="I270" s="42" t="s">
        <v>37</v>
      </c>
      <c r="J270" s="42">
        <v>40000</v>
      </c>
    </row>
    <row r="271" spans="1:22">
      <c r="A271" s="61" t="s">
        <v>1765</v>
      </c>
      <c r="C271" s="64" t="s">
        <v>4</v>
      </c>
      <c r="D271" s="64" t="s">
        <v>1760</v>
      </c>
      <c r="E271" s="42" t="s">
        <v>1766</v>
      </c>
      <c r="F271" s="42" t="s">
        <v>1765</v>
      </c>
      <c r="G271" s="42">
        <v>91</v>
      </c>
      <c r="H271" s="42" t="s">
        <v>805</v>
      </c>
      <c r="I271" s="42" t="s">
        <v>37</v>
      </c>
      <c r="J271" s="42">
        <v>20000</v>
      </c>
    </row>
    <row r="272" spans="1:22">
      <c r="A272" s="61" t="s">
        <v>1765</v>
      </c>
      <c r="C272" s="64" t="s">
        <v>4</v>
      </c>
      <c r="D272" s="64" t="s">
        <v>1760</v>
      </c>
      <c r="E272" s="42" t="s">
        <v>1766</v>
      </c>
      <c r="F272" s="42" t="s">
        <v>1765</v>
      </c>
      <c r="G272" s="42">
        <v>92</v>
      </c>
      <c r="H272" s="42" t="s">
        <v>397</v>
      </c>
      <c r="I272" s="42" t="s">
        <v>37</v>
      </c>
      <c r="J272" s="42">
        <v>10000</v>
      </c>
    </row>
    <row r="273" spans="1:22">
      <c r="A273" s="61" t="s">
        <v>1765</v>
      </c>
      <c r="C273" s="64" t="s">
        <v>4</v>
      </c>
      <c r="D273" s="64" t="s">
        <v>1760</v>
      </c>
      <c r="E273" s="42" t="s">
        <v>1766</v>
      </c>
      <c r="F273" s="42" t="s">
        <v>1765</v>
      </c>
      <c r="G273" s="42">
        <v>93</v>
      </c>
      <c r="H273" s="42" t="s">
        <v>529</v>
      </c>
      <c r="I273" s="42" t="s">
        <v>37</v>
      </c>
      <c r="J273" s="42">
        <v>15000</v>
      </c>
    </row>
    <row r="274" spans="1:22">
      <c r="A274" s="61" t="s">
        <v>1765</v>
      </c>
      <c r="C274" s="64" t="s">
        <v>4</v>
      </c>
      <c r="D274" s="64" t="s">
        <v>1760</v>
      </c>
      <c r="E274" s="42" t="s">
        <v>1766</v>
      </c>
      <c r="F274" s="42" t="s">
        <v>1765</v>
      </c>
      <c r="G274" s="42">
        <v>94</v>
      </c>
      <c r="H274" s="42" t="s">
        <v>359</v>
      </c>
      <c r="I274" s="42" t="s">
        <v>37</v>
      </c>
      <c r="J274" s="42">
        <v>10000</v>
      </c>
    </row>
    <row r="275" spans="1:22">
      <c r="A275" s="61" t="s">
        <v>1765</v>
      </c>
      <c r="C275" s="64" t="s">
        <v>4</v>
      </c>
      <c r="D275" s="64" t="s">
        <v>1760</v>
      </c>
      <c r="E275" s="42" t="s">
        <v>1766</v>
      </c>
      <c r="F275" s="42" t="s">
        <v>1765</v>
      </c>
      <c r="G275" s="42">
        <v>95</v>
      </c>
      <c r="H275" s="42" t="s">
        <v>127</v>
      </c>
      <c r="I275" s="42" t="s">
        <v>37</v>
      </c>
      <c r="J275" s="42">
        <v>10000</v>
      </c>
    </row>
    <row r="276" spans="1:22">
      <c r="A276" s="61" t="s">
        <v>1765</v>
      </c>
      <c r="C276" s="64" t="s">
        <v>4</v>
      </c>
      <c r="D276" s="64" t="s">
        <v>1760</v>
      </c>
      <c r="E276" s="42" t="s">
        <v>1766</v>
      </c>
      <c r="F276" s="42" t="s">
        <v>1765</v>
      </c>
      <c r="G276" s="42">
        <v>96</v>
      </c>
      <c r="H276" s="42" t="s">
        <v>405</v>
      </c>
      <c r="I276" s="42" t="s">
        <v>37</v>
      </c>
      <c r="J276" s="42">
        <v>10000</v>
      </c>
    </row>
    <row r="277" spans="1:22">
      <c r="A277" s="61" t="s">
        <v>1765</v>
      </c>
      <c r="C277" s="64" t="s">
        <v>4</v>
      </c>
      <c r="D277" s="64" t="s">
        <v>1760</v>
      </c>
      <c r="E277" s="42" t="s">
        <v>1766</v>
      </c>
      <c r="F277" s="42" t="s">
        <v>1765</v>
      </c>
      <c r="G277" s="42">
        <v>97</v>
      </c>
      <c r="H277" s="42" t="s">
        <v>577</v>
      </c>
      <c r="I277" s="42" t="s">
        <v>37</v>
      </c>
      <c r="J277" s="42">
        <v>10000</v>
      </c>
    </row>
    <row r="278" spans="1:22">
      <c r="A278" s="61" t="s">
        <v>1765</v>
      </c>
      <c r="C278" s="64" t="s">
        <v>4</v>
      </c>
      <c r="D278" s="64" t="s">
        <v>1760</v>
      </c>
      <c r="E278" s="42" t="s">
        <v>1766</v>
      </c>
      <c r="F278" s="42" t="s">
        <v>1765</v>
      </c>
      <c r="G278" s="42">
        <v>98</v>
      </c>
      <c r="H278" s="42" t="s">
        <v>585</v>
      </c>
      <c r="I278" s="42" t="s">
        <v>37</v>
      </c>
      <c r="J278" s="42">
        <v>30000</v>
      </c>
    </row>
    <row r="279" spans="1:22">
      <c r="A279" s="61" t="s">
        <v>1765</v>
      </c>
      <c r="C279" s="64" t="s">
        <v>4</v>
      </c>
      <c r="D279" s="64" t="s">
        <v>1760</v>
      </c>
      <c r="E279" s="42" t="s">
        <v>1766</v>
      </c>
      <c r="F279" s="42" t="s">
        <v>1765</v>
      </c>
      <c r="G279" s="42">
        <v>99</v>
      </c>
      <c r="H279" s="42" t="s">
        <v>757</v>
      </c>
      <c r="I279" s="42" t="s">
        <v>37</v>
      </c>
      <c r="J279" s="42">
        <v>210000</v>
      </c>
    </row>
    <row r="280" spans="1:22">
      <c r="A280" s="61" t="s">
        <v>1765</v>
      </c>
      <c r="C280" s="64" t="s">
        <v>4</v>
      </c>
      <c r="D280" s="64" t="s">
        <v>1760</v>
      </c>
      <c r="E280" s="42" t="s">
        <v>1766</v>
      </c>
      <c r="F280" s="42" t="s">
        <v>1765</v>
      </c>
      <c r="G280" s="42">
        <v>100</v>
      </c>
      <c r="H280" s="42" t="s">
        <v>952</v>
      </c>
      <c r="I280" s="42" t="s">
        <v>37</v>
      </c>
      <c r="J280" s="42">
        <v>5000</v>
      </c>
    </row>
    <row r="281" spans="1:22">
      <c r="A281" s="61" t="s">
        <v>1765</v>
      </c>
      <c r="C281" s="64" t="s">
        <v>4</v>
      </c>
      <c r="D281" s="64" t="s">
        <v>1760</v>
      </c>
      <c r="E281" s="42" t="s">
        <v>1766</v>
      </c>
      <c r="F281" s="42" t="s">
        <v>1765</v>
      </c>
      <c r="G281" s="42">
        <v>101</v>
      </c>
      <c r="H281" s="42" t="s">
        <v>1336</v>
      </c>
      <c r="I281" s="42" t="s">
        <v>37</v>
      </c>
      <c r="J281" s="42">
        <v>22000</v>
      </c>
    </row>
    <row r="282" spans="1:22">
      <c r="A282" s="61" t="s">
        <v>1765</v>
      </c>
      <c r="C282" s="64" t="s">
        <v>4</v>
      </c>
      <c r="D282" s="64" t="s">
        <v>1760</v>
      </c>
      <c r="E282" s="42" t="s">
        <v>1766</v>
      </c>
      <c r="F282" s="42" t="s">
        <v>1765</v>
      </c>
      <c r="G282" s="42">
        <v>102</v>
      </c>
      <c r="H282" s="42" t="s">
        <v>655</v>
      </c>
      <c r="I282" s="42" t="s">
        <v>37</v>
      </c>
      <c r="J282" s="42">
        <v>10000</v>
      </c>
    </row>
    <row r="283" spans="1:22">
      <c r="A283" s="61" t="s">
        <v>1765</v>
      </c>
      <c r="C283" s="64" t="s">
        <v>4</v>
      </c>
      <c r="D283" s="64" t="s">
        <v>1760</v>
      </c>
      <c r="E283" s="42" t="s">
        <v>1766</v>
      </c>
      <c r="F283" s="42" t="s">
        <v>1765</v>
      </c>
      <c r="G283" s="42">
        <v>103</v>
      </c>
      <c r="H283" s="42" t="s">
        <v>341</v>
      </c>
      <c r="I283" s="42" t="s">
        <v>37</v>
      </c>
      <c r="J283" s="42">
        <v>10000</v>
      </c>
    </row>
    <row r="284" spans="1:22">
      <c r="A284" s="61" t="s">
        <v>1765</v>
      </c>
      <c r="C284" s="64" t="s">
        <v>4</v>
      </c>
      <c r="D284" s="64" t="s">
        <v>1760</v>
      </c>
      <c r="E284" s="42" t="s">
        <v>1766</v>
      </c>
      <c r="F284" s="42" t="s">
        <v>1765</v>
      </c>
      <c r="G284" s="42">
        <v>104</v>
      </c>
      <c r="H284" s="42" t="s">
        <v>369</v>
      </c>
      <c r="I284" s="42" t="s">
        <v>37</v>
      </c>
      <c r="J284" s="42">
        <v>5000</v>
      </c>
    </row>
    <row r="285" spans="1:22">
      <c r="A285" s="61" t="s">
        <v>1765</v>
      </c>
      <c r="C285" s="64" t="s">
        <v>4</v>
      </c>
      <c r="D285" s="64" t="s">
        <v>1760</v>
      </c>
      <c r="E285" s="42" t="s">
        <v>1766</v>
      </c>
      <c r="F285" s="42" t="s">
        <v>1765</v>
      </c>
      <c r="G285" s="42">
        <v>105</v>
      </c>
      <c r="H285" s="42" t="s">
        <v>343</v>
      </c>
      <c r="I285" s="42" t="s">
        <v>37</v>
      </c>
      <c r="J285" s="42">
        <v>40000</v>
      </c>
    </row>
    <row r="286" spans="1:22">
      <c r="A286" s="61" t="s">
        <v>1765</v>
      </c>
      <c r="C286" s="64" t="s">
        <v>4</v>
      </c>
      <c r="D286" s="64" t="s">
        <v>1760</v>
      </c>
      <c r="E286" s="42" t="s">
        <v>1766</v>
      </c>
      <c r="F286" s="42" t="s">
        <v>1765</v>
      </c>
      <c r="G286" s="42">
        <v>106</v>
      </c>
      <c r="H286" s="42" t="s">
        <v>583</v>
      </c>
      <c r="I286" s="42" t="s">
        <v>37</v>
      </c>
      <c r="J286" s="42">
        <v>20000</v>
      </c>
    </row>
    <row r="287" spans="1:22">
      <c r="A287" s="61" t="s">
        <v>1765</v>
      </c>
      <c r="C287" s="64" t="s">
        <v>4</v>
      </c>
      <c r="D287" s="64" t="s">
        <v>1760</v>
      </c>
      <c r="E287" s="42" t="s">
        <v>1766</v>
      </c>
      <c r="F287" s="42" t="s">
        <v>1765</v>
      </c>
      <c r="G287" s="42">
        <v>1</v>
      </c>
      <c r="H287" s="42" t="s">
        <v>940</v>
      </c>
      <c r="I287" s="42" t="s">
        <v>106</v>
      </c>
      <c r="J287" s="42">
        <v>10000</v>
      </c>
    </row>
    <row r="288" spans="1:22">
      <c r="A288" s="61" t="s">
        <v>1765</v>
      </c>
      <c r="C288" s="64" t="s">
        <v>4</v>
      </c>
      <c r="D288" s="64" t="s">
        <v>1760</v>
      </c>
      <c r="E288" s="42" t="s">
        <v>1766</v>
      </c>
      <c r="F288" s="42" t="s">
        <v>1765</v>
      </c>
      <c r="G288" s="42">
        <v>2</v>
      </c>
      <c r="H288" s="42" t="s">
        <v>107</v>
      </c>
      <c r="I288" s="42" t="s">
        <v>106</v>
      </c>
      <c r="J288" s="42">
        <v>20000</v>
      </c>
    </row>
    <row r="289" spans="1:22">
      <c r="A289" s="61" t="s">
        <v>1765</v>
      </c>
      <c r="C289" s="64" t="s">
        <v>4</v>
      </c>
      <c r="D289" s="64" t="s">
        <v>1760</v>
      </c>
      <c r="E289" s="42" t="s">
        <v>1766</v>
      </c>
      <c r="F289" s="42" t="s">
        <v>1765</v>
      </c>
      <c r="G289" s="42">
        <v>3</v>
      </c>
      <c r="H289" s="42" t="s">
        <v>635</v>
      </c>
      <c r="I289" s="42" t="s">
        <v>106</v>
      </c>
      <c r="J289" s="42">
        <v>149978</v>
      </c>
    </row>
    <row r="290" spans="1:22">
      <c r="A290" s="61" t="s">
        <v>1765</v>
      </c>
      <c r="C290" s="64" t="s">
        <v>4</v>
      </c>
      <c r="D290" s="64" t="s">
        <v>1760</v>
      </c>
      <c r="E290" s="42" t="s">
        <v>1766</v>
      </c>
      <c r="F290" s="42" t="s">
        <v>1765</v>
      </c>
      <c r="G290" s="42">
        <v>4</v>
      </c>
      <c r="H290" s="42" t="s">
        <v>807</v>
      </c>
      <c r="I290" s="42" t="s">
        <v>106</v>
      </c>
      <c r="J290" s="42">
        <v>120042</v>
      </c>
    </row>
    <row r="291" spans="1:22">
      <c r="A291" s="61" t="s">
        <v>1765</v>
      </c>
      <c r="C291" s="64" t="s">
        <v>4</v>
      </c>
      <c r="D291" s="64" t="s">
        <v>1760</v>
      </c>
      <c r="E291" s="42" t="s">
        <v>1766</v>
      </c>
      <c r="F291" s="42" t="s">
        <v>1765</v>
      </c>
      <c r="G291" s="42">
        <v>5</v>
      </c>
      <c r="H291" s="42" t="s">
        <v>349</v>
      </c>
      <c r="I291" s="42" t="s">
        <v>158</v>
      </c>
      <c r="J291" s="42">
        <v>28000</v>
      </c>
    </row>
    <row r="292" spans="1:22">
      <c r="A292" s="61" t="s">
        <v>1765</v>
      </c>
      <c r="C292" s="64" t="s">
        <v>4</v>
      </c>
      <c r="D292" s="64" t="s">
        <v>1760</v>
      </c>
      <c r="E292" s="42" t="s">
        <v>1766</v>
      </c>
      <c r="F292" s="42" t="s">
        <v>1765</v>
      </c>
      <c r="G292" s="42">
        <v>6</v>
      </c>
      <c r="H292" s="42" t="s">
        <v>351</v>
      </c>
      <c r="I292" s="42" t="s">
        <v>158</v>
      </c>
      <c r="J292" s="42">
        <v>21000</v>
      </c>
    </row>
    <row r="293" spans="1:22">
      <c r="A293" s="61" t="s">
        <v>1765</v>
      </c>
      <c r="C293" s="64" t="s">
        <v>4</v>
      </c>
      <c r="D293" s="64" t="s">
        <v>1760</v>
      </c>
      <c r="E293" s="42" t="s">
        <v>1766</v>
      </c>
      <c r="F293" s="42" t="s">
        <v>1765</v>
      </c>
      <c r="G293" s="42">
        <v>7</v>
      </c>
      <c r="H293" s="42" t="s">
        <v>1353</v>
      </c>
      <c r="I293" s="42" t="s">
        <v>158</v>
      </c>
      <c r="J293" s="42">
        <v>2000</v>
      </c>
    </row>
    <row r="294" spans="1:22">
      <c r="A294" s="61" t="s">
        <v>1765</v>
      </c>
      <c r="C294" s="64" t="s">
        <v>4</v>
      </c>
      <c r="D294" s="64" t="s">
        <v>1760</v>
      </c>
      <c r="E294" s="42" t="s">
        <v>1766</v>
      </c>
      <c r="F294" s="42" t="s">
        <v>1765</v>
      </c>
      <c r="G294" s="42">
        <v>8</v>
      </c>
      <c r="H294" s="42" t="s">
        <v>395</v>
      </c>
      <c r="I294" s="42" t="s">
        <v>113</v>
      </c>
      <c r="J294" s="42">
        <v>20000</v>
      </c>
    </row>
    <row r="295" spans="1:22">
      <c r="A295" s="61" t="s">
        <v>1765</v>
      </c>
      <c r="C295" s="64" t="s">
        <v>4</v>
      </c>
      <c r="D295" s="64" t="s">
        <v>1760</v>
      </c>
      <c r="E295" s="42" t="s">
        <v>1766</v>
      </c>
      <c r="F295" s="42" t="s">
        <v>1765</v>
      </c>
      <c r="G295" s="42">
        <v>9</v>
      </c>
      <c r="H295" s="42" t="s">
        <v>733</v>
      </c>
      <c r="I295" s="42" t="s">
        <v>113</v>
      </c>
      <c r="J295" s="42">
        <v>20000</v>
      </c>
    </row>
    <row r="296" spans="1:22">
      <c r="A296" s="61" t="s">
        <v>1765</v>
      </c>
      <c r="C296" s="64" t="s">
        <v>4</v>
      </c>
      <c r="D296" s="64" t="s">
        <v>1760</v>
      </c>
      <c r="E296" s="42" t="s">
        <v>1766</v>
      </c>
      <c r="F296" s="42" t="s">
        <v>1765</v>
      </c>
      <c r="G296" s="42">
        <v>10</v>
      </c>
      <c r="H296" s="42" t="s">
        <v>347</v>
      </c>
      <c r="I296" s="42" t="s">
        <v>113</v>
      </c>
      <c r="J296" s="42">
        <v>18000</v>
      </c>
    </row>
    <row r="297" spans="1:22">
      <c r="A297" s="61" t="s">
        <v>1765</v>
      </c>
      <c r="C297" s="64" t="s">
        <v>4</v>
      </c>
      <c r="D297" s="64" t="s">
        <v>1760</v>
      </c>
      <c r="E297" s="42" t="s">
        <v>1766</v>
      </c>
      <c r="F297" s="42" t="s">
        <v>1765</v>
      </c>
      <c r="G297" s="42">
        <v>11</v>
      </c>
      <c r="H297" s="42" t="s">
        <v>409</v>
      </c>
      <c r="I297" s="42" t="s">
        <v>113</v>
      </c>
      <c r="J297" s="42">
        <v>10000</v>
      </c>
    </row>
    <row r="298" spans="1:22">
      <c r="A298" s="61" t="s">
        <v>1765</v>
      </c>
      <c r="C298" s="64" t="s">
        <v>4</v>
      </c>
      <c r="D298" s="64" t="s">
        <v>1760</v>
      </c>
      <c r="E298" s="42" t="s">
        <v>1766</v>
      </c>
      <c r="F298" s="42" t="s">
        <v>1765</v>
      </c>
      <c r="G298" s="42">
        <v>12</v>
      </c>
      <c r="H298" s="42" t="s">
        <v>160</v>
      </c>
      <c r="I298" s="42" t="s">
        <v>113</v>
      </c>
      <c r="J298" s="42">
        <v>30000</v>
      </c>
    </row>
    <row r="299" spans="1:22">
      <c r="A299" s="61" t="s">
        <v>1765</v>
      </c>
      <c r="C299" s="64" t="s">
        <v>4</v>
      </c>
      <c r="D299" s="64" t="s">
        <v>1760</v>
      </c>
      <c r="E299" s="42" t="s">
        <v>1766</v>
      </c>
      <c r="F299" s="42" t="s">
        <v>1765</v>
      </c>
      <c r="G299" s="42">
        <v>13</v>
      </c>
      <c r="H299" s="42" t="s">
        <v>399</v>
      </c>
      <c r="I299" s="42" t="s">
        <v>113</v>
      </c>
      <c r="J299" s="42">
        <v>20000</v>
      </c>
    </row>
    <row r="300" spans="1:22">
      <c r="A300" s="61" t="s">
        <v>1765</v>
      </c>
      <c r="C300" s="64" t="s">
        <v>4</v>
      </c>
      <c r="D300" s="64" t="s">
        <v>1760</v>
      </c>
      <c r="E300" s="42" t="s">
        <v>1766</v>
      </c>
      <c r="F300" s="42" t="s">
        <v>1765</v>
      </c>
      <c r="G300" s="42">
        <v>14</v>
      </c>
      <c r="H300" s="42" t="s">
        <v>929</v>
      </c>
      <c r="I300" s="42" t="s">
        <v>113</v>
      </c>
      <c r="J300" s="42">
        <v>89314</v>
      </c>
    </row>
    <row r="301" spans="1:22">
      <c r="A301" s="61" t="s">
        <v>1765</v>
      </c>
      <c r="C301" s="64" t="s">
        <v>4</v>
      </c>
      <c r="D301" s="64" t="s">
        <v>1760</v>
      </c>
      <c r="E301" s="42" t="s">
        <v>1766</v>
      </c>
      <c r="F301" s="42" t="s">
        <v>1765</v>
      </c>
      <c r="G301" s="42">
        <v>15</v>
      </c>
      <c r="H301" s="42" t="s">
        <v>737</v>
      </c>
      <c r="I301" s="42" t="s">
        <v>113</v>
      </c>
      <c r="J301" s="42">
        <v>51759</v>
      </c>
    </row>
    <row r="302" spans="1:22">
      <c r="A302" s="61" t="s">
        <v>1765</v>
      </c>
      <c r="C302" s="64" t="s">
        <v>4</v>
      </c>
      <c r="D302" s="64" t="s">
        <v>1760</v>
      </c>
      <c r="E302" s="42" t="s">
        <v>1766</v>
      </c>
      <c r="F302" s="42" t="s">
        <v>1765</v>
      </c>
      <c r="G302" s="42">
        <v>16</v>
      </c>
      <c r="H302" s="42" t="s">
        <v>103</v>
      </c>
      <c r="I302" s="42" t="s">
        <v>102</v>
      </c>
      <c r="J302" s="42">
        <v>30000</v>
      </c>
    </row>
    <row r="303" spans="1:22">
      <c r="A303" s="61" t="s">
        <v>1765</v>
      </c>
      <c r="C303" s="64" t="s">
        <v>4</v>
      </c>
      <c r="D303" s="64" t="s">
        <v>1760</v>
      </c>
      <c r="E303" s="42" t="s">
        <v>1766</v>
      </c>
      <c r="F303" s="42" t="s">
        <v>1765</v>
      </c>
      <c r="G303" s="42">
        <v>17</v>
      </c>
      <c r="H303" s="42" t="s">
        <v>197</v>
      </c>
      <c r="I303" s="42" t="s">
        <v>102</v>
      </c>
      <c r="J303" s="42">
        <v>96951</v>
      </c>
    </row>
    <row r="304" spans="1:22">
      <c r="A304" s="61" t="s">
        <v>1765</v>
      </c>
      <c r="C304" s="64" t="s">
        <v>4</v>
      </c>
      <c r="D304" s="64" t="s">
        <v>1760</v>
      </c>
      <c r="E304" s="42" t="s">
        <v>1766</v>
      </c>
      <c r="F304" s="42" t="s">
        <v>1765</v>
      </c>
      <c r="G304" s="42">
        <v>18</v>
      </c>
      <c r="H304" s="42" t="s">
        <v>895</v>
      </c>
      <c r="I304" s="42" t="s">
        <v>37</v>
      </c>
      <c r="J304" s="42">
        <v>10000</v>
      </c>
    </row>
    <row r="305" spans="1:22">
      <c r="A305" s="61" t="s">
        <v>1765</v>
      </c>
      <c r="C305" s="64" t="s">
        <v>4</v>
      </c>
      <c r="D305" s="64" t="s">
        <v>1760</v>
      </c>
      <c r="E305" s="42" t="s">
        <v>1766</v>
      </c>
      <c r="F305" s="42" t="s">
        <v>1765</v>
      </c>
      <c r="G305" s="42">
        <v>19</v>
      </c>
      <c r="H305" s="42" t="s">
        <v>353</v>
      </c>
      <c r="I305" s="42" t="s">
        <v>37</v>
      </c>
      <c r="J305" s="42">
        <v>20000</v>
      </c>
    </row>
    <row r="306" spans="1:22">
      <c r="A306" s="61" t="s">
        <v>1765</v>
      </c>
      <c r="C306" s="64" t="s">
        <v>4</v>
      </c>
      <c r="D306" s="64" t="s">
        <v>1760</v>
      </c>
      <c r="E306" s="42" t="s">
        <v>1766</v>
      </c>
      <c r="F306" s="42" t="s">
        <v>1765</v>
      </c>
      <c r="G306" s="42">
        <v>20</v>
      </c>
      <c r="H306" s="42" t="s">
        <v>355</v>
      </c>
      <c r="I306" s="42" t="s">
        <v>37</v>
      </c>
      <c r="J306" s="42">
        <v>8000</v>
      </c>
    </row>
    <row r="307" spans="1:22">
      <c r="A307" s="61" t="s">
        <v>1765</v>
      </c>
      <c r="C307" s="64" t="s">
        <v>4</v>
      </c>
      <c r="D307" s="64" t="s">
        <v>1760</v>
      </c>
      <c r="E307" s="42" t="s">
        <v>1766</v>
      </c>
      <c r="F307" s="42" t="s">
        <v>1765</v>
      </c>
      <c r="G307" s="42">
        <v>21</v>
      </c>
      <c r="H307" s="42" t="s">
        <v>357</v>
      </c>
      <c r="I307" s="42" t="s">
        <v>37</v>
      </c>
      <c r="J307" s="42">
        <v>5000</v>
      </c>
    </row>
    <row r="308" spans="1:22">
      <c r="A308" s="61" t="s">
        <v>1765</v>
      </c>
      <c r="C308" s="64" t="s">
        <v>4</v>
      </c>
      <c r="D308" s="64" t="s">
        <v>1760</v>
      </c>
      <c r="E308" s="42" t="s">
        <v>1766</v>
      </c>
      <c r="F308" s="42" t="s">
        <v>1765</v>
      </c>
      <c r="G308" s="42">
        <v>22</v>
      </c>
      <c r="H308" s="42" t="s">
        <v>411</v>
      </c>
      <c r="I308" s="42" t="s">
        <v>37</v>
      </c>
      <c r="J308" s="42">
        <v>20000</v>
      </c>
    </row>
    <row r="309" spans="1:22">
      <c r="A309" s="61" t="s">
        <v>1765</v>
      </c>
      <c r="C309" s="64" t="s">
        <v>4</v>
      </c>
      <c r="D309" s="64" t="s">
        <v>1760</v>
      </c>
      <c r="E309" s="42" t="s">
        <v>1766</v>
      </c>
      <c r="F309" s="42" t="s">
        <v>1765</v>
      </c>
      <c r="G309" s="42">
        <v>23</v>
      </c>
      <c r="H309" s="42" t="s">
        <v>941</v>
      </c>
      <c r="I309" s="42" t="s">
        <v>37</v>
      </c>
      <c r="J309" s="42">
        <v>10000</v>
      </c>
    </row>
    <row r="310" spans="1:22">
      <c r="A310" s="61" t="s">
        <v>1765</v>
      </c>
      <c r="C310" s="64" t="s">
        <v>4</v>
      </c>
      <c r="D310" s="64" t="s">
        <v>1760</v>
      </c>
      <c r="E310" s="42" t="s">
        <v>1766</v>
      </c>
      <c r="F310" s="42" t="s">
        <v>1765</v>
      </c>
      <c r="G310" s="42">
        <v>24</v>
      </c>
      <c r="H310" s="42" t="s">
        <v>897</v>
      </c>
      <c r="I310" s="42" t="s">
        <v>37</v>
      </c>
      <c r="J310" s="42">
        <v>10000</v>
      </c>
    </row>
    <row r="311" spans="1:22">
      <c r="A311" s="61" t="s">
        <v>1765</v>
      </c>
      <c r="C311" s="64" t="s">
        <v>4</v>
      </c>
      <c r="D311" s="64" t="s">
        <v>1760</v>
      </c>
      <c r="E311" s="42" t="s">
        <v>1766</v>
      </c>
      <c r="F311" s="42" t="s">
        <v>1765</v>
      </c>
      <c r="G311" s="42">
        <v>25</v>
      </c>
      <c r="H311" s="42" t="s">
        <v>48</v>
      </c>
      <c r="I311" s="42" t="s">
        <v>37</v>
      </c>
      <c r="J311" s="42">
        <v>20000</v>
      </c>
    </row>
    <row r="312" spans="1:22">
      <c r="A312" s="61" t="s">
        <v>1765</v>
      </c>
      <c r="C312" s="64" t="s">
        <v>4</v>
      </c>
      <c r="D312" s="64" t="s">
        <v>1760</v>
      </c>
      <c r="E312" s="42" t="s">
        <v>1766</v>
      </c>
      <c r="F312" s="42" t="s">
        <v>1765</v>
      </c>
      <c r="G312" s="42">
        <v>26</v>
      </c>
      <c r="H312" s="42" t="s">
        <v>211</v>
      </c>
      <c r="I312" s="42" t="s">
        <v>37</v>
      </c>
      <c r="J312" s="42">
        <v>10000</v>
      </c>
    </row>
    <row r="313" spans="1:22">
      <c r="A313" s="61" t="s">
        <v>1765</v>
      </c>
      <c r="C313" s="64" t="s">
        <v>4</v>
      </c>
      <c r="D313" s="64" t="s">
        <v>1760</v>
      </c>
      <c r="E313" s="42" t="s">
        <v>1766</v>
      </c>
      <c r="F313" s="42" t="s">
        <v>1765</v>
      </c>
      <c r="G313" s="42">
        <v>27</v>
      </c>
      <c r="H313" s="42" t="s">
        <v>407</v>
      </c>
      <c r="I313" s="42" t="s">
        <v>37</v>
      </c>
      <c r="J313" s="42">
        <v>20000</v>
      </c>
    </row>
    <row r="314" spans="1:22">
      <c r="A314" s="61" t="s">
        <v>1765</v>
      </c>
      <c r="C314" s="64" t="s">
        <v>4</v>
      </c>
      <c r="D314" s="64" t="s">
        <v>1760</v>
      </c>
      <c r="E314" s="42" t="s">
        <v>1766</v>
      </c>
      <c r="F314" s="42" t="s">
        <v>1765</v>
      </c>
      <c r="G314" s="42">
        <v>28</v>
      </c>
      <c r="H314" s="42" t="s">
        <v>367</v>
      </c>
      <c r="I314" s="42" t="s">
        <v>37</v>
      </c>
      <c r="J314" s="42">
        <v>20000</v>
      </c>
    </row>
    <row r="315" spans="1:22">
      <c r="A315" s="61" t="s">
        <v>1765</v>
      </c>
      <c r="C315" s="64" t="s">
        <v>4</v>
      </c>
      <c r="D315" s="64" t="s">
        <v>1760</v>
      </c>
      <c r="E315" s="42" t="s">
        <v>1766</v>
      </c>
      <c r="F315" s="42" t="s">
        <v>1765</v>
      </c>
      <c r="G315" s="42">
        <v>29</v>
      </c>
      <c r="H315" s="42" t="s">
        <v>389</v>
      </c>
      <c r="I315" s="42" t="s">
        <v>37</v>
      </c>
      <c r="J315" s="42">
        <v>310000</v>
      </c>
    </row>
    <row r="316" spans="1:22">
      <c r="A316" s="61" t="s">
        <v>1765</v>
      </c>
      <c r="C316" s="64" t="s">
        <v>4</v>
      </c>
      <c r="D316" s="64" t="s">
        <v>1760</v>
      </c>
      <c r="E316" s="42" t="s">
        <v>1766</v>
      </c>
      <c r="F316" s="42" t="s">
        <v>1765</v>
      </c>
      <c r="G316" s="42">
        <v>30</v>
      </c>
      <c r="H316" s="42" t="s">
        <v>413</v>
      </c>
      <c r="I316" s="42" t="s">
        <v>37</v>
      </c>
      <c r="J316" s="42">
        <v>10000</v>
      </c>
    </row>
    <row r="317" spans="1:22">
      <c r="A317" s="61" t="s">
        <v>1765</v>
      </c>
      <c r="C317" s="64" t="s">
        <v>4</v>
      </c>
      <c r="D317" s="64" t="s">
        <v>1760</v>
      </c>
      <c r="E317" s="42" t="s">
        <v>1766</v>
      </c>
      <c r="F317" s="42" t="s">
        <v>1765</v>
      </c>
      <c r="G317" s="42">
        <v>31</v>
      </c>
      <c r="H317" s="42" t="s">
        <v>373</v>
      </c>
      <c r="I317" s="42" t="s">
        <v>37</v>
      </c>
      <c r="J317" s="42">
        <v>20000</v>
      </c>
    </row>
    <row r="318" spans="1:22">
      <c r="A318" s="61" t="s">
        <v>1765</v>
      </c>
      <c r="C318" s="64" t="s">
        <v>4</v>
      </c>
      <c r="D318" s="64" t="s">
        <v>1760</v>
      </c>
      <c r="E318" s="42" t="s">
        <v>1766</v>
      </c>
      <c r="F318" s="42" t="s">
        <v>1765</v>
      </c>
      <c r="G318" s="42">
        <v>32</v>
      </c>
      <c r="H318" s="42" t="s">
        <v>375</v>
      </c>
      <c r="I318" s="42" t="s">
        <v>37</v>
      </c>
      <c r="J318" s="42">
        <v>20000</v>
      </c>
    </row>
    <row r="319" spans="1:22">
      <c r="A319" s="61" t="s">
        <v>1765</v>
      </c>
      <c r="C319" s="64" t="s">
        <v>4</v>
      </c>
      <c r="D319" s="64" t="s">
        <v>1760</v>
      </c>
      <c r="E319" s="42" t="s">
        <v>1766</v>
      </c>
      <c r="F319" s="42" t="s">
        <v>1765</v>
      </c>
      <c r="G319" s="42">
        <v>33</v>
      </c>
      <c r="H319" s="42" t="s">
        <v>365</v>
      </c>
      <c r="I319" s="42" t="s">
        <v>37</v>
      </c>
      <c r="J319" s="42">
        <v>6000</v>
      </c>
    </row>
    <row r="320" spans="1:22">
      <c r="A320" s="61" t="s">
        <v>1765</v>
      </c>
      <c r="C320" s="64" t="s">
        <v>4</v>
      </c>
      <c r="D320" s="64" t="s">
        <v>1760</v>
      </c>
      <c r="E320" s="42" t="s">
        <v>1766</v>
      </c>
      <c r="F320" s="42" t="s">
        <v>1765</v>
      </c>
      <c r="G320" s="42">
        <v>34</v>
      </c>
      <c r="H320" s="42" t="s">
        <v>339</v>
      </c>
      <c r="I320" s="42" t="s">
        <v>37</v>
      </c>
      <c r="J320" s="42">
        <v>10000</v>
      </c>
    </row>
    <row r="321" spans="1:22">
      <c r="A321" s="61" t="s">
        <v>1765</v>
      </c>
      <c r="C321" s="64" t="s">
        <v>4</v>
      </c>
      <c r="D321" s="64" t="s">
        <v>1760</v>
      </c>
      <c r="E321" s="42" t="s">
        <v>1766</v>
      </c>
      <c r="F321" s="42" t="s">
        <v>1765</v>
      </c>
      <c r="G321" s="42">
        <v>35</v>
      </c>
      <c r="H321" s="42" t="s">
        <v>345</v>
      </c>
      <c r="I321" s="42" t="s">
        <v>37</v>
      </c>
      <c r="J321" s="42">
        <v>10000</v>
      </c>
    </row>
    <row r="322" spans="1:22">
      <c r="A322" s="61" t="s">
        <v>1765</v>
      </c>
      <c r="C322" s="64" t="s">
        <v>4</v>
      </c>
      <c r="D322" s="64" t="s">
        <v>1760</v>
      </c>
      <c r="E322" s="42" t="s">
        <v>1766</v>
      </c>
      <c r="F322" s="42" t="s">
        <v>1765</v>
      </c>
      <c r="G322" s="42">
        <v>36</v>
      </c>
      <c r="H322" s="42" t="s">
        <v>393</v>
      </c>
      <c r="I322" s="42" t="s">
        <v>37</v>
      </c>
      <c r="J322" s="42">
        <v>20000</v>
      </c>
    </row>
    <row r="323" spans="1:22">
      <c r="A323" s="61" t="s">
        <v>1765</v>
      </c>
      <c r="C323" s="64" t="s">
        <v>4</v>
      </c>
      <c r="D323" s="64" t="s">
        <v>1760</v>
      </c>
      <c r="E323" s="42" t="s">
        <v>1766</v>
      </c>
      <c r="F323" s="42" t="s">
        <v>1765</v>
      </c>
      <c r="G323" s="42">
        <v>37</v>
      </c>
      <c r="H323" s="42" t="s">
        <v>573</v>
      </c>
      <c r="I323" s="42" t="s">
        <v>37</v>
      </c>
      <c r="J323" s="42">
        <v>20000</v>
      </c>
    </row>
    <row r="324" spans="1:22">
      <c r="A324" s="61" t="s">
        <v>1765</v>
      </c>
      <c r="C324" s="64" t="s">
        <v>4</v>
      </c>
      <c r="D324" s="64" t="s">
        <v>1760</v>
      </c>
      <c r="E324" s="42" t="s">
        <v>1766</v>
      </c>
      <c r="F324" s="42" t="s">
        <v>1765</v>
      </c>
      <c r="G324" s="42">
        <v>38</v>
      </c>
      <c r="H324" s="42" t="s">
        <v>942</v>
      </c>
      <c r="I324" s="42" t="s">
        <v>37</v>
      </c>
      <c r="J324" s="42">
        <v>10000</v>
      </c>
    </row>
    <row r="325" spans="1:22">
      <c r="A325" s="61" t="s">
        <v>1765</v>
      </c>
      <c r="C325" s="64" t="s">
        <v>4</v>
      </c>
      <c r="D325" s="64" t="s">
        <v>1760</v>
      </c>
      <c r="E325" s="42" t="s">
        <v>1766</v>
      </c>
      <c r="F325" s="42" t="s">
        <v>1765</v>
      </c>
      <c r="G325" s="42">
        <v>39</v>
      </c>
      <c r="H325" s="42" t="s">
        <v>944</v>
      </c>
      <c r="I325" s="42" t="s">
        <v>37</v>
      </c>
      <c r="J325" s="42">
        <v>10000</v>
      </c>
    </row>
    <row r="326" spans="1:22">
      <c r="A326" s="61" t="s">
        <v>1765</v>
      </c>
      <c r="C326" s="64" t="s">
        <v>4</v>
      </c>
      <c r="D326" s="64" t="s">
        <v>1760</v>
      </c>
      <c r="E326" s="42" t="s">
        <v>1766</v>
      </c>
      <c r="F326" s="42" t="s">
        <v>1765</v>
      </c>
      <c r="G326" s="42">
        <v>40</v>
      </c>
      <c r="H326" s="42" t="s">
        <v>739</v>
      </c>
      <c r="I326" s="42" t="s">
        <v>37</v>
      </c>
      <c r="J326" s="42">
        <v>60000</v>
      </c>
    </row>
    <row r="327" spans="1:22">
      <c r="A327" s="61" t="s">
        <v>1765</v>
      </c>
      <c r="C327" s="64" t="s">
        <v>4</v>
      </c>
      <c r="D327" s="64" t="s">
        <v>1760</v>
      </c>
      <c r="E327" s="42" t="s">
        <v>1766</v>
      </c>
      <c r="F327" s="42" t="s">
        <v>1765</v>
      </c>
      <c r="G327" s="42">
        <v>41</v>
      </c>
      <c r="H327" s="42" t="s">
        <v>589</v>
      </c>
      <c r="I327" s="42" t="s">
        <v>37</v>
      </c>
      <c r="J327" s="42">
        <v>20000</v>
      </c>
    </row>
    <row r="328" spans="1:22">
      <c r="A328" s="61" t="s">
        <v>1765</v>
      </c>
      <c r="C328" s="64" t="s">
        <v>4</v>
      </c>
      <c r="D328" s="64" t="s">
        <v>1760</v>
      </c>
      <c r="E328" s="42" t="s">
        <v>1766</v>
      </c>
      <c r="F328" s="42" t="s">
        <v>1765</v>
      </c>
      <c r="G328" s="42">
        <v>42</v>
      </c>
      <c r="H328" s="42" t="s">
        <v>587</v>
      </c>
      <c r="I328" s="42" t="s">
        <v>37</v>
      </c>
      <c r="J328" s="42">
        <v>20000</v>
      </c>
    </row>
    <row r="329" spans="1:22">
      <c r="A329" s="61" t="s">
        <v>1765</v>
      </c>
      <c r="C329" s="64" t="s">
        <v>4</v>
      </c>
      <c r="D329" s="64" t="s">
        <v>1760</v>
      </c>
      <c r="E329" s="42" t="s">
        <v>1766</v>
      </c>
      <c r="F329" s="42" t="s">
        <v>1765</v>
      </c>
      <c r="G329" s="42">
        <v>43</v>
      </c>
      <c r="H329" s="42" t="s">
        <v>1342</v>
      </c>
      <c r="I329" s="42" t="s">
        <v>37</v>
      </c>
      <c r="J329" s="42">
        <v>25000</v>
      </c>
    </row>
    <row r="330" spans="1:22">
      <c r="A330" s="61" t="s">
        <v>1765</v>
      </c>
      <c r="C330" s="64" t="s">
        <v>4</v>
      </c>
      <c r="D330" s="64" t="s">
        <v>1760</v>
      </c>
      <c r="E330" s="42" t="s">
        <v>1766</v>
      </c>
      <c r="F330" s="42" t="s">
        <v>1765</v>
      </c>
      <c r="G330" s="42">
        <v>44</v>
      </c>
      <c r="H330" s="42" t="s">
        <v>581</v>
      </c>
      <c r="I330" s="42" t="s">
        <v>37</v>
      </c>
      <c r="J330" s="42">
        <v>10000</v>
      </c>
    </row>
    <row r="331" spans="1:22">
      <c r="A331" s="61" t="s">
        <v>1765</v>
      </c>
      <c r="C331" s="64" t="s">
        <v>4</v>
      </c>
      <c r="D331" s="64" t="s">
        <v>1760</v>
      </c>
      <c r="E331" s="42" t="s">
        <v>1766</v>
      </c>
      <c r="F331" s="42" t="s">
        <v>1765</v>
      </c>
      <c r="G331" s="42">
        <v>45</v>
      </c>
      <c r="H331" s="42" t="s">
        <v>575</v>
      </c>
      <c r="I331" s="42" t="s">
        <v>37</v>
      </c>
      <c r="J331" s="42">
        <v>20000</v>
      </c>
    </row>
    <row r="332" spans="1:22">
      <c r="A332" s="61" t="s">
        <v>1765</v>
      </c>
      <c r="C332" s="64" t="s">
        <v>4</v>
      </c>
      <c r="D332" s="64" t="s">
        <v>1760</v>
      </c>
      <c r="E332" s="42" t="s">
        <v>1766</v>
      </c>
      <c r="F332" s="42" t="s">
        <v>1765</v>
      </c>
      <c r="G332" s="42">
        <v>46</v>
      </c>
      <c r="H332" s="42" t="s">
        <v>629</v>
      </c>
      <c r="I332" s="42" t="s">
        <v>37</v>
      </c>
      <c r="J332" s="42">
        <v>30000</v>
      </c>
    </row>
    <row r="333" spans="1:22">
      <c r="A333" s="61" t="s">
        <v>1765</v>
      </c>
      <c r="C333" s="64" t="s">
        <v>4</v>
      </c>
      <c r="D333" s="64" t="s">
        <v>1760</v>
      </c>
      <c r="E333" s="42" t="s">
        <v>1766</v>
      </c>
      <c r="F333" s="42" t="s">
        <v>1765</v>
      </c>
      <c r="G333" s="42">
        <v>47</v>
      </c>
      <c r="H333" s="42" t="s">
        <v>735</v>
      </c>
      <c r="I333" s="42" t="s">
        <v>37</v>
      </c>
      <c r="J333" s="42">
        <v>55000</v>
      </c>
    </row>
    <row r="334" spans="1:22">
      <c r="A334" s="61" t="s">
        <v>1765</v>
      </c>
      <c r="C334" s="64" t="s">
        <v>4</v>
      </c>
      <c r="D334" s="64" t="s">
        <v>1760</v>
      </c>
      <c r="E334" s="42" t="s">
        <v>1766</v>
      </c>
      <c r="F334" s="42" t="s">
        <v>1765</v>
      </c>
      <c r="G334" s="42">
        <v>48</v>
      </c>
      <c r="H334" s="42" t="s">
        <v>741</v>
      </c>
      <c r="I334" s="42" t="s">
        <v>37</v>
      </c>
      <c r="J334" s="42">
        <v>30000</v>
      </c>
    </row>
    <row r="335" spans="1:22">
      <c r="A335" s="61" t="s">
        <v>1765</v>
      </c>
      <c r="C335" s="64" t="s">
        <v>4</v>
      </c>
      <c r="D335" s="64" t="s">
        <v>1760</v>
      </c>
      <c r="E335" s="42" t="s">
        <v>1766</v>
      </c>
      <c r="F335" s="42" t="s">
        <v>1765</v>
      </c>
      <c r="G335" s="42">
        <v>49</v>
      </c>
      <c r="H335" s="42" t="s">
        <v>627</v>
      </c>
      <c r="I335" s="42" t="s">
        <v>37</v>
      </c>
      <c r="J335" s="42">
        <v>15000</v>
      </c>
    </row>
    <row r="336" spans="1:22">
      <c r="A336" s="61" t="s">
        <v>1765</v>
      </c>
      <c r="C336" s="64" t="s">
        <v>4</v>
      </c>
      <c r="D336" s="64" t="s">
        <v>1760</v>
      </c>
      <c r="E336" s="42" t="s">
        <v>1766</v>
      </c>
      <c r="F336" s="42" t="s">
        <v>1765</v>
      </c>
      <c r="G336" s="42">
        <v>50</v>
      </c>
      <c r="H336" s="42" t="s">
        <v>705</v>
      </c>
      <c r="I336" s="42" t="s">
        <v>37</v>
      </c>
      <c r="J336" s="42">
        <v>80000</v>
      </c>
    </row>
    <row r="337" spans="1:22">
      <c r="A337" s="61" t="s">
        <v>1765</v>
      </c>
      <c r="C337" s="64" t="s">
        <v>4</v>
      </c>
      <c r="D337" s="64" t="s">
        <v>1760</v>
      </c>
      <c r="E337" s="42" t="s">
        <v>1766</v>
      </c>
      <c r="F337" s="42" t="s">
        <v>1765</v>
      </c>
      <c r="G337" s="42">
        <v>51</v>
      </c>
      <c r="H337" s="42" t="s">
        <v>651</v>
      </c>
      <c r="I337" s="42" t="s">
        <v>37</v>
      </c>
      <c r="J337" s="42">
        <v>10000</v>
      </c>
    </row>
    <row r="338" spans="1:22">
      <c r="A338" s="61" t="s">
        <v>1765</v>
      </c>
      <c r="C338" s="64" t="s">
        <v>4</v>
      </c>
      <c r="D338" s="64" t="s">
        <v>1760</v>
      </c>
      <c r="E338" s="42" t="s">
        <v>1766</v>
      </c>
      <c r="F338" s="42" t="s">
        <v>1765</v>
      </c>
      <c r="G338" s="42">
        <v>52</v>
      </c>
      <c r="H338" s="42" t="s">
        <v>653</v>
      </c>
      <c r="I338" s="42" t="s">
        <v>37</v>
      </c>
      <c r="J338" s="42">
        <v>10000</v>
      </c>
    </row>
    <row r="339" spans="1:22">
      <c r="A339" s="61" t="s">
        <v>1765</v>
      </c>
      <c r="C339" s="64" t="s">
        <v>4</v>
      </c>
      <c r="D339" s="64" t="s">
        <v>1760</v>
      </c>
      <c r="E339" s="42" t="s">
        <v>1766</v>
      </c>
      <c r="F339" s="42" t="s">
        <v>1765</v>
      </c>
      <c r="G339" s="42">
        <v>53</v>
      </c>
      <c r="H339" s="42" t="s">
        <v>921</v>
      </c>
      <c r="I339" s="42" t="s">
        <v>37</v>
      </c>
      <c r="J339" s="42">
        <v>40000</v>
      </c>
    </row>
    <row r="340" spans="1:22">
      <c r="A340" s="61" t="s">
        <v>1765</v>
      </c>
      <c r="C340" s="64" t="s">
        <v>4</v>
      </c>
      <c r="D340" s="64" t="s">
        <v>1760</v>
      </c>
      <c r="E340" s="42" t="s">
        <v>1766</v>
      </c>
      <c r="F340" s="42" t="s">
        <v>1765</v>
      </c>
      <c r="G340" s="42">
        <v>54</v>
      </c>
      <c r="H340" s="42" t="s">
        <v>631</v>
      </c>
      <c r="I340" s="42" t="s">
        <v>37</v>
      </c>
      <c r="J340" s="42">
        <v>55000</v>
      </c>
    </row>
    <row r="341" spans="1:22">
      <c r="A341" s="61" t="s">
        <v>1765</v>
      </c>
      <c r="C341" s="64" t="s">
        <v>4</v>
      </c>
      <c r="D341" s="64" t="s">
        <v>1760</v>
      </c>
      <c r="E341" s="42" t="s">
        <v>1766</v>
      </c>
      <c r="F341" s="42" t="s">
        <v>1765</v>
      </c>
      <c r="G341" s="42">
        <v>55</v>
      </c>
      <c r="H341" s="42" t="s">
        <v>707</v>
      </c>
      <c r="I341" s="42" t="s">
        <v>37</v>
      </c>
      <c r="J341" s="42">
        <v>40000</v>
      </c>
    </row>
    <row r="342" spans="1:22">
      <c r="A342" s="61" t="s">
        <v>1765</v>
      </c>
      <c r="C342" s="64" t="s">
        <v>4</v>
      </c>
      <c r="D342" s="64" t="s">
        <v>1760</v>
      </c>
      <c r="E342" s="42" t="s">
        <v>1766</v>
      </c>
      <c r="F342" s="42" t="s">
        <v>1765</v>
      </c>
      <c r="G342" s="42">
        <v>56</v>
      </c>
      <c r="H342" s="42" t="s">
        <v>633</v>
      </c>
      <c r="I342" s="42" t="s">
        <v>37</v>
      </c>
      <c r="J342" s="42">
        <v>30000</v>
      </c>
    </row>
    <row r="343" spans="1:22">
      <c r="A343" s="61" t="s">
        <v>1765</v>
      </c>
      <c r="C343" s="64" t="s">
        <v>4</v>
      </c>
      <c r="D343" s="64" t="s">
        <v>1760</v>
      </c>
      <c r="E343" s="42" t="s">
        <v>1766</v>
      </c>
      <c r="F343" s="42" t="s">
        <v>1765</v>
      </c>
      <c r="G343" s="42">
        <v>57</v>
      </c>
      <c r="H343" s="42" t="s">
        <v>625</v>
      </c>
      <c r="I343" s="42" t="s">
        <v>37</v>
      </c>
      <c r="J343" s="42">
        <v>10000</v>
      </c>
    </row>
    <row r="344" spans="1:22">
      <c r="A344" s="61" t="s">
        <v>1765</v>
      </c>
      <c r="C344" s="64" t="s">
        <v>4</v>
      </c>
      <c r="D344" s="64" t="s">
        <v>1760</v>
      </c>
      <c r="E344" s="42" t="s">
        <v>1766</v>
      </c>
      <c r="F344" s="42" t="s">
        <v>1765</v>
      </c>
      <c r="G344" s="42">
        <v>58</v>
      </c>
      <c r="H344" s="42" t="s">
        <v>759</v>
      </c>
      <c r="I344" s="42" t="s">
        <v>37</v>
      </c>
      <c r="J344" s="42">
        <v>30000</v>
      </c>
    </row>
    <row r="345" spans="1:22">
      <c r="A345" s="61" t="s">
        <v>1765</v>
      </c>
      <c r="C345" s="64" t="s">
        <v>4</v>
      </c>
      <c r="D345" s="64" t="s">
        <v>1760</v>
      </c>
      <c r="E345" s="42" t="s">
        <v>1766</v>
      </c>
      <c r="F345" s="42" t="s">
        <v>1765</v>
      </c>
      <c r="G345" s="42">
        <v>59</v>
      </c>
      <c r="H345" s="42" t="s">
        <v>539</v>
      </c>
      <c r="I345" s="42" t="s">
        <v>37</v>
      </c>
      <c r="J345" s="42">
        <v>20000</v>
      </c>
    </row>
    <row r="346" spans="1:22">
      <c r="A346" s="61" t="s">
        <v>1765</v>
      </c>
      <c r="C346" s="64" t="s">
        <v>4</v>
      </c>
      <c r="D346" s="64" t="s">
        <v>1760</v>
      </c>
      <c r="E346" s="42" t="s">
        <v>1766</v>
      </c>
      <c r="F346" s="42" t="s">
        <v>1765</v>
      </c>
      <c r="G346" s="42">
        <v>60</v>
      </c>
      <c r="H346" s="42" t="s">
        <v>801</v>
      </c>
      <c r="I346" s="42" t="s">
        <v>37</v>
      </c>
      <c r="J346" s="42">
        <v>70000</v>
      </c>
    </row>
    <row r="347" spans="1:22">
      <c r="A347" s="61" t="s">
        <v>1765</v>
      </c>
      <c r="C347" s="64" t="s">
        <v>4</v>
      </c>
      <c r="D347" s="64" t="s">
        <v>1760</v>
      </c>
      <c r="E347" s="42" t="s">
        <v>1766</v>
      </c>
      <c r="F347" s="42" t="s">
        <v>1765</v>
      </c>
      <c r="G347" s="42">
        <v>61</v>
      </c>
      <c r="H347" s="42" t="s">
        <v>947</v>
      </c>
      <c r="I347" s="42" t="s">
        <v>37</v>
      </c>
      <c r="J347" s="42">
        <v>20000</v>
      </c>
    </row>
    <row r="348" spans="1:22">
      <c r="A348" s="61" t="s">
        <v>1765</v>
      </c>
      <c r="C348" s="64" t="s">
        <v>4</v>
      </c>
      <c r="D348" s="64" t="s">
        <v>1760</v>
      </c>
      <c r="E348" s="42" t="s">
        <v>1766</v>
      </c>
      <c r="F348" s="42" t="s">
        <v>1765</v>
      </c>
      <c r="G348" s="42">
        <v>62</v>
      </c>
      <c r="H348" s="42" t="s">
        <v>923</v>
      </c>
      <c r="I348" s="42" t="s">
        <v>37</v>
      </c>
      <c r="J348" s="42">
        <v>90000</v>
      </c>
    </row>
    <row r="349" spans="1:22">
      <c r="A349" s="61" t="s">
        <v>1765</v>
      </c>
      <c r="C349" s="64" t="s">
        <v>4</v>
      </c>
      <c r="D349" s="64" t="s">
        <v>1760</v>
      </c>
      <c r="E349" s="42" t="s">
        <v>1766</v>
      </c>
      <c r="F349" s="42" t="s">
        <v>1765</v>
      </c>
      <c r="G349" s="42">
        <v>63</v>
      </c>
      <c r="H349" s="42" t="s">
        <v>925</v>
      </c>
      <c r="I349" s="42" t="s">
        <v>37</v>
      </c>
      <c r="J349" s="42">
        <v>20000</v>
      </c>
    </row>
    <row r="350" spans="1:22">
      <c r="A350" s="61" t="s">
        <v>1765</v>
      </c>
      <c r="C350" s="64" t="s">
        <v>4</v>
      </c>
      <c r="D350" s="64" t="s">
        <v>1760</v>
      </c>
      <c r="E350" s="42" t="s">
        <v>1766</v>
      </c>
      <c r="F350" s="42" t="s">
        <v>1765</v>
      </c>
      <c r="G350" s="42">
        <v>64</v>
      </c>
      <c r="H350" s="42" t="s">
        <v>927</v>
      </c>
      <c r="I350" s="42" t="s">
        <v>37</v>
      </c>
      <c r="J350" s="42">
        <v>10000</v>
      </c>
    </row>
    <row r="351" spans="1:22">
      <c r="A351" s="61" t="s">
        <v>1765</v>
      </c>
      <c r="C351" s="64" t="s">
        <v>4</v>
      </c>
      <c r="D351" s="64" t="s">
        <v>1760</v>
      </c>
      <c r="E351" s="42" t="s">
        <v>1766</v>
      </c>
      <c r="F351" s="42" t="s">
        <v>1765</v>
      </c>
      <c r="G351" s="42">
        <v>65</v>
      </c>
      <c r="H351" s="42" t="s">
        <v>1319</v>
      </c>
      <c r="I351" s="42" t="s">
        <v>37</v>
      </c>
      <c r="J351" s="42">
        <v>30000</v>
      </c>
    </row>
    <row r="352" spans="1:22">
      <c r="A352" s="61" t="s">
        <v>1765</v>
      </c>
      <c r="C352" s="64" t="s">
        <v>4</v>
      </c>
      <c r="D352" s="64" t="s">
        <v>1760</v>
      </c>
      <c r="E352" s="42" t="s">
        <v>1766</v>
      </c>
      <c r="F352" s="42" t="s">
        <v>1765</v>
      </c>
      <c r="G352" s="42">
        <v>66</v>
      </c>
      <c r="H352" s="42" t="s">
        <v>1320</v>
      </c>
      <c r="I352" s="42" t="s">
        <v>37</v>
      </c>
      <c r="J352" s="42">
        <v>5000</v>
      </c>
    </row>
    <row r="353" spans="1:22">
      <c r="A353" s="61" t="s">
        <v>1767</v>
      </c>
      <c r="C353" s="64" t="s">
        <v>4</v>
      </c>
      <c r="D353" s="64" t="s">
        <v>1760</v>
      </c>
      <c r="E353" s="42" t="s">
        <v>1768</v>
      </c>
      <c r="F353" s="42" t="s">
        <v>1767</v>
      </c>
      <c r="G353" s="42">
        <v>1</v>
      </c>
      <c r="H353" s="42" t="s">
        <v>807</v>
      </c>
      <c r="I353" s="42" t="s">
        <v>106</v>
      </c>
      <c r="J353" s="42">
        <v>30000</v>
      </c>
    </row>
    <row r="354" spans="1:22">
      <c r="A354" s="61" t="s">
        <v>1767</v>
      </c>
      <c r="C354" s="64" t="s">
        <v>4</v>
      </c>
      <c r="D354" s="64" t="s">
        <v>1760</v>
      </c>
      <c r="E354" s="42" t="s">
        <v>1768</v>
      </c>
      <c r="F354" s="42" t="s">
        <v>1767</v>
      </c>
      <c r="G354" s="42">
        <v>2</v>
      </c>
      <c r="H354" s="42" t="s">
        <v>971</v>
      </c>
      <c r="I354" s="42" t="s">
        <v>37</v>
      </c>
      <c r="J354" s="42">
        <v>22682</v>
      </c>
    </row>
    <row r="355" spans="1:22">
      <c r="A355" s="61" t="s">
        <v>1767</v>
      </c>
      <c r="C355" s="64" t="s">
        <v>4</v>
      </c>
      <c r="D355" s="64" t="s">
        <v>1760</v>
      </c>
      <c r="E355" s="42" t="s">
        <v>1768</v>
      </c>
      <c r="F355" s="42" t="s">
        <v>1767</v>
      </c>
      <c r="G355" s="42">
        <v>3</v>
      </c>
      <c r="H355" s="42" t="s">
        <v>1318</v>
      </c>
      <c r="I355" s="42" t="s">
        <v>37</v>
      </c>
      <c r="J355" s="42">
        <v>55439</v>
      </c>
    </row>
    <row r="356" spans="1:22">
      <c r="A356" s="61" t="s">
        <v>1767</v>
      </c>
      <c r="C356" s="64" t="s">
        <v>4</v>
      </c>
      <c r="D356" s="64" t="s">
        <v>1760</v>
      </c>
      <c r="E356" s="42" t="s">
        <v>1768</v>
      </c>
      <c r="F356" s="42" t="s">
        <v>1767</v>
      </c>
      <c r="G356" s="42">
        <v>4</v>
      </c>
      <c r="H356" s="42" t="s">
        <v>1331</v>
      </c>
      <c r="I356" s="42" t="s">
        <v>37</v>
      </c>
      <c r="J356" s="42">
        <v>250000</v>
      </c>
    </row>
    <row r="357" spans="1:22">
      <c r="A357" s="61" t="s">
        <v>1767</v>
      </c>
      <c r="C357" s="64" t="s">
        <v>4</v>
      </c>
      <c r="D357" s="64" t="s">
        <v>1760</v>
      </c>
      <c r="E357" s="42" t="s">
        <v>1768</v>
      </c>
      <c r="F357" s="42" t="s">
        <v>1767</v>
      </c>
      <c r="G357" s="42">
        <v>5</v>
      </c>
      <c r="H357" s="42" t="s">
        <v>1324</v>
      </c>
      <c r="I357" s="42" t="s">
        <v>37</v>
      </c>
      <c r="J357" s="42">
        <v>20000</v>
      </c>
    </row>
    <row r="358" spans="1:22">
      <c r="A358" s="61" t="s">
        <v>1767</v>
      </c>
      <c r="C358" s="64" t="s">
        <v>4</v>
      </c>
      <c r="D358" s="64" t="s">
        <v>1760</v>
      </c>
      <c r="E358" s="42" t="s">
        <v>1768</v>
      </c>
      <c r="F358" s="42" t="s">
        <v>1767</v>
      </c>
      <c r="G358" s="42">
        <v>6</v>
      </c>
      <c r="H358" s="42" t="s">
        <v>1322</v>
      </c>
      <c r="I358" s="42" t="s">
        <v>37</v>
      </c>
      <c r="J358" s="42">
        <v>15000</v>
      </c>
    </row>
    <row r="359" spans="1:22">
      <c r="A359" s="61" t="s">
        <v>1767</v>
      </c>
      <c r="C359" s="64" t="s">
        <v>4</v>
      </c>
      <c r="D359" s="64" t="s">
        <v>1760</v>
      </c>
      <c r="E359" s="42" t="s">
        <v>1768</v>
      </c>
      <c r="F359" s="42" t="s">
        <v>1767</v>
      </c>
      <c r="G359" s="42">
        <v>7</v>
      </c>
      <c r="H359" s="42" t="s">
        <v>1325</v>
      </c>
      <c r="I359" s="42" t="s">
        <v>37</v>
      </c>
      <c r="J359" s="42">
        <v>54900</v>
      </c>
    </row>
    <row r="360" spans="1:22">
      <c r="A360" s="61" t="s">
        <v>1767</v>
      </c>
      <c r="C360" s="64" t="s">
        <v>4</v>
      </c>
      <c r="D360" s="64" t="s">
        <v>1760</v>
      </c>
      <c r="E360" s="42" t="s">
        <v>1768</v>
      </c>
      <c r="F360" s="42" t="s">
        <v>1767</v>
      </c>
      <c r="G360" s="42">
        <v>8</v>
      </c>
      <c r="H360" s="42" t="s">
        <v>1333</v>
      </c>
      <c r="I360" s="42" t="s">
        <v>37</v>
      </c>
      <c r="J360" s="42">
        <v>79700</v>
      </c>
    </row>
    <row r="361" spans="1:22">
      <c r="A361" s="61" t="s">
        <v>1767</v>
      </c>
      <c r="C361" s="64" t="s">
        <v>4</v>
      </c>
      <c r="D361" s="64" t="s">
        <v>1760</v>
      </c>
      <c r="E361" s="42" t="s">
        <v>1768</v>
      </c>
      <c r="F361" s="42" t="s">
        <v>1767</v>
      </c>
      <c r="G361" s="42">
        <v>9</v>
      </c>
      <c r="H361" s="42" t="s">
        <v>1314</v>
      </c>
      <c r="I361" s="42" t="s">
        <v>37</v>
      </c>
      <c r="J361" s="42">
        <v>5000</v>
      </c>
    </row>
    <row r="362" spans="1:22">
      <c r="A362" s="61" t="s">
        <v>1767</v>
      </c>
      <c r="C362" s="64" t="s">
        <v>4</v>
      </c>
      <c r="D362" s="64" t="s">
        <v>1760</v>
      </c>
      <c r="E362" s="42" t="s">
        <v>1768</v>
      </c>
      <c r="F362" s="42" t="s">
        <v>1767</v>
      </c>
      <c r="G362" s="42">
        <v>10</v>
      </c>
      <c r="H362" s="42" t="s">
        <v>1328</v>
      </c>
      <c r="I362" s="42" t="s">
        <v>37</v>
      </c>
      <c r="J362" s="42">
        <v>20000</v>
      </c>
    </row>
    <row r="363" spans="1:22">
      <c r="A363" s="61" t="s">
        <v>1767</v>
      </c>
      <c r="C363" s="64" t="s">
        <v>4</v>
      </c>
      <c r="D363" s="64" t="s">
        <v>1760</v>
      </c>
      <c r="E363" s="42" t="s">
        <v>1768</v>
      </c>
      <c r="F363" s="42" t="s">
        <v>1767</v>
      </c>
      <c r="G363" s="42">
        <v>11</v>
      </c>
      <c r="H363" s="42" t="s">
        <v>1329</v>
      </c>
      <c r="I363" s="42" t="s">
        <v>37</v>
      </c>
      <c r="J363" s="42">
        <v>100</v>
      </c>
    </row>
    <row r="364" spans="1:22">
      <c r="A364" s="61" t="s">
        <v>1767</v>
      </c>
      <c r="C364" s="64" t="s">
        <v>4</v>
      </c>
      <c r="D364" s="64" t="s">
        <v>1760</v>
      </c>
      <c r="E364" s="42" t="s">
        <v>1768</v>
      </c>
      <c r="F364" s="42" t="s">
        <v>1767</v>
      </c>
      <c r="G364" s="42">
        <v>12</v>
      </c>
      <c r="H364" s="42" t="s">
        <v>1457</v>
      </c>
      <c r="I364" s="42" t="s">
        <v>37</v>
      </c>
      <c r="J364" s="42">
        <v>200</v>
      </c>
    </row>
    <row r="365" spans="1:22">
      <c r="A365" s="61" t="s">
        <v>1767</v>
      </c>
      <c r="C365" s="64" t="s">
        <v>4</v>
      </c>
      <c r="D365" s="64" t="s">
        <v>1760</v>
      </c>
      <c r="E365" s="42" t="s">
        <v>1768</v>
      </c>
      <c r="F365" s="42" t="s">
        <v>1767</v>
      </c>
      <c r="G365" s="42">
        <v>13</v>
      </c>
      <c r="H365" s="42" t="s">
        <v>1326</v>
      </c>
      <c r="I365" s="42" t="s">
        <v>37</v>
      </c>
      <c r="J365" s="42">
        <v>90000</v>
      </c>
    </row>
    <row r="366" spans="1:22">
      <c r="A366" s="61" t="s">
        <v>1767</v>
      </c>
      <c r="C366" s="64" t="s">
        <v>4</v>
      </c>
      <c r="D366" s="64" t="s">
        <v>1760</v>
      </c>
      <c r="E366" s="42" t="s">
        <v>1768</v>
      </c>
      <c r="F366" s="42" t="s">
        <v>1767</v>
      </c>
      <c r="G366" s="42">
        <v>14</v>
      </c>
      <c r="H366" s="42" t="s">
        <v>1349</v>
      </c>
      <c r="I366" s="42" t="s">
        <v>37</v>
      </c>
      <c r="J366" s="42">
        <v>110030</v>
      </c>
    </row>
    <row r="367" spans="1:22">
      <c r="A367" s="61" t="s">
        <v>1767</v>
      </c>
      <c r="C367" s="64" t="s">
        <v>4</v>
      </c>
      <c r="D367" s="64" t="s">
        <v>1760</v>
      </c>
      <c r="E367" s="42" t="s">
        <v>1768</v>
      </c>
      <c r="F367" s="42" t="s">
        <v>1767</v>
      </c>
      <c r="G367" s="42">
        <v>15</v>
      </c>
      <c r="H367" s="42" t="s">
        <v>1264</v>
      </c>
      <c r="I367" s="42" t="s">
        <v>37</v>
      </c>
      <c r="J367" s="42">
        <v>5000</v>
      </c>
    </row>
    <row r="368" spans="1:22">
      <c r="A368" s="61" t="s">
        <v>1767</v>
      </c>
      <c r="C368" s="64" t="s">
        <v>4</v>
      </c>
      <c r="D368" s="64" t="s">
        <v>1760</v>
      </c>
      <c r="E368" s="42" t="s">
        <v>1768</v>
      </c>
      <c r="F368" s="42" t="s">
        <v>1767</v>
      </c>
      <c r="G368" s="42">
        <v>16</v>
      </c>
      <c r="H368" s="42" t="s">
        <v>1321</v>
      </c>
      <c r="I368" s="42" t="s">
        <v>37</v>
      </c>
      <c r="J368" s="42">
        <v>5000</v>
      </c>
    </row>
    <row r="369" spans="1:22">
      <c r="A369" s="61" t="s">
        <v>1767</v>
      </c>
      <c r="C369" s="64" t="s">
        <v>4</v>
      </c>
      <c r="D369" s="64" t="s">
        <v>1760</v>
      </c>
      <c r="E369" s="42" t="s">
        <v>1768</v>
      </c>
      <c r="F369" s="42" t="s">
        <v>1767</v>
      </c>
      <c r="G369" s="42">
        <v>17</v>
      </c>
      <c r="H369" s="42" t="s">
        <v>1355</v>
      </c>
      <c r="I369" s="42" t="s">
        <v>37</v>
      </c>
      <c r="J369" s="42">
        <v>40000</v>
      </c>
    </row>
    <row r="370" spans="1:22">
      <c r="A370" s="61" t="s">
        <v>1767</v>
      </c>
      <c r="C370" s="64" t="s">
        <v>4</v>
      </c>
      <c r="D370" s="64" t="s">
        <v>1760</v>
      </c>
      <c r="E370" s="42" t="s">
        <v>1768</v>
      </c>
      <c r="F370" s="42" t="s">
        <v>1767</v>
      </c>
      <c r="G370" s="42">
        <v>18</v>
      </c>
      <c r="H370" s="42" t="s">
        <v>1266</v>
      </c>
      <c r="I370" s="42" t="s">
        <v>37</v>
      </c>
      <c r="J370" s="42">
        <v>4000</v>
      </c>
    </row>
    <row r="371" spans="1:22">
      <c r="A371" s="61" t="s">
        <v>1767</v>
      </c>
      <c r="C371" s="64" t="s">
        <v>4</v>
      </c>
      <c r="D371" s="64" t="s">
        <v>1760</v>
      </c>
      <c r="E371" s="42" t="s">
        <v>1768</v>
      </c>
      <c r="F371" s="42" t="s">
        <v>1767</v>
      </c>
      <c r="G371" s="42">
        <v>19</v>
      </c>
      <c r="H371" s="42" t="s">
        <v>1323</v>
      </c>
      <c r="I371" s="42" t="s">
        <v>37</v>
      </c>
      <c r="J371" s="42">
        <v>20100</v>
      </c>
    </row>
    <row r="372" spans="1:22">
      <c r="A372" s="61" t="s">
        <v>1769</v>
      </c>
      <c r="C372" s="64" t="s">
        <v>4</v>
      </c>
      <c r="D372" s="64" t="s">
        <v>1760</v>
      </c>
      <c r="E372" s="42" t="s">
        <v>1770</v>
      </c>
      <c r="F372" s="42" t="s">
        <v>1769</v>
      </c>
      <c r="G372" s="42">
        <v>1</v>
      </c>
      <c r="H372" s="42" t="s">
        <v>807</v>
      </c>
      <c r="I372" s="42" t="s">
        <v>106</v>
      </c>
      <c r="J372" s="42">
        <v>20020</v>
      </c>
    </row>
    <row r="373" spans="1:22">
      <c r="A373" s="61" t="s">
        <v>1769</v>
      </c>
      <c r="C373" s="64" t="s">
        <v>4</v>
      </c>
      <c r="D373" s="64" t="s">
        <v>1760</v>
      </c>
      <c r="E373" s="42" t="s">
        <v>1770</v>
      </c>
      <c r="F373" s="42" t="s">
        <v>1769</v>
      </c>
      <c r="G373" s="42">
        <v>2</v>
      </c>
      <c r="H373" s="42" t="s">
        <v>931</v>
      </c>
      <c r="I373" s="42" t="s">
        <v>113</v>
      </c>
      <c r="J373" s="42">
        <v>130000</v>
      </c>
    </row>
    <row r="374" spans="1:22">
      <c r="A374" s="61" t="s">
        <v>1769</v>
      </c>
      <c r="C374" s="64" t="s">
        <v>4</v>
      </c>
      <c r="D374" s="64" t="s">
        <v>1760</v>
      </c>
      <c r="E374" s="42" t="s">
        <v>1770</v>
      </c>
      <c r="F374" s="42" t="s">
        <v>1769</v>
      </c>
      <c r="G374" s="42">
        <v>3</v>
      </c>
      <c r="H374" s="42" t="s">
        <v>401</v>
      </c>
      <c r="I374" s="42" t="s">
        <v>113</v>
      </c>
      <c r="J374" s="42">
        <v>31135</v>
      </c>
    </row>
    <row r="375" spans="1:22">
      <c r="A375" s="61" t="s">
        <v>1769</v>
      </c>
      <c r="C375" s="64" t="s">
        <v>4</v>
      </c>
      <c r="D375" s="64" t="s">
        <v>1760</v>
      </c>
      <c r="E375" s="42" t="s">
        <v>1770</v>
      </c>
      <c r="F375" s="42" t="s">
        <v>1769</v>
      </c>
      <c r="G375" s="42">
        <v>4</v>
      </c>
      <c r="H375" s="42" t="s">
        <v>197</v>
      </c>
      <c r="I375" s="42" t="s">
        <v>102</v>
      </c>
      <c r="J375" s="42">
        <v>81595</v>
      </c>
    </row>
    <row r="376" spans="1:22">
      <c r="A376" s="61" t="s">
        <v>1771</v>
      </c>
      <c r="C376" s="64" t="s">
        <v>4</v>
      </c>
      <c r="D376" s="64" t="s">
        <v>1760</v>
      </c>
      <c r="E376" s="42" t="s">
        <v>1772</v>
      </c>
      <c r="F376" s="42" t="s">
        <v>1771</v>
      </c>
      <c r="G376" s="42">
        <v>1</v>
      </c>
      <c r="H376" s="42" t="s">
        <v>477</v>
      </c>
      <c r="I376" s="42" t="s">
        <v>106</v>
      </c>
      <c r="J376" s="42">
        <v>60000</v>
      </c>
    </row>
    <row r="377" spans="1:22">
      <c r="A377" s="61" t="s">
        <v>1771</v>
      </c>
      <c r="C377" s="64" t="s">
        <v>4</v>
      </c>
      <c r="D377" s="64" t="s">
        <v>1760</v>
      </c>
      <c r="E377" s="42" t="s">
        <v>1772</v>
      </c>
      <c r="F377" s="42" t="s">
        <v>1771</v>
      </c>
      <c r="G377" s="42">
        <v>2</v>
      </c>
      <c r="H377" s="42" t="s">
        <v>1366</v>
      </c>
      <c r="I377" s="42" t="s">
        <v>106</v>
      </c>
      <c r="J377" s="42">
        <v>20000</v>
      </c>
    </row>
    <row r="378" spans="1:22">
      <c r="A378" s="61" t="s">
        <v>1771</v>
      </c>
      <c r="C378" s="64" t="s">
        <v>4</v>
      </c>
      <c r="D378" s="64" t="s">
        <v>1760</v>
      </c>
      <c r="E378" s="42" t="s">
        <v>1772</v>
      </c>
      <c r="F378" s="42" t="s">
        <v>1771</v>
      </c>
      <c r="G378" s="42">
        <v>3</v>
      </c>
      <c r="H378" s="42" t="s">
        <v>104</v>
      </c>
      <c r="I378" s="42" t="s">
        <v>106</v>
      </c>
      <c r="J378" s="42">
        <v>20000</v>
      </c>
    </row>
    <row r="379" spans="1:22">
      <c r="A379" s="61" t="s">
        <v>1771</v>
      </c>
      <c r="C379" s="64" t="s">
        <v>4</v>
      </c>
      <c r="D379" s="64" t="s">
        <v>1760</v>
      </c>
      <c r="E379" s="42" t="s">
        <v>1772</v>
      </c>
      <c r="F379" s="42" t="s">
        <v>1771</v>
      </c>
      <c r="G379" s="42">
        <v>4</v>
      </c>
      <c r="H379" s="42" t="s">
        <v>114</v>
      </c>
      <c r="I379" s="42" t="s">
        <v>106</v>
      </c>
      <c r="J379" s="42">
        <v>70561</v>
      </c>
    </row>
    <row r="380" spans="1:22">
      <c r="A380" s="61" t="s">
        <v>1771</v>
      </c>
      <c r="C380" s="64" t="s">
        <v>4</v>
      </c>
      <c r="D380" s="64" t="s">
        <v>1760</v>
      </c>
      <c r="E380" s="42" t="s">
        <v>1772</v>
      </c>
      <c r="F380" s="42" t="s">
        <v>1771</v>
      </c>
      <c r="G380" s="42">
        <v>5</v>
      </c>
      <c r="H380" s="42" t="s">
        <v>273</v>
      </c>
      <c r="I380" s="42" t="s">
        <v>113</v>
      </c>
      <c r="J380" s="42">
        <v>5000</v>
      </c>
    </row>
    <row r="381" spans="1:22">
      <c r="A381" s="61" t="s">
        <v>1771</v>
      </c>
      <c r="C381" s="64" t="s">
        <v>4</v>
      </c>
      <c r="D381" s="64" t="s">
        <v>1760</v>
      </c>
      <c r="E381" s="42" t="s">
        <v>1772</v>
      </c>
      <c r="F381" s="42" t="s">
        <v>1771</v>
      </c>
      <c r="G381" s="42">
        <v>6</v>
      </c>
      <c r="H381" s="42" t="s">
        <v>289</v>
      </c>
      <c r="I381" s="42" t="s">
        <v>113</v>
      </c>
      <c r="J381" s="42">
        <v>2000</v>
      </c>
    </row>
    <row r="382" spans="1:22">
      <c r="A382" s="61" t="s">
        <v>1771</v>
      </c>
      <c r="C382" s="64" t="s">
        <v>4</v>
      </c>
      <c r="D382" s="64" t="s">
        <v>1760</v>
      </c>
      <c r="E382" s="42" t="s">
        <v>1772</v>
      </c>
      <c r="F382" s="42" t="s">
        <v>1771</v>
      </c>
      <c r="G382" s="42">
        <v>7</v>
      </c>
      <c r="H382" s="42" t="s">
        <v>545</v>
      </c>
      <c r="I382" s="42" t="s">
        <v>113</v>
      </c>
      <c r="J382" s="42">
        <v>10000</v>
      </c>
    </row>
    <row r="383" spans="1:22">
      <c r="A383" s="61" t="s">
        <v>1771</v>
      </c>
      <c r="C383" s="64" t="s">
        <v>4</v>
      </c>
      <c r="D383" s="64" t="s">
        <v>1760</v>
      </c>
      <c r="E383" s="42" t="s">
        <v>1772</v>
      </c>
      <c r="F383" s="42" t="s">
        <v>1771</v>
      </c>
      <c r="G383" s="42">
        <v>8</v>
      </c>
      <c r="H383" s="42" t="s">
        <v>1275</v>
      </c>
      <c r="I383" s="42" t="s">
        <v>113</v>
      </c>
      <c r="J383" s="42">
        <v>15000</v>
      </c>
    </row>
    <row r="384" spans="1:22">
      <c r="A384" s="61" t="s">
        <v>1771</v>
      </c>
      <c r="C384" s="64" t="s">
        <v>4</v>
      </c>
      <c r="D384" s="64" t="s">
        <v>1760</v>
      </c>
      <c r="E384" s="42" t="s">
        <v>1772</v>
      </c>
      <c r="F384" s="42" t="s">
        <v>1771</v>
      </c>
      <c r="G384" s="42">
        <v>9</v>
      </c>
      <c r="H384" s="42" t="s">
        <v>217</v>
      </c>
      <c r="I384" s="42" t="s">
        <v>113</v>
      </c>
      <c r="J384" s="42">
        <v>10000</v>
      </c>
    </row>
    <row r="385" spans="1:22">
      <c r="A385" s="61" t="s">
        <v>1771</v>
      </c>
      <c r="C385" s="64" t="s">
        <v>4</v>
      </c>
      <c r="D385" s="64" t="s">
        <v>1760</v>
      </c>
      <c r="E385" s="42" t="s">
        <v>1772</v>
      </c>
      <c r="F385" s="42" t="s">
        <v>1771</v>
      </c>
      <c r="G385" s="42">
        <v>10</v>
      </c>
      <c r="H385" s="42" t="s">
        <v>771</v>
      </c>
      <c r="I385" s="42" t="s">
        <v>113</v>
      </c>
      <c r="J385" s="42">
        <v>15000</v>
      </c>
    </row>
    <row r="386" spans="1:22">
      <c r="A386" s="61" t="s">
        <v>1771</v>
      </c>
      <c r="C386" s="64" t="s">
        <v>4</v>
      </c>
      <c r="D386" s="64" t="s">
        <v>1760</v>
      </c>
      <c r="E386" s="42" t="s">
        <v>1772</v>
      </c>
      <c r="F386" s="42" t="s">
        <v>1771</v>
      </c>
      <c r="G386" s="42">
        <v>11</v>
      </c>
      <c r="H386" s="42" t="s">
        <v>163</v>
      </c>
      <c r="I386" s="42" t="s">
        <v>113</v>
      </c>
      <c r="J386" s="42">
        <v>20000</v>
      </c>
    </row>
    <row r="387" spans="1:22">
      <c r="A387" s="61" t="s">
        <v>1771</v>
      </c>
      <c r="C387" s="64" t="s">
        <v>4</v>
      </c>
      <c r="D387" s="64" t="s">
        <v>1760</v>
      </c>
      <c r="E387" s="42" t="s">
        <v>1772</v>
      </c>
      <c r="F387" s="42" t="s">
        <v>1771</v>
      </c>
      <c r="G387" s="42">
        <v>12</v>
      </c>
      <c r="H387" s="42" t="s">
        <v>165</v>
      </c>
      <c r="I387" s="42" t="s">
        <v>113</v>
      </c>
      <c r="J387" s="42">
        <v>20000</v>
      </c>
    </row>
    <row r="388" spans="1:22">
      <c r="A388" s="61" t="s">
        <v>1771</v>
      </c>
      <c r="C388" s="64" t="s">
        <v>4</v>
      </c>
      <c r="D388" s="64" t="s">
        <v>1760</v>
      </c>
      <c r="E388" s="42" t="s">
        <v>1772</v>
      </c>
      <c r="F388" s="42" t="s">
        <v>1771</v>
      </c>
      <c r="G388" s="42">
        <v>13</v>
      </c>
      <c r="H388" s="42" t="s">
        <v>167</v>
      </c>
      <c r="I388" s="42" t="s">
        <v>113</v>
      </c>
      <c r="J388" s="42">
        <v>20000</v>
      </c>
    </row>
    <row r="389" spans="1:22">
      <c r="A389" s="61" t="s">
        <v>1771</v>
      </c>
      <c r="C389" s="64" t="s">
        <v>4</v>
      </c>
      <c r="D389" s="64" t="s">
        <v>1760</v>
      </c>
      <c r="E389" s="42" t="s">
        <v>1772</v>
      </c>
      <c r="F389" s="42" t="s">
        <v>1771</v>
      </c>
      <c r="G389" s="42">
        <v>14</v>
      </c>
      <c r="H389" s="42" t="s">
        <v>168</v>
      </c>
      <c r="I389" s="42" t="s">
        <v>113</v>
      </c>
      <c r="J389" s="42">
        <v>30000</v>
      </c>
    </row>
    <row r="390" spans="1:22">
      <c r="A390" s="61" t="s">
        <v>1771</v>
      </c>
      <c r="C390" s="64" t="s">
        <v>4</v>
      </c>
      <c r="D390" s="64" t="s">
        <v>1760</v>
      </c>
      <c r="E390" s="42" t="s">
        <v>1772</v>
      </c>
      <c r="F390" s="42" t="s">
        <v>1771</v>
      </c>
      <c r="G390" s="42">
        <v>15</v>
      </c>
      <c r="H390" s="42" t="s">
        <v>555</v>
      </c>
      <c r="I390" s="42" t="s">
        <v>113</v>
      </c>
      <c r="J390" s="42">
        <v>6000</v>
      </c>
    </row>
    <row r="391" spans="1:22">
      <c r="A391" s="61" t="s">
        <v>1771</v>
      </c>
      <c r="C391" s="64" t="s">
        <v>4</v>
      </c>
      <c r="D391" s="64" t="s">
        <v>1760</v>
      </c>
      <c r="E391" s="42" t="s">
        <v>1772</v>
      </c>
      <c r="F391" s="42" t="s">
        <v>1771</v>
      </c>
      <c r="G391" s="42">
        <v>16</v>
      </c>
      <c r="H391" s="42" t="s">
        <v>1269</v>
      </c>
      <c r="I391" s="42" t="s">
        <v>113</v>
      </c>
      <c r="J391" s="42">
        <v>5000</v>
      </c>
    </row>
    <row r="392" spans="1:22">
      <c r="A392" s="61" t="s">
        <v>1771</v>
      </c>
      <c r="C392" s="64" t="s">
        <v>4</v>
      </c>
      <c r="D392" s="64" t="s">
        <v>1760</v>
      </c>
      <c r="E392" s="42" t="s">
        <v>1772</v>
      </c>
      <c r="F392" s="42" t="s">
        <v>1771</v>
      </c>
      <c r="G392" s="42">
        <v>17</v>
      </c>
      <c r="H392" s="42" t="s">
        <v>1123</v>
      </c>
      <c r="I392" s="42" t="s">
        <v>113</v>
      </c>
      <c r="J392" s="42">
        <v>20000</v>
      </c>
    </row>
    <row r="393" spans="1:22">
      <c r="A393" s="61" t="s">
        <v>1771</v>
      </c>
      <c r="C393" s="64" t="s">
        <v>4</v>
      </c>
      <c r="D393" s="64" t="s">
        <v>1760</v>
      </c>
      <c r="E393" s="42" t="s">
        <v>1772</v>
      </c>
      <c r="F393" s="42" t="s">
        <v>1771</v>
      </c>
      <c r="G393" s="42">
        <v>18</v>
      </c>
      <c r="H393" s="42" t="s">
        <v>187</v>
      </c>
      <c r="I393" s="42" t="s">
        <v>102</v>
      </c>
      <c r="J393" s="42">
        <v>10000</v>
      </c>
    </row>
    <row r="394" spans="1:22">
      <c r="A394" s="61" t="s">
        <v>1771</v>
      </c>
      <c r="C394" s="64" t="s">
        <v>4</v>
      </c>
      <c r="D394" s="64" t="s">
        <v>1760</v>
      </c>
      <c r="E394" s="42" t="s">
        <v>1772</v>
      </c>
      <c r="F394" s="42" t="s">
        <v>1771</v>
      </c>
      <c r="G394" s="42">
        <v>19</v>
      </c>
      <c r="H394" s="42" t="s">
        <v>169</v>
      </c>
      <c r="I394" s="42" t="s">
        <v>102</v>
      </c>
      <c r="J394" s="42">
        <v>20000</v>
      </c>
    </row>
    <row r="395" spans="1:22">
      <c r="A395" s="61" t="s">
        <v>1771</v>
      </c>
      <c r="C395" s="64" t="s">
        <v>4</v>
      </c>
      <c r="D395" s="64" t="s">
        <v>1760</v>
      </c>
      <c r="E395" s="42" t="s">
        <v>1772</v>
      </c>
      <c r="F395" s="42" t="s">
        <v>1771</v>
      </c>
      <c r="G395" s="42">
        <v>20</v>
      </c>
      <c r="H395" s="42" t="s">
        <v>973</v>
      </c>
      <c r="I395" s="42" t="s">
        <v>102</v>
      </c>
      <c r="J395" s="42">
        <v>4000</v>
      </c>
    </row>
    <row r="396" spans="1:22">
      <c r="A396" s="61" t="s">
        <v>1771</v>
      </c>
      <c r="C396" s="64" t="s">
        <v>4</v>
      </c>
      <c r="D396" s="64" t="s">
        <v>1760</v>
      </c>
      <c r="E396" s="42" t="s">
        <v>1772</v>
      </c>
      <c r="F396" s="42" t="s">
        <v>1771</v>
      </c>
      <c r="G396" s="42">
        <v>21</v>
      </c>
      <c r="H396" s="42" t="s">
        <v>171</v>
      </c>
      <c r="I396" s="42" t="s">
        <v>102</v>
      </c>
      <c r="J396" s="42">
        <v>47112</v>
      </c>
    </row>
    <row r="397" spans="1:22">
      <c r="A397" s="61" t="s">
        <v>1771</v>
      </c>
      <c r="C397" s="64" t="s">
        <v>4</v>
      </c>
      <c r="D397" s="64" t="s">
        <v>1760</v>
      </c>
      <c r="E397" s="42" t="s">
        <v>1772</v>
      </c>
      <c r="F397" s="42" t="s">
        <v>1771</v>
      </c>
      <c r="G397" s="42">
        <v>22</v>
      </c>
      <c r="H397" s="42" t="s">
        <v>173</v>
      </c>
      <c r="I397" s="42" t="s">
        <v>102</v>
      </c>
      <c r="J397" s="42">
        <v>20000</v>
      </c>
    </row>
    <row r="398" spans="1:22">
      <c r="A398" s="61" t="s">
        <v>1771</v>
      </c>
      <c r="C398" s="64" t="s">
        <v>4</v>
      </c>
      <c r="D398" s="64" t="s">
        <v>1760</v>
      </c>
      <c r="E398" s="42" t="s">
        <v>1772</v>
      </c>
      <c r="F398" s="42" t="s">
        <v>1771</v>
      </c>
      <c r="G398" s="42">
        <v>23</v>
      </c>
      <c r="H398" s="42" t="s">
        <v>463</v>
      </c>
      <c r="I398" s="42" t="s">
        <v>1764</v>
      </c>
      <c r="J398" s="42">
        <v>30727</v>
      </c>
    </row>
    <row r="399" spans="1:22">
      <c r="A399" s="61" t="s">
        <v>1771</v>
      </c>
      <c r="C399" s="64" t="s">
        <v>4</v>
      </c>
      <c r="D399" s="64" t="s">
        <v>1760</v>
      </c>
      <c r="E399" s="42" t="s">
        <v>1772</v>
      </c>
      <c r="F399" s="42" t="s">
        <v>1771</v>
      </c>
      <c r="G399" s="42">
        <v>24</v>
      </c>
      <c r="H399" s="42" t="s">
        <v>35</v>
      </c>
      <c r="I399" s="42" t="s">
        <v>37</v>
      </c>
      <c r="J399" s="42">
        <v>20000</v>
      </c>
    </row>
    <row r="400" spans="1:22">
      <c r="A400" s="61" t="s">
        <v>1771</v>
      </c>
      <c r="C400" s="64" t="s">
        <v>4</v>
      </c>
      <c r="D400" s="64" t="s">
        <v>1760</v>
      </c>
      <c r="E400" s="42" t="s">
        <v>1772</v>
      </c>
      <c r="F400" s="42" t="s">
        <v>1771</v>
      </c>
      <c r="G400" s="42">
        <v>25</v>
      </c>
      <c r="H400" s="42" t="s">
        <v>39</v>
      </c>
      <c r="I400" s="42" t="s">
        <v>37</v>
      </c>
      <c r="J400" s="42">
        <v>10000</v>
      </c>
    </row>
    <row r="401" spans="1:22">
      <c r="A401" s="61" t="s">
        <v>1771</v>
      </c>
      <c r="C401" s="64" t="s">
        <v>4</v>
      </c>
      <c r="D401" s="64" t="s">
        <v>1760</v>
      </c>
      <c r="E401" s="42" t="s">
        <v>1772</v>
      </c>
      <c r="F401" s="42" t="s">
        <v>1771</v>
      </c>
      <c r="G401" s="42">
        <v>26</v>
      </c>
      <c r="H401" s="42" t="s">
        <v>43</v>
      </c>
      <c r="I401" s="42" t="s">
        <v>37</v>
      </c>
      <c r="J401" s="42">
        <v>10000</v>
      </c>
    </row>
    <row r="402" spans="1:22">
      <c r="A402" s="61" t="s">
        <v>1771</v>
      </c>
      <c r="C402" s="64" t="s">
        <v>4</v>
      </c>
      <c r="D402" s="64" t="s">
        <v>1760</v>
      </c>
      <c r="E402" s="42" t="s">
        <v>1772</v>
      </c>
      <c r="F402" s="42" t="s">
        <v>1771</v>
      </c>
      <c r="G402" s="42">
        <v>27</v>
      </c>
      <c r="H402" s="42" t="s">
        <v>215</v>
      </c>
      <c r="I402" s="42" t="s">
        <v>37</v>
      </c>
      <c r="J402" s="42">
        <v>20000</v>
      </c>
    </row>
    <row r="403" spans="1:22">
      <c r="A403" s="61" t="s">
        <v>1771</v>
      </c>
      <c r="C403" s="64" t="s">
        <v>4</v>
      </c>
      <c r="D403" s="64" t="s">
        <v>1760</v>
      </c>
      <c r="E403" s="42" t="s">
        <v>1772</v>
      </c>
      <c r="F403" s="42" t="s">
        <v>1771</v>
      </c>
      <c r="G403" s="42">
        <v>28</v>
      </c>
      <c r="H403" s="42" t="s">
        <v>51</v>
      </c>
      <c r="I403" s="42" t="s">
        <v>37</v>
      </c>
      <c r="J403" s="42">
        <v>20000</v>
      </c>
    </row>
    <row r="404" spans="1:22">
      <c r="A404" s="61" t="s">
        <v>1771</v>
      </c>
      <c r="C404" s="64" t="s">
        <v>4</v>
      </c>
      <c r="D404" s="64" t="s">
        <v>1760</v>
      </c>
      <c r="E404" s="42" t="s">
        <v>1772</v>
      </c>
      <c r="F404" s="42" t="s">
        <v>1771</v>
      </c>
      <c r="G404" s="42">
        <v>29</v>
      </c>
      <c r="H404" s="42" t="s">
        <v>225</v>
      </c>
      <c r="I404" s="42" t="s">
        <v>37</v>
      </c>
      <c r="J404" s="42">
        <v>5000</v>
      </c>
    </row>
    <row r="405" spans="1:22">
      <c r="A405" s="61" t="s">
        <v>1771</v>
      </c>
      <c r="C405" s="64" t="s">
        <v>4</v>
      </c>
      <c r="D405" s="64" t="s">
        <v>1760</v>
      </c>
      <c r="E405" s="42" t="s">
        <v>1772</v>
      </c>
      <c r="F405" s="42" t="s">
        <v>1771</v>
      </c>
      <c r="G405" s="42">
        <v>30</v>
      </c>
      <c r="H405" s="42" t="s">
        <v>183</v>
      </c>
      <c r="I405" s="42" t="s">
        <v>37</v>
      </c>
      <c r="J405" s="42">
        <v>30000</v>
      </c>
    </row>
    <row r="406" spans="1:22">
      <c r="A406" s="61" t="s">
        <v>1771</v>
      </c>
      <c r="C406" s="64" t="s">
        <v>4</v>
      </c>
      <c r="D406" s="64" t="s">
        <v>1760</v>
      </c>
      <c r="E406" s="42" t="s">
        <v>1772</v>
      </c>
      <c r="F406" s="42" t="s">
        <v>1771</v>
      </c>
      <c r="G406" s="42">
        <v>31</v>
      </c>
      <c r="H406" s="42" t="s">
        <v>185</v>
      </c>
      <c r="I406" s="42" t="s">
        <v>37</v>
      </c>
      <c r="J406" s="42">
        <v>10000</v>
      </c>
    </row>
    <row r="407" spans="1:22">
      <c r="A407" s="61" t="s">
        <v>1771</v>
      </c>
      <c r="C407" s="64" t="s">
        <v>4</v>
      </c>
      <c r="D407" s="64" t="s">
        <v>1760</v>
      </c>
      <c r="E407" s="42" t="s">
        <v>1772</v>
      </c>
      <c r="F407" s="42" t="s">
        <v>1771</v>
      </c>
      <c r="G407" s="42">
        <v>32</v>
      </c>
      <c r="H407" s="42" t="s">
        <v>337</v>
      </c>
      <c r="I407" s="42" t="s">
        <v>37</v>
      </c>
      <c r="J407" s="42">
        <v>20000</v>
      </c>
    </row>
    <row r="408" spans="1:22">
      <c r="A408" s="61" t="s">
        <v>1771</v>
      </c>
      <c r="C408" s="64" t="s">
        <v>4</v>
      </c>
      <c r="D408" s="64" t="s">
        <v>1760</v>
      </c>
      <c r="E408" s="42" t="s">
        <v>1772</v>
      </c>
      <c r="F408" s="42" t="s">
        <v>1771</v>
      </c>
      <c r="G408" s="42">
        <v>33</v>
      </c>
      <c r="H408" s="42" t="s">
        <v>333</v>
      </c>
      <c r="I408" s="42" t="s">
        <v>37</v>
      </c>
      <c r="J408" s="42">
        <v>20000</v>
      </c>
    </row>
    <row r="409" spans="1:22">
      <c r="A409" s="61" t="s">
        <v>1771</v>
      </c>
      <c r="C409" s="64" t="s">
        <v>4</v>
      </c>
      <c r="D409" s="64" t="s">
        <v>1760</v>
      </c>
      <c r="E409" s="42" t="s">
        <v>1772</v>
      </c>
      <c r="F409" s="42" t="s">
        <v>1771</v>
      </c>
      <c r="G409" s="42">
        <v>34</v>
      </c>
      <c r="H409" s="42" t="s">
        <v>207</v>
      </c>
      <c r="I409" s="42" t="s">
        <v>37</v>
      </c>
      <c r="J409" s="42">
        <v>20000</v>
      </c>
    </row>
    <row r="410" spans="1:22">
      <c r="A410" s="61" t="s">
        <v>1771</v>
      </c>
      <c r="C410" s="64" t="s">
        <v>4</v>
      </c>
      <c r="D410" s="64" t="s">
        <v>1760</v>
      </c>
      <c r="E410" s="42" t="s">
        <v>1772</v>
      </c>
      <c r="F410" s="42" t="s">
        <v>1771</v>
      </c>
      <c r="G410" s="42">
        <v>35</v>
      </c>
      <c r="H410" s="42" t="s">
        <v>285</v>
      </c>
      <c r="I410" s="42" t="s">
        <v>37</v>
      </c>
      <c r="J410" s="42">
        <v>10000</v>
      </c>
    </row>
    <row r="411" spans="1:22">
      <c r="A411" s="61" t="s">
        <v>1771</v>
      </c>
      <c r="C411" s="64" t="s">
        <v>4</v>
      </c>
      <c r="D411" s="64" t="s">
        <v>1760</v>
      </c>
      <c r="E411" s="42" t="s">
        <v>1772</v>
      </c>
      <c r="F411" s="42" t="s">
        <v>1771</v>
      </c>
      <c r="G411" s="42">
        <v>36</v>
      </c>
      <c r="H411" s="42" t="s">
        <v>213</v>
      </c>
      <c r="I411" s="42" t="s">
        <v>37</v>
      </c>
      <c r="J411" s="42">
        <v>30000</v>
      </c>
    </row>
    <row r="412" spans="1:22">
      <c r="A412" s="61" t="s">
        <v>1771</v>
      </c>
      <c r="C412" s="64" t="s">
        <v>4</v>
      </c>
      <c r="D412" s="64" t="s">
        <v>1760</v>
      </c>
      <c r="E412" s="42" t="s">
        <v>1772</v>
      </c>
      <c r="F412" s="42" t="s">
        <v>1771</v>
      </c>
      <c r="G412" s="42">
        <v>37</v>
      </c>
      <c r="H412" s="42" t="s">
        <v>303</v>
      </c>
      <c r="I412" s="42" t="s">
        <v>37</v>
      </c>
      <c r="J412" s="42">
        <v>5000</v>
      </c>
    </row>
    <row r="413" spans="1:22">
      <c r="A413" s="61" t="s">
        <v>1771</v>
      </c>
      <c r="C413" s="64" t="s">
        <v>4</v>
      </c>
      <c r="D413" s="64" t="s">
        <v>1760</v>
      </c>
      <c r="E413" s="42" t="s">
        <v>1772</v>
      </c>
      <c r="F413" s="42" t="s">
        <v>1771</v>
      </c>
      <c r="G413" s="42">
        <v>38</v>
      </c>
      <c r="H413" s="42" t="s">
        <v>231</v>
      </c>
      <c r="I413" s="42" t="s">
        <v>37</v>
      </c>
      <c r="J413" s="42">
        <v>30000</v>
      </c>
    </row>
    <row r="414" spans="1:22">
      <c r="A414" s="61" t="s">
        <v>1771</v>
      </c>
      <c r="C414" s="64" t="s">
        <v>4</v>
      </c>
      <c r="D414" s="64" t="s">
        <v>1760</v>
      </c>
      <c r="E414" s="42" t="s">
        <v>1772</v>
      </c>
      <c r="F414" s="42" t="s">
        <v>1771</v>
      </c>
      <c r="G414" s="42">
        <v>39</v>
      </c>
      <c r="H414" s="42" t="s">
        <v>229</v>
      </c>
      <c r="I414" s="42" t="s">
        <v>37</v>
      </c>
      <c r="J414" s="42">
        <v>30000</v>
      </c>
    </row>
    <row r="415" spans="1:22">
      <c r="A415" s="61" t="s">
        <v>1771</v>
      </c>
      <c r="C415" s="64" t="s">
        <v>4</v>
      </c>
      <c r="D415" s="64" t="s">
        <v>1760</v>
      </c>
      <c r="E415" s="42" t="s">
        <v>1772</v>
      </c>
      <c r="F415" s="42" t="s">
        <v>1771</v>
      </c>
      <c r="G415" s="42">
        <v>40</v>
      </c>
      <c r="H415" s="42" t="s">
        <v>233</v>
      </c>
      <c r="I415" s="42" t="s">
        <v>37</v>
      </c>
      <c r="J415" s="42">
        <v>20000</v>
      </c>
    </row>
    <row r="416" spans="1:22">
      <c r="A416" s="61" t="s">
        <v>1771</v>
      </c>
      <c r="C416" s="64" t="s">
        <v>4</v>
      </c>
      <c r="D416" s="64" t="s">
        <v>1760</v>
      </c>
      <c r="E416" s="42" t="s">
        <v>1772</v>
      </c>
      <c r="F416" s="42" t="s">
        <v>1771</v>
      </c>
      <c r="G416" s="42">
        <v>41</v>
      </c>
      <c r="H416" s="42" t="s">
        <v>451</v>
      </c>
      <c r="I416" s="42" t="s">
        <v>37</v>
      </c>
      <c r="J416" s="42">
        <v>20000</v>
      </c>
    </row>
    <row r="417" spans="1:22">
      <c r="A417" s="61" t="s">
        <v>1771</v>
      </c>
      <c r="C417" s="64" t="s">
        <v>4</v>
      </c>
      <c r="D417" s="64" t="s">
        <v>1760</v>
      </c>
      <c r="E417" s="42" t="s">
        <v>1772</v>
      </c>
      <c r="F417" s="42" t="s">
        <v>1771</v>
      </c>
      <c r="G417" s="42">
        <v>42</v>
      </c>
      <c r="H417" s="42" t="s">
        <v>449</v>
      </c>
      <c r="I417" s="42" t="s">
        <v>37</v>
      </c>
      <c r="J417" s="42">
        <v>60000</v>
      </c>
    </row>
    <row r="418" spans="1:22">
      <c r="A418" s="61" t="s">
        <v>1771</v>
      </c>
      <c r="C418" s="64" t="s">
        <v>4</v>
      </c>
      <c r="D418" s="64" t="s">
        <v>1760</v>
      </c>
      <c r="E418" s="42" t="s">
        <v>1772</v>
      </c>
      <c r="F418" s="42" t="s">
        <v>1771</v>
      </c>
      <c r="G418" s="42">
        <v>43</v>
      </c>
      <c r="H418" s="42" t="s">
        <v>457</v>
      </c>
      <c r="I418" s="42" t="s">
        <v>37</v>
      </c>
      <c r="J418" s="42">
        <v>30000</v>
      </c>
    </row>
    <row r="419" spans="1:22">
      <c r="A419" s="61" t="s">
        <v>1771</v>
      </c>
      <c r="C419" s="64" t="s">
        <v>4</v>
      </c>
      <c r="D419" s="64" t="s">
        <v>1760</v>
      </c>
      <c r="E419" s="42" t="s">
        <v>1772</v>
      </c>
      <c r="F419" s="42" t="s">
        <v>1771</v>
      </c>
      <c r="G419" s="42">
        <v>44</v>
      </c>
      <c r="H419" s="42" t="s">
        <v>275</v>
      </c>
      <c r="I419" s="42" t="s">
        <v>37</v>
      </c>
      <c r="J419" s="42">
        <v>10000</v>
      </c>
    </row>
    <row r="420" spans="1:22">
      <c r="A420" s="61" t="s">
        <v>1771</v>
      </c>
      <c r="C420" s="64" t="s">
        <v>4</v>
      </c>
      <c r="D420" s="64" t="s">
        <v>1760</v>
      </c>
      <c r="E420" s="42" t="s">
        <v>1772</v>
      </c>
      <c r="F420" s="42" t="s">
        <v>1771</v>
      </c>
      <c r="G420" s="42">
        <v>45</v>
      </c>
      <c r="H420" s="42" t="s">
        <v>277</v>
      </c>
      <c r="I420" s="42" t="s">
        <v>37</v>
      </c>
      <c r="J420" s="42">
        <v>10000</v>
      </c>
    </row>
    <row r="421" spans="1:22">
      <c r="A421" s="61" t="s">
        <v>1771</v>
      </c>
      <c r="C421" s="64" t="s">
        <v>4</v>
      </c>
      <c r="D421" s="64" t="s">
        <v>1760</v>
      </c>
      <c r="E421" s="42" t="s">
        <v>1772</v>
      </c>
      <c r="F421" s="42" t="s">
        <v>1771</v>
      </c>
      <c r="G421" s="42">
        <v>46</v>
      </c>
      <c r="H421" s="42" t="s">
        <v>325</v>
      </c>
      <c r="I421" s="42" t="s">
        <v>37</v>
      </c>
      <c r="J421" s="42">
        <v>45000</v>
      </c>
    </row>
    <row r="422" spans="1:22">
      <c r="A422" s="61" t="s">
        <v>1771</v>
      </c>
      <c r="C422" s="64" t="s">
        <v>4</v>
      </c>
      <c r="D422" s="64" t="s">
        <v>1760</v>
      </c>
      <c r="E422" s="42" t="s">
        <v>1772</v>
      </c>
      <c r="F422" s="42" t="s">
        <v>1771</v>
      </c>
      <c r="G422" s="42">
        <v>47</v>
      </c>
      <c r="H422" s="42" t="s">
        <v>327</v>
      </c>
      <c r="I422" s="42" t="s">
        <v>37</v>
      </c>
      <c r="J422" s="42">
        <v>40000</v>
      </c>
    </row>
    <row r="423" spans="1:22">
      <c r="A423" s="61" t="s">
        <v>1771</v>
      </c>
      <c r="C423" s="64" t="s">
        <v>4</v>
      </c>
      <c r="D423" s="64" t="s">
        <v>1760</v>
      </c>
      <c r="E423" s="42" t="s">
        <v>1772</v>
      </c>
      <c r="F423" s="42" t="s">
        <v>1771</v>
      </c>
      <c r="G423" s="42">
        <v>48</v>
      </c>
      <c r="H423" s="42" t="s">
        <v>383</v>
      </c>
      <c r="I423" s="42" t="s">
        <v>37</v>
      </c>
      <c r="J423" s="42">
        <v>10000</v>
      </c>
    </row>
    <row r="424" spans="1:22">
      <c r="A424" s="61" t="s">
        <v>1771</v>
      </c>
      <c r="C424" s="64" t="s">
        <v>4</v>
      </c>
      <c r="D424" s="64" t="s">
        <v>1760</v>
      </c>
      <c r="E424" s="42" t="s">
        <v>1772</v>
      </c>
      <c r="F424" s="42" t="s">
        <v>1771</v>
      </c>
      <c r="G424" s="42">
        <v>49</v>
      </c>
      <c r="H424" s="42" t="s">
        <v>379</v>
      </c>
      <c r="I424" s="42" t="s">
        <v>37</v>
      </c>
      <c r="J424" s="42">
        <v>5000</v>
      </c>
    </row>
    <row r="425" spans="1:22">
      <c r="A425" s="61" t="s">
        <v>1771</v>
      </c>
      <c r="C425" s="64" t="s">
        <v>4</v>
      </c>
      <c r="D425" s="64" t="s">
        <v>1760</v>
      </c>
      <c r="E425" s="42" t="s">
        <v>1772</v>
      </c>
      <c r="F425" s="42" t="s">
        <v>1771</v>
      </c>
      <c r="G425" s="42">
        <v>50</v>
      </c>
      <c r="H425" s="42" t="s">
        <v>475</v>
      </c>
      <c r="I425" s="42" t="s">
        <v>37</v>
      </c>
      <c r="J425" s="42">
        <v>30000</v>
      </c>
    </row>
    <row r="426" spans="1:22">
      <c r="A426" s="61" t="s">
        <v>1771</v>
      </c>
      <c r="C426" s="64" t="s">
        <v>4</v>
      </c>
      <c r="D426" s="64" t="s">
        <v>1760</v>
      </c>
      <c r="E426" s="42" t="s">
        <v>1772</v>
      </c>
      <c r="F426" s="42" t="s">
        <v>1771</v>
      </c>
      <c r="G426" s="42">
        <v>51</v>
      </c>
      <c r="H426" s="42" t="s">
        <v>603</v>
      </c>
      <c r="I426" s="42" t="s">
        <v>37</v>
      </c>
      <c r="J426" s="42">
        <v>60000</v>
      </c>
    </row>
    <row r="427" spans="1:22">
      <c r="A427" s="61" t="s">
        <v>1771</v>
      </c>
      <c r="C427" s="64" t="s">
        <v>4</v>
      </c>
      <c r="D427" s="64" t="s">
        <v>1760</v>
      </c>
      <c r="E427" s="42" t="s">
        <v>1772</v>
      </c>
      <c r="F427" s="42" t="s">
        <v>1771</v>
      </c>
      <c r="G427" s="42">
        <v>52</v>
      </c>
      <c r="H427" s="42" t="s">
        <v>385</v>
      </c>
      <c r="I427" s="42" t="s">
        <v>37</v>
      </c>
      <c r="J427" s="42">
        <v>9000</v>
      </c>
    </row>
    <row r="428" spans="1:22">
      <c r="A428" s="61" t="s">
        <v>1771</v>
      </c>
      <c r="C428" s="64" t="s">
        <v>4</v>
      </c>
      <c r="D428" s="64" t="s">
        <v>1760</v>
      </c>
      <c r="E428" s="42" t="s">
        <v>1772</v>
      </c>
      <c r="F428" s="42" t="s">
        <v>1771</v>
      </c>
      <c r="G428" s="42">
        <v>53</v>
      </c>
      <c r="H428" s="42" t="s">
        <v>481</v>
      </c>
      <c r="I428" s="42" t="s">
        <v>37</v>
      </c>
      <c r="J428" s="42">
        <v>10000</v>
      </c>
    </row>
    <row r="429" spans="1:22">
      <c r="A429" s="61" t="s">
        <v>1771</v>
      </c>
      <c r="C429" s="64" t="s">
        <v>4</v>
      </c>
      <c r="D429" s="64" t="s">
        <v>1760</v>
      </c>
      <c r="E429" s="42" t="s">
        <v>1772</v>
      </c>
      <c r="F429" s="42" t="s">
        <v>1771</v>
      </c>
      <c r="G429" s="42">
        <v>54</v>
      </c>
      <c r="H429" s="42" t="s">
        <v>319</v>
      </c>
      <c r="I429" s="42" t="s">
        <v>37</v>
      </c>
      <c r="J429" s="42">
        <v>5000</v>
      </c>
    </row>
    <row r="430" spans="1:22">
      <c r="A430" s="61" t="s">
        <v>1771</v>
      </c>
      <c r="C430" s="64" t="s">
        <v>4</v>
      </c>
      <c r="D430" s="64" t="s">
        <v>1760</v>
      </c>
      <c r="E430" s="42" t="s">
        <v>1772</v>
      </c>
      <c r="F430" s="42" t="s">
        <v>1771</v>
      </c>
      <c r="G430" s="42">
        <v>55</v>
      </c>
      <c r="H430" s="42" t="s">
        <v>321</v>
      </c>
      <c r="I430" s="42" t="s">
        <v>37</v>
      </c>
      <c r="J430" s="42">
        <v>5000</v>
      </c>
    </row>
    <row r="431" spans="1:22">
      <c r="A431" s="61" t="s">
        <v>1771</v>
      </c>
      <c r="C431" s="64" t="s">
        <v>4</v>
      </c>
      <c r="D431" s="64" t="s">
        <v>1760</v>
      </c>
      <c r="E431" s="42" t="s">
        <v>1772</v>
      </c>
      <c r="F431" s="42" t="s">
        <v>1771</v>
      </c>
      <c r="G431" s="42">
        <v>56</v>
      </c>
      <c r="H431" s="42" t="s">
        <v>561</v>
      </c>
      <c r="I431" s="42" t="s">
        <v>37</v>
      </c>
      <c r="J431" s="42">
        <v>110000</v>
      </c>
    </row>
    <row r="432" spans="1:22">
      <c r="A432" s="61" t="s">
        <v>1771</v>
      </c>
      <c r="C432" s="64" t="s">
        <v>4</v>
      </c>
      <c r="D432" s="64" t="s">
        <v>1760</v>
      </c>
      <c r="E432" s="42" t="s">
        <v>1772</v>
      </c>
      <c r="F432" s="42" t="s">
        <v>1771</v>
      </c>
      <c r="G432" s="42">
        <v>57</v>
      </c>
      <c r="H432" s="42" t="s">
        <v>483</v>
      </c>
      <c r="I432" s="42" t="s">
        <v>37</v>
      </c>
      <c r="J432" s="42">
        <v>50000</v>
      </c>
    </row>
    <row r="433" spans="1:22">
      <c r="A433" s="61" t="s">
        <v>1771</v>
      </c>
      <c r="C433" s="64" t="s">
        <v>4</v>
      </c>
      <c r="D433" s="64" t="s">
        <v>1760</v>
      </c>
      <c r="E433" s="42" t="s">
        <v>1772</v>
      </c>
      <c r="F433" s="42" t="s">
        <v>1771</v>
      </c>
      <c r="G433" s="42">
        <v>58</v>
      </c>
      <c r="H433" s="42" t="s">
        <v>485</v>
      </c>
      <c r="I433" s="42" t="s">
        <v>37</v>
      </c>
      <c r="J433" s="42">
        <v>40000</v>
      </c>
    </row>
    <row r="434" spans="1:22">
      <c r="A434" s="61" t="s">
        <v>1771</v>
      </c>
      <c r="C434" s="64" t="s">
        <v>4</v>
      </c>
      <c r="D434" s="64" t="s">
        <v>1760</v>
      </c>
      <c r="E434" s="42" t="s">
        <v>1772</v>
      </c>
      <c r="F434" s="42" t="s">
        <v>1771</v>
      </c>
      <c r="G434" s="42">
        <v>59</v>
      </c>
      <c r="H434" s="42" t="s">
        <v>567</v>
      </c>
      <c r="I434" s="42" t="s">
        <v>37</v>
      </c>
      <c r="J434" s="42">
        <v>20000</v>
      </c>
    </row>
    <row r="435" spans="1:22">
      <c r="A435" s="61" t="s">
        <v>1771</v>
      </c>
      <c r="C435" s="64" t="s">
        <v>4</v>
      </c>
      <c r="D435" s="64" t="s">
        <v>1760</v>
      </c>
      <c r="E435" s="42" t="s">
        <v>1772</v>
      </c>
      <c r="F435" s="42" t="s">
        <v>1771</v>
      </c>
      <c r="G435" s="42">
        <v>60</v>
      </c>
      <c r="H435" s="42" t="s">
        <v>461</v>
      </c>
      <c r="I435" s="42" t="s">
        <v>37</v>
      </c>
      <c r="J435" s="42">
        <v>110000</v>
      </c>
    </row>
    <row r="436" spans="1:22">
      <c r="A436" s="61" t="s">
        <v>1771</v>
      </c>
      <c r="C436" s="64" t="s">
        <v>4</v>
      </c>
      <c r="D436" s="64" t="s">
        <v>1760</v>
      </c>
      <c r="E436" s="42" t="s">
        <v>1772</v>
      </c>
      <c r="F436" s="42" t="s">
        <v>1771</v>
      </c>
      <c r="G436" s="42">
        <v>61</v>
      </c>
      <c r="H436" s="42" t="s">
        <v>565</v>
      </c>
      <c r="I436" s="42" t="s">
        <v>37</v>
      </c>
      <c r="J436" s="42">
        <v>70000</v>
      </c>
    </row>
    <row r="437" spans="1:22">
      <c r="A437" s="61" t="s">
        <v>1771</v>
      </c>
      <c r="C437" s="64" t="s">
        <v>4</v>
      </c>
      <c r="D437" s="64" t="s">
        <v>1760</v>
      </c>
      <c r="E437" s="42" t="s">
        <v>1772</v>
      </c>
      <c r="F437" s="42" t="s">
        <v>1771</v>
      </c>
      <c r="G437" s="42">
        <v>62</v>
      </c>
      <c r="H437" s="42" t="s">
        <v>489</v>
      </c>
      <c r="I437" s="42" t="s">
        <v>37</v>
      </c>
      <c r="J437" s="42">
        <v>30000</v>
      </c>
    </row>
    <row r="438" spans="1:22">
      <c r="A438" s="61" t="s">
        <v>1771</v>
      </c>
      <c r="C438" s="64" t="s">
        <v>4</v>
      </c>
      <c r="D438" s="64" t="s">
        <v>1760</v>
      </c>
      <c r="E438" s="42" t="s">
        <v>1772</v>
      </c>
      <c r="F438" s="42" t="s">
        <v>1771</v>
      </c>
      <c r="G438" s="42">
        <v>63</v>
      </c>
      <c r="H438" s="42" t="s">
        <v>423</v>
      </c>
      <c r="I438" s="42" t="s">
        <v>37</v>
      </c>
      <c r="J438" s="42">
        <v>20000</v>
      </c>
    </row>
    <row r="439" spans="1:22">
      <c r="A439" s="61" t="s">
        <v>1771</v>
      </c>
      <c r="C439" s="64" t="s">
        <v>4</v>
      </c>
      <c r="D439" s="64" t="s">
        <v>1760</v>
      </c>
      <c r="E439" s="42" t="s">
        <v>1772</v>
      </c>
      <c r="F439" s="42" t="s">
        <v>1771</v>
      </c>
      <c r="G439" s="42">
        <v>64</v>
      </c>
      <c r="H439" s="42" t="s">
        <v>425</v>
      </c>
      <c r="I439" s="42" t="s">
        <v>37</v>
      </c>
      <c r="J439" s="42">
        <v>30000</v>
      </c>
    </row>
    <row r="440" spans="1:22">
      <c r="A440" s="61" t="s">
        <v>1771</v>
      </c>
      <c r="C440" s="64" t="s">
        <v>4</v>
      </c>
      <c r="D440" s="64" t="s">
        <v>1760</v>
      </c>
      <c r="E440" s="42" t="s">
        <v>1772</v>
      </c>
      <c r="F440" s="42" t="s">
        <v>1771</v>
      </c>
      <c r="G440" s="42">
        <v>65</v>
      </c>
      <c r="H440" s="42" t="s">
        <v>427</v>
      </c>
      <c r="I440" s="42" t="s">
        <v>37</v>
      </c>
      <c r="J440" s="42">
        <v>30000</v>
      </c>
    </row>
    <row r="441" spans="1:22">
      <c r="A441" s="61" t="s">
        <v>1771</v>
      </c>
      <c r="C441" s="64" t="s">
        <v>4</v>
      </c>
      <c r="D441" s="64" t="s">
        <v>1760</v>
      </c>
      <c r="E441" s="42" t="s">
        <v>1772</v>
      </c>
      <c r="F441" s="42" t="s">
        <v>1771</v>
      </c>
      <c r="G441" s="42">
        <v>66</v>
      </c>
      <c r="H441" s="42" t="s">
        <v>429</v>
      </c>
      <c r="I441" s="42" t="s">
        <v>37</v>
      </c>
      <c r="J441" s="42">
        <v>30000</v>
      </c>
    </row>
    <row r="442" spans="1:22">
      <c r="A442" s="61" t="s">
        <v>1771</v>
      </c>
      <c r="C442" s="64" t="s">
        <v>4</v>
      </c>
      <c r="D442" s="64" t="s">
        <v>1760</v>
      </c>
      <c r="E442" s="42" t="s">
        <v>1772</v>
      </c>
      <c r="F442" s="42" t="s">
        <v>1771</v>
      </c>
      <c r="G442" s="42">
        <v>67</v>
      </c>
      <c r="H442" s="42" t="s">
        <v>435</v>
      </c>
      <c r="I442" s="42" t="s">
        <v>37</v>
      </c>
      <c r="J442" s="42">
        <v>80000</v>
      </c>
    </row>
    <row r="443" spans="1:22">
      <c r="A443" s="61" t="s">
        <v>1771</v>
      </c>
      <c r="C443" s="64" t="s">
        <v>4</v>
      </c>
      <c r="D443" s="64" t="s">
        <v>1760</v>
      </c>
      <c r="E443" s="42" t="s">
        <v>1772</v>
      </c>
      <c r="F443" s="42" t="s">
        <v>1771</v>
      </c>
      <c r="G443" s="42">
        <v>68</v>
      </c>
      <c r="H443" s="42" t="s">
        <v>445</v>
      </c>
      <c r="I443" s="42" t="s">
        <v>37</v>
      </c>
      <c r="J443" s="42">
        <v>20000</v>
      </c>
    </row>
    <row r="444" spans="1:22">
      <c r="A444" s="61" t="s">
        <v>1771</v>
      </c>
      <c r="C444" s="64" t="s">
        <v>4</v>
      </c>
      <c r="D444" s="64" t="s">
        <v>1760</v>
      </c>
      <c r="E444" s="42" t="s">
        <v>1772</v>
      </c>
      <c r="F444" s="42" t="s">
        <v>1771</v>
      </c>
      <c r="G444" s="42">
        <v>69</v>
      </c>
      <c r="H444" s="42" t="s">
        <v>431</v>
      </c>
      <c r="I444" s="42" t="s">
        <v>37</v>
      </c>
      <c r="J444" s="42">
        <v>10000</v>
      </c>
    </row>
    <row r="445" spans="1:22">
      <c r="A445" s="61" t="s">
        <v>1771</v>
      </c>
      <c r="C445" s="64" t="s">
        <v>4</v>
      </c>
      <c r="D445" s="64" t="s">
        <v>1760</v>
      </c>
      <c r="E445" s="42" t="s">
        <v>1772</v>
      </c>
      <c r="F445" s="42" t="s">
        <v>1771</v>
      </c>
      <c r="G445" s="42">
        <v>70</v>
      </c>
      <c r="H445" s="42" t="s">
        <v>433</v>
      </c>
      <c r="I445" s="42" t="s">
        <v>37</v>
      </c>
      <c r="J445" s="42">
        <v>80000</v>
      </c>
    </row>
    <row r="446" spans="1:22">
      <c r="A446" s="61" t="s">
        <v>1771</v>
      </c>
      <c r="C446" s="64" t="s">
        <v>4</v>
      </c>
      <c r="D446" s="64" t="s">
        <v>1760</v>
      </c>
      <c r="E446" s="42" t="s">
        <v>1772</v>
      </c>
      <c r="F446" s="42" t="s">
        <v>1771</v>
      </c>
      <c r="G446" s="42">
        <v>71</v>
      </c>
      <c r="H446" s="42" t="s">
        <v>657</v>
      </c>
      <c r="I446" s="42" t="s">
        <v>37</v>
      </c>
      <c r="J446" s="42">
        <v>5000</v>
      </c>
    </row>
    <row r="447" spans="1:22">
      <c r="A447" s="61" t="s">
        <v>1771</v>
      </c>
      <c r="C447" s="64" t="s">
        <v>4</v>
      </c>
      <c r="D447" s="64" t="s">
        <v>1760</v>
      </c>
      <c r="E447" s="42" t="s">
        <v>1772</v>
      </c>
      <c r="F447" s="42" t="s">
        <v>1771</v>
      </c>
      <c r="G447" s="42">
        <v>72</v>
      </c>
      <c r="H447" s="42" t="s">
        <v>827</v>
      </c>
      <c r="I447" s="42" t="s">
        <v>37</v>
      </c>
      <c r="J447" s="42">
        <v>10000</v>
      </c>
    </row>
    <row r="448" spans="1:22">
      <c r="A448" s="61" t="s">
        <v>1771</v>
      </c>
      <c r="C448" s="64" t="s">
        <v>4</v>
      </c>
      <c r="D448" s="64" t="s">
        <v>1760</v>
      </c>
      <c r="E448" s="42" t="s">
        <v>1772</v>
      </c>
      <c r="F448" s="42" t="s">
        <v>1771</v>
      </c>
      <c r="G448" s="42">
        <v>73</v>
      </c>
      <c r="H448" s="42" t="s">
        <v>491</v>
      </c>
      <c r="I448" s="42" t="s">
        <v>37</v>
      </c>
      <c r="J448" s="42">
        <v>30000</v>
      </c>
    </row>
    <row r="449" spans="1:22">
      <c r="A449" s="61" t="s">
        <v>1771</v>
      </c>
      <c r="C449" s="64" t="s">
        <v>4</v>
      </c>
      <c r="D449" s="64" t="s">
        <v>1760</v>
      </c>
      <c r="E449" s="42" t="s">
        <v>1772</v>
      </c>
      <c r="F449" s="42" t="s">
        <v>1771</v>
      </c>
      <c r="G449" s="42">
        <v>74</v>
      </c>
      <c r="H449" s="42" t="s">
        <v>569</v>
      </c>
      <c r="I449" s="42" t="s">
        <v>37</v>
      </c>
      <c r="J449" s="42">
        <v>5000</v>
      </c>
    </row>
    <row r="450" spans="1:22">
      <c r="A450" s="61" t="s">
        <v>1771</v>
      </c>
      <c r="C450" s="64" t="s">
        <v>4</v>
      </c>
      <c r="D450" s="64" t="s">
        <v>1760</v>
      </c>
      <c r="E450" s="42" t="s">
        <v>1772</v>
      </c>
      <c r="F450" s="42" t="s">
        <v>1771</v>
      </c>
      <c r="G450" s="42">
        <v>75</v>
      </c>
      <c r="H450" s="42" t="s">
        <v>519</v>
      </c>
      <c r="I450" s="42" t="s">
        <v>37</v>
      </c>
      <c r="J450" s="42">
        <v>150000</v>
      </c>
    </row>
    <row r="451" spans="1:22">
      <c r="A451" s="61" t="s">
        <v>1771</v>
      </c>
      <c r="C451" s="64" t="s">
        <v>4</v>
      </c>
      <c r="D451" s="64" t="s">
        <v>1760</v>
      </c>
      <c r="E451" s="42" t="s">
        <v>1772</v>
      </c>
      <c r="F451" s="42" t="s">
        <v>1771</v>
      </c>
      <c r="G451" s="42">
        <v>76</v>
      </c>
      <c r="H451" s="42" t="s">
        <v>515</v>
      </c>
      <c r="I451" s="42" t="s">
        <v>37</v>
      </c>
      <c r="J451" s="42">
        <v>30000</v>
      </c>
    </row>
    <row r="452" spans="1:22">
      <c r="A452" s="61" t="s">
        <v>1771</v>
      </c>
      <c r="C452" s="64" t="s">
        <v>4</v>
      </c>
      <c r="D452" s="64" t="s">
        <v>1760</v>
      </c>
      <c r="E452" s="42" t="s">
        <v>1772</v>
      </c>
      <c r="F452" s="42" t="s">
        <v>1771</v>
      </c>
      <c r="G452" s="42">
        <v>77</v>
      </c>
      <c r="H452" s="42" t="s">
        <v>527</v>
      </c>
      <c r="I452" s="42" t="s">
        <v>37</v>
      </c>
      <c r="J452" s="42">
        <v>30000</v>
      </c>
    </row>
    <row r="453" spans="1:22">
      <c r="A453" s="61" t="s">
        <v>1771</v>
      </c>
      <c r="C453" s="64" t="s">
        <v>4</v>
      </c>
      <c r="D453" s="64" t="s">
        <v>1760</v>
      </c>
      <c r="E453" s="42" t="s">
        <v>1772</v>
      </c>
      <c r="F453" s="42" t="s">
        <v>1771</v>
      </c>
      <c r="G453" s="42">
        <v>78</v>
      </c>
      <c r="H453" s="42" t="s">
        <v>597</v>
      </c>
      <c r="I453" s="42" t="s">
        <v>37</v>
      </c>
      <c r="J453" s="42">
        <v>40000</v>
      </c>
    </row>
    <row r="454" spans="1:22">
      <c r="A454" s="61" t="s">
        <v>1771</v>
      </c>
      <c r="C454" s="64" t="s">
        <v>4</v>
      </c>
      <c r="D454" s="64" t="s">
        <v>1760</v>
      </c>
      <c r="E454" s="42" t="s">
        <v>1772</v>
      </c>
      <c r="F454" s="42" t="s">
        <v>1771</v>
      </c>
      <c r="G454" s="42">
        <v>79</v>
      </c>
      <c r="H454" s="42" t="s">
        <v>599</v>
      </c>
      <c r="I454" s="42" t="s">
        <v>37</v>
      </c>
      <c r="J454" s="42">
        <v>270000</v>
      </c>
    </row>
    <row r="455" spans="1:22">
      <c r="A455" s="61" t="s">
        <v>1771</v>
      </c>
      <c r="C455" s="64" t="s">
        <v>4</v>
      </c>
      <c r="D455" s="64" t="s">
        <v>1760</v>
      </c>
      <c r="E455" s="42" t="s">
        <v>1772</v>
      </c>
      <c r="F455" s="42" t="s">
        <v>1771</v>
      </c>
      <c r="G455" s="42">
        <v>80</v>
      </c>
      <c r="H455" s="42" t="s">
        <v>601</v>
      </c>
      <c r="I455" s="42" t="s">
        <v>37</v>
      </c>
      <c r="J455" s="42">
        <v>50000</v>
      </c>
    </row>
    <row r="456" spans="1:22">
      <c r="A456" s="61" t="s">
        <v>1771</v>
      </c>
      <c r="C456" s="64" t="s">
        <v>4</v>
      </c>
      <c r="D456" s="64" t="s">
        <v>1760</v>
      </c>
      <c r="E456" s="42" t="s">
        <v>1772</v>
      </c>
      <c r="F456" s="42" t="s">
        <v>1771</v>
      </c>
      <c r="G456" s="42">
        <v>81</v>
      </c>
      <c r="H456" s="42" t="s">
        <v>673</v>
      </c>
      <c r="I456" s="42" t="s">
        <v>37</v>
      </c>
      <c r="J456" s="42">
        <v>40000</v>
      </c>
    </row>
    <row r="457" spans="1:22">
      <c r="A457" s="61" t="s">
        <v>1771</v>
      </c>
      <c r="C457" s="64" t="s">
        <v>4</v>
      </c>
      <c r="D457" s="64" t="s">
        <v>1760</v>
      </c>
      <c r="E457" s="42" t="s">
        <v>1772</v>
      </c>
      <c r="F457" s="42" t="s">
        <v>1771</v>
      </c>
      <c r="G457" s="42">
        <v>82</v>
      </c>
      <c r="H457" s="42" t="s">
        <v>543</v>
      </c>
      <c r="I457" s="42" t="s">
        <v>37</v>
      </c>
      <c r="J457" s="42">
        <v>10000</v>
      </c>
    </row>
    <row r="458" spans="1:22">
      <c r="A458" s="61" t="s">
        <v>1771</v>
      </c>
      <c r="C458" s="64" t="s">
        <v>4</v>
      </c>
      <c r="D458" s="64" t="s">
        <v>1760</v>
      </c>
      <c r="E458" s="42" t="s">
        <v>1772</v>
      </c>
      <c r="F458" s="42" t="s">
        <v>1771</v>
      </c>
      <c r="G458" s="42">
        <v>83</v>
      </c>
      <c r="H458" s="42" t="s">
        <v>447</v>
      </c>
      <c r="I458" s="42" t="s">
        <v>37</v>
      </c>
      <c r="J458" s="42">
        <v>30000</v>
      </c>
    </row>
    <row r="459" spans="1:22">
      <c r="A459" s="61" t="s">
        <v>1771</v>
      </c>
      <c r="C459" s="64" t="s">
        <v>4</v>
      </c>
      <c r="D459" s="64" t="s">
        <v>1760</v>
      </c>
      <c r="E459" s="42" t="s">
        <v>1772</v>
      </c>
      <c r="F459" s="42" t="s">
        <v>1771</v>
      </c>
      <c r="G459" s="42">
        <v>84</v>
      </c>
      <c r="H459" s="42" t="s">
        <v>541</v>
      </c>
      <c r="I459" s="42" t="s">
        <v>37</v>
      </c>
      <c r="J459" s="42">
        <v>10000</v>
      </c>
    </row>
    <row r="460" spans="1:22">
      <c r="A460" s="61" t="s">
        <v>1771</v>
      </c>
      <c r="C460" s="64" t="s">
        <v>4</v>
      </c>
      <c r="D460" s="64" t="s">
        <v>1760</v>
      </c>
      <c r="E460" s="42" t="s">
        <v>1772</v>
      </c>
      <c r="F460" s="42" t="s">
        <v>1771</v>
      </c>
      <c r="G460" s="42">
        <v>85</v>
      </c>
      <c r="H460" s="42" t="s">
        <v>557</v>
      </c>
      <c r="I460" s="42" t="s">
        <v>37</v>
      </c>
      <c r="J460" s="42">
        <v>25000</v>
      </c>
    </row>
    <row r="461" spans="1:22">
      <c r="A461" s="61" t="s">
        <v>1771</v>
      </c>
      <c r="C461" s="64" t="s">
        <v>4</v>
      </c>
      <c r="D461" s="64" t="s">
        <v>1760</v>
      </c>
      <c r="E461" s="42" t="s">
        <v>1772</v>
      </c>
      <c r="F461" s="42" t="s">
        <v>1771</v>
      </c>
      <c r="G461" s="42">
        <v>86</v>
      </c>
      <c r="H461" s="42" t="s">
        <v>563</v>
      </c>
      <c r="I461" s="42" t="s">
        <v>37</v>
      </c>
      <c r="J461" s="42">
        <v>15000</v>
      </c>
    </row>
    <row r="462" spans="1:22">
      <c r="A462" s="61" t="s">
        <v>1771</v>
      </c>
      <c r="C462" s="64" t="s">
        <v>4</v>
      </c>
      <c r="D462" s="64" t="s">
        <v>1760</v>
      </c>
      <c r="E462" s="42" t="s">
        <v>1772</v>
      </c>
      <c r="F462" s="42" t="s">
        <v>1771</v>
      </c>
      <c r="G462" s="42">
        <v>87</v>
      </c>
      <c r="H462" s="42" t="s">
        <v>615</v>
      </c>
      <c r="I462" s="42" t="s">
        <v>37</v>
      </c>
      <c r="J462" s="42">
        <v>30000</v>
      </c>
    </row>
    <row r="463" spans="1:22">
      <c r="A463" s="61" t="s">
        <v>1771</v>
      </c>
      <c r="C463" s="64" t="s">
        <v>4</v>
      </c>
      <c r="D463" s="64" t="s">
        <v>1760</v>
      </c>
      <c r="E463" s="42" t="s">
        <v>1772</v>
      </c>
      <c r="F463" s="42" t="s">
        <v>1771</v>
      </c>
      <c r="G463" s="42">
        <v>88</v>
      </c>
      <c r="H463" s="42" t="s">
        <v>667</v>
      </c>
      <c r="I463" s="42" t="s">
        <v>37</v>
      </c>
      <c r="J463" s="42">
        <v>2000</v>
      </c>
    </row>
    <row r="464" spans="1:22">
      <c r="A464" s="61" t="s">
        <v>1771</v>
      </c>
      <c r="C464" s="64" t="s">
        <v>4</v>
      </c>
      <c r="D464" s="64" t="s">
        <v>1760</v>
      </c>
      <c r="E464" s="42" t="s">
        <v>1772</v>
      </c>
      <c r="F464" s="42" t="s">
        <v>1771</v>
      </c>
      <c r="G464" s="42">
        <v>89</v>
      </c>
      <c r="H464" s="42" t="s">
        <v>669</v>
      </c>
      <c r="I464" s="42" t="s">
        <v>37</v>
      </c>
      <c r="J464" s="42">
        <v>2000</v>
      </c>
    </row>
    <row r="465" spans="1:22">
      <c r="A465" s="61" t="s">
        <v>1771</v>
      </c>
      <c r="C465" s="64" t="s">
        <v>4</v>
      </c>
      <c r="D465" s="64" t="s">
        <v>1760</v>
      </c>
      <c r="E465" s="42" t="s">
        <v>1772</v>
      </c>
      <c r="F465" s="42" t="s">
        <v>1771</v>
      </c>
      <c r="G465" s="42">
        <v>90</v>
      </c>
      <c r="H465" s="42" t="s">
        <v>671</v>
      </c>
      <c r="I465" s="42" t="s">
        <v>37</v>
      </c>
      <c r="J465" s="42">
        <v>10000</v>
      </c>
    </row>
    <row r="466" spans="1:22">
      <c r="A466" s="61" t="s">
        <v>1771</v>
      </c>
      <c r="C466" s="64" t="s">
        <v>4</v>
      </c>
      <c r="D466" s="64" t="s">
        <v>1760</v>
      </c>
      <c r="E466" s="42" t="s">
        <v>1772</v>
      </c>
      <c r="F466" s="42" t="s">
        <v>1771</v>
      </c>
      <c r="G466" s="42">
        <v>91</v>
      </c>
      <c r="H466" s="42" t="s">
        <v>677</v>
      </c>
      <c r="I466" s="42" t="s">
        <v>37</v>
      </c>
      <c r="J466" s="42">
        <v>34500</v>
      </c>
    </row>
    <row r="467" spans="1:22">
      <c r="A467" s="61" t="s">
        <v>1771</v>
      </c>
      <c r="C467" s="64" t="s">
        <v>4</v>
      </c>
      <c r="D467" s="64" t="s">
        <v>1760</v>
      </c>
      <c r="E467" s="42" t="s">
        <v>1772</v>
      </c>
      <c r="F467" s="42" t="s">
        <v>1771</v>
      </c>
      <c r="G467" s="42">
        <v>92</v>
      </c>
      <c r="H467" s="42" t="s">
        <v>679</v>
      </c>
      <c r="I467" s="42" t="s">
        <v>37</v>
      </c>
      <c r="J467" s="42">
        <v>10000</v>
      </c>
    </row>
    <row r="468" spans="1:22">
      <c r="A468" s="61" t="s">
        <v>1771</v>
      </c>
      <c r="C468" s="64" t="s">
        <v>4</v>
      </c>
      <c r="D468" s="64" t="s">
        <v>1760</v>
      </c>
      <c r="E468" s="42" t="s">
        <v>1772</v>
      </c>
      <c r="F468" s="42" t="s">
        <v>1771</v>
      </c>
      <c r="G468" s="42">
        <v>93</v>
      </c>
      <c r="H468" s="42" t="s">
        <v>681</v>
      </c>
      <c r="I468" s="42" t="s">
        <v>37</v>
      </c>
      <c r="J468" s="42">
        <v>10000</v>
      </c>
    </row>
    <row r="469" spans="1:22">
      <c r="A469" s="61" t="s">
        <v>1771</v>
      </c>
      <c r="C469" s="64" t="s">
        <v>4</v>
      </c>
      <c r="D469" s="64" t="s">
        <v>1760</v>
      </c>
      <c r="E469" s="42" t="s">
        <v>1772</v>
      </c>
      <c r="F469" s="42" t="s">
        <v>1771</v>
      </c>
      <c r="G469" s="42">
        <v>94</v>
      </c>
      <c r="H469" s="42" t="s">
        <v>665</v>
      </c>
      <c r="I469" s="42" t="s">
        <v>37</v>
      </c>
      <c r="J469" s="42">
        <v>5000</v>
      </c>
    </row>
    <row r="470" spans="1:22">
      <c r="A470" s="61" t="s">
        <v>1771</v>
      </c>
      <c r="C470" s="64" t="s">
        <v>4</v>
      </c>
      <c r="D470" s="64" t="s">
        <v>1760</v>
      </c>
      <c r="E470" s="42" t="s">
        <v>1772</v>
      </c>
      <c r="F470" s="42" t="s">
        <v>1771</v>
      </c>
      <c r="G470" s="42">
        <v>95</v>
      </c>
      <c r="H470" s="42" t="s">
        <v>663</v>
      </c>
      <c r="I470" s="42" t="s">
        <v>37</v>
      </c>
      <c r="J470" s="42">
        <v>10000</v>
      </c>
    </row>
    <row r="471" spans="1:22">
      <c r="A471" s="61" t="s">
        <v>1771</v>
      </c>
      <c r="C471" s="64" t="s">
        <v>4</v>
      </c>
      <c r="D471" s="64" t="s">
        <v>1760</v>
      </c>
      <c r="E471" s="42" t="s">
        <v>1772</v>
      </c>
      <c r="F471" s="42" t="s">
        <v>1771</v>
      </c>
      <c r="G471" s="42">
        <v>96</v>
      </c>
      <c r="H471" s="42" t="s">
        <v>661</v>
      </c>
      <c r="I471" s="42" t="s">
        <v>37</v>
      </c>
      <c r="J471" s="42">
        <v>8000</v>
      </c>
    </row>
    <row r="472" spans="1:22">
      <c r="A472" s="61" t="s">
        <v>1771</v>
      </c>
      <c r="C472" s="64" t="s">
        <v>4</v>
      </c>
      <c r="D472" s="64" t="s">
        <v>1760</v>
      </c>
      <c r="E472" s="42" t="s">
        <v>1772</v>
      </c>
      <c r="F472" s="42" t="s">
        <v>1771</v>
      </c>
      <c r="G472" s="42">
        <v>97</v>
      </c>
      <c r="H472" s="42" t="s">
        <v>537</v>
      </c>
      <c r="I472" s="42" t="s">
        <v>37</v>
      </c>
      <c r="J472" s="42">
        <v>20000</v>
      </c>
    </row>
    <row r="473" spans="1:22">
      <c r="A473" s="61" t="s">
        <v>1771</v>
      </c>
      <c r="C473" s="64" t="s">
        <v>4</v>
      </c>
      <c r="D473" s="64" t="s">
        <v>1760</v>
      </c>
      <c r="E473" s="42" t="s">
        <v>1772</v>
      </c>
      <c r="F473" s="42" t="s">
        <v>1771</v>
      </c>
      <c r="G473" s="42">
        <v>98</v>
      </c>
      <c r="H473" s="42" t="s">
        <v>1121</v>
      </c>
      <c r="I473" s="42" t="s">
        <v>37</v>
      </c>
      <c r="J473" s="42">
        <v>20000</v>
      </c>
    </row>
    <row r="474" spans="1:22">
      <c r="A474" s="61" t="s">
        <v>1771</v>
      </c>
      <c r="C474" s="64" t="s">
        <v>4</v>
      </c>
      <c r="D474" s="64" t="s">
        <v>1760</v>
      </c>
      <c r="E474" s="42" t="s">
        <v>1772</v>
      </c>
      <c r="F474" s="42" t="s">
        <v>1771</v>
      </c>
      <c r="G474" s="42">
        <v>99</v>
      </c>
      <c r="H474" s="42" t="s">
        <v>659</v>
      </c>
      <c r="I474" s="42" t="s">
        <v>37</v>
      </c>
      <c r="J474" s="42">
        <v>45000</v>
      </c>
    </row>
    <row r="475" spans="1:22">
      <c r="A475" s="61" t="s">
        <v>1771</v>
      </c>
      <c r="C475" s="64" t="s">
        <v>4</v>
      </c>
      <c r="D475" s="64" t="s">
        <v>1760</v>
      </c>
      <c r="E475" s="42" t="s">
        <v>1772</v>
      </c>
      <c r="F475" s="42" t="s">
        <v>1771</v>
      </c>
      <c r="G475" s="42">
        <v>100</v>
      </c>
      <c r="H475" s="42" t="s">
        <v>675</v>
      </c>
      <c r="I475" s="42" t="s">
        <v>37</v>
      </c>
      <c r="J475" s="42">
        <v>30000</v>
      </c>
    </row>
    <row r="476" spans="1:22">
      <c r="A476" s="61" t="s">
        <v>1771</v>
      </c>
      <c r="C476" s="64" t="s">
        <v>4</v>
      </c>
      <c r="D476" s="64" t="s">
        <v>1760</v>
      </c>
      <c r="E476" s="42" t="s">
        <v>1772</v>
      </c>
      <c r="F476" s="42" t="s">
        <v>1771</v>
      </c>
      <c r="G476" s="42">
        <v>101</v>
      </c>
      <c r="H476" s="42" t="s">
        <v>797</v>
      </c>
      <c r="I476" s="42" t="s">
        <v>37</v>
      </c>
      <c r="J476" s="42">
        <v>10000</v>
      </c>
    </row>
    <row r="477" spans="1:22">
      <c r="A477" s="61" t="s">
        <v>1771</v>
      </c>
      <c r="C477" s="64" t="s">
        <v>4</v>
      </c>
      <c r="D477" s="64" t="s">
        <v>1760</v>
      </c>
      <c r="E477" s="42" t="s">
        <v>1772</v>
      </c>
      <c r="F477" s="42" t="s">
        <v>1771</v>
      </c>
      <c r="G477" s="42">
        <v>102</v>
      </c>
      <c r="H477" s="42" t="s">
        <v>799</v>
      </c>
      <c r="I477" s="42" t="s">
        <v>37</v>
      </c>
      <c r="J477" s="42">
        <v>5000</v>
      </c>
    </row>
    <row r="478" spans="1:22">
      <c r="A478" s="61" t="s">
        <v>1771</v>
      </c>
      <c r="C478" s="64" t="s">
        <v>4</v>
      </c>
      <c r="D478" s="64" t="s">
        <v>1760</v>
      </c>
      <c r="E478" s="42" t="s">
        <v>1772</v>
      </c>
      <c r="F478" s="42" t="s">
        <v>1771</v>
      </c>
      <c r="G478" s="42">
        <v>103</v>
      </c>
      <c r="H478" s="42" t="s">
        <v>809</v>
      </c>
      <c r="I478" s="42" t="s">
        <v>37</v>
      </c>
      <c r="J478" s="42">
        <v>45000</v>
      </c>
    </row>
    <row r="479" spans="1:22">
      <c r="A479" s="61" t="s">
        <v>1771</v>
      </c>
      <c r="C479" s="64" t="s">
        <v>4</v>
      </c>
      <c r="D479" s="64" t="s">
        <v>1760</v>
      </c>
      <c r="E479" s="42" t="s">
        <v>1772</v>
      </c>
      <c r="F479" s="42" t="s">
        <v>1771</v>
      </c>
      <c r="G479" s="42">
        <v>104</v>
      </c>
      <c r="H479" s="42" t="s">
        <v>893</v>
      </c>
      <c r="I479" s="42" t="s">
        <v>37</v>
      </c>
      <c r="J479" s="42">
        <v>10000</v>
      </c>
    </row>
    <row r="480" spans="1:22">
      <c r="A480" s="61" t="s">
        <v>1771</v>
      </c>
      <c r="C480" s="64" t="s">
        <v>4</v>
      </c>
      <c r="D480" s="64" t="s">
        <v>1760</v>
      </c>
      <c r="E480" s="42" t="s">
        <v>1772</v>
      </c>
      <c r="F480" s="42" t="s">
        <v>1771</v>
      </c>
      <c r="G480" s="42">
        <v>105</v>
      </c>
      <c r="H480" s="42" t="s">
        <v>717</v>
      </c>
      <c r="I480" s="42" t="s">
        <v>37</v>
      </c>
      <c r="J480" s="42">
        <v>40000</v>
      </c>
    </row>
    <row r="481" spans="1:22">
      <c r="A481" s="61" t="s">
        <v>1771</v>
      </c>
      <c r="C481" s="64" t="s">
        <v>4</v>
      </c>
      <c r="D481" s="64" t="s">
        <v>1760</v>
      </c>
      <c r="E481" s="42" t="s">
        <v>1772</v>
      </c>
      <c r="F481" s="42" t="s">
        <v>1771</v>
      </c>
      <c r="G481" s="42">
        <v>106</v>
      </c>
      <c r="H481" s="42" t="s">
        <v>743</v>
      </c>
      <c r="I481" s="42" t="s">
        <v>37</v>
      </c>
      <c r="J481" s="42">
        <v>30000</v>
      </c>
    </row>
    <row r="482" spans="1:22">
      <c r="A482" s="61" t="s">
        <v>1771</v>
      </c>
      <c r="C482" s="64" t="s">
        <v>4</v>
      </c>
      <c r="D482" s="64" t="s">
        <v>1760</v>
      </c>
      <c r="E482" s="42" t="s">
        <v>1772</v>
      </c>
      <c r="F482" s="42" t="s">
        <v>1771</v>
      </c>
      <c r="G482" s="42">
        <v>107</v>
      </c>
      <c r="H482" s="42" t="s">
        <v>745</v>
      </c>
      <c r="I482" s="42" t="s">
        <v>37</v>
      </c>
      <c r="J482" s="42">
        <v>10000</v>
      </c>
    </row>
    <row r="483" spans="1:22">
      <c r="A483" s="61" t="s">
        <v>1771</v>
      </c>
      <c r="C483" s="64" t="s">
        <v>4</v>
      </c>
      <c r="D483" s="64" t="s">
        <v>1760</v>
      </c>
      <c r="E483" s="42" t="s">
        <v>1772</v>
      </c>
      <c r="F483" s="42" t="s">
        <v>1771</v>
      </c>
      <c r="G483" s="42">
        <v>108</v>
      </c>
      <c r="H483" s="42" t="s">
        <v>747</v>
      </c>
      <c r="I483" s="42" t="s">
        <v>37</v>
      </c>
      <c r="J483" s="42">
        <v>10000</v>
      </c>
    </row>
    <row r="484" spans="1:22">
      <c r="A484" s="61" t="s">
        <v>1771</v>
      </c>
      <c r="C484" s="64" t="s">
        <v>4</v>
      </c>
      <c r="D484" s="64" t="s">
        <v>1760</v>
      </c>
      <c r="E484" s="42" t="s">
        <v>1772</v>
      </c>
      <c r="F484" s="42" t="s">
        <v>1771</v>
      </c>
      <c r="G484" s="42">
        <v>109</v>
      </c>
      <c r="H484" s="42" t="s">
        <v>749</v>
      </c>
      <c r="I484" s="42" t="s">
        <v>37</v>
      </c>
      <c r="J484" s="42">
        <v>80000</v>
      </c>
    </row>
    <row r="485" spans="1:22">
      <c r="A485" s="61" t="s">
        <v>1771</v>
      </c>
      <c r="C485" s="64" t="s">
        <v>4</v>
      </c>
      <c r="D485" s="64" t="s">
        <v>1760</v>
      </c>
      <c r="E485" s="42" t="s">
        <v>1772</v>
      </c>
      <c r="F485" s="42" t="s">
        <v>1771</v>
      </c>
      <c r="G485" s="42">
        <v>110</v>
      </c>
      <c r="H485" s="42" t="s">
        <v>751</v>
      </c>
      <c r="I485" s="42" t="s">
        <v>37</v>
      </c>
      <c r="J485" s="42">
        <v>30000</v>
      </c>
    </row>
    <row r="486" spans="1:22">
      <c r="A486" s="61" t="s">
        <v>1771</v>
      </c>
      <c r="C486" s="64" t="s">
        <v>4</v>
      </c>
      <c r="D486" s="64" t="s">
        <v>1760</v>
      </c>
      <c r="E486" s="42" t="s">
        <v>1772</v>
      </c>
      <c r="F486" s="42" t="s">
        <v>1771</v>
      </c>
      <c r="G486" s="42">
        <v>111</v>
      </c>
      <c r="H486" s="42" t="s">
        <v>753</v>
      </c>
      <c r="I486" s="42" t="s">
        <v>37</v>
      </c>
      <c r="J486" s="42">
        <v>5000</v>
      </c>
    </row>
    <row r="487" spans="1:22">
      <c r="A487" s="61" t="s">
        <v>1771</v>
      </c>
      <c r="C487" s="64" t="s">
        <v>4</v>
      </c>
      <c r="D487" s="64" t="s">
        <v>1760</v>
      </c>
      <c r="E487" s="42" t="s">
        <v>1772</v>
      </c>
      <c r="F487" s="42" t="s">
        <v>1771</v>
      </c>
      <c r="G487" s="42">
        <v>112</v>
      </c>
      <c r="H487" s="42" t="s">
        <v>683</v>
      </c>
      <c r="I487" s="42" t="s">
        <v>37</v>
      </c>
      <c r="J487" s="42">
        <v>150000</v>
      </c>
    </row>
    <row r="488" spans="1:22">
      <c r="A488" s="61" t="s">
        <v>1771</v>
      </c>
      <c r="C488" s="64" t="s">
        <v>4</v>
      </c>
      <c r="D488" s="64" t="s">
        <v>1760</v>
      </c>
      <c r="E488" s="42" t="s">
        <v>1772</v>
      </c>
      <c r="F488" s="42" t="s">
        <v>1771</v>
      </c>
      <c r="G488" s="42">
        <v>113</v>
      </c>
      <c r="H488" s="42" t="s">
        <v>719</v>
      </c>
      <c r="I488" s="42" t="s">
        <v>37</v>
      </c>
      <c r="J488" s="42">
        <v>10000</v>
      </c>
    </row>
    <row r="489" spans="1:22">
      <c r="A489" s="61" t="s">
        <v>1771</v>
      </c>
      <c r="C489" s="64" t="s">
        <v>4</v>
      </c>
      <c r="D489" s="64" t="s">
        <v>1760</v>
      </c>
      <c r="E489" s="42" t="s">
        <v>1772</v>
      </c>
      <c r="F489" s="42" t="s">
        <v>1771</v>
      </c>
      <c r="G489" s="42">
        <v>114</v>
      </c>
      <c r="H489" s="42" t="s">
        <v>967</v>
      </c>
      <c r="I489" s="42" t="s">
        <v>37</v>
      </c>
      <c r="J489" s="42">
        <v>10000</v>
      </c>
    </row>
    <row r="490" spans="1:22">
      <c r="A490" s="61" t="s">
        <v>1771</v>
      </c>
      <c r="C490" s="64" t="s">
        <v>4</v>
      </c>
      <c r="D490" s="64" t="s">
        <v>1760</v>
      </c>
      <c r="E490" s="42" t="s">
        <v>1772</v>
      </c>
      <c r="F490" s="42" t="s">
        <v>1771</v>
      </c>
      <c r="G490" s="42">
        <v>115</v>
      </c>
      <c r="H490" s="42" t="s">
        <v>907</v>
      </c>
      <c r="I490" s="42" t="s">
        <v>37</v>
      </c>
      <c r="J490" s="42">
        <v>20000</v>
      </c>
    </row>
    <row r="491" spans="1:22">
      <c r="A491" s="61" t="s">
        <v>1771</v>
      </c>
      <c r="C491" s="64" t="s">
        <v>4</v>
      </c>
      <c r="D491" s="64" t="s">
        <v>1760</v>
      </c>
      <c r="E491" s="42" t="s">
        <v>1772</v>
      </c>
      <c r="F491" s="42" t="s">
        <v>1771</v>
      </c>
      <c r="G491" s="42">
        <v>116</v>
      </c>
      <c r="H491" s="42" t="s">
        <v>909</v>
      </c>
      <c r="I491" s="42" t="s">
        <v>37</v>
      </c>
      <c r="J491" s="42">
        <v>20000</v>
      </c>
    </row>
    <row r="492" spans="1:22">
      <c r="A492" s="61" t="s">
        <v>1771</v>
      </c>
      <c r="C492" s="64" t="s">
        <v>4</v>
      </c>
      <c r="D492" s="64" t="s">
        <v>1760</v>
      </c>
      <c r="E492" s="42" t="s">
        <v>1772</v>
      </c>
      <c r="F492" s="42" t="s">
        <v>1771</v>
      </c>
      <c r="G492" s="42">
        <v>117</v>
      </c>
      <c r="H492" s="42" t="s">
        <v>911</v>
      </c>
      <c r="I492" s="42" t="s">
        <v>37</v>
      </c>
      <c r="J492" s="42">
        <v>20000</v>
      </c>
    </row>
    <row r="493" spans="1:22">
      <c r="A493" s="61" t="s">
        <v>1771</v>
      </c>
      <c r="C493" s="64" t="s">
        <v>4</v>
      </c>
      <c r="D493" s="64" t="s">
        <v>1760</v>
      </c>
      <c r="E493" s="42" t="s">
        <v>1772</v>
      </c>
      <c r="F493" s="42" t="s">
        <v>1771</v>
      </c>
      <c r="G493" s="42">
        <v>118</v>
      </c>
      <c r="H493" s="42" t="s">
        <v>913</v>
      </c>
      <c r="I493" s="42" t="s">
        <v>37</v>
      </c>
      <c r="J493" s="42">
        <v>42000</v>
      </c>
    </row>
    <row r="494" spans="1:22">
      <c r="A494" s="61" t="s">
        <v>1771</v>
      </c>
      <c r="C494" s="64" t="s">
        <v>4</v>
      </c>
      <c r="D494" s="64" t="s">
        <v>1760</v>
      </c>
      <c r="E494" s="42" t="s">
        <v>1772</v>
      </c>
      <c r="F494" s="42" t="s">
        <v>1771</v>
      </c>
      <c r="G494" s="42">
        <v>119</v>
      </c>
      <c r="H494" s="42" t="s">
        <v>915</v>
      </c>
      <c r="I494" s="42" t="s">
        <v>37</v>
      </c>
      <c r="J494" s="42">
        <v>40000</v>
      </c>
    </row>
    <row r="495" spans="1:22">
      <c r="A495" s="61" t="s">
        <v>1771</v>
      </c>
      <c r="C495" s="64" t="s">
        <v>4</v>
      </c>
      <c r="D495" s="64" t="s">
        <v>1760</v>
      </c>
      <c r="E495" s="42" t="s">
        <v>1772</v>
      </c>
      <c r="F495" s="42" t="s">
        <v>1771</v>
      </c>
      <c r="G495" s="42">
        <v>120</v>
      </c>
      <c r="H495" s="42" t="s">
        <v>917</v>
      </c>
      <c r="I495" s="42" t="s">
        <v>37</v>
      </c>
      <c r="J495" s="42">
        <v>10000</v>
      </c>
    </row>
    <row r="496" spans="1:22">
      <c r="A496" s="61" t="s">
        <v>1771</v>
      </c>
      <c r="C496" s="64" t="s">
        <v>4</v>
      </c>
      <c r="D496" s="64" t="s">
        <v>1760</v>
      </c>
      <c r="E496" s="42" t="s">
        <v>1772</v>
      </c>
      <c r="F496" s="42" t="s">
        <v>1771</v>
      </c>
      <c r="G496" s="42">
        <v>121</v>
      </c>
      <c r="H496" s="42" t="s">
        <v>971</v>
      </c>
      <c r="I496" s="42" t="s">
        <v>37</v>
      </c>
      <c r="J496" s="42">
        <v>6000</v>
      </c>
    </row>
    <row r="497" spans="1:22">
      <c r="A497" s="61" t="s">
        <v>1771</v>
      </c>
      <c r="C497" s="64" t="s">
        <v>4</v>
      </c>
      <c r="D497" s="64" t="s">
        <v>1760</v>
      </c>
      <c r="E497" s="42" t="s">
        <v>1772</v>
      </c>
      <c r="F497" s="42" t="s">
        <v>1771</v>
      </c>
      <c r="G497" s="42">
        <v>122</v>
      </c>
      <c r="H497" s="42" t="s">
        <v>763</v>
      </c>
      <c r="I497" s="42" t="s">
        <v>37</v>
      </c>
      <c r="J497" s="42">
        <v>10000</v>
      </c>
    </row>
    <row r="498" spans="1:22">
      <c r="A498" s="61" t="s">
        <v>1771</v>
      </c>
      <c r="C498" s="64" t="s">
        <v>4</v>
      </c>
      <c r="D498" s="64" t="s">
        <v>1760</v>
      </c>
      <c r="E498" s="42" t="s">
        <v>1772</v>
      </c>
      <c r="F498" s="42" t="s">
        <v>1771</v>
      </c>
      <c r="G498" s="42">
        <v>123</v>
      </c>
      <c r="H498" s="42" t="s">
        <v>769</v>
      </c>
      <c r="I498" s="42" t="s">
        <v>37</v>
      </c>
      <c r="J498" s="42">
        <v>10000</v>
      </c>
    </row>
    <row r="499" spans="1:22">
      <c r="A499" s="61" t="s">
        <v>1771</v>
      </c>
      <c r="C499" s="64" t="s">
        <v>4</v>
      </c>
      <c r="D499" s="64" t="s">
        <v>1760</v>
      </c>
      <c r="E499" s="42" t="s">
        <v>1772</v>
      </c>
      <c r="F499" s="42" t="s">
        <v>1771</v>
      </c>
      <c r="G499" s="42">
        <v>124</v>
      </c>
      <c r="H499" s="42" t="s">
        <v>961</v>
      </c>
      <c r="I499" s="42" t="s">
        <v>37</v>
      </c>
      <c r="J499" s="42">
        <v>40000</v>
      </c>
    </row>
    <row r="500" spans="1:22">
      <c r="A500" s="61" t="s">
        <v>1771</v>
      </c>
      <c r="C500" s="64" t="s">
        <v>4</v>
      </c>
      <c r="D500" s="64" t="s">
        <v>1760</v>
      </c>
      <c r="E500" s="42" t="s">
        <v>1772</v>
      </c>
      <c r="F500" s="42" t="s">
        <v>1771</v>
      </c>
      <c r="G500" s="42">
        <v>125</v>
      </c>
      <c r="H500" s="42" t="s">
        <v>919</v>
      </c>
      <c r="I500" s="42" t="s">
        <v>37</v>
      </c>
      <c r="J500" s="42">
        <v>40000</v>
      </c>
    </row>
    <row r="501" spans="1:22">
      <c r="A501" s="61" t="s">
        <v>1771</v>
      </c>
      <c r="C501" s="64" t="s">
        <v>4</v>
      </c>
      <c r="D501" s="64" t="s">
        <v>1760</v>
      </c>
      <c r="E501" s="42" t="s">
        <v>1772</v>
      </c>
      <c r="F501" s="42" t="s">
        <v>1771</v>
      </c>
      <c r="G501" s="42">
        <v>126</v>
      </c>
      <c r="H501" s="42" t="s">
        <v>1331</v>
      </c>
      <c r="I501" s="42" t="s">
        <v>37</v>
      </c>
      <c r="J501" s="42">
        <v>130000</v>
      </c>
    </row>
    <row r="502" spans="1:22">
      <c r="A502" s="61" t="s">
        <v>1771</v>
      </c>
      <c r="C502" s="64" t="s">
        <v>4</v>
      </c>
      <c r="D502" s="64" t="s">
        <v>1760</v>
      </c>
      <c r="E502" s="42" t="s">
        <v>1772</v>
      </c>
      <c r="F502" s="42" t="s">
        <v>1771</v>
      </c>
      <c r="G502" s="42">
        <v>127</v>
      </c>
      <c r="H502" s="42" t="s">
        <v>1318</v>
      </c>
      <c r="I502" s="42" t="s">
        <v>37</v>
      </c>
      <c r="J502" s="42">
        <v>40000</v>
      </c>
    </row>
    <row r="503" spans="1:22">
      <c r="A503" s="61" t="s">
        <v>1771</v>
      </c>
      <c r="C503" s="64" t="s">
        <v>4</v>
      </c>
      <c r="D503" s="64" t="s">
        <v>1760</v>
      </c>
      <c r="E503" s="42" t="s">
        <v>1772</v>
      </c>
      <c r="F503" s="42" t="s">
        <v>1771</v>
      </c>
      <c r="G503" s="42">
        <v>128</v>
      </c>
      <c r="H503" s="42" t="s">
        <v>1273</v>
      </c>
      <c r="I503" s="42" t="s">
        <v>37</v>
      </c>
      <c r="J503" s="42">
        <v>45000</v>
      </c>
    </row>
    <row r="504" spans="1:22">
      <c r="A504" s="61" t="s">
        <v>1771</v>
      </c>
      <c r="C504" s="64" t="s">
        <v>4</v>
      </c>
      <c r="D504" s="64" t="s">
        <v>1760</v>
      </c>
      <c r="E504" s="42" t="s">
        <v>1772</v>
      </c>
      <c r="F504" s="42" t="s">
        <v>1771</v>
      </c>
      <c r="G504" s="42">
        <v>129</v>
      </c>
      <c r="H504" s="42" t="s">
        <v>1274</v>
      </c>
      <c r="I504" s="42" t="s">
        <v>37</v>
      </c>
      <c r="J504" s="42">
        <v>9000</v>
      </c>
    </row>
    <row r="505" spans="1:22">
      <c r="A505" s="61" t="s">
        <v>1771</v>
      </c>
      <c r="C505" s="64" t="s">
        <v>4</v>
      </c>
      <c r="D505" s="64" t="s">
        <v>1760</v>
      </c>
      <c r="E505" s="42" t="s">
        <v>1772</v>
      </c>
      <c r="F505" s="42" t="s">
        <v>1771</v>
      </c>
      <c r="G505" s="42">
        <v>130</v>
      </c>
      <c r="H505" s="42" t="s">
        <v>1324</v>
      </c>
      <c r="I505" s="42" t="s">
        <v>37</v>
      </c>
      <c r="J505" s="42">
        <v>20000</v>
      </c>
    </row>
    <row r="506" spans="1:22">
      <c r="A506" s="61" t="s">
        <v>1771</v>
      </c>
      <c r="C506" s="64" t="s">
        <v>4</v>
      </c>
      <c r="D506" s="64" t="s">
        <v>1760</v>
      </c>
      <c r="E506" s="42" t="s">
        <v>1772</v>
      </c>
      <c r="F506" s="42" t="s">
        <v>1771</v>
      </c>
      <c r="G506" s="42">
        <v>131</v>
      </c>
      <c r="H506" s="42" t="s">
        <v>1284</v>
      </c>
      <c r="I506" s="42" t="s">
        <v>37</v>
      </c>
      <c r="J506" s="42">
        <v>15000</v>
      </c>
    </row>
    <row r="507" spans="1:22">
      <c r="A507" s="61" t="s">
        <v>1771</v>
      </c>
      <c r="C507" s="64" t="s">
        <v>4</v>
      </c>
      <c r="D507" s="64" t="s">
        <v>1760</v>
      </c>
      <c r="E507" s="42" t="s">
        <v>1772</v>
      </c>
      <c r="F507" s="42" t="s">
        <v>1771</v>
      </c>
      <c r="G507" s="42">
        <v>132</v>
      </c>
      <c r="H507" s="42" t="s">
        <v>959</v>
      </c>
      <c r="I507" s="42" t="s">
        <v>37</v>
      </c>
      <c r="J507" s="42">
        <v>110000</v>
      </c>
    </row>
    <row r="508" spans="1:22">
      <c r="A508" s="61" t="s">
        <v>1771</v>
      </c>
      <c r="C508" s="64" t="s">
        <v>4</v>
      </c>
      <c r="D508" s="64" t="s">
        <v>1760</v>
      </c>
      <c r="E508" s="42" t="s">
        <v>1772</v>
      </c>
      <c r="F508" s="42" t="s">
        <v>1771</v>
      </c>
      <c r="G508" s="42">
        <v>133</v>
      </c>
      <c r="H508" s="42" t="s">
        <v>1367</v>
      </c>
      <c r="I508" s="42" t="s">
        <v>37</v>
      </c>
      <c r="J508" s="42">
        <v>10000</v>
      </c>
    </row>
    <row r="509" spans="1:22">
      <c r="A509" s="61" t="s">
        <v>1771</v>
      </c>
      <c r="C509" s="64" t="s">
        <v>4</v>
      </c>
      <c r="D509" s="64" t="s">
        <v>1760</v>
      </c>
      <c r="E509" s="42" t="s">
        <v>1772</v>
      </c>
      <c r="F509" s="42" t="s">
        <v>1771</v>
      </c>
      <c r="G509" s="42">
        <v>134</v>
      </c>
      <c r="H509" s="42" t="s">
        <v>1290</v>
      </c>
      <c r="I509" s="42" t="s">
        <v>37</v>
      </c>
      <c r="J509" s="42">
        <v>30000</v>
      </c>
    </row>
    <row r="510" spans="1:22">
      <c r="A510" s="61" t="s">
        <v>1771</v>
      </c>
      <c r="C510" s="64" t="s">
        <v>4</v>
      </c>
      <c r="D510" s="64" t="s">
        <v>1760</v>
      </c>
      <c r="E510" s="42" t="s">
        <v>1772</v>
      </c>
      <c r="F510" s="42" t="s">
        <v>1771</v>
      </c>
      <c r="G510" s="42">
        <v>135</v>
      </c>
      <c r="H510" s="42" t="s">
        <v>1262</v>
      </c>
      <c r="I510" s="42" t="s">
        <v>37</v>
      </c>
      <c r="J510" s="42">
        <v>20000</v>
      </c>
    </row>
    <row r="511" spans="1:22">
      <c r="A511" s="61" t="s">
        <v>1771</v>
      </c>
      <c r="C511" s="64" t="s">
        <v>4</v>
      </c>
      <c r="D511" s="64" t="s">
        <v>1760</v>
      </c>
      <c r="E511" s="42" t="s">
        <v>1772</v>
      </c>
      <c r="F511" s="42" t="s">
        <v>1771</v>
      </c>
      <c r="G511" s="42">
        <v>136</v>
      </c>
      <c r="H511" s="42" t="s">
        <v>1313</v>
      </c>
      <c r="I511" s="42" t="s">
        <v>37</v>
      </c>
      <c r="J511" s="42">
        <v>5000</v>
      </c>
    </row>
    <row r="512" spans="1:22">
      <c r="A512" s="61" t="s">
        <v>1771</v>
      </c>
      <c r="C512" s="64" t="s">
        <v>4</v>
      </c>
      <c r="D512" s="64" t="s">
        <v>1760</v>
      </c>
      <c r="E512" s="42" t="s">
        <v>1772</v>
      </c>
      <c r="F512" s="42" t="s">
        <v>1771</v>
      </c>
      <c r="G512" s="42">
        <v>137</v>
      </c>
      <c r="H512" s="42" t="s">
        <v>1285</v>
      </c>
      <c r="I512" s="42" t="s">
        <v>37</v>
      </c>
      <c r="J512" s="42">
        <v>30000</v>
      </c>
    </row>
    <row r="513" spans="1:22">
      <c r="A513" s="61" t="s">
        <v>1771</v>
      </c>
      <c r="C513" s="64" t="s">
        <v>4</v>
      </c>
      <c r="D513" s="64" t="s">
        <v>1760</v>
      </c>
      <c r="E513" s="42" t="s">
        <v>1772</v>
      </c>
      <c r="F513" s="42" t="s">
        <v>1771</v>
      </c>
      <c r="G513" s="42">
        <v>138</v>
      </c>
      <c r="H513" s="42" t="s">
        <v>1322</v>
      </c>
      <c r="I513" s="42" t="s">
        <v>37</v>
      </c>
      <c r="J513" s="42">
        <v>14900</v>
      </c>
    </row>
    <row r="514" spans="1:22">
      <c r="A514" s="61" t="s">
        <v>1771</v>
      </c>
      <c r="C514" s="64" t="s">
        <v>4</v>
      </c>
      <c r="D514" s="64" t="s">
        <v>1760</v>
      </c>
      <c r="E514" s="42" t="s">
        <v>1772</v>
      </c>
      <c r="F514" s="42" t="s">
        <v>1771</v>
      </c>
      <c r="G514" s="42">
        <v>139</v>
      </c>
      <c r="H514" s="42" t="s">
        <v>1325</v>
      </c>
      <c r="I514" s="42" t="s">
        <v>37</v>
      </c>
      <c r="J514" s="42">
        <v>20000</v>
      </c>
    </row>
    <row r="515" spans="1:22">
      <c r="A515" s="61" t="s">
        <v>1771</v>
      </c>
      <c r="C515" s="64" t="s">
        <v>4</v>
      </c>
      <c r="D515" s="64" t="s">
        <v>1760</v>
      </c>
      <c r="E515" s="42" t="s">
        <v>1772</v>
      </c>
      <c r="F515" s="42" t="s">
        <v>1771</v>
      </c>
      <c r="G515" s="42">
        <v>140</v>
      </c>
      <c r="H515" s="42" t="s">
        <v>1333</v>
      </c>
      <c r="I515" s="42" t="s">
        <v>37</v>
      </c>
      <c r="J515" s="42">
        <v>30000</v>
      </c>
    </row>
    <row r="516" spans="1:22">
      <c r="A516" s="61" t="s">
        <v>1771</v>
      </c>
      <c r="C516" s="64" t="s">
        <v>4</v>
      </c>
      <c r="D516" s="64" t="s">
        <v>1760</v>
      </c>
      <c r="E516" s="42" t="s">
        <v>1772</v>
      </c>
      <c r="F516" s="42" t="s">
        <v>1771</v>
      </c>
      <c r="G516" s="42">
        <v>141</v>
      </c>
      <c r="H516" s="42" t="s">
        <v>1368</v>
      </c>
      <c r="I516" s="42" t="s">
        <v>37</v>
      </c>
      <c r="J516" s="42">
        <v>10000</v>
      </c>
    </row>
    <row r="517" spans="1:22">
      <c r="A517" s="61" t="s">
        <v>1771</v>
      </c>
      <c r="C517" s="64" t="s">
        <v>4</v>
      </c>
      <c r="D517" s="64" t="s">
        <v>1760</v>
      </c>
      <c r="E517" s="42" t="s">
        <v>1772</v>
      </c>
      <c r="F517" s="42" t="s">
        <v>1771</v>
      </c>
      <c r="G517" s="42">
        <v>142</v>
      </c>
      <c r="H517" s="42" t="s">
        <v>1360</v>
      </c>
      <c r="I517" s="42" t="s">
        <v>37</v>
      </c>
      <c r="J517" s="42">
        <v>1000</v>
      </c>
    </row>
    <row r="518" spans="1:22">
      <c r="A518" s="61" t="s">
        <v>1771</v>
      </c>
      <c r="C518" s="64" t="s">
        <v>4</v>
      </c>
      <c r="D518" s="64" t="s">
        <v>1760</v>
      </c>
      <c r="E518" s="42" t="s">
        <v>1772</v>
      </c>
      <c r="F518" s="42" t="s">
        <v>1771</v>
      </c>
      <c r="G518" s="42">
        <v>143</v>
      </c>
      <c r="H518" s="42" t="s">
        <v>267</v>
      </c>
      <c r="I518" s="42" t="s">
        <v>37</v>
      </c>
      <c r="J518" s="42">
        <v>5000</v>
      </c>
    </row>
    <row r="519" spans="1:22">
      <c r="A519" s="61" t="s">
        <v>1771</v>
      </c>
      <c r="C519" s="64" t="s">
        <v>4</v>
      </c>
      <c r="D519" s="64" t="s">
        <v>1760</v>
      </c>
      <c r="E519" s="42" t="s">
        <v>1772</v>
      </c>
      <c r="F519" s="42" t="s">
        <v>1771</v>
      </c>
      <c r="G519" s="42">
        <v>144</v>
      </c>
      <c r="H519" s="42" t="s">
        <v>269</v>
      </c>
      <c r="I519" s="42" t="s">
        <v>37</v>
      </c>
      <c r="J519" s="42">
        <v>5000</v>
      </c>
    </row>
    <row r="520" spans="1:22">
      <c r="A520" s="61" t="s">
        <v>1771</v>
      </c>
      <c r="C520" s="64" t="s">
        <v>4</v>
      </c>
      <c r="D520" s="64" t="s">
        <v>1760</v>
      </c>
      <c r="E520" s="42" t="s">
        <v>1772</v>
      </c>
      <c r="F520" s="42" t="s">
        <v>1771</v>
      </c>
      <c r="G520" s="42">
        <v>145</v>
      </c>
      <c r="H520" s="42" t="s">
        <v>885</v>
      </c>
      <c r="I520" s="42" t="s">
        <v>37</v>
      </c>
      <c r="J520" s="42">
        <v>10000</v>
      </c>
    </row>
    <row r="521" spans="1:22">
      <c r="A521" s="61" t="s">
        <v>1771</v>
      </c>
      <c r="C521" s="64" t="s">
        <v>4</v>
      </c>
      <c r="D521" s="64" t="s">
        <v>1760</v>
      </c>
      <c r="E521" s="42" t="s">
        <v>1772</v>
      </c>
      <c r="F521" s="42" t="s">
        <v>1771</v>
      </c>
      <c r="G521" s="42">
        <v>146</v>
      </c>
      <c r="H521" s="42" t="s">
        <v>315</v>
      </c>
      <c r="I521" s="42" t="s">
        <v>37</v>
      </c>
      <c r="J521" s="42">
        <v>35000</v>
      </c>
    </row>
    <row r="522" spans="1:22">
      <c r="A522" s="61" t="s">
        <v>1771</v>
      </c>
      <c r="C522" s="64" t="s">
        <v>4</v>
      </c>
      <c r="D522" s="64" t="s">
        <v>1760</v>
      </c>
      <c r="E522" s="42" t="s">
        <v>1772</v>
      </c>
      <c r="F522" s="42" t="s">
        <v>1771</v>
      </c>
      <c r="G522" s="42">
        <v>147</v>
      </c>
      <c r="H522" s="42" t="s">
        <v>309</v>
      </c>
      <c r="I522" s="42" t="s">
        <v>37</v>
      </c>
      <c r="J522" s="42">
        <v>5000</v>
      </c>
    </row>
    <row r="523" spans="1:22">
      <c r="A523" s="61" t="s">
        <v>1771</v>
      </c>
      <c r="C523" s="64" t="s">
        <v>4</v>
      </c>
      <c r="D523" s="64" t="s">
        <v>1760</v>
      </c>
      <c r="E523" s="42" t="s">
        <v>1772</v>
      </c>
      <c r="F523" s="42" t="s">
        <v>1771</v>
      </c>
      <c r="G523" s="42">
        <v>148</v>
      </c>
      <c r="H523" s="42" t="s">
        <v>531</v>
      </c>
      <c r="I523" s="42" t="s">
        <v>37</v>
      </c>
      <c r="J523" s="42">
        <v>10000</v>
      </c>
    </row>
    <row r="524" spans="1:22">
      <c r="A524" s="61" t="s">
        <v>1771</v>
      </c>
      <c r="C524" s="64" t="s">
        <v>4</v>
      </c>
      <c r="D524" s="64" t="s">
        <v>1760</v>
      </c>
      <c r="E524" s="42" t="s">
        <v>1772</v>
      </c>
      <c r="F524" s="42" t="s">
        <v>1771</v>
      </c>
      <c r="G524" s="42">
        <v>149</v>
      </c>
      <c r="H524" s="42" t="s">
        <v>473</v>
      </c>
      <c r="I524" s="42" t="s">
        <v>37</v>
      </c>
      <c r="J524" s="42">
        <v>20000</v>
      </c>
    </row>
    <row r="525" spans="1:22">
      <c r="A525" s="61" t="s">
        <v>1771</v>
      </c>
      <c r="C525" s="64" t="s">
        <v>4</v>
      </c>
      <c r="D525" s="64" t="s">
        <v>1760</v>
      </c>
      <c r="E525" s="42" t="s">
        <v>1772</v>
      </c>
      <c r="F525" s="42" t="s">
        <v>1771</v>
      </c>
      <c r="G525" s="42">
        <v>150</v>
      </c>
      <c r="H525" s="42" t="s">
        <v>697</v>
      </c>
      <c r="I525" s="42" t="s">
        <v>37</v>
      </c>
      <c r="J525" s="42">
        <v>20000</v>
      </c>
    </row>
    <row r="526" spans="1:22">
      <c r="A526" s="61" t="s">
        <v>1771</v>
      </c>
      <c r="C526" s="64" t="s">
        <v>4</v>
      </c>
      <c r="D526" s="64" t="s">
        <v>1760</v>
      </c>
      <c r="E526" s="42" t="s">
        <v>1772</v>
      </c>
      <c r="F526" s="42" t="s">
        <v>1771</v>
      </c>
      <c r="G526" s="42">
        <v>151</v>
      </c>
      <c r="H526" s="42" t="s">
        <v>459</v>
      </c>
      <c r="I526" s="42" t="s">
        <v>37</v>
      </c>
      <c r="J526" s="42">
        <v>20000</v>
      </c>
    </row>
    <row r="527" spans="1:22">
      <c r="A527" s="61" t="s">
        <v>1771</v>
      </c>
      <c r="C527" s="64" t="s">
        <v>4</v>
      </c>
      <c r="D527" s="64" t="s">
        <v>1760</v>
      </c>
      <c r="E527" s="42" t="s">
        <v>1772</v>
      </c>
      <c r="F527" s="42" t="s">
        <v>1771</v>
      </c>
      <c r="G527" s="42">
        <v>152</v>
      </c>
      <c r="H527" s="42" t="s">
        <v>493</v>
      </c>
      <c r="I527" s="42" t="s">
        <v>37</v>
      </c>
      <c r="J527" s="42">
        <v>20000</v>
      </c>
    </row>
    <row r="528" spans="1:22">
      <c r="A528" s="61" t="s">
        <v>1771</v>
      </c>
      <c r="C528" s="64" t="s">
        <v>4</v>
      </c>
      <c r="D528" s="64" t="s">
        <v>1760</v>
      </c>
      <c r="E528" s="42" t="s">
        <v>1772</v>
      </c>
      <c r="F528" s="42" t="s">
        <v>1771</v>
      </c>
      <c r="G528" s="42">
        <v>153</v>
      </c>
      <c r="H528" s="42" t="s">
        <v>1349</v>
      </c>
      <c r="I528" s="42" t="s">
        <v>37</v>
      </c>
      <c r="J528" s="42">
        <v>35000</v>
      </c>
    </row>
    <row r="529" spans="1:22">
      <c r="A529" s="61" t="s">
        <v>1771</v>
      </c>
      <c r="C529" s="64" t="s">
        <v>4</v>
      </c>
      <c r="D529" s="64" t="s">
        <v>1760</v>
      </c>
      <c r="E529" s="42" t="s">
        <v>1772</v>
      </c>
      <c r="F529" s="42" t="s">
        <v>1771</v>
      </c>
      <c r="G529" s="42">
        <v>154</v>
      </c>
      <c r="H529" s="42" t="s">
        <v>1328</v>
      </c>
      <c r="I529" s="42" t="s">
        <v>37</v>
      </c>
      <c r="J529" s="42">
        <v>5000</v>
      </c>
    </row>
    <row r="530" spans="1:22">
      <c r="A530" s="61" t="s">
        <v>1771</v>
      </c>
      <c r="C530" s="64" t="s">
        <v>4</v>
      </c>
      <c r="D530" s="64" t="s">
        <v>1760</v>
      </c>
      <c r="E530" s="42" t="s">
        <v>1772</v>
      </c>
      <c r="F530" s="42" t="s">
        <v>1771</v>
      </c>
      <c r="G530" s="42">
        <v>155</v>
      </c>
      <c r="H530" s="42" t="s">
        <v>179</v>
      </c>
      <c r="I530" s="42" t="s">
        <v>37</v>
      </c>
      <c r="J530" s="42">
        <v>20000</v>
      </c>
    </row>
    <row r="531" spans="1:22">
      <c r="A531" s="61" t="s">
        <v>1771</v>
      </c>
      <c r="C531" s="64" t="s">
        <v>4</v>
      </c>
      <c r="D531" s="64" t="s">
        <v>1760</v>
      </c>
      <c r="E531" s="42" t="s">
        <v>1772</v>
      </c>
      <c r="F531" s="42" t="s">
        <v>1771</v>
      </c>
      <c r="G531" s="42">
        <v>156</v>
      </c>
      <c r="H531" s="42" t="s">
        <v>53</v>
      </c>
      <c r="I531" s="42" t="s">
        <v>37</v>
      </c>
      <c r="J531" s="42">
        <v>10000</v>
      </c>
    </row>
    <row r="532" spans="1:22">
      <c r="A532" s="61" t="s">
        <v>1771</v>
      </c>
      <c r="C532" s="64" t="s">
        <v>4</v>
      </c>
      <c r="D532" s="64" t="s">
        <v>1760</v>
      </c>
      <c r="E532" s="42" t="s">
        <v>1772</v>
      </c>
      <c r="F532" s="42" t="s">
        <v>1771</v>
      </c>
      <c r="G532" s="42">
        <v>157</v>
      </c>
      <c r="H532" s="42" t="s">
        <v>55</v>
      </c>
      <c r="I532" s="42" t="s">
        <v>37</v>
      </c>
      <c r="J532" s="42">
        <v>30000</v>
      </c>
    </row>
    <row r="533" spans="1:22">
      <c r="A533" s="61" t="s">
        <v>1771</v>
      </c>
      <c r="C533" s="64" t="s">
        <v>4</v>
      </c>
      <c r="D533" s="64" t="s">
        <v>1760</v>
      </c>
      <c r="E533" s="42" t="s">
        <v>1772</v>
      </c>
      <c r="F533" s="42" t="s">
        <v>1771</v>
      </c>
      <c r="G533" s="42">
        <v>158</v>
      </c>
      <c r="H533" s="42" t="s">
        <v>60</v>
      </c>
      <c r="I533" s="42" t="s">
        <v>37</v>
      </c>
      <c r="J533" s="42">
        <v>40000</v>
      </c>
    </row>
    <row r="534" spans="1:22">
      <c r="A534" s="61" t="s">
        <v>1771</v>
      </c>
      <c r="C534" s="64" t="s">
        <v>4</v>
      </c>
      <c r="D534" s="64" t="s">
        <v>1760</v>
      </c>
      <c r="E534" s="42" t="s">
        <v>1772</v>
      </c>
      <c r="F534" s="42" t="s">
        <v>1771</v>
      </c>
      <c r="G534" s="42">
        <v>159</v>
      </c>
      <c r="H534" s="42" t="s">
        <v>695</v>
      </c>
      <c r="I534" s="42" t="s">
        <v>37</v>
      </c>
      <c r="J534" s="42">
        <v>10000</v>
      </c>
    </row>
    <row r="535" spans="1:22">
      <c r="A535" s="61" t="s">
        <v>1771</v>
      </c>
      <c r="C535" s="64" t="s">
        <v>4</v>
      </c>
      <c r="D535" s="64" t="s">
        <v>1760</v>
      </c>
      <c r="E535" s="42" t="s">
        <v>1772</v>
      </c>
      <c r="F535" s="42" t="s">
        <v>1771</v>
      </c>
      <c r="G535" s="42">
        <v>160</v>
      </c>
      <c r="H535" s="42" t="s">
        <v>64</v>
      </c>
      <c r="I535" s="42" t="s">
        <v>37</v>
      </c>
      <c r="J535" s="42">
        <v>5000</v>
      </c>
    </row>
    <row r="536" spans="1:22">
      <c r="A536" s="61" t="s">
        <v>1771</v>
      </c>
      <c r="C536" s="64" t="s">
        <v>4</v>
      </c>
      <c r="D536" s="64" t="s">
        <v>1760</v>
      </c>
      <c r="E536" s="42" t="s">
        <v>1772</v>
      </c>
      <c r="F536" s="42" t="s">
        <v>1771</v>
      </c>
      <c r="G536" s="42">
        <v>161</v>
      </c>
      <c r="H536" s="42" t="s">
        <v>593</v>
      </c>
      <c r="I536" s="42" t="s">
        <v>37</v>
      </c>
      <c r="J536" s="42">
        <v>90000</v>
      </c>
    </row>
    <row r="537" spans="1:22">
      <c r="A537" s="61" t="s">
        <v>1771</v>
      </c>
      <c r="C537" s="64" t="s">
        <v>4</v>
      </c>
      <c r="D537" s="64" t="s">
        <v>1760</v>
      </c>
      <c r="E537" s="42" t="s">
        <v>1772</v>
      </c>
      <c r="F537" s="42" t="s">
        <v>1771</v>
      </c>
      <c r="G537" s="42">
        <v>162</v>
      </c>
      <c r="H537" s="42" t="s">
        <v>1124</v>
      </c>
      <c r="I537" s="42" t="s">
        <v>37</v>
      </c>
      <c r="J537" s="42">
        <v>10000</v>
      </c>
    </row>
    <row r="538" spans="1:22">
      <c r="A538" s="61" t="s">
        <v>1771</v>
      </c>
      <c r="C538" s="64" t="s">
        <v>4</v>
      </c>
      <c r="D538" s="64" t="s">
        <v>1760</v>
      </c>
      <c r="E538" s="42" t="s">
        <v>1772</v>
      </c>
      <c r="F538" s="42" t="s">
        <v>1771</v>
      </c>
      <c r="G538" s="42">
        <v>163</v>
      </c>
      <c r="H538" s="42" t="s">
        <v>67</v>
      </c>
      <c r="I538" s="42" t="s">
        <v>37</v>
      </c>
      <c r="J538" s="42">
        <v>50000</v>
      </c>
    </row>
    <row r="539" spans="1:22">
      <c r="A539" s="61" t="s">
        <v>1771</v>
      </c>
      <c r="C539" s="64" t="s">
        <v>4</v>
      </c>
      <c r="D539" s="64" t="s">
        <v>1760</v>
      </c>
      <c r="E539" s="42" t="s">
        <v>1772</v>
      </c>
      <c r="F539" s="42" t="s">
        <v>1771</v>
      </c>
      <c r="G539" s="42">
        <v>164</v>
      </c>
      <c r="H539" s="42" t="s">
        <v>70</v>
      </c>
      <c r="I539" s="42" t="s">
        <v>37</v>
      </c>
      <c r="J539" s="42">
        <v>10000</v>
      </c>
    </row>
    <row r="540" spans="1:22">
      <c r="A540" s="61" t="s">
        <v>1771</v>
      </c>
      <c r="C540" s="64" t="s">
        <v>4</v>
      </c>
      <c r="D540" s="64" t="s">
        <v>1760</v>
      </c>
      <c r="E540" s="42" t="s">
        <v>1772</v>
      </c>
      <c r="F540" s="42" t="s">
        <v>1771</v>
      </c>
      <c r="G540" s="42">
        <v>165</v>
      </c>
      <c r="H540" s="42" t="s">
        <v>71</v>
      </c>
      <c r="I540" s="42" t="s">
        <v>37</v>
      </c>
      <c r="J540" s="42">
        <v>15000</v>
      </c>
    </row>
    <row r="541" spans="1:22">
      <c r="A541" s="61" t="s">
        <v>1771</v>
      </c>
      <c r="C541" s="64" t="s">
        <v>4</v>
      </c>
      <c r="D541" s="64" t="s">
        <v>1760</v>
      </c>
      <c r="E541" s="42" t="s">
        <v>1772</v>
      </c>
      <c r="F541" s="42" t="s">
        <v>1771</v>
      </c>
      <c r="G541" s="42">
        <v>166</v>
      </c>
      <c r="H541" s="42" t="s">
        <v>469</v>
      </c>
      <c r="I541" s="42" t="s">
        <v>37</v>
      </c>
      <c r="J541" s="42">
        <v>50000</v>
      </c>
    </row>
    <row r="542" spans="1:22">
      <c r="A542" s="61" t="s">
        <v>1771</v>
      </c>
      <c r="C542" s="64" t="s">
        <v>4</v>
      </c>
      <c r="D542" s="64" t="s">
        <v>1760</v>
      </c>
      <c r="E542" s="42" t="s">
        <v>1772</v>
      </c>
      <c r="F542" s="42" t="s">
        <v>1771</v>
      </c>
      <c r="G542" s="42">
        <v>167</v>
      </c>
      <c r="H542" s="42" t="s">
        <v>471</v>
      </c>
      <c r="I542" s="42" t="s">
        <v>37</v>
      </c>
      <c r="J542" s="42">
        <v>10000</v>
      </c>
    </row>
    <row r="543" spans="1:22">
      <c r="A543" s="61" t="s">
        <v>1771</v>
      </c>
      <c r="C543" s="64" t="s">
        <v>4</v>
      </c>
      <c r="D543" s="64" t="s">
        <v>1760</v>
      </c>
      <c r="E543" s="42" t="s">
        <v>1772</v>
      </c>
      <c r="F543" s="42" t="s">
        <v>1771</v>
      </c>
      <c r="G543" s="42">
        <v>168</v>
      </c>
      <c r="H543" s="42" t="s">
        <v>78</v>
      </c>
      <c r="I543" s="42" t="s">
        <v>37</v>
      </c>
      <c r="J543" s="42">
        <v>10000</v>
      </c>
    </row>
    <row r="544" spans="1:22">
      <c r="A544" s="61" t="s">
        <v>1771</v>
      </c>
      <c r="C544" s="64" t="s">
        <v>4</v>
      </c>
      <c r="D544" s="64" t="s">
        <v>1760</v>
      </c>
      <c r="E544" s="42" t="s">
        <v>1772</v>
      </c>
      <c r="F544" s="42" t="s">
        <v>1771</v>
      </c>
      <c r="G544" s="42">
        <v>169</v>
      </c>
      <c r="H544" s="42" t="s">
        <v>79</v>
      </c>
      <c r="I544" s="42" t="s">
        <v>37</v>
      </c>
      <c r="J544" s="42">
        <v>65000</v>
      </c>
    </row>
    <row r="545" spans="1:22">
      <c r="A545" s="61" t="s">
        <v>1771</v>
      </c>
      <c r="C545" s="64" t="s">
        <v>4</v>
      </c>
      <c r="D545" s="64" t="s">
        <v>1760</v>
      </c>
      <c r="E545" s="42" t="s">
        <v>1772</v>
      </c>
      <c r="F545" s="42" t="s">
        <v>1771</v>
      </c>
      <c r="G545" s="42">
        <v>170</v>
      </c>
      <c r="H545" s="42" t="s">
        <v>80</v>
      </c>
      <c r="I545" s="42" t="s">
        <v>37</v>
      </c>
      <c r="J545" s="42">
        <v>15000</v>
      </c>
    </row>
    <row r="546" spans="1:22">
      <c r="A546" s="61" t="s">
        <v>1771</v>
      </c>
      <c r="C546" s="64" t="s">
        <v>4</v>
      </c>
      <c r="D546" s="64" t="s">
        <v>1760</v>
      </c>
      <c r="E546" s="42" t="s">
        <v>1772</v>
      </c>
      <c r="F546" s="42" t="s">
        <v>1771</v>
      </c>
      <c r="G546" s="42">
        <v>171</v>
      </c>
      <c r="H546" s="42" t="s">
        <v>81</v>
      </c>
      <c r="I546" s="42" t="s">
        <v>37</v>
      </c>
      <c r="J546" s="42">
        <v>5000</v>
      </c>
    </row>
    <row r="547" spans="1:22">
      <c r="A547" s="61" t="s">
        <v>1771</v>
      </c>
      <c r="C547" s="64" t="s">
        <v>4</v>
      </c>
      <c r="D547" s="64" t="s">
        <v>1760</v>
      </c>
      <c r="E547" s="42" t="s">
        <v>1772</v>
      </c>
      <c r="F547" s="42" t="s">
        <v>1771</v>
      </c>
      <c r="G547" s="42">
        <v>172</v>
      </c>
      <c r="H547" s="42" t="s">
        <v>82</v>
      </c>
      <c r="I547" s="42" t="s">
        <v>37</v>
      </c>
      <c r="J547" s="42">
        <v>5000</v>
      </c>
    </row>
    <row r="548" spans="1:22">
      <c r="A548" s="61" t="s">
        <v>1771</v>
      </c>
      <c r="C548" s="64" t="s">
        <v>4</v>
      </c>
      <c r="D548" s="64" t="s">
        <v>1760</v>
      </c>
      <c r="E548" s="42" t="s">
        <v>1772</v>
      </c>
      <c r="F548" s="42" t="s">
        <v>1771</v>
      </c>
      <c r="G548" s="42">
        <v>173</v>
      </c>
      <c r="H548" s="42" t="s">
        <v>969</v>
      </c>
      <c r="I548" s="42" t="s">
        <v>37</v>
      </c>
      <c r="J548" s="42">
        <v>10000</v>
      </c>
    </row>
    <row r="549" spans="1:22">
      <c r="A549" s="61" t="s">
        <v>1771</v>
      </c>
      <c r="C549" s="64" t="s">
        <v>4</v>
      </c>
      <c r="D549" s="64" t="s">
        <v>1760</v>
      </c>
      <c r="E549" s="42" t="s">
        <v>1772</v>
      </c>
      <c r="F549" s="42" t="s">
        <v>1771</v>
      </c>
      <c r="G549" s="42">
        <v>174</v>
      </c>
      <c r="H549" s="42" t="s">
        <v>85</v>
      </c>
      <c r="I549" s="42" t="s">
        <v>37</v>
      </c>
      <c r="J549" s="42">
        <v>5000</v>
      </c>
    </row>
    <row r="550" spans="1:22">
      <c r="A550" s="61" t="s">
        <v>1771</v>
      </c>
      <c r="C550" s="64" t="s">
        <v>4</v>
      </c>
      <c r="D550" s="64" t="s">
        <v>1760</v>
      </c>
      <c r="E550" s="42" t="s">
        <v>1772</v>
      </c>
      <c r="F550" s="42" t="s">
        <v>1771</v>
      </c>
      <c r="G550" s="42">
        <v>175</v>
      </c>
      <c r="H550" s="42" t="s">
        <v>86</v>
      </c>
      <c r="I550" s="42" t="s">
        <v>37</v>
      </c>
      <c r="J550" s="42">
        <v>5000</v>
      </c>
    </row>
    <row r="551" spans="1:22">
      <c r="A551" s="61" t="s">
        <v>1771</v>
      </c>
      <c r="C551" s="64" t="s">
        <v>4</v>
      </c>
      <c r="D551" s="64" t="s">
        <v>1760</v>
      </c>
      <c r="E551" s="42" t="s">
        <v>1772</v>
      </c>
      <c r="F551" s="42" t="s">
        <v>1771</v>
      </c>
      <c r="G551" s="42">
        <v>176</v>
      </c>
      <c r="H551" s="42" t="s">
        <v>89</v>
      </c>
      <c r="I551" s="42" t="s">
        <v>37</v>
      </c>
      <c r="J551" s="42">
        <v>24000</v>
      </c>
    </row>
    <row r="552" spans="1:22">
      <c r="A552" s="61" t="s">
        <v>1771</v>
      </c>
      <c r="C552" s="64" t="s">
        <v>4</v>
      </c>
      <c r="D552" s="64" t="s">
        <v>1760</v>
      </c>
      <c r="E552" s="42" t="s">
        <v>1772</v>
      </c>
      <c r="F552" s="42" t="s">
        <v>1771</v>
      </c>
      <c r="G552" s="42">
        <v>177</v>
      </c>
      <c r="H552" s="42" t="s">
        <v>116</v>
      </c>
      <c r="I552" s="42" t="s">
        <v>37</v>
      </c>
      <c r="J552" s="42">
        <v>25000</v>
      </c>
    </row>
    <row r="553" spans="1:22">
      <c r="A553" s="61" t="s">
        <v>1771</v>
      </c>
      <c r="C553" s="64" t="s">
        <v>4</v>
      </c>
      <c r="D553" s="64" t="s">
        <v>1760</v>
      </c>
      <c r="E553" s="42" t="s">
        <v>1772</v>
      </c>
      <c r="F553" s="42" t="s">
        <v>1771</v>
      </c>
      <c r="G553" s="42">
        <v>178</v>
      </c>
      <c r="H553" s="42" t="s">
        <v>118</v>
      </c>
      <c r="I553" s="42" t="s">
        <v>37</v>
      </c>
      <c r="J553" s="42">
        <v>5000</v>
      </c>
    </row>
    <row r="554" spans="1:22">
      <c r="A554" s="61" t="s">
        <v>1771</v>
      </c>
      <c r="C554" s="64" t="s">
        <v>4</v>
      </c>
      <c r="D554" s="64" t="s">
        <v>1760</v>
      </c>
      <c r="E554" s="42" t="s">
        <v>1772</v>
      </c>
      <c r="F554" s="42" t="s">
        <v>1771</v>
      </c>
      <c r="G554" s="42">
        <v>179</v>
      </c>
      <c r="H554" s="42" t="s">
        <v>645</v>
      </c>
      <c r="I554" s="42" t="s">
        <v>37</v>
      </c>
      <c r="J554" s="42">
        <v>5000</v>
      </c>
    </row>
    <row r="555" spans="1:22">
      <c r="A555" s="61" t="s">
        <v>1771</v>
      </c>
      <c r="C555" s="64" t="s">
        <v>4</v>
      </c>
      <c r="D555" s="64" t="s">
        <v>1760</v>
      </c>
      <c r="E555" s="42" t="s">
        <v>1772</v>
      </c>
      <c r="F555" s="42" t="s">
        <v>1771</v>
      </c>
      <c r="G555" s="42">
        <v>180</v>
      </c>
      <c r="H555" s="42" t="s">
        <v>120</v>
      </c>
      <c r="I555" s="42" t="s">
        <v>37</v>
      </c>
      <c r="J555" s="42">
        <v>15000</v>
      </c>
    </row>
    <row r="556" spans="1:22">
      <c r="A556" s="61" t="s">
        <v>1771</v>
      </c>
      <c r="C556" s="64" t="s">
        <v>4</v>
      </c>
      <c r="D556" s="64" t="s">
        <v>1760</v>
      </c>
      <c r="E556" s="42" t="s">
        <v>1772</v>
      </c>
      <c r="F556" s="42" t="s">
        <v>1771</v>
      </c>
      <c r="G556" s="42">
        <v>181</v>
      </c>
      <c r="H556" s="42" t="s">
        <v>1370</v>
      </c>
      <c r="I556" s="42" t="s">
        <v>37</v>
      </c>
      <c r="J556" s="42">
        <v>50</v>
      </c>
    </row>
    <row r="557" spans="1:22">
      <c r="A557" s="61" t="s">
        <v>1771</v>
      </c>
      <c r="C557" s="64" t="s">
        <v>4</v>
      </c>
      <c r="D557" s="64" t="s">
        <v>1760</v>
      </c>
      <c r="E557" s="42" t="s">
        <v>1772</v>
      </c>
      <c r="F557" s="42" t="s">
        <v>1771</v>
      </c>
      <c r="G557" s="42">
        <v>182</v>
      </c>
      <c r="H557" s="42" t="s">
        <v>1170</v>
      </c>
      <c r="I557" s="42" t="s">
        <v>37</v>
      </c>
      <c r="J557" s="42">
        <v>200</v>
      </c>
    </row>
    <row r="558" spans="1:22">
      <c r="A558" s="61" t="s">
        <v>1771</v>
      </c>
      <c r="C558" s="64" t="s">
        <v>4</v>
      </c>
      <c r="D558" s="64" t="s">
        <v>1760</v>
      </c>
      <c r="E558" s="42" t="s">
        <v>1772</v>
      </c>
      <c r="F558" s="42" t="s">
        <v>1771</v>
      </c>
      <c r="G558" s="42">
        <v>183</v>
      </c>
      <c r="H558" s="42" t="s">
        <v>437</v>
      </c>
      <c r="I558" s="42" t="s">
        <v>37</v>
      </c>
      <c r="J558" s="42">
        <v>30000</v>
      </c>
    </row>
    <row r="559" spans="1:22">
      <c r="A559" s="61" t="s">
        <v>1771</v>
      </c>
      <c r="C559" s="64" t="s">
        <v>4</v>
      </c>
      <c r="D559" s="64" t="s">
        <v>1760</v>
      </c>
      <c r="E559" s="42" t="s">
        <v>1772</v>
      </c>
      <c r="F559" s="42" t="s">
        <v>1771</v>
      </c>
      <c r="G559" s="42">
        <v>184</v>
      </c>
      <c r="H559" s="42" t="s">
        <v>249</v>
      </c>
      <c r="I559" s="42" t="s">
        <v>37</v>
      </c>
      <c r="J559" s="42">
        <v>50000</v>
      </c>
    </row>
    <row r="560" spans="1:22">
      <c r="A560" s="61" t="s">
        <v>1771</v>
      </c>
      <c r="C560" s="64" t="s">
        <v>4</v>
      </c>
      <c r="D560" s="64" t="s">
        <v>1760</v>
      </c>
      <c r="E560" s="42" t="s">
        <v>1772</v>
      </c>
      <c r="F560" s="42" t="s">
        <v>1771</v>
      </c>
      <c r="G560" s="42">
        <v>185</v>
      </c>
      <c r="H560" s="42" t="s">
        <v>299</v>
      </c>
      <c r="I560" s="42" t="s">
        <v>37</v>
      </c>
      <c r="J560" s="42">
        <v>30000</v>
      </c>
    </row>
    <row r="561" spans="1:22">
      <c r="A561" s="61" t="s">
        <v>1771</v>
      </c>
      <c r="C561" s="64" t="s">
        <v>4</v>
      </c>
      <c r="D561" s="64" t="s">
        <v>1760</v>
      </c>
      <c r="E561" s="42" t="s">
        <v>1772</v>
      </c>
      <c r="F561" s="42" t="s">
        <v>1771</v>
      </c>
      <c r="G561" s="42">
        <v>186</v>
      </c>
      <c r="H561" s="42" t="s">
        <v>261</v>
      </c>
      <c r="I561" s="42" t="s">
        <v>37</v>
      </c>
      <c r="J561" s="42">
        <v>5000</v>
      </c>
    </row>
    <row r="562" spans="1:22">
      <c r="A562" s="61" t="s">
        <v>1771</v>
      </c>
      <c r="C562" s="64" t="s">
        <v>4</v>
      </c>
      <c r="D562" s="64" t="s">
        <v>1760</v>
      </c>
      <c r="E562" s="42" t="s">
        <v>1772</v>
      </c>
      <c r="F562" s="42" t="s">
        <v>1771</v>
      </c>
      <c r="G562" s="42">
        <v>187</v>
      </c>
      <c r="H562" s="42" t="s">
        <v>323</v>
      </c>
      <c r="I562" s="42" t="s">
        <v>37</v>
      </c>
      <c r="J562" s="42">
        <v>140000</v>
      </c>
    </row>
    <row r="563" spans="1:22">
      <c r="A563" s="61" t="s">
        <v>1771</v>
      </c>
      <c r="C563" s="64" t="s">
        <v>4</v>
      </c>
      <c r="D563" s="64" t="s">
        <v>1760</v>
      </c>
      <c r="E563" s="42" t="s">
        <v>1772</v>
      </c>
      <c r="F563" s="42" t="s">
        <v>1771</v>
      </c>
      <c r="G563" s="42">
        <v>188</v>
      </c>
      <c r="H563" s="42" t="s">
        <v>495</v>
      </c>
      <c r="I563" s="42" t="s">
        <v>37</v>
      </c>
      <c r="J563" s="42">
        <v>180000</v>
      </c>
    </row>
    <row r="564" spans="1:22">
      <c r="A564" s="61" t="s">
        <v>1771</v>
      </c>
      <c r="C564" s="64" t="s">
        <v>4</v>
      </c>
      <c r="D564" s="64" t="s">
        <v>1760</v>
      </c>
      <c r="E564" s="42" t="s">
        <v>1772</v>
      </c>
      <c r="F564" s="42" t="s">
        <v>1771</v>
      </c>
      <c r="G564" s="42">
        <v>189</v>
      </c>
      <c r="H564" s="42" t="s">
        <v>263</v>
      </c>
      <c r="I564" s="42" t="s">
        <v>37</v>
      </c>
      <c r="J564" s="42">
        <v>5000</v>
      </c>
    </row>
    <row r="565" spans="1:22">
      <c r="A565" s="61" t="s">
        <v>1771</v>
      </c>
      <c r="C565" s="64" t="s">
        <v>4</v>
      </c>
      <c r="D565" s="64" t="s">
        <v>1760</v>
      </c>
      <c r="E565" s="42" t="s">
        <v>1772</v>
      </c>
      <c r="F565" s="42" t="s">
        <v>1771</v>
      </c>
      <c r="G565" s="42">
        <v>190</v>
      </c>
      <c r="H565" s="42" t="s">
        <v>533</v>
      </c>
      <c r="I565" s="42" t="s">
        <v>37</v>
      </c>
      <c r="J565" s="42">
        <v>10000</v>
      </c>
    </row>
    <row r="566" spans="1:22">
      <c r="A566" s="61" t="s">
        <v>1771</v>
      </c>
      <c r="C566" s="64" t="s">
        <v>4</v>
      </c>
      <c r="D566" s="64" t="s">
        <v>1760</v>
      </c>
      <c r="E566" s="42" t="s">
        <v>1772</v>
      </c>
      <c r="F566" s="42" t="s">
        <v>1771</v>
      </c>
      <c r="G566" s="42">
        <v>191</v>
      </c>
      <c r="H566" s="42" t="s">
        <v>377</v>
      </c>
      <c r="I566" s="42" t="s">
        <v>37</v>
      </c>
      <c r="J566" s="42">
        <v>20000</v>
      </c>
    </row>
    <row r="567" spans="1:22">
      <c r="A567" s="61" t="s">
        <v>1771</v>
      </c>
      <c r="C567" s="64" t="s">
        <v>4</v>
      </c>
      <c r="D567" s="64" t="s">
        <v>1760</v>
      </c>
      <c r="E567" s="42" t="s">
        <v>1772</v>
      </c>
      <c r="F567" s="42" t="s">
        <v>1771</v>
      </c>
      <c r="G567" s="42">
        <v>192</v>
      </c>
      <c r="H567" s="42" t="s">
        <v>313</v>
      </c>
      <c r="I567" s="42" t="s">
        <v>37</v>
      </c>
      <c r="J567" s="42">
        <v>15000</v>
      </c>
    </row>
    <row r="568" spans="1:22">
      <c r="A568" s="61" t="s">
        <v>1771</v>
      </c>
      <c r="C568" s="64" t="s">
        <v>4</v>
      </c>
      <c r="D568" s="64" t="s">
        <v>1760</v>
      </c>
      <c r="E568" s="42" t="s">
        <v>1772</v>
      </c>
      <c r="F568" s="42" t="s">
        <v>1771</v>
      </c>
      <c r="G568" s="42">
        <v>193</v>
      </c>
      <c r="H568" s="42" t="s">
        <v>983</v>
      </c>
      <c r="I568" s="42" t="s">
        <v>37</v>
      </c>
      <c r="J568" s="42">
        <v>10000</v>
      </c>
    </row>
    <row r="569" spans="1:22">
      <c r="A569" s="61" t="s">
        <v>1771</v>
      </c>
      <c r="C569" s="64" t="s">
        <v>4</v>
      </c>
      <c r="D569" s="64" t="s">
        <v>1760</v>
      </c>
      <c r="E569" s="42" t="s">
        <v>1772</v>
      </c>
      <c r="F569" s="42" t="s">
        <v>1771</v>
      </c>
      <c r="G569" s="42">
        <v>194</v>
      </c>
      <c r="H569" s="42" t="s">
        <v>307</v>
      </c>
      <c r="I569" s="42" t="s">
        <v>37</v>
      </c>
      <c r="J569" s="42">
        <v>15000</v>
      </c>
    </row>
    <row r="570" spans="1:22">
      <c r="A570" s="61" t="s">
        <v>1771</v>
      </c>
      <c r="C570" s="64" t="s">
        <v>4</v>
      </c>
      <c r="D570" s="64" t="s">
        <v>1760</v>
      </c>
      <c r="E570" s="42" t="s">
        <v>1772</v>
      </c>
      <c r="F570" s="42" t="s">
        <v>1771</v>
      </c>
      <c r="G570" s="42">
        <v>195</v>
      </c>
      <c r="H570" s="42" t="s">
        <v>1291</v>
      </c>
      <c r="I570" s="42" t="s">
        <v>37</v>
      </c>
      <c r="J570" s="42">
        <v>5000</v>
      </c>
    </row>
    <row r="571" spans="1:22">
      <c r="A571" s="61" t="s">
        <v>1771</v>
      </c>
      <c r="C571" s="64" t="s">
        <v>4</v>
      </c>
      <c r="D571" s="64" t="s">
        <v>1760</v>
      </c>
      <c r="E571" s="42" t="s">
        <v>1772</v>
      </c>
      <c r="F571" s="42" t="s">
        <v>1771</v>
      </c>
      <c r="G571" s="42">
        <v>196</v>
      </c>
      <c r="H571" s="42" t="s">
        <v>505</v>
      </c>
      <c r="I571" s="42" t="s">
        <v>37</v>
      </c>
      <c r="J571" s="42">
        <v>50000</v>
      </c>
    </row>
    <row r="572" spans="1:22">
      <c r="A572" s="61" t="s">
        <v>1771</v>
      </c>
      <c r="C572" s="64" t="s">
        <v>4</v>
      </c>
      <c r="D572" s="64" t="s">
        <v>1760</v>
      </c>
      <c r="E572" s="42" t="s">
        <v>1772</v>
      </c>
      <c r="F572" s="42" t="s">
        <v>1771</v>
      </c>
      <c r="G572" s="42">
        <v>197</v>
      </c>
      <c r="H572" s="42" t="s">
        <v>507</v>
      </c>
      <c r="I572" s="42" t="s">
        <v>37</v>
      </c>
      <c r="J572" s="42">
        <v>20000</v>
      </c>
    </row>
    <row r="573" spans="1:22">
      <c r="A573" s="61" t="s">
        <v>1771</v>
      </c>
      <c r="C573" s="64" t="s">
        <v>4</v>
      </c>
      <c r="D573" s="64" t="s">
        <v>1760</v>
      </c>
      <c r="E573" s="42" t="s">
        <v>1772</v>
      </c>
      <c r="F573" s="42" t="s">
        <v>1771</v>
      </c>
      <c r="G573" s="42">
        <v>198</v>
      </c>
      <c r="H573" s="42" t="s">
        <v>245</v>
      </c>
      <c r="I573" s="42" t="s">
        <v>37</v>
      </c>
      <c r="J573" s="42">
        <v>5000</v>
      </c>
    </row>
    <row r="574" spans="1:22">
      <c r="A574" s="61" t="s">
        <v>1771</v>
      </c>
      <c r="C574" s="64" t="s">
        <v>4</v>
      </c>
      <c r="D574" s="64" t="s">
        <v>1760</v>
      </c>
      <c r="E574" s="42" t="s">
        <v>1772</v>
      </c>
      <c r="F574" s="42" t="s">
        <v>1771</v>
      </c>
      <c r="G574" s="42">
        <v>199</v>
      </c>
      <c r="H574" s="42" t="s">
        <v>243</v>
      </c>
      <c r="I574" s="42" t="s">
        <v>37</v>
      </c>
      <c r="J574" s="42">
        <v>5000</v>
      </c>
    </row>
    <row r="575" spans="1:22">
      <c r="A575" s="61" t="s">
        <v>1771</v>
      </c>
      <c r="C575" s="64" t="s">
        <v>4</v>
      </c>
      <c r="D575" s="64" t="s">
        <v>1760</v>
      </c>
      <c r="E575" s="42" t="s">
        <v>1772</v>
      </c>
      <c r="F575" s="42" t="s">
        <v>1771</v>
      </c>
      <c r="G575" s="42">
        <v>200</v>
      </c>
      <c r="H575" s="42" t="s">
        <v>265</v>
      </c>
      <c r="I575" s="42" t="s">
        <v>37</v>
      </c>
      <c r="J575" s="42">
        <v>5000</v>
      </c>
    </row>
    <row r="576" spans="1:22">
      <c r="A576" s="61" t="s">
        <v>1771</v>
      </c>
      <c r="C576" s="64" t="s">
        <v>4</v>
      </c>
      <c r="D576" s="64" t="s">
        <v>1760</v>
      </c>
      <c r="E576" s="42" t="s">
        <v>1772</v>
      </c>
      <c r="F576" s="42" t="s">
        <v>1771</v>
      </c>
      <c r="G576" s="42">
        <v>201</v>
      </c>
      <c r="H576" s="42" t="s">
        <v>247</v>
      </c>
      <c r="I576" s="42" t="s">
        <v>37</v>
      </c>
      <c r="J576" s="42">
        <v>5000</v>
      </c>
    </row>
    <row r="577" spans="1:22">
      <c r="A577" s="61" t="s">
        <v>1771</v>
      </c>
      <c r="C577" s="64" t="s">
        <v>4</v>
      </c>
      <c r="D577" s="64" t="s">
        <v>1760</v>
      </c>
      <c r="E577" s="42" t="s">
        <v>1772</v>
      </c>
      <c r="F577" s="42" t="s">
        <v>1771</v>
      </c>
      <c r="G577" s="42">
        <v>202</v>
      </c>
      <c r="H577" s="42" t="s">
        <v>525</v>
      </c>
      <c r="I577" s="42" t="s">
        <v>37</v>
      </c>
      <c r="J577" s="42">
        <v>12000</v>
      </c>
    </row>
    <row r="578" spans="1:22">
      <c r="A578" s="61" t="s">
        <v>1771</v>
      </c>
      <c r="C578" s="64" t="s">
        <v>4</v>
      </c>
      <c r="D578" s="64" t="s">
        <v>1760</v>
      </c>
      <c r="E578" s="42" t="s">
        <v>1772</v>
      </c>
      <c r="F578" s="42" t="s">
        <v>1771</v>
      </c>
      <c r="G578" s="42">
        <v>203</v>
      </c>
      <c r="H578" s="42" t="s">
        <v>148</v>
      </c>
      <c r="I578" s="42" t="s">
        <v>37</v>
      </c>
      <c r="J578" s="42">
        <v>45000</v>
      </c>
    </row>
    <row r="579" spans="1:22">
      <c r="A579" s="61" t="s">
        <v>1771</v>
      </c>
      <c r="C579" s="64" t="s">
        <v>4</v>
      </c>
      <c r="D579" s="64" t="s">
        <v>1760</v>
      </c>
      <c r="E579" s="42" t="s">
        <v>1772</v>
      </c>
      <c r="F579" s="42" t="s">
        <v>1771</v>
      </c>
      <c r="G579" s="42">
        <v>204</v>
      </c>
      <c r="H579" s="42" t="s">
        <v>221</v>
      </c>
      <c r="I579" s="42" t="s">
        <v>37</v>
      </c>
      <c r="J579" s="42">
        <v>110000</v>
      </c>
    </row>
    <row r="580" spans="1:22">
      <c r="A580" s="61" t="s">
        <v>1771</v>
      </c>
      <c r="C580" s="64" t="s">
        <v>4</v>
      </c>
      <c r="D580" s="64" t="s">
        <v>1760</v>
      </c>
      <c r="E580" s="42" t="s">
        <v>1772</v>
      </c>
      <c r="F580" s="42" t="s">
        <v>1771</v>
      </c>
      <c r="G580" s="42">
        <v>205</v>
      </c>
      <c r="H580" s="42" t="s">
        <v>150</v>
      </c>
      <c r="I580" s="42" t="s">
        <v>37</v>
      </c>
      <c r="J580" s="42">
        <v>10000</v>
      </c>
    </row>
    <row r="581" spans="1:22">
      <c r="A581" s="61" t="s">
        <v>1771</v>
      </c>
      <c r="C581" s="64" t="s">
        <v>4</v>
      </c>
      <c r="D581" s="64" t="s">
        <v>1760</v>
      </c>
      <c r="E581" s="42" t="s">
        <v>1772</v>
      </c>
      <c r="F581" s="42" t="s">
        <v>1771</v>
      </c>
      <c r="G581" s="42">
        <v>206</v>
      </c>
      <c r="H581" s="42" t="s">
        <v>151</v>
      </c>
      <c r="I581" s="42" t="s">
        <v>37</v>
      </c>
      <c r="J581" s="42">
        <v>10000</v>
      </c>
    </row>
    <row r="582" spans="1:22">
      <c r="A582" s="61" t="s">
        <v>1771</v>
      </c>
      <c r="C582" s="64" t="s">
        <v>4</v>
      </c>
      <c r="D582" s="64" t="s">
        <v>1760</v>
      </c>
      <c r="E582" s="42" t="s">
        <v>1772</v>
      </c>
      <c r="F582" s="42" t="s">
        <v>1771</v>
      </c>
      <c r="G582" s="42">
        <v>207</v>
      </c>
      <c r="H582" s="42" t="s">
        <v>301</v>
      </c>
      <c r="I582" s="42" t="s">
        <v>37</v>
      </c>
      <c r="J582" s="42">
        <v>20000</v>
      </c>
    </row>
    <row r="583" spans="1:22">
      <c r="A583" s="61" t="s">
        <v>1771</v>
      </c>
      <c r="C583" s="64" t="s">
        <v>4</v>
      </c>
      <c r="D583" s="64" t="s">
        <v>1760</v>
      </c>
      <c r="E583" s="42" t="s">
        <v>1772</v>
      </c>
      <c r="F583" s="42" t="s">
        <v>1771</v>
      </c>
      <c r="G583" s="42">
        <v>208</v>
      </c>
      <c r="H583" s="42" t="s">
        <v>153</v>
      </c>
      <c r="I583" s="42" t="s">
        <v>37</v>
      </c>
      <c r="J583" s="42">
        <v>30000</v>
      </c>
    </row>
    <row r="584" spans="1:22">
      <c r="A584" s="61" t="s">
        <v>1771</v>
      </c>
      <c r="C584" s="64" t="s">
        <v>4</v>
      </c>
      <c r="D584" s="64" t="s">
        <v>1760</v>
      </c>
      <c r="E584" s="42" t="s">
        <v>1772</v>
      </c>
      <c r="F584" s="42" t="s">
        <v>1771</v>
      </c>
      <c r="G584" s="42">
        <v>209</v>
      </c>
      <c r="H584" s="42" t="s">
        <v>617</v>
      </c>
      <c r="I584" s="42" t="s">
        <v>37</v>
      </c>
      <c r="J584" s="42">
        <v>40000</v>
      </c>
    </row>
    <row r="585" spans="1:22">
      <c r="A585" s="61" t="s">
        <v>1771</v>
      </c>
      <c r="C585" s="64" t="s">
        <v>4</v>
      </c>
      <c r="D585" s="64" t="s">
        <v>1760</v>
      </c>
      <c r="E585" s="42" t="s">
        <v>1772</v>
      </c>
      <c r="F585" s="42" t="s">
        <v>1771</v>
      </c>
      <c r="G585" s="42">
        <v>210</v>
      </c>
      <c r="H585" s="42" t="s">
        <v>497</v>
      </c>
      <c r="I585" s="42" t="s">
        <v>37</v>
      </c>
      <c r="J585" s="42">
        <v>20000</v>
      </c>
    </row>
    <row r="586" spans="1:22">
      <c r="A586" s="61" t="s">
        <v>1771</v>
      </c>
      <c r="C586" s="64" t="s">
        <v>4</v>
      </c>
      <c r="D586" s="64" t="s">
        <v>1760</v>
      </c>
      <c r="E586" s="42" t="s">
        <v>1772</v>
      </c>
      <c r="F586" s="42" t="s">
        <v>1771</v>
      </c>
      <c r="G586" s="42">
        <v>211</v>
      </c>
      <c r="H586" s="42" t="s">
        <v>1191</v>
      </c>
      <c r="I586" s="42" t="s">
        <v>37</v>
      </c>
      <c r="J586" s="42">
        <v>100</v>
      </c>
    </row>
    <row r="587" spans="1:22">
      <c r="A587" s="61" t="s">
        <v>1771</v>
      </c>
      <c r="C587" s="64" t="s">
        <v>4</v>
      </c>
      <c r="D587" s="64" t="s">
        <v>1760</v>
      </c>
      <c r="E587" s="42" t="s">
        <v>1772</v>
      </c>
      <c r="F587" s="42" t="s">
        <v>1771</v>
      </c>
      <c r="G587" s="42">
        <v>212</v>
      </c>
      <c r="H587" s="42" t="s">
        <v>93</v>
      </c>
      <c r="I587" s="42" t="s">
        <v>92</v>
      </c>
      <c r="J587" s="42">
        <v>154992</v>
      </c>
    </row>
    <row r="588" spans="1:22">
      <c r="A588" s="61" t="s">
        <v>1771</v>
      </c>
      <c r="C588" s="64" t="s">
        <v>4</v>
      </c>
      <c r="D588" s="64" t="s">
        <v>1760</v>
      </c>
      <c r="E588" s="42" t="s">
        <v>1772</v>
      </c>
      <c r="F588" s="42" t="s">
        <v>1771</v>
      </c>
      <c r="G588" s="42">
        <v>213</v>
      </c>
      <c r="H588" s="42" t="s">
        <v>197</v>
      </c>
      <c r="I588" s="42" t="s">
        <v>102</v>
      </c>
      <c r="J588" s="42">
        <v>35331</v>
      </c>
    </row>
    <row r="589" spans="1:22">
      <c r="A589" s="61" t="s">
        <v>1773</v>
      </c>
      <c r="C589" s="64" t="s">
        <v>4</v>
      </c>
      <c r="D589" s="64" t="s">
        <v>1760</v>
      </c>
      <c r="E589" s="42" t="s">
        <v>1774</v>
      </c>
      <c r="F589" s="42" t="s">
        <v>1773</v>
      </c>
      <c r="G589" s="42">
        <v>1</v>
      </c>
      <c r="H589" s="42" t="s">
        <v>807</v>
      </c>
      <c r="I589" s="42" t="s">
        <v>106</v>
      </c>
      <c r="J589" s="42">
        <v>52738</v>
      </c>
    </row>
    <row r="590" spans="1:22">
      <c r="A590" s="61" t="s">
        <v>1773</v>
      </c>
      <c r="C590" s="64" t="s">
        <v>4</v>
      </c>
      <c r="D590" s="64" t="s">
        <v>1760</v>
      </c>
      <c r="E590" s="42" t="s">
        <v>1774</v>
      </c>
      <c r="F590" s="42" t="s">
        <v>1773</v>
      </c>
      <c r="G590" s="42">
        <v>2</v>
      </c>
      <c r="H590" s="42" t="s">
        <v>114</v>
      </c>
      <c r="I590" s="42" t="s">
        <v>106</v>
      </c>
      <c r="J590" s="42">
        <v>69439</v>
      </c>
    </row>
    <row r="591" spans="1:22">
      <c r="A591" s="61" t="s">
        <v>1773</v>
      </c>
      <c r="C591" s="64" t="s">
        <v>4</v>
      </c>
      <c r="D591" s="64" t="s">
        <v>1760</v>
      </c>
      <c r="E591" s="42" t="s">
        <v>1774</v>
      </c>
      <c r="F591" s="42" t="s">
        <v>1773</v>
      </c>
      <c r="G591" s="42">
        <v>3</v>
      </c>
      <c r="H591" s="42" t="s">
        <v>175</v>
      </c>
      <c r="I591" s="42" t="s">
        <v>106</v>
      </c>
      <c r="J591" s="42">
        <v>24192</v>
      </c>
    </row>
    <row r="592" spans="1:22">
      <c r="A592" s="61" t="s">
        <v>1773</v>
      </c>
      <c r="C592" s="64" t="s">
        <v>4</v>
      </c>
      <c r="D592" s="64" t="s">
        <v>1760</v>
      </c>
      <c r="E592" s="42" t="s">
        <v>1774</v>
      </c>
      <c r="F592" s="42" t="s">
        <v>1773</v>
      </c>
      <c r="G592" s="42">
        <v>4</v>
      </c>
      <c r="H592" s="42" t="s">
        <v>455</v>
      </c>
      <c r="I592" s="42" t="s">
        <v>106</v>
      </c>
      <c r="J592" s="42">
        <v>40000</v>
      </c>
    </row>
    <row r="593" spans="1:22">
      <c r="A593" s="61" t="s">
        <v>1773</v>
      </c>
      <c r="C593" s="64" t="s">
        <v>4</v>
      </c>
      <c r="D593" s="64" t="s">
        <v>1760</v>
      </c>
      <c r="E593" s="42" t="s">
        <v>1774</v>
      </c>
      <c r="F593" s="42" t="s">
        <v>1773</v>
      </c>
      <c r="G593" s="42">
        <v>5</v>
      </c>
      <c r="H593" s="42" t="s">
        <v>453</v>
      </c>
      <c r="I593" s="42" t="s">
        <v>106</v>
      </c>
      <c r="J593" s="42">
        <v>40000</v>
      </c>
    </row>
    <row r="594" spans="1:22">
      <c r="A594" s="61" t="s">
        <v>1773</v>
      </c>
      <c r="C594" s="64" t="s">
        <v>4</v>
      </c>
      <c r="D594" s="64" t="s">
        <v>1760</v>
      </c>
      <c r="E594" s="42" t="s">
        <v>1774</v>
      </c>
      <c r="F594" s="42" t="s">
        <v>1773</v>
      </c>
      <c r="G594" s="42">
        <v>6</v>
      </c>
      <c r="H594" s="42" t="s">
        <v>195</v>
      </c>
      <c r="I594" s="42" t="s">
        <v>106</v>
      </c>
      <c r="J594" s="42">
        <v>30000</v>
      </c>
    </row>
    <row r="595" spans="1:22">
      <c r="A595" s="61" t="s">
        <v>1773</v>
      </c>
      <c r="C595" s="64" t="s">
        <v>4</v>
      </c>
      <c r="D595" s="64" t="s">
        <v>1760</v>
      </c>
      <c r="E595" s="42" t="s">
        <v>1774</v>
      </c>
      <c r="F595" s="42" t="s">
        <v>1773</v>
      </c>
      <c r="G595" s="42">
        <v>7</v>
      </c>
      <c r="H595" s="42" t="s">
        <v>395</v>
      </c>
      <c r="I595" s="42" t="s">
        <v>113</v>
      </c>
      <c r="J595" s="42">
        <v>20000</v>
      </c>
    </row>
    <row r="596" spans="1:22">
      <c r="A596" s="61" t="s">
        <v>1773</v>
      </c>
      <c r="C596" s="64" t="s">
        <v>4</v>
      </c>
      <c r="D596" s="64" t="s">
        <v>1760</v>
      </c>
      <c r="E596" s="42" t="s">
        <v>1774</v>
      </c>
      <c r="F596" s="42" t="s">
        <v>1773</v>
      </c>
      <c r="G596" s="42">
        <v>8</v>
      </c>
      <c r="H596" s="42" t="s">
        <v>733</v>
      </c>
      <c r="I596" s="42" t="s">
        <v>113</v>
      </c>
      <c r="J596" s="42">
        <v>40000</v>
      </c>
    </row>
    <row r="597" spans="1:22">
      <c r="A597" s="61" t="s">
        <v>1773</v>
      </c>
      <c r="C597" s="64" t="s">
        <v>4</v>
      </c>
      <c r="D597" s="64" t="s">
        <v>1760</v>
      </c>
      <c r="E597" s="42" t="s">
        <v>1774</v>
      </c>
      <c r="F597" s="42" t="s">
        <v>1773</v>
      </c>
      <c r="G597" s="42">
        <v>9</v>
      </c>
      <c r="H597" s="42" t="s">
        <v>347</v>
      </c>
      <c r="I597" s="42" t="s">
        <v>113</v>
      </c>
      <c r="J597" s="42">
        <v>12000</v>
      </c>
    </row>
    <row r="598" spans="1:22">
      <c r="A598" s="61" t="s">
        <v>1773</v>
      </c>
      <c r="C598" s="64" t="s">
        <v>4</v>
      </c>
      <c r="D598" s="64" t="s">
        <v>1760</v>
      </c>
      <c r="E598" s="42" t="s">
        <v>1774</v>
      </c>
      <c r="F598" s="42" t="s">
        <v>1773</v>
      </c>
      <c r="G598" s="42">
        <v>10</v>
      </c>
      <c r="H598" s="42" t="s">
        <v>409</v>
      </c>
      <c r="I598" s="42" t="s">
        <v>113</v>
      </c>
      <c r="J598" s="42">
        <v>10000</v>
      </c>
    </row>
    <row r="599" spans="1:22">
      <c r="A599" s="61" t="s">
        <v>1773</v>
      </c>
      <c r="C599" s="64" t="s">
        <v>4</v>
      </c>
      <c r="D599" s="64" t="s">
        <v>1760</v>
      </c>
      <c r="E599" s="42" t="s">
        <v>1774</v>
      </c>
      <c r="F599" s="42" t="s">
        <v>1773</v>
      </c>
      <c r="G599" s="42">
        <v>11</v>
      </c>
      <c r="H599" s="42" t="s">
        <v>399</v>
      </c>
      <c r="I599" s="42" t="s">
        <v>113</v>
      </c>
      <c r="J599" s="42">
        <v>10000</v>
      </c>
    </row>
    <row r="600" spans="1:22">
      <c r="A600" s="61" t="s">
        <v>1773</v>
      </c>
      <c r="C600" s="64" t="s">
        <v>4</v>
      </c>
      <c r="D600" s="64" t="s">
        <v>1760</v>
      </c>
      <c r="E600" s="42" t="s">
        <v>1774</v>
      </c>
      <c r="F600" s="42" t="s">
        <v>1773</v>
      </c>
      <c r="G600" s="42">
        <v>12</v>
      </c>
      <c r="H600" s="42" t="s">
        <v>929</v>
      </c>
      <c r="I600" s="42" t="s">
        <v>113</v>
      </c>
      <c r="J600" s="42">
        <v>40000</v>
      </c>
    </row>
    <row r="601" spans="1:22">
      <c r="A601" s="61" t="s">
        <v>1773</v>
      </c>
      <c r="C601" s="64" t="s">
        <v>4</v>
      </c>
      <c r="D601" s="64" t="s">
        <v>1760</v>
      </c>
      <c r="E601" s="42" t="s">
        <v>1774</v>
      </c>
      <c r="F601" s="42" t="s">
        <v>1773</v>
      </c>
      <c r="G601" s="42">
        <v>13</v>
      </c>
      <c r="H601" s="42" t="s">
        <v>737</v>
      </c>
      <c r="I601" s="42" t="s">
        <v>113</v>
      </c>
      <c r="J601" s="42">
        <v>66241</v>
      </c>
    </row>
    <row r="602" spans="1:22">
      <c r="A602" s="61" t="s">
        <v>1773</v>
      </c>
      <c r="C602" s="64" t="s">
        <v>4</v>
      </c>
      <c r="D602" s="64" t="s">
        <v>1760</v>
      </c>
      <c r="E602" s="42" t="s">
        <v>1774</v>
      </c>
      <c r="F602" s="42" t="s">
        <v>1773</v>
      </c>
      <c r="G602" s="42">
        <v>14</v>
      </c>
      <c r="H602" s="42" t="s">
        <v>931</v>
      </c>
      <c r="I602" s="42" t="s">
        <v>113</v>
      </c>
      <c r="J602" s="42">
        <v>40000</v>
      </c>
    </row>
    <row r="603" spans="1:22">
      <c r="A603" s="61" t="s">
        <v>1773</v>
      </c>
      <c r="C603" s="64" t="s">
        <v>4</v>
      </c>
      <c r="D603" s="64" t="s">
        <v>1760</v>
      </c>
      <c r="E603" s="42" t="s">
        <v>1774</v>
      </c>
      <c r="F603" s="42" t="s">
        <v>1773</v>
      </c>
      <c r="G603" s="42">
        <v>15</v>
      </c>
      <c r="H603" s="42" t="s">
        <v>401</v>
      </c>
      <c r="I603" s="42" t="s">
        <v>113</v>
      </c>
      <c r="J603" s="42">
        <v>68865</v>
      </c>
    </row>
    <row r="604" spans="1:22">
      <c r="A604" s="61" t="s">
        <v>1773</v>
      </c>
      <c r="C604" s="64" t="s">
        <v>4</v>
      </c>
      <c r="D604" s="64" t="s">
        <v>1760</v>
      </c>
      <c r="E604" s="42" t="s">
        <v>1774</v>
      </c>
      <c r="F604" s="42" t="s">
        <v>1773</v>
      </c>
      <c r="G604" s="42">
        <v>16</v>
      </c>
      <c r="H604" s="42" t="s">
        <v>1287</v>
      </c>
      <c r="I604" s="42" t="s">
        <v>113</v>
      </c>
      <c r="J604" s="42">
        <v>130445</v>
      </c>
    </row>
    <row r="605" spans="1:22">
      <c r="A605" s="61" t="s">
        <v>1773</v>
      </c>
      <c r="C605" s="64" t="s">
        <v>4</v>
      </c>
      <c r="D605" s="64" t="s">
        <v>1760</v>
      </c>
      <c r="E605" s="42" t="s">
        <v>1774</v>
      </c>
      <c r="F605" s="42" t="s">
        <v>1773</v>
      </c>
      <c r="G605" s="42">
        <v>17</v>
      </c>
      <c r="H605" s="42" t="s">
        <v>172</v>
      </c>
      <c r="I605" s="42" t="s">
        <v>102</v>
      </c>
      <c r="J605" s="42">
        <v>162193</v>
      </c>
    </row>
    <row r="606" spans="1:22">
      <c r="A606" s="61" t="s">
        <v>1773</v>
      </c>
      <c r="C606" s="64" t="s">
        <v>4</v>
      </c>
      <c r="D606" s="64" t="s">
        <v>1760</v>
      </c>
      <c r="E606" s="42" t="s">
        <v>1774</v>
      </c>
      <c r="F606" s="42" t="s">
        <v>1773</v>
      </c>
      <c r="G606" s="42">
        <v>18</v>
      </c>
      <c r="H606" s="42" t="s">
        <v>463</v>
      </c>
      <c r="I606" s="42" t="s">
        <v>1764</v>
      </c>
      <c r="J606" s="42">
        <v>9273</v>
      </c>
    </row>
    <row r="607" spans="1:22">
      <c r="A607" s="61" t="s">
        <v>1773</v>
      </c>
      <c r="C607" s="64" t="s">
        <v>4</v>
      </c>
      <c r="D607" s="64" t="s">
        <v>1760</v>
      </c>
      <c r="E607" s="42" t="s">
        <v>1774</v>
      </c>
      <c r="F607" s="42" t="s">
        <v>1773</v>
      </c>
      <c r="G607" s="42">
        <v>19</v>
      </c>
      <c r="H607" s="42" t="s">
        <v>895</v>
      </c>
      <c r="I607" s="42" t="s">
        <v>37</v>
      </c>
      <c r="J607" s="42">
        <v>20000</v>
      </c>
    </row>
    <row r="608" spans="1:22">
      <c r="A608" s="61" t="s">
        <v>1773</v>
      </c>
      <c r="C608" s="64" t="s">
        <v>4</v>
      </c>
      <c r="D608" s="64" t="s">
        <v>1760</v>
      </c>
      <c r="E608" s="42" t="s">
        <v>1774</v>
      </c>
      <c r="F608" s="42" t="s">
        <v>1773</v>
      </c>
      <c r="G608" s="42">
        <v>20</v>
      </c>
      <c r="H608" s="42" t="s">
        <v>353</v>
      </c>
      <c r="I608" s="42" t="s">
        <v>37</v>
      </c>
      <c r="J608" s="42">
        <v>10000</v>
      </c>
    </row>
    <row r="609" spans="1:22">
      <c r="A609" s="61" t="s">
        <v>1773</v>
      </c>
      <c r="C609" s="64" t="s">
        <v>4</v>
      </c>
      <c r="D609" s="64" t="s">
        <v>1760</v>
      </c>
      <c r="E609" s="42" t="s">
        <v>1774</v>
      </c>
      <c r="F609" s="42" t="s">
        <v>1773</v>
      </c>
      <c r="G609" s="42">
        <v>21</v>
      </c>
      <c r="H609" s="42" t="s">
        <v>355</v>
      </c>
      <c r="I609" s="42" t="s">
        <v>37</v>
      </c>
      <c r="J609" s="42">
        <v>10000</v>
      </c>
    </row>
    <row r="610" spans="1:22">
      <c r="A610" s="61" t="s">
        <v>1773</v>
      </c>
      <c r="C610" s="64" t="s">
        <v>4</v>
      </c>
      <c r="D610" s="64" t="s">
        <v>1760</v>
      </c>
      <c r="E610" s="42" t="s">
        <v>1774</v>
      </c>
      <c r="F610" s="42" t="s">
        <v>1773</v>
      </c>
      <c r="G610" s="42">
        <v>22</v>
      </c>
      <c r="H610" s="42" t="s">
        <v>357</v>
      </c>
      <c r="I610" s="42" t="s">
        <v>37</v>
      </c>
      <c r="J610" s="42">
        <v>5000</v>
      </c>
    </row>
    <row r="611" spans="1:22">
      <c r="A611" s="61" t="s">
        <v>1773</v>
      </c>
      <c r="C611" s="64" t="s">
        <v>4</v>
      </c>
      <c r="D611" s="64" t="s">
        <v>1760</v>
      </c>
      <c r="E611" s="42" t="s">
        <v>1774</v>
      </c>
      <c r="F611" s="42" t="s">
        <v>1773</v>
      </c>
      <c r="G611" s="42">
        <v>23</v>
      </c>
      <c r="H611" s="42" t="s">
        <v>411</v>
      </c>
      <c r="I611" s="42" t="s">
        <v>37</v>
      </c>
      <c r="J611" s="42">
        <v>10000</v>
      </c>
    </row>
    <row r="612" spans="1:22">
      <c r="A612" s="61" t="s">
        <v>1773</v>
      </c>
      <c r="C612" s="64" t="s">
        <v>4</v>
      </c>
      <c r="D612" s="64" t="s">
        <v>1760</v>
      </c>
      <c r="E612" s="42" t="s">
        <v>1774</v>
      </c>
      <c r="F612" s="42" t="s">
        <v>1773</v>
      </c>
      <c r="G612" s="42">
        <v>24</v>
      </c>
      <c r="H612" s="42" t="s">
        <v>211</v>
      </c>
      <c r="I612" s="42" t="s">
        <v>37</v>
      </c>
      <c r="J612" s="42">
        <v>10000</v>
      </c>
    </row>
    <row r="613" spans="1:22">
      <c r="A613" s="61" t="s">
        <v>1773</v>
      </c>
      <c r="C613" s="64" t="s">
        <v>4</v>
      </c>
      <c r="D613" s="64" t="s">
        <v>1760</v>
      </c>
      <c r="E613" s="42" t="s">
        <v>1774</v>
      </c>
      <c r="F613" s="42" t="s">
        <v>1773</v>
      </c>
      <c r="G613" s="42">
        <v>25</v>
      </c>
      <c r="H613" s="42" t="s">
        <v>407</v>
      </c>
      <c r="I613" s="42" t="s">
        <v>37</v>
      </c>
      <c r="J613" s="42">
        <v>30000</v>
      </c>
    </row>
    <row r="614" spans="1:22">
      <c r="A614" s="61" t="s">
        <v>1773</v>
      </c>
      <c r="C614" s="64" t="s">
        <v>4</v>
      </c>
      <c r="D614" s="64" t="s">
        <v>1760</v>
      </c>
      <c r="E614" s="42" t="s">
        <v>1774</v>
      </c>
      <c r="F614" s="42" t="s">
        <v>1773</v>
      </c>
      <c r="G614" s="42">
        <v>26</v>
      </c>
      <c r="H614" s="42" t="s">
        <v>367</v>
      </c>
      <c r="I614" s="42" t="s">
        <v>37</v>
      </c>
      <c r="J614" s="42">
        <v>10000</v>
      </c>
    </row>
    <row r="615" spans="1:22">
      <c r="A615" s="61" t="s">
        <v>1773</v>
      </c>
      <c r="C615" s="64" t="s">
        <v>4</v>
      </c>
      <c r="D615" s="64" t="s">
        <v>1760</v>
      </c>
      <c r="E615" s="42" t="s">
        <v>1774</v>
      </c>
      <c r="F615" s="42" t="s">
        <v>1773</v>
      </c>
      <c r="G615" s="42">
        <v>27</v>
      </c>
      <c r="H615" s="42" t="s">
        <v>413</v>
      </c>
      <c r="I615" s="42" t="s">
        <v>37</v>
      </c>
      <c r="J615" s="42">
        <v>10000</v>
      </c>
    </row>
    <row r="616" spans="1:22">
      <c r="A616" s="61" t="s">
        <v>1773</v>
      </c>
      <c r="C616" s="64" t="s">
        <v>4</v>
      </c>
      <c r="D616" s="64" t="s">
        <v>1760</v>
      </c>
      <c r="E616" s="42" t="s">
        <v>1774</v>
      </c>
      <c r="F616" s="42" t="s">
        <v>1773</v>
      </c>
      <c r="G616" s="42">
        <v>28</v>
      </c>
      <c r="H616" s="42" t="s">
        <v>373</v>
      </c>
      <c r="I616" s="42" t="s">
        <v>37</v>
      </c>
      <c r="J616" s="42">
        <v>10000</v>
      </c>
    </row>
    <row r="617" spans="1:22">
      <c r="A617" s="61" t="s">
        <v>1773</v>
      </c>
      <c r="C617" s="64" t="s">
        <v>4</v>
      </c>
      <c r="D617" s="64" t="s">
        <v>1760</v>
      </c>
      <c r="E617" s="42" t="s">
        <v>1774</v>
      </c>
      <c r="F617" s="42" t="s">
        <v>1773</v>
      </c>
      <c r="G617" s="42">
        <v>29</v>
      </c>
      <c r="H617" s="42" t="s">
        <v>375</v>
      </c>
      <c r="I617" s="42" t="s">
        <v>37</v>
      </c>
      <c r="J617" s="42">
        <v>20000</v>
      </c>
    </row>
    <row r="618" spans="1:22">
      <c r="A618" s="61" t="s">
        <v>1773</v>
      </c>
      <c r="C618" s="64" t="s">
        <v>4</v>
      </c>
      <c r="D618" s="64" t="s">
        <v>1760</v>
      </c>
      <c r="E618" s="42" t="s">
        <v>1774</v>
      </c>
      <c r="F618" s="42" t="s">
        <v>1773</v>
      </c>
      <c r="G618" s="42">
        <v>30</v>
      </c>
      <c r="H618" s="42" t="s">
        <v>365</v>
      </c>
      <c r="I618" s="42" t="s">
        <v>37</v>
      </c>
      <c r="J618" s="42">
        <v>6000</v>
      </c>
    </row>
    <row r="619" spans="1:22">
      <c r="A619" s="61" t="s">
        <v>1773</v>
      </c>
      <c r="C619" s="64" t="s">
        <v>4</v>
      </c>
      <c r="D619" s="64" t="s">
        <v>1760</v>
      </c>
      <c r="E619" s="42" t="s">
        <v>1774</v>
      </c>
      <c r="F619" s="42" t="s">
        <v>1773</v>
      </c>
      <c r="G619" s="42">
        <v>31</v>
      </c>
      <c r="H619" s="42" t="s">
        <v>339</v>
      </c>
      <c r="I619" s="42" t="s">
        <v>37</v>
      </c>
      <c r="J619" s="42">
        <v>15000</v>
      </c>
    </row>
    <row r="620" spans="1:22">
      <c r="A620" s="61" t="s">
        <v>1773</v>
      </c>
      <c r="C620" s="64" t="s">
        <v>4</v>
      </c>
      <c r="D620" s="64" t="s">
        <v>1760</v>
      </c>
      <c r="E620" s="42" t="s">
        <v>1774</v>
      </c>
      <c r="F620" s="42" t="s">
        <v>1773</v>
      </c>
      <c r="G620" s="42">
        <v>32</v>
      </c>
      <c r="H620" s="42" t="s">
        <v>345</v>
      </c>
      <c r="I620" s="42" t="s">
        <v>37</v>
      </c>
      <c r="J620" s="42">
        <v>20000</v>
      </c>
    </row>
    <row r="621" spans="1:22">
      <c r="A621" s="61" t="s">
        <v>1773</v>
      </c>
      <c r="C621" s="64" t="s">
        <v>4</v>
      </c>
      <c r="D621" s="64" t="s">
        <v>1760</v>
      </c>
      <c r="E621" s="42" t="s">
        <v>1774</v>
      </c>
      <c r="F621" s="42" t="s">
        <v>1773</v>
      </c>
      <c r="G621" s="42">
        <v>33</v>
      </c>
      <c r="H621" s="42" t="s">
        <v>393</v>
      </c>
      <c r="I621" s="42" t="s">
        <v>37</v>
      </c>
      <c r="J621" s="42">
        <v>40000</v>
      </c>
    </row>
    <row r="622" spans="1:22">
      <c r="A622" s="61" t="s">
        <v>1773</v>
      </c>
      <c r="C622" s="64" t="s">
        <v>4</v>
      </c>
      <c r="D622" s="64" t="s">
        <v>1760</v>
      </c>
      <c r="E622" s="42" t="s">
        <v>1774</v>
      </c>
      <c r="F622" s="42" t="s">
        <v>1773</v>
      </c>
      <c r="G622" s="42">
        <v>34</v>
      </c>
      <c r="H622" s="42" t="s">
        <v>921</v>
      </c>
      <c r="I622" s="42" t="s">
        <v>37</v>
      </c>
      <c r="J622" s="42">
        <v>30000</v>
      </c>
    </row>
    <row r="623" spans="1:22">
      <c r="A623" s="61" t="s">
        <v>1773</v>
      </c>
      <c r="C623" s="64" t="s">
        <v>4</v>
      </c>
      <c r="D623" s="64" t="s">
        <v>1760</v>
      </c>
      <c r="E623" s="42" t="s">
        <v>1774</v>
      </c>
      <c r="F623" s="42" t="s">
        <v>1773</v>
      </c>
      <c r="G623" s="42">
        <v>35</v>
      </c>
      <c r="H623" s="42" t="s">
        <v>923</v>
      </c>
      <c r="I623" s="42" t="s">
        <v>37</v>
      </c>
      <c r="J623" s="42">
        <v>80000</v>
      </c>
    </row>
    <row r="624" spans="1:22">
      <c r="A624" s="61" t="s">
        <v>1773</v>
      </c>
      <c r="C624" s="64" t="s">
        <v>4</v>
      </c>
      <c r="D624" s="64" t="s">
        <v>1760</v>
      </c>
      <c r="E624" s="42" t="s">
        <v>1774</v>
      </c>
      <c r="F624" s="42" t="s">
        <v>1773</v>
      </c>
      <c r="G624" s="42">
        <v>36</v>
      </c>
      <c r="H624" s="42" t="s">
        <v>925</v>
      </c>
      <c r="I624" s="42" t="s">
        <v>37</v>
      </c>
      <c r="J624" s="42">
        <v>20000</v>
      </c>
    </row>
    <row r="625" spans="1:22">
      <c r="A625" s="61" t="s">
        <v>1773</v>
      </c>
      <c r="C625" s="64" t="s">
        <v>4</v>
      </c>
      <c r="D625" s="64" t="s">
        <v>1760</v>
      </c>
      <c r="E625" s="42" t="s">
        <v>1774</v>
      </c>
      <c r="F625" s="42" t="s">
        <v>1773</v>
      </c>
      <c r="G625" s="42">
        <v>37</v>
      </c>
      <c r="H625" s="42" t="s">
        <v>951</v>
      </c>
      <c r="I625" s="42" t="s">
        <v>37</v>
      </c>
      <c r="J625" s="42">
        <v>20000</v>
      </c>
    </row>
    <row r="626" spans="1:22">
      <c r="A626" s="61" t="s">
        <v>1773</v>
      </c>
      <c r="C626" s="64" t="s">
        <v>4</v>
      </c>
      <c r="D626" s="64" t="s">
        <v>1760</v>
      </c>
      <c r="E626" s="42" t="s">
        <v>1774</v>
      </c>
      <c r="F626" s="42" t="s">
        <v>1773</v>
      </c>
      <c r="G626" s="42">
        <v>38</v>
      </c>
      <c r="H626" s="42" t="s">
        <v>952</v>
      </c>
      <c r="I626" s="42" t="s">
        <v>37</v>
      </c>
      <c r="J626" s="42">
        <v>15000</v>
      </c>
    </row>
    <row r="627" spans="1:22">
      <c r="A627" s="61" t="s">
        <v>1773</v>
      </c>
      <c r="C627" s="64" t="s">
        <v>4</v>
      </c>
      <c r="D627" s="64" t="s">
        <v>1760</v>
      </c>
      <c r="E627" s="42" t="s">
        <v>1774</v>
      </c>
      <c r="F627" s="42" t="s">
        <v>1773</v>
      </c>
      <c r="G627" s="42">
        <v>39</v>
      </c>
      <c r="H627" s="42" t="s">
        <v>1063</v>
      </c>
      <c r="I627" s="42" t="s">
        <v>37</v>
      </c>
      <c r="J627" s="42">
        <v>10000</v>
      </c>
    </row>
    <row r="628" spans="1:22">
      <c r="A628" s="61" t="s">
        <v>1773</v>
      </c>
      <c r="C628" s="64" t="s">
        <v>4</v>
      </c>
      <c r="D628" s="64" t="s">
        <v>1760</v>
      </c>
      <c r="E628" s="42" t="s">
        <v>1774</v>
      </c>
      <c r="F628" s="42" t="s">
        <v>1773</v>
      </c>
      <c r="G628" s="42">
        <v>40</v>
      </c>
      <c r="H628" s="42" t="s">
        <v>1283</v>
      </c>
      <c r="I628" s="42" t="s">
        <v>37</v>
      </c>
      <c r="J628" s="42">
        <v>30000</v>
      </c>
    </row>
    <row r="629" spans="1:22">
      <c r="A629" s="61" t="s">
        <v>1773</v>
      </c>
      <c r="C629" s="64" t="s">
        <v>4</v>
      </c>
      <c r="D629" s="64" t="s">
        <v>1760</v>
      </c>
      <c r="E629" s="42" t="s">
        <v>1774</v>
      </c>
      <c r="F629" s="42" t="s">
        <v>1773</v>
      </c>
      <c r="G629" s="42">
        <v>41</v>
      </c>
      <c r="H629" s="42" t="s">
        <v>1295</v>
      </c>
      <c r="I629" s="42" t="s">
        <v>37</v>
      </c>
      <c r="J629" s="42">
        <v>10000</v>
      </c>
    </row>
    <row r="630" spans="1:22">
      <c r="A630" s="61" t="s">
        <v>1773</v>
      </c>
      <c r="C630" s="64" t="s">
        <v>4</v>
      </c>
      <c r="D630" s="64" t="s">
        <v>1760</v>
      </c>
      <c r="E630" s="42" t="s">
        <v>1774</v>
      </c>
      <c r="F630" s="42" t="s">
        <v>1773</v>
      </c>
      <c r="G630" s="42">
        <v>42</v>
      </c>
      <c r="H630" s="42" t="s">
        <v>1319</v>
      </c>
      <c r="I630" s="42" t="s">
        <v>37</v>
      </c>
      <c r="J630" s="42">
        <v>75000</v>
      </c>
    </row>
    <row r="631" spans="1:22">
      <c r="A631" s="61" t="s">
        <v>1773</v>
      </c>
      <c r="C631" s="64" t="s">
        <v>4</v>
      </c>
      <c r="D631" s="64" t="s">
        <v>1760</v>
      </c>
      <c r="E631" s="42" t="s">
        <v>1774</v>
      </c>
      <c r="F631" s="42" t="s">
        <v>1773</v>
      </c>
      <c r="G631" s="42">
        <v>43</v>
      </c>
      <c r="H631" s="42" t="s">
        <v>1342</v>
      </c>
      <c r="I631" s="42" t="s">
        <v>37</v>
      </c>
      <c r="J631" s="42">
        <v>60000</v>
      </c>
    </row>
    <row r="632" spans="1:22">
      <c r="A632" s="61" t="s">
        <v>1773</v>
      </c>
      <c r="C632" s="64" t="s">
        <v>4</v>
      </c>
      <c r="D632" s="64" t="s">
        <v>1760</v>
      </c>
      <c r="E632" s="42" t="s">
        <v>1774</v>
      </c>
      <c r="F632" s="42" t="s">
        <v>1773</v>
      </c>
      <c r="G632" s="42">
        <v>44</v>
      </c>
      <c r="H632" s="42" t="s">
        <v>1356</v>
      </c>
      <c r="I632" s="42" t="s">
        <v>37</v>
      </c>
      <c r="J632" s="42">
        <v>35000</v>
      </c>
    </row>
    <row r="633" spans="1:22">
      <c r="A633" s="61" t="s">
        <v>1773</v>
      </c>
      <c r="C633" s="64" t="s">
        <v>4</v>
      </c>
      <c r="D633" s="64" t="s">
        <v>1760</v>
      </c>
      <c r="E633" s="42" t="s">
        <v>1774</v>
      </c>
      <c r="F633" s="42" t="s">
        <v>1773</v>
      </c>
      <c r="G633" s="42">
        <v>45</v>
      </c>
      <c r="H633" s="42" t="s">
        <v>1343</v>
      </c>
      <c r="I633" s="42" t="s">
        <v>37</v>
      </c>
      <c r="J633" s="42">
        <v>80000</v>
      </c>
    </row>
    <row r="634" spans="1:22">
      <c r="A634" s="61" t="s">
        <v>1773</v>
      </c>
      <c r="C634" s="64" t="s">
        <v>4</v>
      </c>
      <c r="D634" s="64" t="s">
        <v>1760</v>
      </c>
      <c r="E634" s="42" t="s">
        <v>1774</v>
      </c>
      <c r="F634" s="42" t="s">
        <v>1773</v>
      </c>
      <c r="G634" s="42">
        <v>46</v>
      </c>
      <c r="H634" s="42" t="s">
        <v>1279</v>
      </c>
      <c r="I634" s="42" t="s">
        <v>37</v>
      </c>
      <c r="J634" s="42">
        <v>10000</v>
      </c>
    </row>
    <row r="635" spans="1:22">
      <c r="A635" s="61" t="s">
        <v>1773</v>
      </c>
      <c r="C635" s="64" t="s">
        <v>4</v>
      </c>
      <c r="D635" s="64" t="s">
        <v>1760</v>
      </c>
      <c r="E635" s="42" t="s">
        <v>1774</v>
      </c>
      <c r="F635" s="42" t="s">
        <v>1773</v>
      </c>
      <c r="G635" s="42">
        <v>47</v>
      </c>
      <c r="H635" s="42" t="s">
        <v>1374</v>
      </c>
      <c r="I635" s="42" t="s">
        <v>37</v>
      </c>
      <c r="J635" s="42">
        <v>9900</v>
      </c>
    </row>
    <row r="636" spans="1:22">
      <c r="A636" s="61" t="s">
        <v>1773</v>
      </c>
      <c r="C636" s="64" t="s">
        <v>4</v>
      </c>
      <c r="D636" s="64" t="s">
        <v>1760</v>
      </c>
      <c r="E636" s="42" t="s">
        <v>1774</v>
      </c>
      <c r="F636" s="42" t="s">
        <v>1773</v>
      </c>
      <c r="G636" s="42">
        <v>48</v>
      </c>
      <c r="H636" s="42" t="s">
        <v>1359</v>
      </c>
      <c r="I636" s="42" t="s">
        <v>37</v>
      </c>
      <c r="J636" s="42">
        <v>15000</v>
      </c>
    </row>
    <row r="637" spans="1:22">
      <c r="A637" s="61" t="s">
        <v>1773</v>
      </c>
      <c r="C637" s="64" t="s">
        <v>4</v>
      </c>
      <c r="D637" s="64" t="s">
        <v>1760</v>
      </c>
      <c r="E637" s="42" t="s">
        <v>1774</v>
      </c>
      <c r="F637" s="42" t="s">
        <v>1773</v>
      </c>
      <c r="G637" s="42">
        <v>49</v>
      </c>
      <c r="H637" s="42" t="s">
        <v>573</v>
      </c>
      <c r="I637" s="42" t="s">
        <v>37</v>
      </c>
      <c r="J637" s="42">
        <v>10000</v>
      </c>
    </row>
    <row r="638" spans="1:22">
      <c r="A638" s="61" t="s">
        <v>1773</v>
      </c>
      <c r="C638" s="64" t="s">
        <v>4</v>
      </c>
      <c r="D638" s="64" t="s">
        <v>1760</v>
      </c>
      <c r="E638" s="42" t="s">
        <v>1774</v>
      </c>
      <c r="F638" s="42" t="s">
        <v>1773</v>
      </c>
      <c r="G638" s="42">
        <v>50</v>
      </c>
      <c r="H638" s="42" t="s">
        <v>739</v>
      </c>
      <c r="I638" s="42" t="s">
        <v>37</v>
      </c>
      <c r="J638" s="42">
        <v>100000</v>
      </c>
    </row>
    <row r="639" spans="1:22">
      <c r="A639" s="61" t="s">
        <v>1773</v>
      </c>
      <c r="C639" s="64" t="s">
        <v>4</v>
      </c>
      <c r="D639" s="64" t="s">
        <v>1760</v>
      </c>
      <c r="E639" s="42" t="s">
        <v>1774</v>
      </c>
      <c r="F639" s="42" t="s">
        <v>1773</v>
      </c>
      <c r="G639" s="42">
        <v>51</v>
      </c>
      <c r="H639" s="42" t="s">
        <v>589</v>
      </c>
      <c r="I639" s="42" t="s">
        <v>37</v>
      </c>
      <c r="J639" s="42">
        <v>15000</v>
      </c>
    </row>
    <row r="640" spans="1:22">
      <c r="A640" s="61" t="s">
        <v>1773</v>
      </c>
      <c r="C640" s="64" t="s">
        <v>4</v>
      </c>
      <c r="D640" s="64" t="s">
        <v>1760</v>
      </c>
      <c r="E640" s="42" t="s">
        <v>1774</v>
      </c>
      <c r="F640" s="42" t="s">
        <v>1773</v>
      </c>
      <c r="G640" s="42">
        <v>52</v>
      </c>
      <c r="H640" s="42" t="s">
        <v>587</v>
      </c>
      <c r="I640" s="42" t="s">
        <v>37</v>
      </c>
      <c r="J640" s="42">
        <v>10000</v>
      </c>
    </row>
    <row r="641" spans="1:22">
      <c r="A641" s="61" t="s">
        <v>1773</v>
      </c>
      <c r="C641" s="64" t="s">
        <v>4</v>
      </c>
      <c r="D641" s="64" t="s">
        <v>1760</v>
      </c>
      <c r="E641" s="42" t="s">
        <v>1774</v>
      </c>
      <c r="F641" s="42" t="s">
        <v>1773</v>
      </c>
      <c r="G641" s="42">
        <v>53</v>
      </c>
      <c r="H641" s="42" t="s">
        <v>581</v>
      </c>
      <c r="I641" s="42" t="s">
        <v>37</v>
      </c>
      <c r="J641" s="42">
        <v>30000</v>
      </c>
    </row>
    <row r="642" spans="1:22">
      <c r="A642" s="61" t="s">
        <v>1773</v>
      </c>
      <c r="C642" s="64" t="s">
        <v>4</v>
      </c>
      <c r="D642" s="64" t="s">
        <v>1760</v>
      </c>
      <c r="E642" s="42" t="s">
        <v>1774</v>
      </c>
      <c r="F642" s="42" t="s">
        <v>1773</v>
      </c>
      <c r="G642" s="42">
        <v>54</v>
      </c>
      <c r="H642" s="42" t="s">
        <v>575</v>
      </c>
      <c r="I642" s="42" t="s">
        <v>37</v>
      </c>
      <c r="J642" s="42">
        <v>20000</v>
      </c>
    </row>
    <row r="643" spans="1:22">
      <c r="A643" s="61" t="s">
        <v>1773</v>
      </c>
      <c r="C643" s="64" t="s">
        <v>4</v>
      </c>
      <c r="D643" s="64" t="s">
        <v>1760</v>
      </c>
      <c r="E643" s="42" t="s">
        <v>1774</v>
      </c>
      <c r="F643" s="42" t="s">
        <v>1773</v>
      </c>
      <c r="G643" s="42">
        <v>55</v>
      </c>
      <c r="H643" s="42" t="s">
        <v>629</v>
      </c>
      <c r="I643" s="42" t="s">
        <v>37</v>
      </c>
      <c r="J643" s="42">
        <v>60000</v>
      </c>
    </row>
    <row r="644" spans="1:22">
      <c r="A644" s="61" t="s">
        <v>1773</v>
      </c>
      <c r="C644" s="64" t="s">
        <v>4</v>
      </c>
      <c r="D644" s="64" t="s">
        <v>1760</v>
      </c>
      <c r="E644" s="42" t="s">
        <v>1774</v>
      </c>
      <c r="F644" s="42" t="s">
        <v>1773</v>
      </c>
      <c r="G644" s="42">
        <v>56</v>
      </c>
      <c r="H644" s="42" t="s">
        <v>735</v>
      </c>
      <c r="I644" s="42" t="s">
        <v>37</v>
      </c>
      <c r="J644" s="42">
        <v>115000</v>
      </c>
    </row>
    <row r="645" spans="1:22">
      <c r="A645" s="61" t="s">
        <v>1773</v>
      </c>
      <c r="C645" s="64" t="s">
        <v>4</v>
      </c>
      <c r="D645" s="64" t="s">
        <v>1760</v>
      </c>
      <c r="E645" s="42" t="s">
        <v>1774</v>
      </c>
      <c r="F645" s="42" t="s">
        <v>1773</v>
      </c>
      <c r="G645" s="42">
        <v>57</v>
      </c>
      <c r="H645" s="42" t="s">
        <v>741</v>
      </c>
      <c r="I645" s="42" t="s">
        <v>37</v>
      </c>
      <c r="J645" s="42">
        <v>70000</v>
      </c>
    </row>
    <row r="646" spans="1:22">
      <c r="A646" s="61" t="s">
        <v>1773</v>
      </c>
      <c r="C646" s="64" t="s">
        <v>4</v>
      </c>
      <c r="D646" s="64" t="s">
        <v>1760</v>
      </c>
      <c r="E646" s="42" t="s">
        <v>1774</v>
      </c>
      <c r="F646" s="42" t="s">
        <v>1773</v>
      </c>
      <c r="G646" s="42">
        <v>58</v>
      </c>
      <c r="H646" s="42" t="s">
        <v>627</v>
      </c>
      <c r="I646" s="42" t="s">
        <v>37</v>
      </c>
      <c r="J646" s="42">
        <v>30000</v>
      </c>
    </row>
    <row r="647" spans="1:22">
      <c r="A647" s="61" t="s">
        <v>1773</v>
      </c>
      <c r="C647" s="64" t="s">
        <v>4</v>
      </c>
      <c r="D647" s="64" t="s">
        <v>1760</v>
      </c>
      <c r="E647" s="42" t="s">
        <v>1774</v>
      </c>
      <c r="F647" s="42" t="s">
        <v>1773</v>
      </c>
      <c r="G647" s="42">
        <v>59</v>
      </c>
      <c r="H647" s="42" t="s">
        <v>705</v>
      </c>
      <c r="I647" s="42" t="s">
        <v>37</v>
      </c>
      <c r="J647" s="42">
        <v>90000</v>
      </c>
    </row>
    <row r="648" spans="1:22">
      <c r="A648" s="61" t="s">
        <v>1773</v>
      </c>
      <c r="C648" s="64" t="s">
        <v>4</v>
      </c>
      <c r="D648" s="64" t="s">
        <v>1760</v>
      </c>
      <c r="E648" s="42" t="s">
        <v>1774</v>
      </c>
      <c r="F648" s="42" t="s">
        <v>1773</v>
      </c>
      <c r="G648" s="42">
        <v>60</v>
      </c>
      <c r="H648" s="42" t="s">
        <v>649</v>
      </c>
      <c r="I648" s="42" t="s">
        <v>37</v>
      </c>
      <c r="J648" s="42">
        <v>20000</v>
      </c>
    </row>
    <row r="649" spans="1:22">
      <c r="A649" s="61" t="s">
        <v>1773</v>
      </c>
      <c r="C649" s="64" t="s">
        <v>4</v>
      </c>
      <c r="D649" s="64" t="s">
        <v>1760</v>
      </c>
      <c r="E649" s="42" t="s">
        <v>1774</v>
      </c>
      <c r="F649" s="42" t="s">
        <v>1773</v>
      </c>
      <c r="G649" s="42">
        <v>61</v>
      </c>
      <c r="H649" s="42" t="s">
        <v>631</v>
      </c>
      <c r="I649" s="42" t="s">
        <v>37</v>
      </c>
      <c r="J649" s="42">
        <v>40000</v>
      </c>
    </row>
    <row r="650" spans="1:22">
      <c r="A650" s="61" t="s">
        <v>1773</v>
      </c>
      <c r="C650" s="64" t="s">
        <v>4</v>
      </c>
      <c r="D650" s="64" t="s">
        <v>1760</v>
      </c>
      <c r="E650" s="42" t="s">
        <v>1774</v>
      </c>
      <c r="F650" s="42" t="s">
        <v>1773</v>
      </c>
      <c r="G650" s="42">
        <v>62</v>
      </c>
      <c r="H650" s="42" t="s">
        <v>707</v>
      </c>
      <c r="I650" s="42" t="s">
        <v>37</v>
      </c>
      <c r="J650" s="42">
        <v>40000</v>
      </c>
    </row>
    <row r="651" spans="1:22">
      <c r="A651" s="61" t="s">
        <v>1773</v>
      </c>
      <c r="C651" s="64" t="s">
        <v>4</v>
      </c>
      <c r="D651" s="64" t="s">
        <v>1760</v>
      </c>
      <c r="E651" s="42" t="s">
        <v>1774</v>
      </c>
      <c r="F651" s="42" t="s">
        <v>1773</v>
      </c>
      <c r="G651" s="42">
        <v>63</v>
      </c>
      <c r="H651" s="42" t="s">
        <v>633</v>
      </c>
      <c r="I651" s="42" t="s">
        <v>37</v>
      </c>
      <c r="J651" s="42">
        <v>60000</v>
      </c>
    </row>
    <row r="652" spans="1:22">
      <c r="A652" s="61" t="s">
        <v>1773</v>
      </c>
      <c r="C652" s="64" t="s">
        <v>4</v>
      </c>
      <c r="D652" s="64" t="s">
        <v>1760</v>
      </c>
      <c r="E652" s="42" t="s">
        <v>1774</v>
      </c>
      <c r="F652" s="42" t="s">
        <v>1773</v>
      </c>
      <c r="G652" s="42">
        <v>64</v>
      </c>
      <c r="H652" s="42" t="s">
        <v>625</v>
      </c>
      <c r="I652" s="42" t="s">
        <v>37</v>
      </c>
      <c r="J652" s="42">
        <v>10000</v>
      </c>
    </row>
    <row r="653" spans="1:22">
      <c r="A653" s="61" t="s">
        <v>1773</v>
      </c>
      <c r="C653" s="64" t="s">
        <v>4</v>
      </c>
      <c r="D653" s="64" t="s">
        <v>1760</v>
      </c>
      <c r="E653" s="42" t="s">
        <v>1774</v>
      </c>
      <c r="F653" s="42" t="s">
        <v>1773</v>
      </c>
      <c r="G653" s="42">
        <v>65</v>
      </c>
      <c r="H653" s="42" t="s">
        <v>759</v>
      </c>
      <c r="I653" s="42" t="s">
        <v>37</v>
      </c>
      <c r="J653" s="42">
        <v>30000</v>
      </c>
    </row>
    <row r="654" spans="1:22">
      <c r="A654" s="61" t="s">
        <v>1773</v>
      </c>
      <c r="C654" s="64" t="s">
        <v>4</v>
      </c>
      <c r="D654" s="64" t="s">
        <v>1760</v>
      </c>
      <c r="E654" s="42" t="s">
        <v>1774</v>
      </c>
      <c r="F654" s="42" t="s">
        <v>1773</v>
      </c>
      <c r="G654" s="42">
        <v>66</v>
      </c>
      <c r="H654" s="42" t="s">
        <v>539</v>
      </c>
      <c r="I654" s="42" t="s">
        <v>37</v>
      </c>
      <c r="J654" s="42">
        <v>20000</v>
      </c>
    </row>
    <row r="655" spans="1:22">
      <c r="A655" s="61" t="s">
        <v>1773</v>
      </c>
      <c r="C655" s="64" t="s">
        <v>4</v>
      </c>
      <c r="D655" s="64" t="s">
        <v>1760</v>
      </c>
      <c r="E655" s="42" t="s">
        <v>1774</v>
      </c>
      <c r="F655" s="42" t="s">
        <v>1773</v>
      </c>
      <c r="G655" s="42">
        <v>67</v>
      </c>
      <c r="H655" s="42" t="s">
        <v>801</v>
      </c>
      <c r="I655" s="42" t="s">
        <v>37</v>
      </c>
      <c r="J655" s="42">
        <v>130000</v>
      </c>
    </row>
    <row r="656" spans="1:22">
      <c r="A656" s="61" t="s">
        <v>1773</v>
      </c>
      <c r="C656" s="64" t="s">
        <v>4</v>
      </c>
      <c r="D656" s="64" t="s">
        <v>1760</v>
      </c>
      <c r="E656" s="42" t="s">
        <v>1774</v>
      </c>
      <c r="F656" s="42" t="s">
        <v>1773</v>
      </c>
      <c r="G656" s="42">
        <v>68</v>
      </c>
      <c r="H656" s="42" t="s">
        <v>927</v>
      </c>
      <c r="I656" s="42" t="s">
        <v>37</v>
      </c>
      <c r="J656" s="42">
        <v>20000</v>
      </c>
    </row>
    <row r="657" spans="1:22">
      <c r="A657" s="61" t="s">
        <v>1773</v>
      </c>
      <c r="C657" s="64" t="s">
        <v>4</v>
      </c>
      <c r="D657" s="64" t="s">
        <v>1760</v>
      </c>
      <c r="E657" s="42" t="s">
        <v>1774</v>
      </c>
      <c r="F657" s="42" t="s">
        <v>1773</v>
      </c>
      <c r="G657" s="42">
        <v>69</v>
      </c>
      <c r="H657" s="42" t="s">
        <v>415</v>
      </c>
      <c r="I657" s="42" t="s">
        <v>37</v>
      </c>
      <c r="J657" s="42">
        <v>5000</v>
      </c>
    </row>
    <row r="658" spans="1:22">
      <c r="A658" s="61" t="s">
        <v>1773</v>
      </c>
      <c r="C658" s="64" t="s">
        <v>4</v>
      </c>
      <c r="D658" s="64" t="s">
        <v>1760</v>
      </c>
      <c r="E658" s="42" t="s">
        <v>1774</v>
      </c>
      <c r="F658" s="42" t="s">
        <v>1773</v>
      </c>
      <c r="G658" s="42">
        <v>70</v>
      </c>
      <c r="H658" s="42" t="s">
        <v>52</v>
      </c>
      <c r="I658" s="42" t="s">
        <v>37</v>
      </c>
      <c r="J658" s="42">
        <v>10000</v>
      </c>
    </row>
    <row r="659" spans="1:22">
      <c r="A659" s="61" t="s">
        <v>1773</v>
      </c>
      <c r="C659" s="64" t="s">
        <v>4</v>
      </c>
      <c r="D659" s="64" t="s">
        <v>1760</v>
      </c>
      <c r="E659" s="42" t="s">
        <v>1774</v>
      </c>
      <c r="F659" s="42" t="s">
        <v>1773</v>
      </c>
      <c r="G659" s="42">
        <v>71</v>
      </c>
      <c r="H659" s="42" t="s">
        <v>56</v>
      </c>
      <c r="I659" s="42" t="s">
        <v>37</v>
      </c>
      <c r="J659" s="42">
        <v>120000</v>
      </c>
    </row>
    <row r="660" spans="1:22">
      <c r="A660" s="61" t="s">
        <v>1773</v>
      </c>
      <c r="C660" s="64" t="s">
        <v>4</v>
      </c>
      <c r="D660" s="64" t="s">
        <v>1760</v>
      </c>
      <c r="E660" s="42" t="s">
        <v>1774</v>
      </c>
      <c r="F660" s="42" t="s">
        <v>1773</v>
      </c>
      <c r="G660" s="42">
        <v>72</v>
      </c>
      <c r="H660" s="42" t="s">
        <v>61</v>
      </c>
      <c r="I660" s="42" t="s">
        <v>37</v>
      </c>
      <c r="J660" s="42">
        <v>5000</v>
      </c>
    </row>
    <row r="661" spans="1:22">
      <c r="A661" s="61" t="s">
        <v>1773</v>
      </c>
      <c r="C661" s="64" t="s">
        <v>4</v>
      </c>
      <c r="D661" s="64" t="s">
        <v>1760</v>
      </c>
      <c r="E661" s="42" t="s">
        <v>1774</v>
      </c>
      <c r="F661" s="42" t="s">
        <v>1773</v>
      </c>
      <c r="G661" s="42">
        <v>73</v>
      </c>
      <c r="H661" s="42" t="s">
        <v>803</v>
      </c>
      <c r="I661" s="42" t="s">
        <v>37</v>
      </c>
      <c r="J661" s="42">
        <v>10000</v>
      </c>
    </row>
    <row r="662" spans="1:22">
      <c r="A662" s="61" t="s">
        <v>1773</v>
      </c>
      <c r="C662" s="64" t="s">
        <v>4</v>
      </c>
      <c r="D662" s="64" t="s">
        <v>1760</v>
      </c>
      <c r="E662" s="42" t="s">
        <v>1774</v>
      </c>
      <c r="F662" s="42" t="s">
        <v>1773</v>
      </c>
      <c r="G662" s="42">
        <v>74</v>
      </c>
      <c r="H662" s="42" t="s">
        <v>639</v>
      </c>
      <c r="I662" s="42" t="s">
        <v>37</v>
      </c>
      <c r="J662" s="42">
        <v>10000</v>
      </c>
    </row>
    <row r="663" spans="1:22">
      <c r="A663" s="61" t="s">
        <v>1773</v>
      </c>
      <c r="C663" s="64" t="s">
        <v>4</v>
      </c>
      <c r="D663" s="64" t="s">
        <v>1760</v>
      </c>
      <c r="E663" s="42" t="s">
        <v>1774</v>
      </c>
      <c r="F663" s="42" t="s">
        <v>1773</v>
      </c>
      <c r="G663" s="42">
        <v>75</v>
      </c>
      <c r="H663" s="42" t="s">
        <v>579</v>
      </c>
      <c r="I663" s="42" t="s">
        <v>37</v>
      </c>
      <c r="J663" s="42">
        <v>20000</v>
      </c>
    </row>
    <row r="664" spans="1:22">
      <c r="A664" s="61" t="s">
        <v>1773</v>
      </c>
      <c r="C664" s="64" t="s">
        <v>4</v>
      </c>
      <c r="D664" s="64" t="s">
        <v>1760</v>
      </c>
      <c r="E664" s="42" t="s">
        <v>1774</v>
      </c>
      <c r="F664" s="42" t="s">
        <v>1773</v>
      </c>
      <c r="G664" s="42">
        <v>76</v>
      </c>
      <c r="H664" s="42" t="s">
        <v>609</v>
      </c>
      <c r="I664" s="42" t="s">
        <v>37</v>
      </c>
      <c r="J664" s="42">
        <v>5000</v>
      </c>
    </row>
    <row r="665" spans="1:22">
      <c r="A665" s="61" t="s">
        <v>1773</v>
      </c>
      <c r="C665" s="64" t="s">
        <v>4</v>
      </c>
      <c r="D665" s="64" t="s">
        <v>1760</v>
      </c>
      <c r="E665" s="42" t="s">
        <v>1774</v>
      </c>
      <c r="F665" s="42" t="s">
        <v>1773</v>
      </c>
      <c r="G665" s="42">
        <v>77</v>
      </c>
      <c r="H665" s="42" t="s">
        <v>189</v>
      </c>
      <c r="I665" s="42" t="s">
        <v>37</v>
      </c>
      <c r="J665" s="42">
        <v>5000</v>
      </c>
    </row>
    <row r="666" spans="1:22">
      <c r="A666" s="61" t="s">
        <v>1773</v>
      </c>
      <c r="C666" s="64" t="s">
        <v>4</v>
      </c>
      <c r="D666" s="64" t="s">
        <v>1760</v>
      </c>
      <c r="E666" s="42" t="s">
        <v>1774</v>
      </c>
      <c r="F666" s="42" t="s">
        <v>1773</v>
      </c>
      <c r="G666" s="42">
        <v>78</v>
      </c>
      <c r="H666" s="42" t="s">
        <v>403</v>
      </c>
      <c r="I666" s="42" t="s">
        <v>37</v>
      </c>
      <c r="J666" s="42">
        <v>15000</v>
      </c>
    </row>
    <row r="667" spans="1:22">
      <c r="A667" s="61" t="s">
        <v>1773</v>
      </c>
      <c r="C667" s="64" t="s">
        <v>4</v>
      </c>
      <c r="D667" s="64" t="s">
        <v>1760</v>
      </c>
      <c r="E667" s="42" t="s">
        <v>1774</v>
      </c>
      <c r="F667" s="42" t="s">
        <v>1773</v>
      </c>
      <c r="G667" s="42">
        <v>79</v>
      </c>
      <c r="H667" s="42" t="s">
        <v>72</v>
      </c>
      <c r="I667" s="42" t="s">
        <v>37</v>
      </c>
      <c r="J667" s="42">
        <v>35000</v>
      </c>
    </row>
    <row r="668" spans="1:22">
      <c r="A668" s="61" t="s">
        <v>1773</v>
      </c>
      <c r="C668" s="64" t="s">
        <v>4</v>
      </c>
      <c r="D668" s="64" t="s">
        <v>1760</v>
      </c>
      <c r="E668" s="42" t="s">
        <v>1774</v>
      </c>
      <c r="F668" s="42" t="s">
        <v>1773</v>
      </c>
      <c r="G668" s="42">
        <v>80</v>
      </c>
      <c r="H668" s="42" t="s">
        <v>75</v>
      </c>
      <c r="I668" s="42" t="s">
        <v>37</v>
      </c>
      <c r="J668" s="42">
        <v>5000</v>
      </c>
    </row>
    <row r="669" spans="1:22">
      <c r="A669" s="61" t="s">
        <v>1773</v>
      </c>
      <c r="C669" s="64" t="s">
        <v>4</v>
      </c>
      <c r="D669" s="64" t="s">
        <v>1760</v>
      </c>
      <c r="E669" s="42" t="s">
        <v>1774</v>
      </c>
      <c r="F669" s="42" t="s">
        <v>1773</v>
      </c>
      <c r="G669" s="42">
        <v>81</v>
      </c>
      <c r="H669" s="42" t="s">
        <v>335</v>
      </c>
      <c r="I669" s="42" t="s">
        <v>37</v>
      </c>
      <c r="J669" s="42">
        <v>20000</v>
      </c>
    </row>
    <row r="670" spans="1:22">
      <c r="A670" s="61" t="s">
        <v>1773</v>
      </c>
      <c r="C670" s="64" t="s">
        <v>4</v>
      </c>
      <c r="D670" s="64" t="s">
        <v>1760</v>
      </c>
      <c r="E670" s="42" t="s">
        <v>1774</v>
      </c>
      <c r="F670" s="42" t="s">
        <v>1773</v>
      </c>
      <c r="G670" s="42">
        <v>82</v>
      </c>
      <c r="H670" s="42" t="s">
        <v>709</v>
      </c>
      <c r="I670" s="42" t="s">
        <v>37</v>
      </c>
      <c r="J670" s="42">
        <v>40000</v>
      </c>
    </row>
    <row r="671" spans="1:22">
      <c r="A671" s="61" t="s">
        <v>1773</v>
      </c>
      <c r="C671" s="64" t="s">
        <v>4</v>
      </c>
      <c r="D671" s="64" t="s">
        <v>1760</v>
      </c>
      <c r="E671" s="42" t="s">
        <v>1774</v>
      </c>
      <c r="F671" s="42" t="s">
        <v>1773</v>
      </c>
      <c r="G671" s="42">
        <v>83</v>
      </c>
      <c r="H671" s="42" t="s">
        <v>76</v>
      </c>
      <c r="I671" s="42" t="s">
        <v>37</v>
      </c>
      <c r="J671" s="42">
        <v>30000</v>
      </c>
    </row>
    <row r="672" spans="1:22">
      <c r="A672" s="61" t="s">
        <v>1773</v>
      </c>
      <c r="C672" s="64" t="s">
        <v>4</v>
      </c>
      <c r="D672" s="64" t="s">
        <v>1760</v>
      </c>
      <c r="E672" s="42" t="s">
        <v>1774</v>
      </c>
      <c r="F672" s="42" t="s">
        <v>1773</v>
      </c>
      <c r="G672" s="42">
        <v>84</v>
      </c>
      <c r="H672" s="42" t="s">
        <v>805</v>
      </c>
      <c r="I672" s="42" t="s">
        <v>37</v>
      </c>
      <c r="J672" s="42">
        <v>40000</v>
      </c>
    </row>
    <row r="673" spans="1:22">
      <c r="A673" s="61" t="s">
        <v>1773</v>
      </c>
      <c r="C673" s="64" t="s">
        <v>4</v>
      </c>
      <c r="D673" s="64" t="s">
        <v>1760</v>
      </c>
      <c r="E673" s="42" t="s">
        <v>1774</v>
      </c>
      <c r="F673" s="42" t="s">
        <v>1773</v>
      </c>
      <c r="G673" s="42">
        <v>85</v>
      </c>
      <c r="H673" s="42" t="s">
        <v>397</v>
      </c>
      <c r="I673" s="42" t="s">
        <v>37</v>
      </c>
      <c r="J673" s="42">
        <v>10000</v>
      </c>
    </row>
    <row r="674" spans="1:22">
      <c r="A674" s="61" t="s">
        <v>1773</v>
      </c>
      <c r="C674" s="64" t="s">
        <v>4</v>
      </c>
      <c r="D674" s="64" t="s">
        <v>1760</v>
      </c>
      <c r="E674" s="42" t="s">
        <v>1774</v>
      </c>
      <c r="F674" s="42" t="s">
        <v>1773</v>
      </c>
      <c r="G674" s="42">
        <v>86</v>
      </c>
      <c r="H674" s="42" t="s">
        <v>529</v>
      </c>
      <c r="I674" s="42" t="s">
        <v>37</v>
      </c>
      <c r="J674" s="42">
        <v>10000</v>
      </c>
    </row>
    <row r="675" spans="1:22">
      <c r="A675" s="61" t="s">
        <v>1773</v>
      </c>
      <c r="C675" s="64" t="s">
        <v>4</v>
      </c>
      <c r="D675" s="64" t="s">
        <v>1760</v>
      </c>
      <c r="E675" s="42" t="s">
        <v>1774</v>
      </c>
      <c r="F675" s="42" t="s">
        <v>1773</v>
      </c>
      <c r="G675" s="42">
        <v>87</v>
      </c>
      <c r="H675" s="42" t="s">
        <v>359</v>
      </c>
      <c r="I675" s="42" t="s">
        <v>37</v>
      </c>
      <c r="J675" s="42">
        <v>20000</v>
      </c>
    </row>
    <row r="676" spans="1:22">
      <c r="A676" s="61" t="s">
        <v>1773</v>
      </c>
      <c r="C676" s="64" t="s">
        <v>4</v>
      </c>
      <c r="D676" s="64" t="s">
        <v>1760</v>
      </c>
      <c r="E676" s="42" t="s">
        <v>1774</v>
      </c>
      <c r="F676" s="42" t="s">
        <v>1773</v>
      </c>
      <c r="G676" s="42">
        <v>88</v>
      </c>
      <c r="H676" s="42" t="s">
        <v>127</v>
      </c>
      <c r="I676" s="42" t="s">
        <v>37</v>
      </c>
      <c r="J676" s="42">
        <v>10000</v>
      </c>
    </row>
    <row r="677" spans="1:22">
      <c r="A677" s="61" t="s">
        <v>1773</v>
      </c>
      <c r="C677" s="64" t="s">
        <v>4</v>
      </c>
      <c r="D677" s="64" t="s">
        <v>1760</v>
      </c>
      <c r="E677" s="42" t="s">
        <v>1774</v>
      </c>
      <c r="F677" s="42" t="s">
        <v>1773</v>
      </c>
      <c r="G677" s="42">
        <v>89</v>
      </c>
      <c r="H677" s="42" t="s">
        <v>577</v>
      </c>
      <c r="I677" s="42" t="s">
        <v>37</v>
      </c>
      <c r="J677" s="42">
        <v>20000</v>
      </c>
    </row>
    <row r="678" spans="1:22">
      <c r="A678" s="61" t="s">
        <v>1773</v>
      </c>
      <c r="C678" s="64" t="s">
        <v>4</v>
      </c>
      <c r="D678" s="64" t="s">
        <v>1760</v>
      </c>
      <c r="E678" s="42" t="s">
        <v>1774</v>
      </c>
      <c r="F678" s="42" t="s">
        <v>1773</v>
      </c>
      <c r="G678" s="42">
        <v>90</v>
      </c>
      <c r="H678" s="42" t="s">
        <v>585</v>
      </c>
      <c r="I678" s="42" t="s">
        <v>37</v>
      </c>
      <c r="J678" s="42">
        <v>20000</v>
      </c>
    </row>
    <row r="679" spans="1:22">
      <c r="A679" s="61" t="s">
        <v>1773</v>
      </c>
      <c r="C679" s="64" t="s">
        <v>4</v>
      </c>
      <c r="D679" s="64" t="s">
        <v>1760</v>
      </c>
      <c r="E679" s="42" t="s">
        <v>1774</v>
      </c>
      <c r="F679" s="42" t="s">
        <v>1773</v>
      </c>
      <c r="G679" s="42">
        <v>91</v>
      </c>
      <c r="H679" s="42" t="s">
        <v>757</v>
      </c>
      <c r="I679" s="42" t="s">
        <v>37</v>
      </c>
      <c r="J679" s="42">
        <v>350000</v>
      </c>
    </row>
    <row r="680" spans="1:22">
      <c r="A680" s="61" t="s">
        <v>1773</v>
      </c>
      <c r="C680" s="64" t="s">
        <v>4</v>
      </c>
      <c r="D680" s="64" t="s">
        <v>1760</v>
      </c>
      <c r="E680" s="42" t="s">
        <v>1774</v>
      </c>
      <c r="F680" s="42" t="s">
        <v>1773</v>
      </c>
      <c r="G680" s="42">
        <v>92</v>
      </c>
      <c r="H680" s="42" t="s">
        <v>655</v>
      </c>
      <c r="I680" s="42" t="s">
        <v>37</v>
      </c>
      <c r="J680" s="42">
        <v>10000</v>
      </c>
    </row>
    <row r="681" spans="1:22">
      <c r="A681" s="61" t="s">
        <v>1773</v>
      </c>
      <c r="C681" s="64" t="s">
        <v>4</v>
      </c>
      <c r="D681" s="64" t="s">
        <v>1760</v>
      </c>
      <c r="E681" s="42" t="s">
        <v>1774</v>
      </c>
      <c r="F681" s="42" t="s">
        <v>1773</v>
      </c>
      <c r="G681" s="42">
        <v>93</v>
      </c>
      <c r="H681" s="42" t="s">
        <v>341</v>
      </c>
      <c r="I681" s="42" t="s">
        <v>37</v>
      </c>
      <c r="J681" s="42">
        <v>14144</v>
      </c>
    </row>
    <row r="682" spans="1:22">
      <c r="A682" s="61" t="s">
        <v>1773</v>
      </c>
      <c r="C682" s="64" t="s">
        <v>4</v>
      </c>
      <c r="D682" s="64" t="s">
        <v>1760</v>
      </c>
      <c r="E682" s="42" t="s">
        <v>1774</v>
      </c>
      <c r="F682" s="42" t="s">
        <v>1773</v>
      </c>
      <c r="G682" s="42">
        <v>94</v>
      </c>
      <c r="H682" s="42" t="s">
        <v>369</v>
      </c>
      <c r="I682" s="42" t="s">
        <v>37</v>
      </c>
      <c r="J682" s="42">
        <v>5000</v>
      </c>
    </row>
    <row r="683" spans="1:22">
      <c r="A683" s="61" t="s">
        <v>1773</v>
      </c>
      <c r="C683" s="64" t="s">
        <v>4</v>
      </c>
      <c r="D683" s="64" t="s">
        <v>1760</v>
      </c>
      <c r="E683" s="42" t="s">
        <v>1774</v>
      </c>
      <c r="F683" s="42" t="s">
        <v>1773</v>
      </c>
      <c r="G683" s="42">
        <v>95</v>
      </c>
      <c r="H683" s="42" t="s">
        <v>343</v>
      </c>
      <c r="I683" s="42" t="s">
        <v>37</v>
      </c>
      <c r="J683" s="42">
        <v>40000</v>
      </c>
    </row>
    <row r="684" spans="1:22">
      <c r="A684" s="61" t="s">
        <v>1773</v>
      </c>
      <c r="C684" s="64" t="s">
        <v>4</v>
      </c>
      <c r="D684" s="64" t="s">
        <v>1760</v>
      </c>
      <c r="E684" s="42" t="s">
        <v>1774</v>
      </c>
      <c r="F684" s="42" t="s">
        <v>1773</v>
      </c>
      <c r="G684" s="42">
        <v>96</v>
      </c>
      <c r="H684" s="42" t="s">
        <v>583</v>
      </c>
      <c r="I684" s="42" t="s">
        <v>37</v>
      </c>
      <c r="J684" s="42">
        <v>15000</v>
      </c>
    </row>
    <row r="685" spans="1:22">
      <c r="A685" s="61" t="s">
        <v>1773</v>
      </c>
      <c r="C685" s="64" t="s">
        <v>4</v>
      </c>
      <c r="D685" s="64" t="s">
        <v>1760</v>
      </c>
      <c r="E685" s="42" t="s">
        <v>1774</v>
      </c>
      <c r="F685" s="42" t="s">
        <v>1773</v>
      </c>
      <c r="G685" s="42">
        <v>97</v>
      </c>
      <c r="H685" s="42" t="s">
        <v>381</v>
      </c>
      <c r="I685" s="42" t="s">
        <v>133</v>
      </c>
      <c r="J685" s="42">
        <v>5000</v>
      </c>
    </row>
    <row r="686" spans="1:22">
      <c r="A686" s="61" t="s">
        <v>1773</v>
      </c>
      <c r="C686" s="64" t="s">
        <v>4</v>
      </c>
      <c r="D686" s="64" t="s">
        <v>1760</v>
      </c>
      <c r="E686" s="42" t="s">
        <v>1774</v>
      </c>
      <c r="F686" s="42" t="s">
        <v>1773</v>
      </c>
      <c r="G686" s="42">
        <v>98</v>
      </c>
      <c r="H686" s="42" t="s">
        <v>419</v>
      </c>
      <c r="I686" s="42" t="s">
        <v>133</v>
      </c>
      <c r="J686" s="42">
        <v>10000</v>
      </c>
    </row>
    <row r="687" spans="1:22">
      <c r="A687" s="61" t="s">
        <v>1773</v>
      </c>
      <c r="C687" s="64" t="s">
        <v>4</v>
      </c>
      <c r="D687" s="64" t="s">
        <v>1760</v>
      </c>
      <c r="E687" s="42" t="s">
        <v>1774</v>
      </c>
      <c r="F687" s="42" t="s">
        <v>1773</v>
      </c>
      <c r="G687" s="42">
        <v>99</v>
      </c>
      <c r="H687" s="42" t="s">
        <v>421</v>
      </c>
      <c r="I687" s="42" t="s">
        <v>133</v>
      </c>
      <c r="J687" s="42">
        <v>10000</v>
      </c>
    </row>
    <row r="688" spans="1:22">
      <c r="A688" s="61" t="s">
        <v>1773</v>
      </c>
      <c r="C688" s="64" t="s">
        <v>4</v>
      </c>
      <c r="D688" s="64" t="s">
        <v>1760</v>
      </c>
      <c r="E688" s="42" t="s">
        <v>1774</v>
      </c>
      <c r="F688" s="42" t="s">
        <v>1773</v>
      </c>
      <c r="G688" s="42">
        <v>100</v>
      </c>
      <c r="H688" s="42" t="s">
        <v>441</v>
      </c>
      <c r="I688" s="42" t="s">
        <v>133</v>
      </c>
      <c r="J688" s="42">
        <v>26000</v>
      </c>
    </row>
    <row r="689" spans="1:22">
      <c r="A689" s="61" t="s">
        <v>1773</v>
      </c>
      <c r="C689" s="64" t="s">
        <v>4</v>
      </c>
      <c r="D689" s="64" t="s">
        <v>1760</v>
      </c>
      <c r="E689" s="42" t="s">
        <v>1774</v>
      </c>
      <c r="F689" s="42" t="s">
        <v>1773</v>
      </c>
      <c r="G689" s="42">
        <v>101</v>
      </c>
      <c r="H689" s="42" t="s">
        <v>443</v>
      </c>
      <c r="I689" s="42" t="s">
        <v>133</v>
      </c>
      <c r="J689" s="42">
        <v>57649</v>
      </c>
    </row>
    <row r="690" spans="1:22">
      <c r="A690" s="61" t="s">
        <v>1773</v>
      </c>
      <c r="C690" s="64" t="s">
        <v>4</v>
      </c>
      <c r="D690" s="64" t="s">
        <v>1760</v>
      </c>
      <c r="E690" s="42" t="s">
        <v>1774</v>
      </c>
      <c r="F690" s="42" t="s">
        <v>1773</v>
      </c>
      <c r="G690" s="42">
        <v>102</v>
      </c>
      <c r="H690" s="42" t="s">
        <v>553</v>
      </c>
      <c r="I690" s="42" t="s">
        <v>133</v>
      </c>
      <c r="J690" s="42">
        <v>20000</v>
      </c>
    </row>
    <row r="691" spans="1:22">
      <c r="A691" s="61" t="s">
        <v>1773</v>
      </c>
      <c r="C691" s="64" t="s">
        <v>4</v>
      </c>
      <c r="D691" s="64" t="s">
        <v>1760</v>
      </c>
      <c r="E691" s="42" t="s">
        <v>1774</v>
      </c>
      <c r="F691" s="42" t="s">
        <v>1773</v>
      </c>
      <c r="G691" s="42">
        <v>103</v>
      </c>
      <c r="H691" s="42" t="s">
        <v>551</v>
      </c>
      <c r="I691" s="42" t="s">
        <v>133</v>
      </c>
      <c r="J691" s="42">
        <v>20000</v>
      </c>
    </row>
    <row r="692" spans="1:22">
      <c r="A692" s="61" t="s">
        <v>1773</v>
      </c>
      <c r="C692" s="64" t="s">
        <v>4</v>
      </c>
      <c r="D692" s="64" t="s">
        <v>1760</v>
      </c>
      <c r="E692" s="42" t="s">
        <v>1774</v>
      </c>
      <c r="F692" s="42" t="s">
        <v>1773</v>
      </c>
      <c r="G692" s="42">
        <v>104</v>
      </c>
      <c r="H692" s="42" t="s">
        <v>549</v>
      </c>
      <c r="I692" s="42" t="s">
        <v>133</v>
      </c>
      <c r="J692" s="42">
        <v>45000</v>
      </c>
    </row>
    <row r="693" spans="1:22">
      <c r="A693" s="61" t="s">
        <v>1773</v>
      </c>
      <c r="C693" s="64" t="s">
        <v>4</v>
      </c>
      <c r="D693" s="64" t="s">
        <v>1760</v>
      </c>
      <c r="E693" s="42" t="s">
        <v>1774</v>
      </c>
      <c r="F693" s="42" t="s">
        <v>1773</v>
      </c>
      <c r="G693" s="42">
        <v>105</v>
      </c>
      <c r="H693" s="42" t="s">
        <v>547</v>
      </c>
      <c r="I693" s="42" t="s">
        <v>133</v>
      </c>
      <c r="J693" s="42">
        <v>22000</v>
      </c>
    </row>
    <row r="694" spans="1:22">
      <c r="A694" s="61" t="s">
        <v>1773</v>
      </c>
      <c r="C694" s="64" t="s">
        <v>4</v>
      </c>
      <c r="D694" s="64" t="s">
        <v>1760</v>
      </c>
      <c r="E694" s="42" t="s">
        <v>1774</v>
      </c>
      <c r="F694" s="42" t="s">
        <v>1773</v>
      </c>
      <c r="G694" s="42">
        <v>106</v>
      </c>
      <c r="H694" s="42" t="s">
        <v>611</v>
      </c>
      <c r="I694" s="42" t="s">
        <v>133</v>
      </c>
      <c r="J694" s="42">
        <v>27000</v>
      </c>
    </row>
    <row r="695" spans="1:22">
      <c r="A695" s="61" t="s">
        <v>1773</v>
      </c>
      <c r="C695" s="64" t="s">
        <v>4</v>
      </c>
      <c r="D695" s="64" t="s">
        <v>1760</v>
      </c>
      <c r="E695" s="42" t="s">
        <v>1774</v>
      </c>
      <c r="F695" s="42" t="s">
        <v>1773</v>
      </c>
      <c r="G695" s="42">
        <v>107</v>
      </c>
      <c r="H695" s="42" t="s">
        <v>613</v>
      </c>
      <c r="I695" s="42" t="s">
        <v>133</v>
      </c>
      <c r="J695" s="42">
        <v>15000</v>
      </c>
    </row>
    <row r="696" spans="1:22">
      <c r="A696" s="61" t="s">
        <v>1773</v>
      </c>
      <c r="C696" s="64" t="s">
        <v>4</v>
      </c>
      <c r="D696" s="64" t="s">
        <v>1760</v>
      </c>
      <c r="E696" s="42" t="s">
        <v>1774</v>
      </c>
      <c r="F696" s="42" t="s">
        <v>1773</v>
      </c>
      <c r="G696" s="42">
        <v>108</v>
      </c>
      <c r="H696" s="42" t="s">
        <v>731</v>
      </c>
      <c r="I696" s="42" t="s">
        <v>133</v>
      </c>
      <c r="J696" s="42">
        <v>23000</v>
      </c>
    </row>
    <row r="697" spans="1:22">
      <c r="A697" s="61" t="s">
        <v>1773</v>
      </c>
      <c r="C697" s="64" t="s">
        <v>4</v>
      </c>
      <c r="D697" s="64" t="s">
        <v>1760</v>
      </c>
      <c r="E697" s="42" t="s">
        <v>1774</v>
      </c>
      <c r="F697" s="42" t="s">
        <v>1773</v>
      </c>
      <c r="G697" s="42">
        <v>109</v>
      </c>
      <c r="H697" s="42" t="s">
        <v>729</v>
      </c>
      <c r="I697" s="42" t="s">
        <v>133</v>
      </c>
      <c r="J697" s="42">
        <v>10000</v>
      </c>
    </row>
    <row r="698" spans="1:22">
      <c r="A698" s="61" t="s">
        <v>1773</v>
      </c>
      <c r="C698" s="64" t="s">
        <v>4</v>
      </c>
      <c r="D698" s="64" t="s">
        <v>1760</v>
      </c>
      <c r="E698" s="42" t="s">
        <v>1774</v>
      </c>
      <c r="F698" s="42" t="s">
        <v>1773</v>
      </c>
      <c r="G698" s="42">
        <v>110</v>
      </c>
      <c r="H698" s="42" t="s">
        <v>765</v>
      </c>
      <c r="I698" s="42" t="s">
        <v>133</v>
      </c>
      <c r="J698" s="42">
        <v>12000</v>
      </c>
    </row>
    <row r="699" spans="1:22">
      <c r="A699" s="61" t="s">
        <v>1773</v>
      </c>
      <c r="C699" s="64" t="s">
        <v>4</v>
      </c>
      <c r="D699" s="64" t="s">
        <v>1760</v>
      </c>
      <c r="E699" s="42" t="s">
        <v>1774</v>
      </c>
      <c r="F699" s="42" t="s">
        <v>1773</v>
      </c>
      <c r="G699" s="42">
        <v>111</v>
      </c>
      <c r="H699" s="42" t="s">
        <v>767</v>
      </c>
      <c r="I699" s="42" t="s">
        <v>133</v>
      </c>
      <c r="J699" s="42">
        <v>11000</v>
      </c>
    </row>
    <row r="700" spans="1:22">
      <c r="A700" s="61" t="s">
        <v>1773</v>
      </c>
      <c r="C700" s="64" t="s">
        <v>4</v>
      </c>
      <c r="D700" s="64" t="s">
        <v>1760</v>
      </c>
      <c r="E700" s="42" t="s">
        <v>1774</v>
      </c>
      <c r="F700" s="42" t="s">
        <v>1773</v>
      </c>
      <c r="G700" s="42">
        <v>112</v>
      </c>
      <c r="H700" s="42" t="s">
        <v>131</v>
      </c>
      <c r="I700" s="42" t="s">
        <v>133</v>
      </c>
      <c r="J700" s="42">
        <v>151885</v>
      </c>
    </row>
    <row r="701" spans="1:22">
      <c r="A701" s="61" t="s">
        <v>1775</v>
      </c>
      <c r="C701" s="64" t="s">
        <v>4</v>
      </c>
      <c r="D701" s="64" t="s">
        <v>1760</v>
      </c>
      <c r="E701" s="42" t="s">
        <v>1776</v>
      </c>
      <c r="F701" s="42" t="s">
        <v>1775</v>
      </c>
      <c r="G701" s="42">
        <v>28</v>
      </c>
      <c r="H701" s="42" t="s">
        <v>1252</v>
      </c>
      <c r="I701" s="42" t="s">
        <v>37</v>
      </c>
      <c r="J701" s="42">
        <v>10000</v>
      </c>
    </row>
    <row r="702" spans="1:22">
      <c r="A702" s="61" t="s">
        <v>1775</v>
      </c>
      <c r="C702" s="64" t="s">
        <v>4</v>
      </c>
      <c r="D702" s="64" t="s">
        <v>1760</v>
      </c>
      <c r="E702" s="42" t="s">
        <v>1776</v>
      </c>
      <c r="F702" s="42" t="s">
        <v>1775</v>
      </c>
      <c r="G702" s="42">
        <v>29</v>
      </c>
      <c r="H702" s="42" t="s">
        <v>373</v>
      </c>
      <c r="I702" s="42" t="s">
        <v>37</v>
      </c>
      <c r="J702" s="42">
        <v>10000</v>
      </c>
    </row>
    <row r="703" spans="1:22">
      <c r="A703" s="61" t="s">
        <v>1775</v>
      </c>
      <c r="C703" s="64" t="s">
        <v>4</v>
      </c>
      <c r="D703" s="64" t="s">
        <v>1760</v>
      </c>
      <c r="E703" s="42" t="s">
        <v>1776</v>
      </c>
      <c r="F703" s="42" t="s">
        <v>1775</v>
      </c>
      <c r="G703" s="42">
        <v>30</v>
      </c>
      <c r="H703" s="42" t="s">
        <v>375</v>
      </c>
      <c r="I703" s="42" t="s">
        <v>37</v>
      </c>
      <c r="J703" s="42">
        <v>10000</v>
      </c>
    </row>
    <row r="704" spans="1:22">
      <c r="A704" s="61" t="s">
        <v>1775</v>
      </c>
      <c r="C704" s="64" t="s">
        <v>4</v>
      </c>
      <c r="D704" s="64" t="s">
        <v>1760</v>
      </c>
      <c r="E704" s="42" t="s">
        <v>1776</v>
      </c>
      <c r="F704" s="42" t="s">
        <v>1775</v>
      </c>
      <c r="G704" s="42">
        <v>31</v>
      </c>
      <c r="H704" s="42" t="s">
        <v>365</v>
      </c>
      <c r="I704" s="42" t="s">
        <v>37</v>
      </c>
      <c r="J704" s="42">
        <v>4000</v>
      </c>
    </row>
    <row r="705" spans="1:22">
      <c r="A705" s="61" t="s">
        <v>1775</v>
      </c>
      <c r="C705" s="64" t="s">
        <v>4</v>
      </c>
      <c r="D705" s="64" t="s">
        <v>1760</v>
      </c>
      <c r="E705" s="42" t="s">
        <v>1776</v>
      </c>
      <c r="F705" s="42" t="s">
        <v>1775</v>
      </c>
      <c r="G705" s="42">
        <v>32</v>
      </c>
      <c r="H705" s="42" t="s">
        <v>339</v>
      </c>
      <c r="I705" s="42" t="s">
        <v>37</v>
      </c>
      <c r="J705" s="42">
        <v>15000</v>
      </c>
    </row>
    <row r="706" spans="1:22">
      <c r="A706" s="61" t="s">
        <v>1775</v>
      </c>
      <c r="C706" s="64" t="s">
        <v>4</v>
      </c>
      <c r="D706" s="64" t="s">
        <v>1760</v>
      </c>
      <c r="E706" s="42" t="s">
        <v>1776</v>
      </c>
      <c r="F706" s="42" t="s">
        <v>1775</v>
      </c>
      <c r="G706" s="42">
        <v>33</v>
      </c>
      <c r="H706" s="42" t="s">
        <v>345</v>
      </c>
      <c r="I706" s="42" t="s">
        <v>37</v>
      </c>
      <c r="J706" s="42">
        <v>15000</v>
      </c>
    </row>
    <row r="707" spans="1:22">
      <c r="A707" s="61" t="s">
        <v>1775</v>
      </c>
      <c r="C707" s="64" t="s">
        <v>4</v>
      </c>
      <c r="D707" s="64" t="s">
        <v>1760</v>
      </c>
      <c r="E707" s="42" t="s">
        <v>1776</v>
      </c>
      <c r="F707" s="42" t="s">
        <v>1775</v>
      </c>
      <c r="G707" s="42">
        <v>34</v>
      </c>
      <c r="H707" s="42" t="s">
        <v>393</v>
      </c>
      <c r="I707" s="42" t="s">
        <v>37</v>
      </c>
      <c r="J707" s="42">
        <v>15000</v>
      </c>
    </row>
    <row r="708" spans="1:22">
      <c r="A708" s="61" t="s">
        <v>1775</v>
      </c>
      <c r="C708" s="64" t="s">
        <v>4</v>
      </c>
      <c r="D708" s="64" t="s">
        <v>1760</v>
      </c>
      <c r="E708" s="42" t="s">
        <v>1776</v>
      </c>
      <c r="F708" s="42" t="s">
        <v>1775</v>
      </c>
      <c r="G708" s="42">
        <v>35</v>
      </c>
      <c r="H708" s="42" t="s">
        <v>573</v>
      </c>
      <c r="I708" s="42" t="s">
        <v>37</v>
      </c>
      <c r="J708" s="42">
        <v>30000</v>
      </c>
    </row>
    <row r="709" spans="1:22">
      <c r="A709" s="61" t="s">
        <v>1775</v>
      </c>
      <c r="C709" s="64" t="s">
        <v>4</v>
      </c>
      <c r="D709" s="64" t="s">
        <v>1760</v>
      </c>
      <c r="E709" s="42" t="s">
        <v>1776</v>
      </c>
      <c r="F709" s="42" t="s">
        <v>1775</v>
      </c>
      <c r="G709" s="42">
        <v>36</v>
      </c>
      <c r="H709" s="42" t="s">
        <v>944</v>
      </c>
      <c r="I709" s="42" t="s">
        <v>37</v>
      </c>
      <c r="J709" s="42">
        <v>10000</v>
      </c>
    </row>
    <row r="710" spans="1:22">
      <c r="A710" s="61" t="s">
        <v>1775</v>
      </c>
      <c r="C710" s="64" t="s">
        <v>4</v>
      </c>
      <c r="D710" s="64" t="s">
        <v>1760</v>
      </c>
      <c r="E710" s="42" t="s">
        <v>1776</v>
      </c>
      <c r="F710" s="42" t="s">
        <v>1775</v>
      </c>
      <c r="G710" s="42">
        <v>37</v>
      </c>
      <c r="H710" s="42" t="s">
        <v>1341</v>
      </c>
      <c r="I710" s="42" t="s">
        <v>37</v>
      </c>
      <c r="J710" s="42">
        <v>10000</v>
      </c>
    </row>
    <row r="711" spans="1:22">
      <c r="A711" s="61" t="s">
        <v>1775</v>
      </c>
      <c r="C711" s="64" t="s">
        <v>4</v>
      </c>
      <c r="D711" s="64" t="s">
        <v>1760</v>
      </c>
      <c r="E711" s="42" t="s">
        <v>1776</v>
      </c>
      <c r="F711" s="42" t="s">
        <v>1775</v>
      </c>
      <c r="G711" s="42">
        <v>38</v>
      </c>
      <c r="H711" s="42" t="s">
        <v>739</v>
      </c>
      <c r="I711" s="42" t="s">
        <v>37</v>
      </c>
      <c r="J711" s="42">
        <v>80000</v>
      </c>
    </row>
    <row r="712" spans="1:22">
      <c r="A712" s="61" t="s">
        <v>1775</v>
      </c>
      <c r="C712" s="64" t="s">
        <v>4</v>
      </c>
      <c r="D712" s="64" t="s">
        <v>1760</v>
      </c>
      <c r="E712" s="42" t="s">
        <v>1776</v>
      </c>
      <c r="F712" s="42" t="s">
        <v>1775</v>
      </c>
      <c r="G712" s="42">
        <v>39</v>
      </c>
      <c r="H712" s="42" t="s">
        <v>589</v>
      </c>
      <c r="I712" s="42" t="s">
        <v>37</v>
      </c>
      <c r="J712" s="42">
        <v>30000</v>
      </c>
    </row>
    <row r="713" spans="1:22">
      <c r="A713" s="61" t="s">
        <v>1775</v>
      </c>
      <c r="C713" s="64" t="s">
        <v>4</v>
      </c>
      <c r="D713" s="64" t="s">
        <v>1760</v>
      </c>
      <c r="E713" s="42" t="s">
        <v>1776</v>
      </c>
      <c r="F713" s="42" t="s">
        <v>1775</v>
      </c>
      <c r="G713" s="42">
        <v>40</v>
      </c>
      <c r="H713" s="42" t="s">
        <v>587</v>
      </c>
      <c r="I713" s="42" t="s">
        <v>37</v>
      </c>
      <c r="J713" s="42">
        <v>10000</v>
      </c>
    </row>
    <row r="714" spans="1:22">
      <c r="A714" s="61" t="s">
        <v>1775</v>
      </c>
      <c r="C714" s="64" t="s">
        <v>4</v>
      </c>
      <c r="D714" s="64" t="s">
        <v>1760</v>
      </c>
      <c r="E714" s="42" t="s">
        <v>1776</v>
      </c>
      <c r="F714" s="42" t="s">
        <v>1775</v>
      </c>
      <c r="G714" s="42">
        <v>41</v>
      </c>
      <c r="H714" s="42" t="s">
        <v>1342</v>
      </c>
      <c r="I714" s="42" t="s">
        <v>37</v>
      </c>
      <c r="J714" s="42">
        <v>40000</v>
      </c>
    </row>
    <row r="715" spans="1:22">
      <c r="A715" s="61" t="s">
        <v>1775</v>
      </c>
      <c r="C715" s="64" t="s">
        <v>4</v>
      </c>
      <c r="D715" s="64" t="s">
        <v>1760</v>
      </c>
      <c r="E715" s="42" t="s">
        <v>1776</v>
      </c>
      <c r="F715" s="42" t="s">
        <v>1775</v>
      </c>
      <c r="G715" s="42">
        <v>42</v>
      </c>
      <c r="H715" s="42" t="s">
        <v>581</v>
      </c>
      <c r="I715" s="42" t="s">
        <v>37</v>
      </c>
      <c r="J715" s="42">
        <v>30000</v>
      </c>
    </row>
    <row r="716" spans="1:22">
      <c r="A716" s="61" t="s">
        <v>1775</v>
      </c>
      <c r="C716" s="64" t="s">
        <v>4</v>
      </c>
      <c r="D716" s="64" t="s">
        <v>1760</v>
      </c>
      <c r="E716" s="42" t="s">
        <v>1776</v>
      </c>
      <c r="F716" s="42" t="s">
        <v>1775</v>
      </c>
      <c r="G716" s="42">
        <v>43</v>
      </c>
      <c r="H716" s="42" t="s">
        <v>575</v>
      </c>
      <c r="I716" s="42" t="s">
        <v>37</v>
      </c>
      <c r="J716" s="42">
        <v>20000</v>
      </c>
    </row>
    <row r="717" spans="1:22">
      <c r="A717" s="61" t="s">
        <v>1775</v>
      </c>
      <c r="C717" s="64" t="s">
        <v>4</v>
      </c>
      <c r="D717" s="64" t="s">
        <v>1760</v>
      </c>
      <c r="E717" s="42" t="s">
        <v>1776</v>
      </c>
      <c r="F717" s="42" t="s">
        <v>1775</v>
      </c>
      <c r="G717" s="42">
        <v>44</v>
      </c>
      <c r="H717" s="42" t="s">
        <v>629</v>
      </c>
      <c r="I717" s="42" t="s">
        <v>37</v>
      </c>
      <c r="J717" s="42">
        <v>40000</v>
      </c>
    </row>
    <row r="718" spans="1:22">
      <c r="A718" s="61" t="s">
        <v>1775</v>
      </c>
      <c r="C718" s="64" t="s">
        <v>4</v>
      </c>
      <c r="D718" s="64" t="s">
        <v>1760</v>
      </c>
      <c r="E718" s="42" t="s">
        <v>1776</v>
      </c>
      <c r="F718" s="42" t="s">
        <v>1775</v>
      </c>
      <c r="G718" s="42">
        <v>45</v>
      </c>
      <c r="H718" s="42" t="s">
        <v>735</v>
      </c>
      <c r="I718" s="42" t="s">
        <v>37</v>
      </c>
      <c r="J718" s="42">
        <v>100000</v>
      </c>
    </row>
    <row r="719" spans="1:22">
      <c r="A719" s="61" t="s">
        <v>1775</v>
      </c>
      <c r="C719" s="64" t="s">
        <v>4</v>
      </c>
      <c r="D719" s="64" t="s">
        <v>1760</v>
      </c>
      <c r="E719" s="42" t="s">
        <v>1776</v>
      </c>
      <c r="F719" s="42" t="s">
        <v>1775</v>
      </c>
      <c r="G719" s="42">
        <v>46</v>
      </c>
      <c r="H719" s="42" t="s">
        <v>741</v>
      </c>
      <c r="I719" s="42" t="s">
        <v>37</v>
      </c>
      <c r="J719" s="42">
        <v>50000</v>
      </c>
    </row>
    <row r="720" spans="1:22">
      <c r="A720" s="61" t="s">
        <v>1775</v>
      </c>
      <c r="C720" s="64" t="s">
        <v>4</v>
      </c>
      <c r="D720" s="64" t="s">
        <v>1760</v>
      </c>
      <c r="E720" s="42" t="s">
        <v>1776</v>
      </c>
      <c r="F720" s="42" t="s">
        <v>1775</v>
      </c>
      <c r="G720" s="42">
        <v>47</v>
      </c>
      <c r="H720" s="42" t="s">
        <v>627</v>
      </c>
      <c r="I720" s="42" t="s">
        <v>37</v>
      </c>
      <c r="J720" s="42">
        <v>30000</v>
      </c>
    </row>
    <row r="721" spans="1:22">
      <c r="A721" s="61" t="s">
        <v>1775</v>
      </c>
      <c r="C721" s="64" t="s">
        <v>4</v>
      </c>
      <c r="D721" s="64" t="s">
        <v>1760</v>
      </c>
      <c r="E721" s="42" t="s">
        <v>1776</v>
      </c>
      <c r="F721" s="42" t="s">
        <v>1775</v>
      </c>
      <c r="G721" s="42">
        <v>48</v>
      </c>
      <c r="H721" s="42" t="s">
        <v>705</v>
      </c>
      <c r="I721" s="42" t="s">
        <v>37</v>
      </c>
      <c r="J721" s="42">
        <v>110000</v>
      </c>
    </row>
    <row r="722" spans="1:22">
      <c r="A722" s="61" t="s">
        <v>1775</v>
      </c>
      <c r="C722" s="64" t="s">
        <v>4</v>
      </c>
      <c r="D722" s="64" t="s">
        <v>1760</v>
      </c>
      <c r="E722" s="42" t="s">
        <v>1776</v>
      </c>
      <c r="F722" s="42" t="s">
        <v>1775</v>
      </c>
      <c r="G722" s="42">
        <v>49</v>
      </c>
      <c r="H722" s="42" t="s">
        <v>649</v>
      </c>
      <c r="I722" s="42" t="s">
        <v>37</v>
      </c>
      <c r="J722" s="42">
        <v>20000</v>
      </c>
    </row>
    <row r="723" spans="1:22">
      <c r="A723" s="61" t="s">
        <v>1775</v>
      </c>
      <c r="C723" s="64" t="s">
        <v>4</v>
      </c>
      <c r="D723" s="64" t="s">
        <v>1760</v>
      </c>
      <c r="E723" s="42" t="s">
        <v>1776</v>
      </c>
      <c r="F723" s="42" t="s">
        <v>1775</v>
      </c>
      <c r="G723" s="42">
        <v>50</v>
      </c>
      <c r="H723" s="42" t="s">
        <v>651</v>
      </c>
      <c r="I723" s="42" t="s">
        <v>37</v>
      </c>
      <c r="J723" s="42">
        <v>10000</v>
      </c>
    </row>
    <row r="724" spans="1:22">
      <c r="A724" s="61" t="s">
        <v>1775</v>
      </c>
      <c r="C724" s="64" t="s">
        <v>4</v>
      </c>
      <c r="D724" s="64" t="s">
        <v>1760</v>
      </c>
      <c r="E724" s="42" t="s">
        <v>1776</v>
      </c>
      <c r="F724" s="42" t="s">
        <v>1775</v>
      </c>
      <c r="G724" s="42">
        <v>51</v>
      </c>
      <c r="H724" s="42" t="s">
        <v>921</v>
      </c>
      <c r="I724" s="42" t="s">
        <v>37</v>
      </c>
      <c r="J724" s="42">
        <v>75000</v>
      </c>
    </row>
    <row r="725" spans="1:22">
      <c r="A725" s="61" t="s">
        <v>1775</v>
      </c>
      <c r="C725" s="64" t="s">
        <v>4</v>
      </c>
      <c r="D725" s="64" t="s">
        <v>1760</v>
      </c>
      <c r="E725" s="42" t="s">
        <v>1776</v>
      </c>
      <c r="F725" s="42" t="s">
        <v>1775</v>
      </c>
      <c r="G725" s="42">
        <v>52</v>
      </c>
      <c r="H725" s="42" t="s">
        <v>631</v>
      </c>
      <c r="I725" s="42" t="s">
        <v>37</v>
      </c>
      <c r="J725" s="42">
        <v>60000</v>
      </c>
    </row>
    <row r="726" spans="1:22">
      <c r="A726" s="61" t="s">
        <v>1775</v>
      </c>
      <c r="C726" s="64" t="s">
        <v>4</v>
      </c>
      <c r="D726" s="64" t="s">
        <v>1760</v>
      </c>
      <c r="E726" s="42" t="s">
        <v>1776</v>
      </c>
      <c r="F726" s="42" t="s">
        <v>1775</v>
      </c>
      <c r="G726" s="42">
        <v>53</v>
      </c>
      <c r="H726" s="42" t="s">
        <v>707</v>
      </c>
      <c r="I726" s="42" t="s">
        <v>37</v>
      </c>
      <c r="J726" s="42">
        <v>60000</v>
      </c>
    </row>
    <row r="727" spans="1:22">
      <c r="A727" s="61" t="s">
        <v>1775</v>
      </c>
      <c r="C727" s="64" t="s">
        <v>4</v>
      </c>
      <c r="D727" s="64" t="s">
        <v>1760</v>
      </c>
      <c r="E727" s="42" t="s">
        <v>1776</v>
      </c>
      <c r="F727" s="42" t="s">
        <v>1775</v>
      </c>
      <c r="G727" s="42">
        <v>54</v>
      </c>
      <c r="H727" s="42" t="s">
        <v>633</v>
      </c>
      <c r="I727" s="42" t="s">
        <v>37</v>
      </c>
      <c r="J727" s="42">
        <v>30000</v>
      </c>
    </row>
    <row r="728" spans="1:22">
      <c r="A728" s="61" t="s">
        <v>1775</v>
      </c>
      <c r="C728" s="64" t="s">
        <v>4</v>
      </c>
      <c r="D728" s="64" t="s">
        <v>1760</v>
      </c>
      <c r="E728" s="42" t="s">
        <v>1776</v>
      </c>
      <c r="F728" s="42" t="s">
        <v>1775</v>
      </c>
      <c r="G728" s="42">
        <v>55</v>
      </c>
      <c r="H728" s="42" t="s">
        <v>637</v>
      </c>
      <c r="I728" s="42" t="s">
        <v>37</v>
      </c>
      <c r="J728" s="42">
        <v>3000</v>
      </c>
    </row>
    <row r="729" spans="1:22">
      <c r="A729" s="61" t="s">
        <v>1775</v>
      </c>
      <c r="C729" s="64" t="s">
        <v>4</v>
      </c>
      <c r="D729" s="64" t="s">
        <v>1760</v>
      </c>
      <c r="E729" s="42" t="s">
        <v>1776</v>
      </c>
      <c r="F729" s="42" t="s">
        <v>1775</v>
      </c>
      <c r="G729" s="42">
        <v>56</v>
      </c>
      <c r="H729" s="42" t="s">
        <v>625</v>
      </c>
      <c r="I729" s="42" t="s">
        <v>37</v>
      </c>
      <c r="J729" s="42">
        <v>10000</v>
      </c>
    </row>
    <row r="730" spans="1:22">
      <c r="A730" s="61" t="s">
        <v>1775</v>
      </c>
      <c r="C730" s="64" t="s">
        <v>4</v>
      </c>
      <c r="D730" s="64" t="s">
        <v>1760</v>
      </c>
      <c r="E730" s="42" t="s">
        <v>1776</v>
      </c>
      <c r="F730" s="42" t="s">
        <v>1775</v>
      </c>
      <c r="G730" s="42">
        <v>57</v>
      </c>
      <c r="H730" s="42" t="s">
        <v>759</v>
      </c>
      <c r="I730" s="42" t="s">
        <v>37</v>
      </c>
      <c r="J730" s="42">
        <v>30000</v>
      </c>
    </row>
    <row r="731" spans="1:22">
      <c r="A731" s="61" t="s">
        <v>1775</v>
      </c>
      <c r="C731" s="64" t="s">
        <v>4</v>
      </c>
      <c r="D731" s="64" t="s">
        <v>1760</v>
      </c>
      <c r="E731" s="42" t="s">
        <v>1776</v>
      </c>
      <c r="F731" s="42" t="s">
        <v>1775</v>
      </c>
      <c r="G731" s="42">
        <v>58</v>
      </c>
      <c r="H731" s="42" t="s">
        <v>539</v>
      </c>
      <c r="I731" s="42" t="s">
        <v>37</v>
      </c>
      <c r="J731" s="42">
        <v>20000</v>
      </c>
    </row>
    <row r="732" spans="1:22">
      <c r="A732" s="61" t="s">
        <v>1775</v>
      </c>
      <c r="C732" s="64" t="s">
        <v>4</v>
      </c>
      <c r="D732" s="64" t="s">
        <v>1760</v>
      </c>
      <c r="E732" s="42" t="s">
        <v>1776</v>
      </c>
      <c r="F732" s="42" t="s">
        <v>1775</v>
      </c>
      <c r="G732" s="42">
        <v>59</v>
      </c>
      <c r="H732" s="42" t="s">
        <v>801</v>
      </c>
      <c r="I732" s="42" t="s">
        <v>37</v>
      </c>
      <c r="J732" s="42">
        <v>110000</v>
      </c>
    </row>
    <row r="733" spans="1:22">
      <c r="A733" s="61" t="s">
        <v>1775</v>
      </c>
      <c r="C733" s="64" t="s">
        <v>4</v>
      </c>
      <c r="D733" s="64" t="s">
        <v>1760</v>
      </c>
      <c r="E733" s="42" t="s">
        <v>1776</v>
      </c>
      <c r="F733" s="42" t="s">
        <v>1775</v>
      </c>
      <c r="G733" s="42">
        <v>60</v>
      </c>
      <c r="H733" s="42" t="s">
        <v>1101</v>
      </c>
      <c r="I733" s="42" t="s">
        <v>37</v>
      </c>
      <c r="J733" s="42">
        <v>30000</v>
      </c>
    </row>
    <row r="734" spans="1:22">
      <c r="A734" s="61" t="s">
        <v>1775</v>
      </c>
      <c r="C734" s="64" t="s">
        <v>4</v>
      </c>
      <c r="D734" s="64" t="s">
        <v>1760</v>
      </c>
      <c r="E734" s="42" t="s">
        <v>1776</v>
      </c>
      <c r="F734" s="42" t="s">
        <v>1775</v>
      </c>
      <c r="G734" s="42">
        <v>61</v>
      </c>
      <c r="H734" s="42" t="s">
        <v>923</v>
      </c>
      <c r="I734" s="42" t="s">
        <v>37</v>
      </c>
      <c r="J734" s="42">
        <v>100000</v>
      </c>
    </row>
    <row r="735" spans="1:22">
      <c r="A735" s="61" t="s">
        <v>1775</v>
      </c>
      <c r="C735" s="64" t="s">
        <v>4</v>
      </c>
      <c r="D735" s="64" t="s">
        <v>1760</v>
      </c>
      <c r="E735" s="42" t="s">
        <v>1776</v>
      </c>
      <c r="F735" s="42" t="s">
        <v>1775</v>
      </c>
      <c r="G735" s="42">
        <v>62</v>
      </c>
      <c r="H735" s="42" t="s">
        <v>925</v>
      </c>
      <c r="I735" s="42" t="s">
        <v>37</v>
      </c>
      <c r="J735" s="42">
        <v>40000</v>
      </c>
    </row>
    <row r="736" spans="1:22">
      <c r="A736" s="61" t="s">
        <v>1775</v>
      </c>
      <c r="C736" s="64" t="s">
        <v>4</v>
      </c>
      <c r="D736" s="64" t="s">
        <v>1760</v>
      </c>
      <c r="E736" s="42" t="s">
        <v>1776</v>
      </c>
      <c r="F736" s="42" t="s">
        <v>1775</v>
      </c>
      <c r="G736" s="42">
        <v>63</v>
      </c>
      <c r="H736" s="42" t="s">
        <v>927</v>
      </c>
      <c r="I736" s="42" t="s">
        <v>37</v>
      </c>
      <c r="J736" s="42">
        <v>30000</v>
      </c>
    </row>
    <row r="737" spans="1:22">
      <c r="A737" s="61" t="s">
        <v>1775</v>
      </c>
      <c r="C737" s="64" t="s">
        <v>4</v>
      </c>
      <c r="D737" s="64" t="s">
        <v>1760</v>
      </c>
      <c r="E737" s="42" t="s">
        <v>1776</v>
      </c>
      <c r="F737" s="42" t="s">
        <v>1775</v>
      </c>
      <c r="G737" s="42">
        <v>64</v>
      </c>
      <c r="H737" s="42" t="s">
        <v>1319</v>
      </c>
      <c r="I737" s="42" t="s">
        <v>37</v>
      </c>
      <c r="J737" s="42">
        <v>75000</v>
      </c>
    </row>
    <row r="738" spans="1:22">
      <c r="A738" s="61" t="s">
        <v>1775</v>
      </c>
      <c r="C738" s="64" t="s">
        <v>4</v>
      </c>
      <c r="D738" s="64" t="s">
        <v>1760</v>
      </c>
      <c r="E738" s="42" t="s">
        <v>1776</v>
      </c>
      <c r="F738" s="42" t="s">
        <v>1775</v>
      </c>
      <c r="G738" s="42">
        <v>65</v>
      </c>
      <c r="H738" s="42" t="s">
        <v>1374</v>
      </c>
      <c r="I738" s="42" t="s">
        <v>37</v>
      </c>
      <c r="J738" s="42">
        <v>10000</v>
      </c>
    </row>
    <row r="739" spans="1:22">
      <c r="A739" s="61" t="s">
        <v>1775</v>
      </c>
      <c r="C739" s="64" t="s">
        <v>4</v>
      </c>
      <c r="D739" s="64" t="s">
        <v>1760</v>
      </c>
      <c r="E739" s="42" t="s">
        <v>1776</v>
      </c>
      <c r="F739" s="42" t="s">
        <v>1775</v>
      </c>
      <c r="G739" s="42">
        <v>66</v>
      </c>
      <c r="H739" s="42" t="s">
        <v>1359</v>
      </c>
      <c r="I739" s="42" t="s">
        <v>37</v>
      </c>
      <c r="J739" s="42">
        <v>5000</v>
      </c>
    </row>
    <row r="740" spans="1:22">
      <c r="A740" s="61" t="s">
        <v>1775</v>
      </c>
      <c r="C740" s="64" t="s">
        <v>4</v>
      </c>
      <c r="D740" s="64" t="s">
        <v>1760</v>
      </c>
      <c r="E740" s="42" t="s">
        <v>1776</v>
      </c>
      <c r="F740" s="42" t="s">
        <v>1775</v>
      </c>
      <c r="G740" s="42">
        <v>67</v>
      </c>
      <c r="H740" s="42" t="s">
        <v>1283</v>
      </c>
      <c r="I740" s="42" t="s">
        <v>37</v>
      </c>
      <c r="J740" s="42">
        <v>35000</v>
      </c>
    </row>
    <row r="741" spans="1:22">
      <c r="A741" s="61" t="s">
        <v>1775</v>
      </c>
      <c r="C741" s="64" t="s">
        <v>4</v>
      </c>
      <c r="D741" s="64" t="s">
        <v>1760</v>
      </c>
      <c r="E741" s="42" t="s">
        <v>1776</v>
      </c>
      <c r="F741" s="42" t="s">
        <v>1775</v>
      </c>
      <c r="G741" s="42">
        <v>68</v>
      </c>
      <c r="H741" s="42" t="s">
        <v>1295</v>
      </c>
      <c r="I741" s="42" t="s">
        <v>37</v>
      </c>
      <c r="J741" s="42">
        <v>20000</v>
      </c>
    </row>
    <row r="742" spans="1:22">
      <c r="A742" s="61" t="s">
        <v>1775</v>
      </c>
      <c r="C742" s="64" t="s">
        <v>4</v>
      </c>
      <c r="D742" s="64" t="s">
        <v>1760</v>
      </c>
      <c r="E742" s="42" t="s">
        <v>1776</v>
      </c>
      <c r="F742" s="42" t="s">
        <v>1775</v>
      </c>
      <c r="G742" s="42">
        <v>69</v>
      </c>
      <c r="H742" s="42" t="s">
        <v>415</v>
      </c>
      <c r="I742" s="42" t="s">
        <v>37</v>
      </c>
      <c r="J742" s="42">
        <v>10000</v>
      </c>
    </row>
    <row r="743" spans="1:22">
      <c r="A743" s="61" t="s">
        <v>1775</v>
      </c>
      <c r="C743" s="64" t="s">
        <v>4</v>
      </c>
      <c r="D743" s="64" t="s">
        <v>1760</v>
      </c>
      <c r="E743" s="42" t="s">
        <v>1776</v>
      </c>
      <c r="F743" s="42" t="s">
        <v>1775</v>
      </c>
      <c r="G743" s="42">
        <v>70</v>
      </c>
      <c r="H743" s="42" t="s">
        <v>951</v>
      </c>
      <c r="I743" s="42" t="s">
        <v>37</v>
      </c>
      <c r="J743" s="42">
        <v>10000</v>
      </c>
    </row>
    <row r="744" spans="1:22">
      <c r="A744" s="61" t="s">
        <v>1775</v>
      </c>
      <c r="C744" s="64" t="s">
        <v>4</v>
      </c>
      <c r="D744" s="64" t="s">
        <v>1760</v>
      </c>
      <c r="E744" s="42" t="s">
        <v>1776</v>
      </c>
      <c r="F744" s="42" t="s">
        <v>1775</v>
      </c>
      <c r="G744" s="42">
        <v>71</v>
      </c>
      <c r="H744" s="42" t="s">
        <v>1356</v>
      </c>
      <c r="I744" s="42" t="s">
        <v>37</v>
      </c>
      <c r="J744" s="42">
        <v>45000</v>
      </c>
    </row>
    <row r="745" spans="1:22">
      <c r="A745" s="61" t="s">
        <v>1775</v>
      </c>
      <c r="C745" s="64" t="s">
        <v>4</v>
      </c>
      <c r="D745" s="64" t="s">
        <v>1760</v>
      </c>
      <c r="E745" s="42" t="s">
        <v>1776</v>
      </c>
      <c r="F745" s="42" t="s">
        <v>1775</v>
      </c>
      <c r="G745" s="42">
        <v>72</v>
      </c>
      <c r="H745" s="42" t="s">
        <v>1343</v>
      </c>
      <c r="I745" s="42" t="s">
        <v>37</v>
      </c>
      <c r="J745" s="42">
        <v>80000</v>
      </c>
    </row>
    <row r="746" spans="1:22">
      <c r="A746" s="61" t="s">
        <v>1775</v>
      </c>
      <c r="C746" s="64" t="s">
        <v>4</v>
      </c>
      <c r="D746" s="64" t="s">
        <v>1760</v>
      </c>
      <c r="E746" s="42" t="s">
        <v>1776</v>
      </c>
      <c r="F746" s="42" t="s">
        <v>1775</v>
      </c>
      <c r="G746" s="42">
        <v>73</v>
      </c>
      <c r="H746" s="42" t="s">
        <v>52</v>
      </c>
      <c r="I746" s="42" t="s">
        <v>37</v>
      </c>
      <c r="J746" s="42">
        <v>20000</v>
      </c>
    </row>
    <row r="747" spans="1:22">
      <c r="A747" s="61" t="s">
        <v>1775</v>
      </c>
      <c r="C747" s="64" t="s">
        <v>4</v>
      </c>
      <c r="D747" s="64" t="s">
        <v>1760</v>
      </c>
      <c r="E747" s="42" t="s">
        <v>1776</v>
      </c>
      <c r="F747" s="42" t="s">
        <v>1775</v>
      </c>
      <c r="G747" s="42">
        <v>74</v>
      </c>
      <c r="H747" s="42" t="s">
        <v>56</v>
      </c>
      <c r="I747" s="42" t="s">
        <v>37</v>
      </c>
      <c r="J747" s="42">
        <v>90000</v>
      </c>
    </row>
    <row r="748" spans="1:22">
      <c r="A748" s="61" t="s">
        <v>1775</v>
      </c>
      <c r="C748" s="64" t="s">
        <v>4</v>
      </c>
      <c r="D748" s="64" t="s">
        <v>1760</v>
      </c>
      <c r="E748" s="42" t="s">
        <v>1776</v>
      </c>
      <c r="F748" s="42" t="s">
        <v>1775</v>
      </c>
      <c r="G748" s="42">
        <v>75</v>
      </c>
      <c r="H748" s="42" t="s">
        <v>61</v>
      </c>
      <c r="I748" s="42" t="s">
        <v>37</v>
      </c>
      <c r="J748" s="42">
        <v>10000</v>
      </c>
    </row>
    <row r="749" spans="1:22">
      <c r="A749" s="61" t="s">
        <v>1775</v>
      </c>
      <c r="C749" s="64" t="s">
        <v>4</v>
      </c>
      <c r="D749" s="64" t="s">
        <v>1760</v>
      </c>
      <c r="E749" s="42" t="s">
        <v>1776</v>
      </c>
      <c r="F749" s="42" t="s">
        <v>1775</v>
      </c>
      <c r="G749" s="42">
        <v>76</v>
      </c>
      <c r="H749" s="42" t="s">
        <v>803</v>
      </c>
      <c r="I749" s="42" t="s">
        <v>37</v>
      </c>
      <c r="J749" s="42">
        <v>10000</v>
      </c>
    </row>
    <row r="750" spans="1:22">
      <c r="A750" s="61" t="s">
        <v>1775</v>
      </c>
      <c r="C750" s="64" t="s">
        <v>4</v>
      </c>
      <c r="D750" s="64" t="s">
        <v>1760</v>
      </c>
      <c r="E750" s="42" t="s">
        <v>1776</v>
      </c>
      <c r="F750" s="42" t="s">
        <v>1775</v>
      </c>
      <c r="G750" s="42">
        <v>77</v>
      </c>
      <c r="H750" s="42" t="s">
        <v>639</v>
      </c>
      <c r="I750" s="42" t="s">
        <v>37</v>
      </c>
      <c r="J750" s="42">
        <v>20000</v>
      </c>
    </row>
    <row r="751" spans="1:22">
      <c r="A751" s="61" t="s">
        <v>1775</v>
      </c>
      <c r="C751" s="64" t="s">
        <v>4</v>
      </c>
      <c r="D751" s="64" t="s">
        <v>1760</v>
      </c>
      <c r="E751" s="42" t="s">
        <v>1776</v>
      </c>
      <c r="F751" s="42" t="s">
        <v>1775</v>
      </c>
      <c r="G751" s="42">
        <v>78</v>
      </c>
      <c r="H751" s="42" t="s">
        <v>579</v>
      </c>
      <c r="I751" s="42" t="s">
        <v>37</v>
      </c>
      <c r="J751" s="42">
        <v>20000</v>
      </c>
    </row>
    <row r="752" spans="1:22">
      <c r="A752" s="61" t="s">
        <v>1775</v>
      </c>
      <c r="C752" s="64" t="s">
        <v>4</v>
      </c>
      <c r="D752" s="64" t="s">
        <v>1760</v>
      </c>
      <c r="E752" s="42" t="s">
        <v>1776</v>
      </c>
      <c r="F752" s="42" t="s">
        <v>1775</v>
      </c>
      <c r="G752" s="42">
        <v>79</v>
      </c>
      <c r="H752" s="42" t="s">
        <v>609</v>
      </c>
      <c r="I752" s="42" t="s">
        <v>37</v>
      </c>
      <c r="J752" s="42">
        <v>5000</v>
      </c>
    </row>
    <row r="753" spans="1:22">
      <c r="A753" s="61" t="s">
        <v>1775</v>
      </c>
      <c r="C753" s="64" t="s">
        <v>4</v>
      </c>
      <c r="D753" s="64" t="s">
        <v>1760</v>
      </c>
      <c r="E753" s="42" t="s">
        <v>1776</v>
      </c>
      <c r="F753" s="42" t="s">
        <v>1775</v>
      </c>
      <c r="G753" s="42">
        <v>80</v>
      </c>
      <c r="H753" s="42" t="s">
        <v>189</v>
      </c>
      <c r="I753" s="42" t="s">
        <v>37</v>
      </c>
      <c r="J753" s="42">
        <v>10000</v>
      </c>
    </row>
    <row r="754" spans="1:22">
      <c r="A754" s="61" t="s">
        <v>1775</v>
      </c>
      <c r="C754" s="64" t="s">
        <v>4</v>
      </c>
      <c r="D754" s="64" t="s">
        <v>1760</v>
      </c>
      <c r="E754" s="42" t="s">
        <v>1776</v>
      </c>
      <c r="F754" s="42" t="s">
        <v>1775</v>
      </c>
      <c r="G754" s="42">
        <v>81</v>
      </c>
      <c r="H754" s="42" t="s">
        <v>403</v>
      </c>
      <c r="I754" s="42" t="s">
        <v>37</v>
      </c>
      <c r="J754" s="42">
        <v>10000</v>
      </c>
    </row>
    <row r="755" spans="1:22">
      <c r="A755" s="61" t="s">
        <v>1775</v>
      </c>
      <c r="C755" s="64" t="s">
        <v>4</v>
      </c>
      <c r="D755" s="64" t="s">
        <v>1760</v>
      </c>
      <c r="E755" s="42" t="s">
        <v>1776</v>
      </c>
      <c r="F755" s="42" t="s">
        <v>1775</v>
      </c>
      <c r="G755" s="42">
        <v>82</v>
      </c>
      <c r="H755" s="42" t="s">
        <v>72</v>
      </c>
      <c r="I755" s="42" t="s">
        <v>37</v>
      </c>
      <c r="J755" s="42">
        <v>20000</v>
      </c>
    </row>
    <row r="756" spans="1:22">
      <c r="A756" s="61" t="s">
        <v>1775</v>
      </c>
      <c r="C756" s="64" t="s">
        <v>4</v>
      </c>
      <c r="D756" s="64" t="s">
        <v>1760</v>
      </c>
      <c r="E756" s="42" t="s">
        <v>1776</v>
      </c>
      <c r="F756" s="42" t="s">
        <v>1775</v>
      </c>
      <c r="G756" s="42">
        <v>83</v>
      </c>
      <c r="H756" s="42" t="s">
        <v>75</v>
      </c>
      <c r="I756" s="42" t="s">
        <v>37</v>
      </c>
      <c r="J756" s="42">
        <v>10000</v>
      </c>
    </row>
    <row r="757" spans="1:22">
      <c r="A757" s="61" t="s">
        <v>1775</v>
      </c>
      <c r="C757" s="64" t="s">
        <v>4</v>
      </c>
      <c r="D757" s="64" t="s">
        <v>1760</v>
      </c>
      <c r="E757" s="42" t="s">
        <v>1776</v>
      </c>
      <c r="F757" s="42" t="s">
        <v>1775</v>
      </c>
      <c r="G757" s="42">
        <v>84</v>
      </c>
      <c r="H757" s="42" t="s">
        <v>335</v>
      </c>
      <c r="I757" s="42" t="s">
        <v>37</v>
      </c>
      <c r="J757" s="42">
        <v>10000</v>
      </c>
    </row>
    <row r="758" spans="1:22">
      <c r="A758" s="61" t="s">
        <v>1775</v>
      </c>
      <c r="C758" s="64" t="s">
        <v>4</v>
      </c>
      <c r="D758" s="64" t="s">
        <v>1760</v>
      </c>
      <c r="E758" s="42" t="s">
        <v>1776</v>
      </c>
      <c r="F758" s="42" t="s">
        <v>1775</v>
      </c>
      <c r="G758" s="42">
        <v>85</v>
      </c>
      <c r="H758" s="42" t="s">
        <v>709</v>
      </c>
      <c r="I758" s="42" t="s">
        <v>37</v>
      </c>
      <c r="J758" s="42">
        <v>60000</v>
      </c>
    </row>
    <row r="759" spans="1:22">
      <c r="A759" s="61" t="s">
        <v>1775</v>
      </c>
      <c r="C759" s="64" t="s">
        <v>4</v>
      </c>
      <c r="D759" s="64" t="s">
        <v>1760</v>
      </c>
      <c r="E759" s="42" t="s">
        <v>1776</v>
      </c>
      <c r="F759" s="42" t="s">
        <v>1775</v>
      </c>
      <c r="G759" s="42">
        <v>86</v>
      </c>
      <c r="H759" s="42" t="s">
        <v>76</v>
      </c>
      <c r="I759" s="42" t="s">
        <v>37</v>
      </c>
      <c r="J759" s="42">
        <v>20000</v>
      </c>
    </row>
    <row r="760" spans="1:22">
      <c r="A760" s="61" t="s">
        <v>1775</v>
      </c>
      <c r="C760" s="64" t="s">
        <v>4</v>
      </c>
      <c r="D760" s="64" t="s">
        <v>1760</v>
      </c>
      <c r="E760" s="42" t="s">
        <v>1776</v>
      </c>
      <c r="F760" s="42" t="s">
        <v>1775</v>
      </c>
      <c r="G760" s="42">
        <v>87</v>
      </c>
      <c r="H760" s="42" t="s">
        <v>805</v>
      </c>
      <c r="I760" s="42" t="s">
        <v>37</v>
      </c>
      <c r="J760" s="42">
        <v>30000</v>
      </c>
    </row>
    <row r="761" spans="1:22">
      <c r="A761" s="61" t="s">
        <v>1775</v>
      </c>
      <c r="C761" s="64" t="s">
        <v>4</v>
      </c>
      <c r="D761" s="64" t="s">
        <v>1760</v>
      </c>
      <c r="E761" s="42" t="s">
        <v>1776</v>
      </c>
      <c r="F761" s="42" t="s">
        <v>1775</v>
      </c>
      <c r="G761" s="42">
        <v>88</v>
      </c>
      <c r="H761" s="42" t="s">
        <v>529</v>
      </c>
      <c r="I761" s="42" t="s">
        <v>37</v>
      </c>
      <c r="J761" s="42">
        <v>15000</v>
      </c>
    </row>
    <row r="762" spans="1:22">
      <c r="A762" s="61" t="s">
        <v>1775</v>
      </c>
      <c r="C762" s="64" t="s">
        <v>4</v>
      </c>
      <c r="D762" s="64" t="s">
        <v>1760</v>
      </c>
      <c r="E762" s="42" t="s">
        <v>1776</v>
      </c>
      <c r="F762" s="42" t="s">
        <v>1775</v>
      </c>
      <c r="G762" s="42">
        <v>89</v>
      </c>
      <c r="H762" s="42" t="s">
        <v>359</v>
      </c>
      <c r="I762" s="42" t="s">
        <v>37</v>
      </c>
      <c r="J762" s="42">
        <v>10000</v>
      </c>
    </row>
    <row r="763" spans="1:22">
      <c r="A763" s="61" t="s">
        <v>1775</v>
      </c>
      <c r="C763" s="64" t="s">
        <v>4</v>
      </c>
      <c r="D763" s="64" t="s">
        <v>1760</v>
      </c>
      <c r="E763" s="42" t="s">
        <v>1776</v>
      </c>
      <c r="F763" s="42" t="s">
        <v>1775</v>
      </c>
      <c r="G763" s="42">
        <v>90</v>
      </c>
      <c r="H763" s="42" t="s">
        <v>127</v>
      </c>
      <c r="I763" s="42" t="s">
        <v>37</v>
      </c>
      <c r="J763" s="42">
        <v>10000</v>
      </c>
    </row>
    <row r="764" spans="1:22">
      <c r="A764" s="61" t="s">
        <v>1775</v>
      </c>
      <c r="C764" s="64" t="s">
        <v>4</v>
      </c>
      <c r="D764" s="64" t="s">
        <v>1760</v>
      </c>
      <c r="E764" s="42" t="s">
        <v>1776</v>
      </c>
      <c r="F764" s="42" t="s">
        <v>1775</v>
      </c>
      <c r="G764" s="42">
        <v>91</v>
      </c>
      <c r="H764" s="42" t="s">
        <v>405</v>
      </c>
      <c r="I764" s="42" t="s">
        <v>37</v>
      </c>
      <c r="J764" s="42">
        <v>10000</v>
      </c>
    </row>
    <row r="765" spans="1:22">
      <c r="A765" s="61" t="s">
        <v>1775</v>
      </c>
      <c r="C765" s="64" t="s">
        <v>4</v>
      </c>
      <c r="D765" s="64" t="s">
        <v>1760</v>
      </c>
      <c r="E765" s="42" t="s">
        <v>1776</v>
      </c>
      <c r="F765" s="42" t="s">
        <v>1775</v>
      </c>
      <c r="G765" s="42">
        <v>92</v>
      </c>
      <c r="H765" s="42" t="s">
        <v>577</v>
      </c>
      <c r="I765" s="42" t="s">
        <v>37</v>
      </c>
      <c r="J765" s="42">
        <v>20000</v>
      </c>
    </row>
    <row r="766" spans="1:22">
      <c r="A766" s="61" t="s">
        <v>1775</v>
      </c>
      <c r="C766" s="64" t="s">
        <v>4</v>
      </c>
      <c r="D766" s="64" t="s">
        <v>1760</v>
      </c>
      <c r="E766" s="42" t="s">
        <v>1776</v>
      </c>
      <c r="F766" s="42" t="s">
        <v>1775</v>
      </c>
      <c r="G766" s="42">
        <v>93</v>
      </c>
      <c r="H766" s="42" t="s">
        <v>585</v>
      </c>
      <c r="I766" s="42" t="s">
        <v>37</v>
      </c>
      <c r="J766" s="42">
        <v>30000</v>
      </c>
    </row>
    <row r="767" spans="1:22">
      <c r="A767" s="61" t="s">
        <v>1775</v>
      </c>
      <c r="C767" s="64" t="s">
        <v>4</v>
      </c>
      <c r="D767" s="64" t="s">
        <v>1760</v>
      </c>
      <c r="E767" s="42" t="s">
        <v>1776</v>
      </c>
      <c r="F767" s="42" t="s">
        <v>1775</v>
      </c>
      <c r="G767" s="42">
        <v>94</v>
      </c>
      <c r="H767" s="42" t="s">
        <v>757</v>
      </c>
      <c r="I767" s="42" t="s">
        <v>37</v>
      </c>
      <c r="J767" s="42">
        <v>450000</v>
      </c>
    </row>
    <row r="768" spans="1:22">
      <c r="A768" s="61" t="s">
        <v>1775</v>
      </c>
      <c r="C768" s="64" t="s">
        <v>4</v>
      </c>
      <c r="D768" s="64" t="s">
        <v>1760</v>
      </c>
      <c r="E768" s="42" t="s">
        <v>1776</v>
      </c>
      <c r="F768" s="42" t="s">
        <v>1775</v>
      </c>
      <c r="G768" s="42">
        <v>95</v>
      </c>
      <c r="H768" s="42" t="s">
        <v>952</v>
      </c>
      <c r="I768" s="42" t="s">
        <v>37</v>
      </c>
      <c r="J768" s="42">
        <v>10000</v>
      </c>
    </row>
    <row r="769" spans="1:22">
      <c r="A769" s="61" t="s">
        <v>1775</v>
      </c>
      <c r="C769" s="64" t="s">
        <v>4</v>
      </c>
      <c r="D769" s="64" t="s">
        <v>1760</v>
      </c>
      <c r="E769" s="42" t="s">
        <v>1776</v>
      </c>
      <c r="F769" s="42" t="s">
        <v>1775</v>
      </c>
      <c r="G769" s="42">
        <v>96</v>
      </c>
      <c r="H769" s="42" t="s">
        <v>655</v>
      </c>
      <c r="I769" s="42" t="s">
        <v>37</v>
      </c>
      <c r="J769" s="42">
        <v>20000</v>
      </c>
    </row>
    <row r="770" spans="1:22">
      <c r="A770" s="61" t="s">
        <v>1775</v>
      </c>
      <c r="C770" s="64" t="s">
        <v>4</v>
      </c>
      <c r="D770" s="64" t="s">
        <v>1760</v>
      </c>
      <c r="E770" s="42" t="s">
        <v>1776</v>
      </c>
      <c r="F770" s="42" t="s">
        <v>1775</v>
      </c>
      <c r="G770" s="42">
        <v>97</v>
      </c>
      <c r="H770" s="42" t="s">
        <v>341</v>
      </c>
      <c r="I770" s="42" t="s">
        <v>37</v>
      </c>
      <c r="J770" s="42">
        <v>10000</v>
      </c>
    </row>
    <row r="771" spans="1:22">
      <c r="A771" s="61" t="s">
        <v>1775</v>
      </c>
      <c r="C771" s="64" t="s">
        <v>4</v>
      </c>
      <c r="D771" s="64" t="s">
        <v>1760</v>
      </c>
      <c r="E771" s="42" t="s">
        <v>1776</v>
      </c>
      <c r="F771" s="42" t="s">
        <v>1775</v>
      </c>
      <c r="G771" s="42">
        <v>98</v>
      </c>
      <c r="H771" s="42" t="s">
        <v>369</v>
      </c>
      <c r="I771" s="42" t="s">
        <v>37</v>
      </c>
      <c r="J771" s="42">
        <v>5000</v>
      </c>
    </row>
    <row r="772" spans="1:22">
      <c r="A772" s="61" t="s">
        <v>1775</v>
      </c>
      <c r="C772" s="64" t="s">
        <v>4</v>
      </c>
      <c r="D772" s="64" t="s">
        <v>1760</v>
      </c>
      <c r="E772" s="42" t="s">
        <v>1776</v>
      </c>
      <c r="F772" s="42" t="s">
        <v>1775</v>
      </c>
      <c r="G772" s="42">
        <v>99</v>
      </c>
      <c r="H772" s="42" t="s">
        <v>343</v>
      </c>
      <c r="I772" s="42" t="s">
        <v>37</v>
      </c>
      <c r="J772" s="42">
        <v>30000</v>
      </c>
    </row>
    <row r="773" spans="1:22">
      <c r="A773" s="61" t="s">
        <v>1775</v>
      </c>
      <c r="C773" s="64" t="s">
        <v>4</v>
      </c>
      <c r="D773" s="64" t="s">
        <v>1760</v>
      </c>
      <c r="E773" s="42" t="s">
        <v>1776</v>
      </c>
      <c r="F773" s="42" t="s">
        <v>1775</v>
      </c>
      <c r="G773" s="42">
        <v>100</v>
      </c>
      <c r="H773" s="42" t="s">
        <v>583</v>
      </c>
      <c r="I773" s="42" t="s">
        <v>37</v>
      </c>
      <c r="J773" s="42">
        <v>30000</v>
      </c>
    </row>
    <row r="774" spans="1:22">
      <c r="A774" s="61" t="s">
        <v>1775</v>
      </c>
      <c r="C774" s="64" t="s">
        <v>4</v>
      </c>
      <c r="D774" s="64" t="s">
        <v>1760</v>
      </c>
      <c r="E774" s="42" t="s">
        <v>1776</v>
      </c>
      <c r="F774" s="42" t="s">
        <v>1775</v>
      </c>
      <c r="G774" s="42">
        <v>101</v>
      </c>
      <c r="H774" s="42" t="s">
        <v>945</v>
      </c>
      <c r="I774" s="42" t="s">
        <v>1763</v>
      </c>
      <c r="J774" s="42">
        <v>7000</v>
      </c>
    </row>
    <row r="775" spans="1:22">
      <c r="A775" s="61" t="s">
        <v>1775</v>
      </c>
      <c r="C775" s="64" t="s">
        <v>4</v>
      </c>
      <c r="D775" s="64" t="s">
        <v>1760</v>
      </c>
      <c r="E775" s="42" t="s">
        <v>1776</v>
      </c>
      <c r="F775" s="42" t="s">
        <v>1775</v>
      </c>
      <c r="G775" s="42">
        <v>1</v>
      </c>
      <c r="H775" s="42" t="s">
        <v>940</v>
      </c>
      <c r="I775" s="42" t="s">
        <v>106</v>
      </c>
      <c r="J775" s="42">
        <v>50000</v>
      </c>
    </row>
    <row r="776" spans="1:22">
      <c r="A776" s="61" t="s">
        <v>1775</v>
      </c>
      <c r="C776" s="64" t="s">
        <v>4</v>
      </c>
      <c r="D776" s="64" t="s">
        <v>1760</v>
      </c>
      <c r="E776" s="42" t="s">
        <v>1776</v>
      </c>
      <c r="F776" s="42" t="s">
        <v>1775</v>
      </c>
      <c r="G776" s="42">
        <v>2</v>
      </c>
      <c r="H776" s="42" t="s">
        <v>899</v>
      </c>
      <c r="I776" s="42" t="s">
        <v>106</v>
      </c>
      <c r="J776" s="42">
        <v>10000</v>
      </c>
    </row>
    <row r="777" spans="1:22">
      <c r="A777" s="61" t="s">
        <v>1775</v>
      </c>
      <c r="C777" s="64" t="s">
        <v>4</v>
      </c>
      <c r="D777" s="64" t="s">
        <v>1760</v>
      </c>
      <c r="E777" s="42" t="s">
        <v>1776</v>
      </c>
      <c r="F777" s="42" t="s">
        <v>1775</v>
      </c>
      <c r="G777" s="42">
        <v>3</v>
      </c>
      <c r="H777" s="42" t="s">
        <v>107</v>
      </c>
      <c r="I777" s="42" t="s">
        <v>106</v>
      </c>
      <c r="J777" s="42">
        <v>120000</v>
      </c>
    </row>
    <row r="778" spans="1:22">
      <c r="A778" s="61" t="s">
        <v>1775</v>
      </c>
      <c r="C778" s="64" t="s">
        <v>4</v>
      </c>
      <c r="D778" s="64" t="s">
        <v>1760</v>
      </c>
      <c r="E778" s="42" t="s">
        <v>1776</v>
      </c>
      <c r="F778" s="42" t="s">
        <v>1775</v>
      </c>
      <c r="G778" s="42">
        <v>4</v>
      </c>
      <c r="H778" s="42" t="s">
        <v>115</v>
      </c>
      <c r="I778" s="42" t="s">
        <v>106</v>
      </c>
      <c r="J778" s="42">
        <v>40000</v>
      </c>
    </row>
    <row r="779" spans="1:22">
      <c r="A779" s="61" t="s">
        <v>1775</v>
      </c>
      <c r="C779" s="64" t="s">
        <v>4</v>
      </c>
      <c r="D779" s="64" t="s">
        <v>1760</v>
      </c>
      <c r="E779" s="42" t="s">
        <v>1776</v>
      </c>
      <c r="F779" s="42" t="s">
        <v>1775</v>
      </c>
      <c r="G779" s="42">
        <v>5</v>
      </c>
      <c r="H779" s="42" t="s">
        <v>635</v>
      </c>
      <c r="I779" s="42" t="s">
        <v>106</v>
      </c>
      <c r="J779" s="42">
        <v>40081</v>
      </c>
    </row>
    <row r="780" spans="1:22">
      <c r="A780" s="61" t="s">
        <v>1775</v>
      </c>
      <c r="C780" s="64" t="s">
        <v>4</v>
      </c>
      <c r="D780" s="64" t="s">
        <v>1760</v>
      </c>
      <c r="E780" s="42" t="s">
        <v>1776</v>
      </c>
      <c r="F780" s="42" t="s">
        <v>1775</v>
      </c>
      <c r="G780" s="42">
        <v>6</v>
      </c>
      <c r="H780" s="42" t="s">
        <v>395</v>
      </c>
      <c r="I780" s="42" t="s">
        <v>113</v>
      </c>
      <c r="J780" s="42">
        <v>10000</v>
      </c>
    </row>
    <row r="781" spans="1:22">
      <c r="A781" s="61" t="s">
        <v>1775</v>
      </c>
      <c r="C781" s="64" t="s">
        <v>4</v>
      </c>
      <c r="D781" s="64" t="s">
        <v>1760</v>
      </c>
      <c r="E781" s="42" t="s">
        <v>1776</v>
      </c>
      <c r="F781" s="42" t="s">
        <v>1775</v>
      </c>
      <c r="G781" s="42">
        <v>7</v>
      </c>
      <c r="H781" s="42" t="s">
        <v>733</v>
      </c>
      <c r="I781" s="42" t="s">
        <v>113</v>
      </c>
      <c r="J781" s="42">
        <v>40000</v>
      </c>
    </row>
    <row r="782" spans="1:22">
      <c r="A782" s="61" t="s">
        <v>1775</v>
      </c>
      <c r="C782" s="64" t="s">
        <v>4</v>
      </c>
      <c r="D782" s="64" t="s">
        <v>1760</v>
      </c>
      <c r="E782" s="42" t="s">
        <v>1776</v>
      </c>
      <c r="F782" s="42" t="s">
        <v>1775</v>
      </c>
      <c r="G782" s="42">
        <v>8</v>
      </c>
      <c r="H782" s="42" t="s">
        <v>347</v>
      </c>
      <c r="I782" s="42" t="s">
        <v>113</v>
      </c>
      <c r="J782" s="42">
        <v>22000</v>
      </c>
    </row>
    <row r="783" spans="1:22">
      <c r="A783" s="61" t="s">
        <v>1775</v>
      </c>
      <c r="C783" s="64" t="s">
        <v>4</v>
      </c>
      <c r="D783" s="64" t="s">
        <v>1760</v>
      </c>
      <c r="E783" s="42" t="s">
        <v>1776</v>
      </c>
      <c r="F783" s="42" t="s">
        <v>1775</v>
      </c>
      <c r="G783" s="42">
        <v>9</v>
      </c>
      <c r="H783" s="42" t="s">
        <v>160</v>
      </c>
      <c r="I783" s="42" t="s">
        <v>113</v>
      </c>
      <c r="J783" s="42">
        <v>30000</v>
      </c>
    </row>
    <row r="784" spans="1:22">
      <c r="A784" s="61" t="s">
        <v>1775</v>
      </c>
      <c r="C784" s="64" t="s">
        <v>4</v>
      </c>
      <c r="D784" s="64" t="s">
        <v>1760</v>
      </c>
      <c r="E784" s="42" t="s">
        <v>1776</v>
      </c>
      <c r="F784" s="42" t="s">
        <v>1775</v>
      </c>
      <c r="G784" s="42">
        <v>10</v>
      </c>
      <c r="H784" s="42" t="s">
        <v>399</v>
      </c>
      <c r="I784" s="42" t="s">
        <v>113</v>
      </c>
      <c r="J784" s="42">
        <v>10000</v>
      </c>
    </row>
    <row r="785" spans="1:22">
      <c r="A785" s="61" t="s">
        <v>1775</v>
      </c>
      <c r="C785" s="64" t="s">
        <v>4</v>
      </c>
      <c r="D785" s="64" t="s">
        <v>1760</v>
      </c>
      <c r="E785" s="42" t="s">
        <v>1776</v>
      </c>
      <c r="F785" s="42" t="s">
        <v>1775</v>
      </c>
      <c r="G785" s="42">
        <v>11</v>
      </c>
      <c r="H785" s="42" t="s">
        <v>929</v>
      </c>
      <c r="I785" s="42" t="s">
        <v>113</v>
      </c>
      <c r="J785" s="42">
        <v>40000</v>
      </c>
    </row>
    <row r="786" spans="1:22">
      <c r="A786" s="61" t="s">
        <v>1775</v>
      </c>
      <c r="C786" s="64" t="s">
        <v>4</v>
      </c>
      <c r="D786" s="64" t="s">
        <v>1760</v>
      </c>
      <c r="E786" s="42" t="s">
        <v>1776</v>
      </c>
      <c r="F786" s="42" t="s">
        <v>1775</v>
      </c>
      <c r="G786" s="42">
        <v>12</v>
      </c>
      <c r="H786" s="42" t="s">
        <v>737</v>
      </c>
      <c r="I786" s="42" t="s">
        <v>113</v>
      </c>
      <c r="J786" s="42">
        <v>40000</v>
      </c>
    </row>
    <row r="787" spans="1:22">
      <c r="A787" s="61" t="s">
        <v>1775</v>
      </c>
      <c r="C787" s="64" t="s">
        <v>4</v>
      </c>
      <c r="D787" s="64" t="s">
        <v>1760</v>
      </c>
      <c r="E787" s="42" t="s">
        <v>1776</v>
      </c>
      <c r="F787" s="42" t="s">
        <v>1775</v>
      </c>
      <c r="G787" s="42">
        <v>13</v>
      </c>
      <c r="H787" s="42" t="s">
        <v>931</v>
      </c>
      <c r="I787" s="42" t="s">
        <v>113</v>
      </c>
      <c r="J787" s="42">
        <v>40000</v>
      </c>
    </row>
    <row r="788" spans="1:22">
      <c r="A788" s="61" t="s">
        <v>1775</v>
      </c>
      <c r="C788" s="64" t="s">
        <v>4</v>
      </c>
      <c r="D788" s="64" t="s">
        <v>1760</v>
      </c>
      <c r="E788" s="42" t="s">
        <v>1776</v>
      </c>
      <c r="F788" s="42" t="s">
        <v>1775</v>
      </c>
      <c r="G788" s="42">
        <v>14</v>
      </c>
      <c r="H788" s="42" t="s">
        <v>401</v>
      </c>
      <c r="I788" s="42" t="s">
        <v>113</v>
      </c>
      <c r="J788" s="42">
        <v>10000</v>
      </c>
    </row>
    <row r="789" spans="1:22">
      <c r="A789" s="61" t="s">
        <v>1775</v>
      </c>
      <c r="C789" s="64" t="s">
        <v>4</v>
      </c>
      <c r="D789" s="64" t="s">
        <v>1760</v>
      </c>
      <c r="E789" s="42" t="s">
        <v>1776</v>
      </c>
      <c r="F789" s="42" t="s">
        <v>1775</v>
      </c>
      <c r="G789" s="42">
        <v>15</v>
      </c>
      <c r="H789" s="42" t="s">
        <v>1287</v>
      </c>
      <c r="I789" s="42" t="s">
        <v>113</v>
      </c>
      <c r="J789" s="42">
        <v>12000</v>
      </c>
    </row>
    <row r="790" spans="1:22">
      <c r="A790" s="61" t="s">
        <v>1775</v>
      </c>
      <c r="C790" s="64" t="s">
        <v>4</v>
      </c>
      <c r="D790" s="64" t="s">
        <v>1760</v>
      </c>
      <c r="E790" s="42" t="s">
        <v>1776</v>
      </c>
      <c r="F790" s="42" t="s">
        <v>1775</v>
      </c>
      <c r="G790" s="42">
        <v>16</v>
      </c>
      <c r="H790" s="42" t="s">
        <v>103</v>
      </c>
      <c r="I790" s="42" t="s">
        <v>102</v>
      </c>
      <c r="J790" s="42">
        <v>50000</v>
      </c>
    </row>
    <row r="791" spans="1:22">
      <c r="A791" s="61" t="s">
        <v>1775</v>
      </c>
      <c r="C791" s="64" t="s">
        <v>4</v>
      </c>
      <c r="D791" s="64" t="s">
        <v>1760</v>
      </c>
      <c r="E791" s="42" t="s">
        <v>1776</v>
      </c>
      <c r="F791" s="42" t="s">
        <v>1775</v>
      </c>
      <c r="G791" s="42">
        <v>17</v>
      </c>
      <c r="H791" s="42" t="s">
        <v>197</v>
      </c>
      <c r="I791" s="42" t="s">
        <v>102</v>
      </c>
      <c r="J791" s="42">
        <v>88511</v>
      </c>
    </row>
    <row r="792" spans="1:22">
      <c r="A792" s="61" t="s">
        <v>1775</v>
      </c>
      <c r="C792" s="64" t="s">
        <v>4</v>
      </c>
      <c r="D792" s="64" t="s">
        <v>1760</v>
      </c>
      <c r="E792" s="42" t="s">
        <v>1776</v>
      </c>
      <c r="F792" s="42" t="s">
        <v>1775</v>
      </c>
      <c r="G792" s="42">
        <v>18</v>
      </c>
      <c r="H792" s="42" t="s">
        <v>895</v>
      </c>
      <c r="I792" s="42" t="s">
        <v>37</v>
      </c>
      <c r="J792" s="42">
        <v>20000</v>
      </c>
    </row>
    <row r="793" spans="1:22">
      <c r="A793" s="61" t="s">
        <v>1775</v>
      </c>
      <c r="C793" s="64" t="s">
        <v>4</v>
      </c>
      <c r="D793" s="64" t="s">
        <v>1760</v>
      </c>
      <c r="E793" s="42" t="s">
        <v>1776</v>
      </c>
      <c r="F793" s="42" t="s">
        <v>1775</v>
      </c>
      <c r="G793" s="42">
        <v>19</v>
      </c>
      <c r="H793" s="42" t="s">
        <v>353</v>
      </c>
      <c r="I793" s="42" t="s">
        <v>37</v>
      </c>
      <c r="J793" s="42">
        <v>20000</v>
      </c>
    </row>
    <row r="794" spans="1:22">
      <c r="A794" s="61" t="s">
        <v>1775</v>
      </c>
      <c r="C794" s="64" t="s">
        <v>4</v>
      </c>
      <c r="D794" s="64" t="s">
        <v>1760</v>
      </c>
      <c r="E794" s="42" t="s">
        <v>1776</v>
      </c>
      <c r="F794" s="42" t="s">
        <v>1775</v>
      </c>
      <c r="G794" s="42">
        <v>20</v>
      </c>
      <c r="H794" s="42" t="s">
        <v>355</v>
      </c>
      <c r="I794" s="42" t="s">
        <v>37</v>
      </c>
      <c r="J794" s="42">
        <v>8000</v>
      </c>
    </row>
    <row r="795" spans="1:22">
      <c r="A795" s="61" t="s">
        <v>1775</v>
      </c>
      <c r="C795" s="64" t="s">
        <v>4</v>
      </c>
      <c r="D795" s="64" t="s">
        <v>1760</v>
      </c>
      <c r="E795" s="42" t="s">
        <v>1776</v>
      </c>
      <c r="F795" s="42" t="s">
        <v>1775</v>
      </c>
      <c r="G795" s="42">
        <v>21</v>
      </c>
      <c r="H795" s="42" t="s">
        <v>357</v>
      </c>
      <c r="I795" s="42" t="s">
        <v>37</v>
      </c>
      <c r="J795" s="42">
        <v>5000</v>
      </c>
    </row>
    <row r="796" spans="1:22">
      <c r="A796" s="61" t="s">
        <v>1775</v>
      </c>
      <c r="C796" s="64" t="s">
        <v>4</v>
      </c>
      <c r="D796" s="64" t="s">
        <v>1760</v>
      </c>
      <c r="E796" s="42" t="s">
        <v>1776</v>
      </c>
      <c r="F796" s="42" t="s">
        <v>1775</v>
      </c>
      <c r="G796" s="42">
        <v>22</v>
      </c>
      <c r="H796" s="42" t="s">
        <v>411</v>
      </c>
      <c r="I796" s="42" t="s">
        <v>37</v>
      </c>
      <c r="J796" s="42">
        <v>20000</v>
      </c>
    </row>
    <row r="797" spans="1:22">
      <c r="A797" s="61" t="s">
        <v>1775</v>
      </c>
      <c r="C797" s="64" t="s">
        <v>4</v>
      </c>
      <c r="D797" s="64" t="s">
        <v>1760</v>
      </c>
      <c r="E797" s="42" t="s">
        <v>1776</v>
      </c>
      <c r="F797" s="42" t="s">
        <v>1775</v>
      </c>
      <c r="G797" s="42">
        <v>23</v>
      </c>
      <c r="H797" s="42" t="s">
        <v>941</v>
      </c>
      <c r="I797" s="42" t="s">
        <v>37</v>
      </c>
      <c r="J797" s="42">
        <v>10000</v>
      </c>
    </row>
    <row r="798" spans="1:22">
      <c r="A798" s="61" t="s">
        <v>1775</v>
      </c>
      <c r="C798" s="64" t="s">
        <v>4</v>
      </c>
      <c r="D798" s="64" t="s">
        <v>1760</v>
      </c>
      <c r="E798" s="42" t="s">
        <v>1776</v>
      </c>
      <c r="F798" s="42" t="s">
        <v>1775</v>
      </c>
      <c r="G798" s="42">
        <v>24</v>
      </c>
      <c r="H798" s="42" t="s">
        <v>897</v>
      </c>
      <c r="I798" s="42" t="s">
        <v>37</v>
      </c>
      <c r="J798" s="42">
        <v>10000</v>
      </c>
    </row>
    <row r="799" spans="1:22">
      <c r="A799" s="61" t="s">
        <v>1775</v>
      </c>
      <c r="C799" s="64" t="s">
        <v>4</v>
      </c>
      <c r="D799" s="64" t="s">
        <v>1760</v>
      </c>
      <c r="E799" s="42" t="s">
        <v>1776</v>
      </c>
      <c r="F799" s="42" t="s">
        <v>1775</v>
      </c>
      <c r="G799" s="42">
        <v>25</v>
      </c>
      <c r="H799" s="42" t="s">
        <v>211</v>
      </c>
      <c r="I799" s="42" t="s">
        <v>37</v>
      </c>
      <c r="J799" s="42">
        <v>20000</v>
      </c>
    </row>
    <row r="800" spans="1:22">
      <c r="A800" s="61" t="s">
        <v>1775</v>
      </c>
      <c r="C800" s="64" t="s">
        <v>4</v>
      </c>
      <c r="D800" s="64" t="s">
        <v>1760</v>
      </c>
      <c r="E800" s="42" t="s">
        <v>1776</v>
      </c>
      <c r="F800" s="42" t="s">
        <v>1775</v>
      </c>
      <c r="G800" s="42">
        <v>26</v>
      </c>
      <c r="H800" s="42" t="s">
        <v>407</v>
      </c>
      <c r="I800" s="42" t="s">
        <v>37</v>
      </c>
      <c r="J800" s="42">
        <v>15000</v>
      </c>
    </row>
    <row r="801" spans="1:22">
      <c r="A801" s="61" t="s">
        <v>1775</v>
      </c>
      <c r="C801" s="64" t="s">
        <v>4</v>
      </c>
      <c r="D801" s="64" t="s">
        <v>1760</v>
      </c>
      <c r="E801" s="42" t="s">
        <v>1776</v>
      </c>
      <c r="F801" s="42" t="s">
        <v>1775</v>
      </c>
      <c r="G801" s="42">
        <v>27</v>
      </c>
      <c r="H801" s="42" t="s">
        <v>367</v>
      </c>
      <c r="I801" s="42" t="s">
        <v>37</v>
      </c>
      <c r="J801" s="42">
        <v>10000</v>
      </c>
    </row>
    <row r="802" spans="1:22">
      <c r="A802" s="61" t="s">
        <v>1777</v>
      </c>
      <c r="C802" s="64" t="s">
        <v>4</v>
      </c>
      <c r="D802" s="64" t="s">
        <v>1760</v>
      </c>
      <c r="E802" s="42" t="s">
        <v>1778</v>
      </c>
      <c r="F802" s="42" t="s">
        <v>1777</v>
      </c>
      <c r="G802" s="42">
        <v>118</v>
      </c>
      <c r="H802" s="42" t="s">
        <v>1313</v>
      </c>
      <c r="I802" s="42" t="s">
        <v>37</v>
      </c>
      <c r="J802" s="42">
        <v>5000</v>
      </c>
    </row>
    <row r="803" spans="1:22">
      <c r="A803" s="61" t="s">
        <v>1777</v>
      </c>
      <c r="C803" s="64" t="s">
        <v>4</v>
      </c>
      <c r="D803" s="64" t="s">
        <v>1760</v>
      </c>
      <c r="E803" s="42" t="s">
        <v>1778</v>
      </c>
      <c r="F803" s="42" t="s">
        <v>1777</v>
      </c>
      <c r="G803" s="42">
        <v>119</v>
      </c>
      <c r="H803" s="42" t="s">
        <v>1285</v>
      </c>
      <c r="I803" s="42" t="s">
        <v>37</v>
      </c>
      <c r="J803" s="42">
        <v>25000</v>
      </c>
    </row>
    <row r="804" spans="1:22">
      <c r="A804" s="61" t="s">
        <v>1777</v>
      </c>
      <c r="C804" s="64" t="s">
        <v>4</v>
      </c>
      <c r="D804" s="64" t="s">
        <v>1760</v>
      </c>
      <c r="E804" s="42" t="s">
        <v>1778</v>
      </c>
      <c r="F804" s="42" t="s">
        <v>1777</v>
      </c>
      <c r="G804" s="42">
        <v>120</v>
      </c>
      <c r="H804" s="42" t="s">
        <v>1322</v>
      </c>
      <c r="I804" s="42" t="s">
        <v>37</v>
      </c>
      <c r="J804" s="42">
        <v>15000</v>
      </c>
    </row>
    <row r="805" spans="1:22">
      <c r="A805" s="61" t="s">
        <v>1777</v>
      </c>
      <c r="C805" s="64" t="s">
        <v>4</v>
      </c>
      <c r="D805" s="64" t="s">
        <v>1760</v>
      </c>
      <c r="E805" s="42" t="s">
        <v>1778</v>
      </c>
      <c r="F805" s="42" t="s">
        <v>1777</v>
      </c>
      <c r="G805" s="42">
        <v>121</v>
      </c>
      <c r="H805" s="42" t="s">
        <v>1325</v>
      </c>
      <c r="I805" s="42" t="s">
        <v>37</v>
      </c>
      <c r="J805" s="42">
        <v>15000</v>
      </c>
    </row>
    <row r="806" spans="1:22">
      <c r="A806" s="61" t="s">
        <v>1777</v>
      </c>
      <c r="C806" s="64" t="s">
        <v>4</v>
      </c>
      <c r="D806" s="64" t="s">
        <v>1760</v>
      </c>
      <c r="E806" s="42" t="s">
        <v>1778</v>
      </c>
      <c r="F806" s="42" t="s">
        <v>1777</v>
      </c>
      <c r="G806" s="42">
        <v>122</v>
      </c>
      <c r="H806" s="42" t="s">
        <v>1326</v>
      </c>
      <c r="I806" s="42" t="s">
        <v>37</v>
      </c>
      <c r="J806" s="42">
        <v>30000</v>
      </c>
    </row>
    <row r="807" spans="1:22">
      <c r="A807" s="61" t="s">
        <v>1777</v>
      </c>
      <c r="C807" s="64" t="s">
        <v>4</v>
      </c>
      <c r="D807" s="64" t="s">
        <v>1760</v>
      </c>
      <c r="E807" s="42" t="s">
        <v>1778</v>
      </c>
      <c r="F807" s="42" t="s">
        <v>1777</v>
      </c>
      <c r="G807" s="42">
        <v>123</v>
      </c>
      <c r="H807" s="42" t="s">
        <v>1333</v>
      </c>
      <c r="I807" s="42" t="s">
        <v>37</v>
      </c>
      <c r="J807" s="42">
        <v>20000</v>
      </c>
    </row>
    <row r="808" spans="1:22">
      <c r="A808" s="61" t="s">
        <v>1777</v>
      </c>
      <c r="C808" s="64" t="s">
        <v>4</v>
      </c>
      <c r="D808" s="64" t="s">
        <v>1760</v>
      </c>
      <c r="E808" s="42" t="s">
        <v>1778</v>
      </c>
      <c r="F808" s="42" t="s">
        <v>1777</v>
      </c>
      <c r="G808" s="42">
        <v>124</v>
      </c>
      <c r="H808" s="42" t="s">
        <v>1368</v>
      </c>
      <c r="I808" s="42" t="s">
        <v>37</v>
      </c>
      <c r="J808" s="42">
        <v>40000</v>
      </c>
    </row>
    <row r="809" spans="1:22">
      <c r="A809" s="61" t="s">
        <v>1777</v>
      </c>
      <c r="C809" s="64" t="s">
        <v>4</v>
      </c>
      <c r="D809" s="64" t="s">
        <v>1760</v>
      </c>
      <c r="E809" s="42" t="s">
        <v>1778</v>
      </c>
      <c r="F809" s="42" t="s">
        <v>1777</v>
      </c>
      <c r="G809" s="42">
        <v>125</v>
      </c>
      <c r="H809" s="42" t="s">
        <v>283</v>
      </c>
      <c r="I809" s="42" t="s">
        <v>37</v>
      </c>
      <c r="J809" s="42">
        <v>5000</v>
      </c>
    </row>
    <row r="810" spans="1:22">
      <c r="A810" s="61" t="s">
        <v>1777</v>
      </c>
      <c r="C810" s="64" t="s">
        <v>4</v>
      </c>
      <c r="D810" s="64" t="s">
        <v>1760</v>
      </c>
      <c r="E810" s="42" t="s">
        <v>1778</v>
      </c>
      <c r="F810" s="42" t="s">
        <v>1777</v>
      </c>
      <c r="G810" s="42">
        <v>126</v>
      </c>
      <c r="H810" s="42" t="s">
        <v>267</v>
      </c>
      <c r="I810" s="42" t="s">
        <v>37</v>
      </c>
      <c r="J810" s="42">
        <v>5000</v>
      </c>
    </row>
    <row r="811" spans="1:22">
      <c r="A811" s="61" t="s">
        <v>1777</v>
      </c>
      <c r="C811" s="64" t="s">
        <v>4</v>
      </c>
      <c r="D811" s="64" t="s">
        <v>1760</v>
      </c>
      <c r="E811" s="42" t="s">
        <v>1778</v>
      </c>
      <c r="F811" s="42" t="s">
        <v>1777</v>
      </c>
      <c r="G811" s="42">
        <v>127</v>
      </c>
      <c r="H811" s="42" t="s">
        <v>361</v>
      </c>
      <c r="I811" s="42" t="s">
        <v>37</v>
      </c>
      <c r="J811" s="42">
        <v>10000</v>
      </c>
    </row>
    <row r="812" spans="1:22">
      <c r="A812" s="61" t="s">
        <v>1777</v>
      </c>
      <c r="C812" s="64" t="s">
        <v>4</v>
      </c>
      <c r="D812" s="64" t="s">
        <v>1760</v>
      </c>
      <c r="E812" s="42" t="s">
        <v>1778</v>
      </c>
      <c r="F812" s="42" t="s">
        <v>1777</v>
      </c>
      <c r="G812" s="42">
        <v>128</v>
      </c>
      <c r="H812" s="42" t="s">
        <v>315</v>
      </c>
      <c r="I812" s="42" t="s">
        <v>37</v>
      </c>
      <c r="J812" s="42">
        <v>35000</v>
      </c>
    </row>
    <row r="813" spans="1:22">
      <c r="A813" s="61" t="s">
        <v>1777</v>
      </c>
      <c r="C813" s="64" t="s">
        <v>4</v>
      </c>
      <c r="D813" s="64" t="s">
        <v>1760</v>
      </c>
      <c r="E813" s="42" t="s">
        <v>1778</v>
      </c>
      <c r="F813" s="42" t="s">
        <v>1777</v>
      </c>
      <c r="G813" s="42">
        <v>129</v>
      </c>
      <c r="H813" s="42" t="s">
        <v>309</v>
      </c>
      <c r="I813" s="42" t="s">
        <v>37</v>
      </c>
      <c r="J813" s="42">
        <v>5000</v>
      </c>
    </row>
    <row r="814" spans="1:22">
      <c r="A814" s="61" t="s">
        <v>1777</v>
      </c>
      <c r="C814" s="64" t="s">
        <v>4</v>
      </c>
      <c r="D814" s="64" t="s">
        <v>1760</v>
      </c>
      <c r="E814" s="42" t="s">
        <v>1778</v>
      </c>
      <c r="F814" s="42" t="s">
        <v>1777</v>
      </c>
      <c r="G814" s="42">
        <v>130</v>
      </c>
      <c r="H814" s="42" t="s">
        <v>531</v>
      </c>
      <c r="I814" s="42" t="s">
        <v>37</v>
      </c>
      <c r="J814" s="42">
        <v>10000</v>
      </c>
    </row>
    <row r="815" spans="1:22">
      <c r="A815" s="61" t="s">
        <v>1777</v>
      </c>
      <c r="C815" s="64" t="s">
        <v>4</v>
      </c>
      <c r="D815" s="64" t="s">
        <v>1760</v>
      </c>
      <c r="E815" s="42" t="s">
        <v>1778</v>
      </c>
      <c r="F815" s="42" t="s">
        <v>1777</v>
      </c>
      <c r="G815" s="42">
        <v>131</v>
      </c>
      <c r="H815" s="42" t="s">
        <v>473</v>
      </c>
      <c r="I815" s="42" t="s">
        <v>37</v>
      </c>
      <c r="J815" s="42">
        <v>20000</v>
      </c>
    </row>
    <row r="816" spans="1:22">
      <c r="A816" s="61" t="s">
        <v>1777</v>
      </c>
      <c r="C816" s="64" t="s">
        <v>4</v>
      </c>
      <c r="D816" s="64" t="s">
        <v>1760</v>
      </c>
      <c r="E816" s="42" t="s">
        <v>1778</v>
      </c>
      <c r="F816" s="42" t="s">
        <v>1777</v>
      </c>
      <c r="G816" s="42">
        <v>132</v>
      </c>
      <c r="H816" s="42" t="s">
        <v>697</v>
      </c>
      <c r="I816" s="42" t="s">
        <v>37</v>
      </c>
      <c r="J816" s="42">
        <v>20000</v>
      </c>
    </row>
    <row r="817" spans="1:22">
      <c r="A817" s="61" t="s">
        <v>1777</v>
      </c>
      <c r="C817" s="64" t="s">
        <v>4</v>
      </c>
      <c r="D817" s="64" t="s">
        <v>1760</v>
      </c>
      <c r="E817" s="42" t="s">
        <v>1778</v>
      </c>
      <c r="F817" s="42" t="s">
        <v>1777</v>
      </c>
      <c r="G817" s="42">
        <v>133</v>
      </c>
      <c r="H817" s="42" t="s">
        <v>459</v>
      </c>
      <c r="I817" s="42" t="s">
        <v>37</v>
      </c>
      <c r="J817" s="42">
        <v>30000</v>
      </c>
    </row>
    <row r="818" spans="1:22">
      <c r="A818" s="61" t="s">
        <v>1777</v>
      </c>
      <c r="C818" s="64" t="s">
        <v>4</v>
      </c>
      <c r="D818" s="64" t="s">
        <v>1760</v>
      </c>
      <c r="E818" s="42" t="s">
        <v>1778</v>
      </c>
      <c r="F818" s="42" t="s">
        <v>1777</v>
      </c>
      <c r="G818" s="42">
        <v>134</v>
      </c>
      <c r="H818" s="42" t="s">
        <v>493</v>
      </c>
      <c r="I818" s="42" t="s">
        <v>37</v>
      </c>
      <c r="J818" s="42">
        <v>10000</v>
      </c>
    </row>
    <row r="819" spans="1:22">
      <c r="A819" s="61" t="s">
        <v>1777</v>
      </c>
      <c r="C819" s="64" t="s">
        <v>4</v>
      </c>
      <c r="D819" s="64" t="s">
        <v>1760</v>
      </c>
      <c r="E819" s="42" t="s">
        <v>1778</v>
      </c>
      <c r="F819" s="42" t="s">
        <v>1777</v>
      </c>
      <c r="G819" s="42">
        <v>135</v>
      </c>
      <c r="H819" s="42" t="s">
        <v>1349</v>
      </c>
      <c r="I819" s="42" t="s">
        <v>37</v>
      </c>
      <c r="J819" s="42">
        <v>60000</v>
      </c>
    </row>
    <row r="820" spans="1:22">
      <c r="A820" s="61" t="s">
        <v>1777</v>
      </c>
      <c r="C820" s="64" t="s">
        <v>4</v>
      </c>
      <c r="D820" s="64" t="s">
        <v>1760</v>
      </c>
      <c r="E820" s="42" t="s">
        <v>1778</v>
      </c>
      <c r="F820" s="42" t="s">
        <v>1777</v>
      </c>
      <c r="G820" s="42">
        <v>136</v>
      </c>
      <c r="H820" s="42" t="s">
        <v>1328</v>
      </c>
      <c r="I820" s="42" t="s">
        <v>37</v>
      </c>
      <c r="J820" s="42">
        <v>5000</v>
      </c>
    </row>
    <row r="821" spans="1:22">
      <c r="A821" s="61" t="s">
        <v>1777</v>
      </c>
      <c r="C821" s="64" t="s">
        <v>4</v>
      </c>
      <c r="D821" s="64" t="s">
        <v>1760</v>
      </c>
      <c r="E821" s="42" t="s">
        <v>1778</v>
      </c>
      <c r="F821" s="42" t="s">
        <v>1777</v>
      </c>
      <c r="G821" s="42">
        <v>137</v>
      </c>
      <c r="H821" s="42" t="s">
        <v>54</v>
      </c>
      <c r="I821" s="42" t="s">
        <v>37</v>
      </c>
      <c r="J821" s="42">
        <v>10000</v>
      </c>
    </row>
    <row r="822" spans="1:22">
      <c r="A822" s="61" t="s">
        <v>1777</v>
      </c>
      <c r="C822" s="64" t="s">
        <v>4</v>
      </c>
      <c r="D822" s="64" t="s">
        <v>1760</v>
      </c>
      <c r="E822" s="42" t="s">
        <v>1778</v>
      </c>
      <c r="F822" s="42" t="s">
        <v>1777</v>
      </c>
      <c r="G822" s="42">
        <v>138</v>
      </c>
      <c r="H822" s="42" t="s">
        <v>60</v>
      </c>
      <c r="I822" s="42" t="s">
        <v>37</v>
      </c>
      <c r="J822" s="42">
        <v>30000</v>
      </c>
    </row>
    <row r="823" spans="1:22">
      <c r="A823" s="61" t="s">
        <v>1777</v>
      </c>
      <c r="C823" s="64" t="s">
        <v>4</v>
      </c>
      <c r="D823" s="64" t="s">
        <v>1760</v>
      </c>
      <c r="E823" s="42" t="s">
        <v>1778</v>
      </c>
      <c r="F823" s="42" t="s">
        <v>1777</v>
      </c>
      <c r="G823" s="42">
        <v>139</v>
      </c>
      <c r="H823" s="42" t="s">
        <v>593</v>
      </c>
      <c r="I823" s="42" t="s">
        <v>37</v>
      </c>
      <c r="J823" s="42">
        <v>80000</v>
      </c>
    </row>
    <row r="824" spans="1:22">
      <c r="A824" s="61" t="s">
        <v>1777</v>
      </c>
      <c r="C824" s="64" t="s">
        <v>4</v>
      </c>
      <c r="D824" s="64" t="s">
        <v>1760</v>
      </c>
      <c r="E824" s="42" t="s">
        <v>1778</v>
      </c>
      <c r="F824" s="42" t="s">
        <v>1777</v>
      </c>
      <c r="G824" s="42">
        <v>140</v>
      </c>
      <c r="H824" s="42" t="s">
        <v>1124</v>
      </c>
      <c r="I824" s="42" t="s">
        <v>37</v>
      </c>
      <c r="J824" s="42">
        <v>5000</v>
      </c>
    </row>
    <row r="825" spans="1:22">
      <c r="A825" s="61" t="s">
        <v>1777</v>
      </c>
      <c r="C825" s="64" t="s">
        <v>4</v>
      </c>
      <c r="D825" s="64" t="s">
        <v>1760</v>
      </c>
      <c r="E825" s="42" t="s">
        <v>1778</v>
      </c>
      <c r="F825" s="42" t="s">
        <v>1777</v>
      </c>
      <c r="G825" s="42">
        <v>141</v>
      </c>
      <c r="H825" s="42" t="s">
        <v>67</v>
      </c>
      <c r="I825" s="42" t="s">
        <v>37</v>
      </c>
      <c r="J825" s="42">
        <v>35000</v>
      </c>
    </row>
    <row r="826" spans="1:22">
      <c r="A826" s="61" t="s">
        <v>1777</v>
      </c>
      <c r="C826" s="64" t="s">
        <v>4</v>
      </c>
      <c r="D826" s="64" t="s">
        <v>1760</v>
      </c>
      <c r="E826" s="42" t="s">
        <v>1778</v>
      </c>
      <c r="F826" s="42" t="s">
        <v>1777</v>
      </c>
      <c r="G826" s="42">
        <v>142</v>
      </c>
      <c r="H826" s="42" t="s">
        <v>469</v>
      </c>
      <c r="I826" s="42" t="s">
        <v>37</v>
      </c>
      <c r="J826" s="42">
        <v>40000</v>
      </c>
    </row>
    <row r="827" spans="1:22">
      <c r="A827" s="61" t="s">
        <v>1777</v>
      </c>
      <c r="C827" s="64" t="s">
        <v>4</v>
      </c>
      <c r="D827" s="64" t="s">
        <v>1760</v>
      </c>
      <c r="E827" s="42" t="s">
        <v>1778</v>
      </c>
      <c r="F827" s="42" t="s">
        <v>1777</v>
      </c>
      <c r="G827" s="42">
        <v>143</v>
      </c>
      <c r="H827" s="42" t="s">
        <v>471</v>
      </c>
      <c r="I827" s="42" t="s">
        <v>37</v>
      </c>
      <c r="J827" s="42">
        <v>10000</v>
      </c>
    </row>
    <row r="828" spans="1:22">
      <c r="A828" s="61" t="s">
        <v>1777</v>
      </c>
      <c r="C828" s="64" t="s">
        <v>4</v>
      </c>
      <c r="D828" s="64" t="s">
        <v>1760</v>
      </c>
      <c r="E828" s="42" t="s">
        <v>1778</v>
      </c>
      <c r="F828" s="42" t="s">
        <v>1777</v>
      </c>
      <c r="G828" s="42">
        <v>144</v>
      </c>
      <c r="H828" s="42" t="s">
        <v>79</v>
      </c>
      <c r="I828" s="42" t="s">
        <v>37</v>
      </c>
      <c r="J828" s="42">
        <v>50000</v>
      </c>
    </row>
    <row r="829" spans="1:22">
      <c r="A829" s="61" t="s">
        <v>1777</v>
      </c>
      <c r="C829" s="64" t="s">
        <v>4</v>
      </c>
      <c r="D829" s="64" t="s">
        <v>1760</v>
      </c>
      <c r="E829" s="42" t="s">
        <v>1778</v>
      </c>
      <c r="F829" s="42" t="s">
        <v>1777</v>
      </c>
      <c r="G829" s="42">
        <v>145</v>
      </c>
      <c r="H829" s="42" t="s">
        <v>81</v>
      </c>
      <c r="I829" s="42" t="s">
        <v>37</v>
      </c>
      <c r="J829" s="42">
        <v>4000</v>
      </c>
    </row>
    <row r="830" spans="1:22">
      <c r="A830" s="61" t="s">
        <v>1777</v>
      </c>
      <c r="C830" s="64" t="s">
        <v>4</v>
      </c>
      <c r="D830" s="64" t="s">
        <v>1760</v>
      </c>
      <c r="E830" s="42" t="s">
        <v>1778</v>
      </c>
      <c r="F830" s="42" t="s">
        <v>1777</v>
      </c>
      <c r="G830" s="42">
        <v>146</v>
      </c>
      <c r="H830" s="42" t="s">
        <v>88</v>
      </c>
      <c r="I830" s="42" t="s">
        <v>37</v>
      </c>
      <c r="J830" s="42">
        <v>5000</v>
      </c>
    </row>
    <row r="831" spans="1:22">
      <c r="A831" s="61" t="s">
        <v>1777</v>
      </c>
      <c r="C831" s="64" t="s">
        <v>4</v>
      </c>
      <c r="D831" s="64" t="s">
        <v>1760</v>
      </c>
      <c r="E831" s="42" t="s">
        <v>1778</v>
      </c>
      <c r="F831" s="42" t="s">
        <v>1777</v>
      </c>
      <c r="G831" s="42">
        <v>147</v>
      </c>
      <c r="H831" s="42" t="s">
        <v>89</v>
      </c>
      <c r="I831" s="42" t="s">
        <v>37</v>
      </c>
      <c r="J831" s="42">
        <v>24000</v>
      </c>
    </row>
    <row r="832" spans="1:22">
      <c r="A832" s="61" t="s">
        <v>1777</v>
      </c>
      <c r="C832" s="64" t="s">
        <v>4</v>
      </c>
      <c r="D832" s="64" t="s">
        <v>1760</v>
      </c>
      <c r="E832" s="42" t="s">
        <v>1778</v>
      </c>
      <c r="F832" s="42" t="s">
        <v>1777</v>
      </c>
      <c r="G832" s="42">
        <v>148</v>
      </c>
      <c r="H832" s="42" t="s">
        <v>116</v>
      </c>
      <c r="I832" s="42" t="s">
        <v>37</v>
      </c>
      <c r="J832" s="42">
        <v>25000</v>
      </c>
    </row>
    <row r="833" spans="1:22">
      <c r="A833" s="61" t="s">
        <v>1777</v>
      </c>
      <c r="C833" s="64" t="s">
        <v>4</v>
      </c>
      <c r="D833" s="64" t="s">
        <v>1760</v>
      </c>
      <c r="E833" s="42" t="s">
        <v>1778</v>
      </c>
      <c r="F833" s="42" t="s">
        <v>1777</v>
      </c>
      <c r="G833" s="42">
        <v>149</v>
      </c>
      <c r="H833" s="42" t="s">
        <v>120</v>
      </c>
      <c r="I833" s="42" t="s">
        <v>37</v>
      </c>
      <c r="J833" s="42">
        <v>15000</v>
      </c>
    </row>
    <row r="834" spans="1:22">
      <c r="A834" s="61" t="s">
        <v>1777</v>
      </c>
      <c r="C834" s="64" t="s">
        <v>4</v>
      </c>
      <c r="D834" s="64" t="s">
        <v>1760</v>
      </c>
      <c r="E834" s="42" t="s">
        <v>1778</v>
      </c>
      <c r="F834" s="42" t="s">
        <v>1777</v>
      </c>
      <c r="G834" s="42">
        <v>150</v>
      </c>
      <c r="H834" s="42" t="s">
        <v>1170</v>
      </c>
      <c r="I834" s="42" t="s">
        <v>37</v>
      </c>
      <c r="J834" s="42">
        <v>200</v>
      </c>
    </row>
    <row r="835" spans="1:22">
      <c r="A835" s="61" t="s">
        <v>1777</v>
      </c>
      <c r="C835" s="64" t="s">
        <v>4</v>
      </c>
      <c r="D835" s="64" t="s">
        <v>1760</v>
      </c>
      <c r="E835" s="42" t="s">
        <v>1778</v>
      </c>
      <c r="F835" s="42" t="s">
        <v>1777</v>
      </c>
      <c r="G835" s="42">
        <v>151</v>
      </c>
      <c r="H835" s="42" t="s">
        <v>437</v>
      </c>
      <c r="I835" s="42" t="s">
        <v>37</v>
      </c>
      <c r="J835" s="42">
        <v>20000</v>
      </c>
    </row>
    <row r="836" spans="1:22">
      <c r="A836" s="61" t="s">
        <v>1777</v>
      </c>
      <c r="C836" s="64" t="s">
        <v>4</v>
      </c>
      <c r="D836" s="64" t="s">
        <v>1760</v>
      </c>
      <c r="E836" s="42" t="s">
        <v>1778</v>
      </c>
      <c r="F836" s="42" t="s">
        <v>1777</v>
      </c>
      <c r="G836" s="42">
        <v>152</v>
      </c>
      <c r="H836" s="42" t="s">
        <v>249</v>
      </c>
      <c r="I836" s="42" t="s">
        <v>37</v>
      </c>
      <c r="J836" s="42">
        <v>50000</v>
      </c>
    </row>
    <row r="837" spans="1:22">
      <c r="A837" s="61" t="s">
        <v>1777</v>
      </c>
      <c r="C837" s="64" t="s">
        <v>4</v>
      </c>
      <c r="D837" s="64" t="s">
        <v>1760</v>
      </c>
      <c r="E837" s="42" t="s">
        <v>1778</v>
      </c>
      <c r="F837" s="42" t="s">
        <v>1777</v>
      </c>
      <c r="G837" s="42">
        <v>153</v>
      </c>
      <c r="H837" s="42" t="s">
        <v>299</v>
      </c>
      <c r="I837" s="42" t="s">
        <v>37</v>
      </c>
      <c r="J837" s="42">
        <v>20000</v>
      </c>
    </row>
    <row r="838" spans="1:22">
      <c r="A838" s="61" t="s">
        <v>1777</v>
      </c>
      <c r="C838" s="64" t="s">
        <v>4</v>
      </c>
      <c r="D838" s="64" t="s">
        <v>1760</v>
      </c>
      <c r="E838" s="42" t="s">
        <v>1778</v>
      </c>
      <c r="F838" s="42" t="s">
        <v>1777</v>
      </c>
      <c r="G838" s="42">
        <v>154</v>
      </c>
      <c r="H838" s="42" t="s">
        <v>323</v>
      </c>
      <c r="I838" s="42" t="s">
        <v>37</v>
      </c>
      <c r="J838" s="42">
        <v>120000</v>
      </c>
    </row>
    <row r="839" spans="1:22">
      <c r="A839" s="61" t="s">
        <v>1777</v>
      </c>
      <c r="C839" s="64" t="s">
        <v>4</v>
      </c>
      <c r="D839" s="64" t="s">
        <v>1760</v>
      </c>
      <c r="E839" s="42" t="s">
        <v>1778</v>
      </c>
      <c r="F839" s="42" t="s">
        <v>1777</v>
      </c>
      <c r="G839" s="42">
        <v>155</v>
      </c>
      <c r="H839" s="42" t="s">
        <v>495</v>
      </c>
      <c r="I839" s="42" t="s">
        <v>37</v>
      </c>
      <c r="J839" s="42">
        <v>270000</v>
      </c>
    </row>
    <row r="840" spans="1:22">
      <c r="A840" s="61" t="s">
        <v>1777</v>
      </c>
      <c r="C840" s="64" t="s">
        <v>4</v>
      </c>
      <c r="D840" s="64" t="s">
        <v>1760</v>
      </c>
      <c r="E840" s="42" t="s">
        <v>1778</v>
      </c>
      <c r="F840" s="42" t="s">
        <v>1777</v>
      </c>
      <c r="G840" s="42">
        <v>156</v>
      </c>
      <c r="H840" s="42" t="s">
        <v>781</v>
      </c>
      <c r="I840" s="42" t="s">
        <v>37</v>
      </c>
      <c r="J840" s="42">
        <v>8000</v>
      </c>
    </row>
    <row r="841" spans="1:22">
      <c r="A841" s="61" t="s">
        <v>1777</v>
      </c>
      <c r="C841" s="64" t="s">
        <v>4</v>
      </c>
      <c r="D841" s="64" t="s">
        <v>1760</v>
      </c>
      <c r="E841" s="42" t="s">
        <v>1778</v>
      </c>
      <c r="F841" s="42" t="s">
        <v>1777</v>
      </c>
      <c r="G841" s="42">
        <v>157</v>
      </c>
      <c r="H841" s="42" t="s">
        <v>263</v>
      </c>
      <c r="I841" s="42" t="s">
        <v>37</v>
      </c>
      <c r="J841" s="42">
        <v>5000</v>
      </c>
    </row>
    <row r="842" spans="1:22">
      <c r="A842" s="61" t="s">
        <v>1777</v>
      </c>
      <c r="C842" s="64" t="s">
        <v>4</v>
      </c>
      <c r="D842" s="64" t="s">
        <v>1760</v>
      </c>
      <c r="E842" s="42" t="s">
        <v>1778</v>
      </c>
      <c r="F842" s="42" t="s">
        <v>1777</v>
      </c>
      <c r="G842" s="42">
        <v>158</v>
      </c>
      <c r="H842" s="42" t="s">
        <v>533</v>
      </c>
      <c r="I842" s="42" t="s">
        <v>37</v>
      </c>
      <c r="J842" s="42">
        <v>20000</v>
      </c>
    </row>
    <row r="843" spans="1:22">
      <c r="A843" s="61" t="s">
        <v>1777</v>
      </c>
      <c r="C843" s="64" t="s">
        <v>4</v>
      </c>
      <c r="D843" s="64" t="s">
        <v>1760</v>
      </c>
      <c r="E843" s="42" t="s">
        <v>1778</v>
      </c>
      <c r="F843" s="42" t="s">
        <v>1777</v>
      </c>
      <c r="G843" s="42">
        <v>159</v>
      </c>
      <c r="H843" s="42" t="s">
        <v>377</v>
      </c>
      <c r="I843" s="42" t="s">
        <v>37</v>
      </c>
      <c r="J843" s="42">
        <v>30000</v>
      </c>
    </row>
    <row r="844" spans="1:22">
      <c r="A844" s="61" t="s">
        <v>1777</v>
      </c>
      <c r="C844" s="64" t="s">
        <v>4</v>
      </c>
      <c r="D844" s="64" t="s">
        <v>1760</v>
      </c>
      <c r="E844" s="42" t="s">
        <v>1778</v>
      </c>
      <c r="F844" s="42" t="s">
        <v>1777</v>
      </c>
      <c r="G844" s="42">
        <v>160</v>
      </c>
      <c r="H844" s="42" t="s">
        <v>313</v>
      </c>
      <c r="I844" s="42" t="s">
        <v>37</v>
      </c>
      <c r="J844" s="42">
        <v>25000</v>
      </c>
    </row>
    <row r="845" spans="1:22">
      <c r="A845" s="61" t="s">
        <v>1777</v>
      </c>
      <c r="C845" s="64" t="s">
        <v>4</v>
      </c>
      <c r="D845" s="64" t="s">
        <v>1760</v>
      </c>
      <c r="E845" s="42" t="s">
        <v>1778</v>
      </c>
      <c r="F845" s="42" t="s">
        <v>1777</v>
      </c>
      <c r="G845" s="42">
        <v>161</v>
      </c>
      <c r="H845" s="42" t="s">
        <v>983</v>
      </c>
      <c r="I845" s="42" t="s">
        <v>37</v>
      </c>
      <c r="J845" s="42">
        <v>10000</v>
      </c>
    </row>
    <row r="846" spans="1:22">
      <c r="A846" s="61" t="s">
        <v>1777</v>
      </c>
      <c r="C846" s="64" t="s">
        <v>4</v>
      </c>
      <c r="D846" s="64" t="s">
        <v>1760</v>
      </c>
      <c r="E846" s="42" t="s">
        <v>1778</v>
      </c>
      <c r="F846" s="42" t="s">
        <v>1777</v>
      </c>
      <c r="G846" s="42">
        <v>162</v>
      </c>
      <c r="H846" s="42" t="s">
        <v>307</v>
      </c>
      <c r="I846" s="42" t="s">
        <v>37</v>
      </c>
      <c r="J846" s="42">
        <v>15000</v>
      </c>
    </row>
    <row r="847" spans="1:22">
      <c r="A847" s="61" t="s">
        <v>1777</v>
      </c>
      <c r="C847" s="64" t="s">
        <v>4</v>
      </c>
      <c r="D847" s="64" t="s">
        <v>1760</v>
      </c>
      <c r="E847" s="42" t="s">
        <v>1778</v>
      </c>
      <c r="F847" s="42" t="s">
        <v>1777</v>
      </c>
      <c r="G847" s="42">
        <v>163</v>
      </c>
      <c r="H847" s="42" t="s">
        <v>505</v>
      </c>
      <c r="I847" s="42" t="s">
        <v>37</v>
      </c>
      <c r="J847" s="42">
        <v>50000</v>
      </c>
    </row>
    <row r="848" spans="1:22">
      <c r="A848" s="61" t="s">
        <v>1777</v>
      </c>
      <c r="C848" s="64" t="s">
        <v>4</v>
      </c>
      <c r="D848" s="64" t="s">
        <v>1760</v>
      </c>
      <c r="E848" s="42" t="s">
        <v>1778</v>
      </c>
      <c r="F848" s="42" t="s">
        <v>1777</v>
      </c>
      <c r="G848" s="42">
        <v>164</v>
      </c>
      <c r="H848" s="42" t="s">
        <v>507</v>
      </c>
      <c r="I848" s="42" t="s">
        <v>37</v>
      </c>
      <c r="J848" s="42">
        <v>40000</v>
      </c>
    </row>
    <row r="849" spans="1:22">
      <c r="A849" s="61" t="s">
        <v>1777</v>
      </c>
      <c r="C849" s="64" t="s">
        <v>4</v>
      </c>
      <c r="D849" s="64" t="s">
        <v>1760</v>
      </c>
      <c r="E849" s="42" t="s">
        <v>1778</v>
      </c>
      <c r="F849" s="42" t="s">
        <v>1777</v>
      </c>
      <c r="G849" s="42">
        <v>165</v>
      </c>
      <c r="H849" s="42" t="s">
        <v>371</v>
      </c>
      <c r="I849" s="42" t="s">
        <v>37</v>
      </c>
      <c r="J849" s="42">
        <v>10000</v>
      </c>
    </row>
    <row r="850" spans="1:22">
      <c r="A850" s="61" t="s">
        <v>1777</v>
      </c>
      <c r="C850" s="64" t="s">
        <v>4</v>
      </c>
      <c r="D850" s="64" t="s">
        <v>1760</v>
      </c>
      <c r="E850" s="42" t="s">
        <v>1778</v>
      </c>
      <c r="F850" s="42" t="s">
        <v>1777</v>
      </c>
      <c r="G850" s="42">
        <v>166</v>
      </c>
      <c r="H850" s="42" t="s">
        <v>144</v>
      </c>
      <c r="I850" s="42" t="s">
        <v>37</v>
      </c>
      <c r="J850" s="42">
        <v>5000</v>
      </c>
    </row>
    <row r="851" spans="1:22">
      <c r="A851" s="61" t="s">
        <v>1777</v>
      </c>
      <c r="C851" s="64" t="s">
        <v>4</v>
      </c>
      <c r="D851" s="64" t="s">
        <v>1760</v>
      </c>
      <c r="E851" s="42" t="s">
        <v>1778</v>
      </c>
      <c r="F851" s="42" t="s">
        <v>1777</v>
      </c>
      <c r="G851" s="42">
        <v>167</v>
      </c>
      <c r="H851" s="42" t="s">
        <v>787</v>
      </c>
      <c r="I851" s="42" t="s">
        <v>37</v>
      </c>
      <c r="J851" s="42">
        <v>10000</v>
      </c>
    </row>
    <row r="852" spans="1:22">
      <c r="A852" s="61" t="s">
        <v>1777</v>
      </c>
      <c r="C852" s="64" t="s">
        <v>4</v>
      </c>
      <c r="D852" s="64" t="s">
        <v>1760</v>
      </c>
      <c r="E852" s="42" t="s">
        <v>1778</v>
      </c>
      <c r="F852" s="42" t="s">
        <v>1777</v>
      </c>
      <c r="G852" s="42">
        <v>168</v>
      </c>
      <c r="H852" s="42" t="s">
        <v>243</v>
      </c>
      <c r="I852" s="42" t="s">
        <v>37</v>
      </c>
      <c r="J852" s="42">
        <v>5000</v>
      </c>
    </row>
    <row r="853" spans="1:22">
      <c r="A853" s="61" t="s">
        <v>1777</v>
      </c>
      <c r="C853" s="64" t="s">
        <v>4</v>
      </c>
      <c r="D853" s="64" t="s">
        <v>1760</v>
      </c>
      <c r="E853" s="42" t="s">
        <v>1778</v>
      </c>
      <c r="F853" s="42" t="s">
        <v>1777</v>
      </c>
      <c r="G853" s="42">
        <v>169</v>
      </c>
      <c r="H853" s="42" t="s">
        <v>265</v>
      </c>
      <c r="I853" s="42" t="s">
        <v>37</v>
      </c>
      <c r="J853" s="42">
        <v>5000</v>
      </c>
    </row>
    <row r="854" spans="1:22">
      <c r="A854" s="61" t="s">
        <v>1777</v>
      </c>
      <c r="C854" s="64" t="s">
        <v>4</v>
      </c>
      <c r="D854" s="64" t="s">
        <v>1760</v>
      </c>
      <c r="E854" s="42" t="s">
        <v>1778</v>
      </c>
      <c r="F854" s="42" t="s">
        <v>1777</v>
      </c>
      <c r="G854" s="42">
        <v>170</v>
      </c>
      <c r="H854" s="42" t="s">
        <v>247</v>
      </c>
      <c r="I854" s="42" t="s">
        <v>37</v>
      </c>
      <c r="J854" s="42">
        <v>5000</v>
      </c>
    </row>
    <row r="855" spans="1:22">
      <c r="A855" s="61" t="s">
        <v>1777</v>
      </c>
      <c r="C855" s="64" t="s">
        <v>4</v>
      </c>
      <c r="D855" s="64" t="s">
        <v>1760</v>
      </c>
      <c r="E855" s="42" t="s">
        <v>1778</v>
      </c>
      <c r="F855" s="42" t="s">
        <v>1777</v>
      </c>
      <c r="G855" s="42">
        <v>171</v>
      </c>
      <c r="H855" s="42" t="s">
        <v>525</v>
      </c>
      <c r="I855" s="42" t="s">
        <v>37</v>
      </c>
      <c r="J855" s="42">
        <v>8000</v>
      </c>
    </row>
    <row r="856" spans="1:22">
      <c r="A856" s="61" t="s">
        <v>1777</v>
      </c>
      <c r="C856" s="64" t="s">
        <v>4</v>
      </c>
      <c r="D856" s="64" t="s">
        <v>1760</v>
      </c>
      <c r="E856" s="42" t="s">
        <v>1778</v>
      </c>
      <c r="F856" s="42" t="s">
        <v>1777</v>
      </c>
      <c r="G856" s="42">
        <v>172</v>
      </c>
      <c r="H856" s="42" t="s">
        <v>146</v>
      </c>
      <c r="I856" s="42" t="s">
        <v>37</v>
      </c>
      <c r="J856" s="42">
        <v>5000</v>
      </c>
    </row>
    <row r="857" spans="1:22">
      <c r="A857" s="61" t="s">
        <v>1777</v>
      </c>
      <c r="C857" s="64" t="s">
        <v>4</v>
      </c>
      <c r="D857" s="64" t="s">
        <v>1760</v>
      </c>
      <c r="E857" s="42" t="s">
        <v>1778</v>
      </c>
      <c r="F857" s="42" t="s">
        <v>1777</v>
      </c>
      <c r="G857" s="42">
        <v>173</v>
      </c>
      <c r="H857" s="42" t="s">
        <v>1159</v>
      </c>
      <c r="I857" s="42" t="s">
        <v>37</v>
      </c>
      <c r="J857" s="42">
        <v>2700</v>
      </c>
    </row>
    <row r="858" spans="1:22">
      <c r="A858" s="61" t="s">
        <v>1777</v>
      </c>
      <c r="C858" s="64" t="s">
        <v>4</v>
      </c>
      <c r="D858" s="64" t="s">
        <v>1760</v>
      </c>
      <c r="E858" s="42" t="s">
        <v>1778</v>
      </c>
      <c r="F858" s="42" t="s">
        <v>1777</v>
      </c>
      <c r="G858" s="42">
        <v>174</v>
      </c>
      <c r="H858" s="42" t="s">
        <v>148</v>
      </c>
      <c r="I858" s="42" t="s">
        <v>37</v>
      </c>
      <c r="J858" s="42">
        <v>55000</v>
      </c>
    </row>
    <row r="859" spans="1:22">
      <c r="A859" s="61" t="s">
        <v>1777</v>
      </c>
      <c r="C859" s="64" t="s">
        <v>4</v>
      </c>
      <c r="D859" s="64" t="s">
        <v>1760</v>
      </c>
      <c r="E859" s="42" t="s">
        <v>1778</v>
      </c>
      <c r="F859" s="42" t="s">
        <v>1777</v>
      </c>
      <c r="G859" s="42">
        <v>175</v>
      </c>
      <c r="H859" s="42" t="s">
        <v>221</v>
      </c>
      <c r="I859" s="42" t="s">
        <v>37</v>
      </c>
      <c r="J859" s="42">
        <v>90000</v>
      </c>
    </row>
    <row r="860" spans="1:22">
      <c r="A860" s="61" t="s">
        <v>1777</v>
      </c>
      <c r="C860" s="64" t="s">
        <v>4</v>
      </c>
      <c r="D860" s="64" t="s">
        <v>1760</v>
      </c>
      <c r="E860" s="42" t="s">
        <v>1778</v>
      </c>
      <c r="F860" s="42" t="s">
        <v>1777</v>
      </c>
      <c r="G860" s="42">
        <v>176</v>
      </c>
      <c r="H860" s="42" t="s">
        <v>149</v>
      </c>
      <c r="I860" s="42" t="s">
        <v>37</v>
      </c>
      <c r="J860" s="42">
        <v>5000</v>
      </c>
    </row>
    <row r="861" spans="1:22">
      <c r="A861" s="61" t="s">
        <v>1777</v>
      </c>
      <c r="C861" s="64" t="s">
        <v>4</v>
      </c>
      <c r="D861" s="64" t="s">
        <v>1760</v>
      </c>
      <c r="E861" s="42" t="s">
        <v>1778</v>
      </c>
      <c r="F861" s="42" t="s">
        <v>1777</v>
      </c>
      <c r="G861" s="42">
        <v>177</v>
      </c>
      <c r="H861" s="42" t="s">
        <v>241</v>
      </c>
      <c r="I861" s="42" t="s">
        <v>37</v>
      </c>
      <c r="J861" s="42">
        <v>5000</v>
      </c>
    </row>
    <row r="862" spans="1:22">
      <c r="A862" s="61" t="s">
        <v>1777</v>
      </c>
      <c r="C862" s="64" t="s">
        <v>4</v>
      </c>
      <c r="D862" s="64" t="s">
        <v>1760</v>
      </c>
      <c r="E862" s="42" t="s">
        <v>1778</v>
      </c>
      <c r="F862" s="42" t="s">
        <v>1777</v>
      </c>
      <c r="G862" s="42">
        <v>178</v>
      </c>
      <c r="H862" s="42" t="s">
        <v>151</v>
      </c>
      <c r="I862" s="42" t="s">
        <v>37</v>
      </c>
      <c r="J862" s="42">
        <v>10000</v>
      </c>
    </row>
    <row r="863" spans="1:22">
      <c r="A863" s="61" t="s">
        <v>1777</v>
      </c>
      <c r="C863" s="64" t="s">
        <v>4</v>
      </c>
      <c r="D863" s="64" t="s">
        <v>1760</v>
      </c>
      <c r="E863" s="42" t="s">
        <v>1778</v>
      </c>
      <c r="F863" s="42" t="s">
        <v>1777</v>
      </c>
      <c r="G863" s="42">
        <v>179</v>
      </c>
      <c r="H863" s="42" t="s">
        <v>301</v>
      </c>
      <c r="I863" s="42" t="s">
        <v>37</v>
      </c>
      <c r="J863" s="42">
        <v>20000</v>
      </c>
    </row>
    <row r="864" spans="1:22">
      <c r="A864" s="61" t="s">
        <v>1777</v>
      </c>
      <c r="C864" s="64" t="s">
        <v>4</v>
      </c>
      <c r="D864" s="64" t="s">
        <v>1760</v>
      </c>
      <c r="E864" s="42" t="s">
        <v>1778</v>
      </c>
      <c r="F864" s="42" t="s">
        <v>1777</v>
      </c>
      <c r="G864" s="42">
        <v>180</v>
      </c>
      <c r="H864" s="42" t="s">
        <v>153</v>
      </c>
      <c r="I864" s="42" t="s">
        <v>37</v>
      </c>
      <c r="J864" s="42">
        <v>30000</v>
      </c>
    </row>
    <row r="865" spans="1:22">
      <c r="A865" s="61" t="s">
        <v>1777</v>
      </c>
      <c r="C865" s="64" t="s">
        <v>4</v>
      </c>
      <c r="D865" s="64" t="s">
        <v>1760</v>
      </c>
      <c r="E865" s="42" t="s">
        <v>1778</v>
      </c>
      <c r="F865" s="42" t="s">
        <v>1777</v>
      </c>
      <c r="G865" s="42">
        <v>181</v>
      </c>
      <c r="H865" s="42" t="s">
        <v>617</v>
      </c>
      <c r="I865" s="42" t="s">
        <v>37</v>
      </c>
      <c r="J865" s="42">
        <v>40000</v>
      </c>
    </row>
    <row r="866" spans="1:22">
      <c r="A866" s="61" t="s">
        <v>1777</v>
      </c>
      <c r="C866" s="64" t="s">
        <v>4</v>
      </c>
      <c r="D866" s="64" t="s">
        <v>1760</v>
      </c>
      <c r="E866" s="42" t="s">
        <v>1778</v>
      </c>
      <c r="F866" s="42" t="s">
        <v>1777</v>
      </c>
      <c r="G866" s="42">
        <v>182</v>
      </c>
      <c r="H866" s="42" t="s">
        <v>497</v>
      </c>
      <c r="I866" s="42" t="s">
        <v>37</v>
      </c>
      <c r="J866" s="42">
        <v>30000</v>
      </c>
    </row>
    <row r="867" spans="1:22">
      <c r="A867" s="61" t="s">
        <v>1777</v>
      </c>
      <c r="C867" s="64" t="s">
        <v>4</v>
      </c>
      <c r="D867" s="64" t="s">
        <v>1760</v>
      </c>
      <c r="E867" s="42" t="s">
        <v>1778</v>
      </c>
      <c r="F867" s="42" t="s">
        <v>1777</v>
      </c>
      <c r="G867" s="42">
        <v>183</v>
      </c>
      <c r="H867" s="42" t="s">
        <v>1209</v>
      </c>
      <c r="I867" s="42" t="s">
        <v>37</v>
      </c>
      <c r="J867" s="42">
        <v>1000</v>
      </c>
    </row>
    <row r="868" spans="1:22">
      <c r="A868" s="61" t="s">
        <v>1777</v>
      </c>
      <c r="C868" s="64" t="s">
        <v>4</v>
      </c>
      <c r="D868" s="64" t="s">
        <v>1760</v>
      </c>
      <c r="E868" s="42" t="s">
        <v>1778</v>
      </c>
      <c r="F868" s="42" t="s">
        <v>1777</v>
      </c>
      <c r="G868" s="42">
        <v>184</v>
      </c>
      <c r="H868" s="42" t="s">
        <v>1263</v>
      </c>
      <c r="I868" s="42" t="s">
        <v>37</v>
      </c>
      <c r="J868" s="42">
        <v>1000</v>
      </c>
    </row>
    <row r="869" spans="1:22">
      <c r="A869" s="61" t="s">
        <v>1777</v>
      </c>
      <c r="C869" s="64" t="s">
        <v>4</v>
      </c>
      <c r="D869" s="64" t="s">
        <v>1760</v>
      </c>
      <c r="E869" s="42" t="s">
        <v>1778</v>
      </c>
      <c r="F869" s="42" t="s">
        <v>1777</v>
      </c>
      <c r="G869" s="42">
        <v>185</v>
      </c>
      <c r="H869" s="42" t="s">
        <v>1186</v>
      </c>
      <c r="I869" s="42" t="s">
        <v>37</v>
      </c>
      <c r="J869" s="42">
        <v>2000</v>
      </c>
    </row>
    <row r="870" spans="1:22">
      <c r="A870" s="61" t="s">
        <v>1777</v>
      </c>
      <c r="C870" s="64" t="s">
        <v>4</v>
      </c>
      <c r="D870" s="64" t="s">
        <v>1760</v>
      </c>
      <c r="E870" s="42" t="s">
        <v>1778</v>
      </c>
      <c r="F870" s="42" t="s">
        <v>1777</v>
      </c>
      <c r="G870" s="42">
        <v>186</v>
      </c>
      <c r="H870" s="42" t="s">
        <v>1163</v>
      </c>
      <c r="I870" s="42" t="s">
        <v>37</v>
      </c>
      <c r="J870" s="42">
        <v>3000</v>
      </c>
    </row>
    <row r="871" spans="1:22">
      <c r="A871" s="61" t="s">
        <v>1777</v>
      </c>
      <c r="C871" s="64" t="s">
        <v>4</v>
      </c>
      <c r="D871" s="64" t="s">
        <v>1760</v>
      </c>
      <c r="E871" s="42" t="s">
        <v>1778</v>
      </c>
      <c r="F871" s="42" t="s">
        <v>1777</v>
      </c>
      <c r="G871" s="42">
        <v>187</v>
      </c>
      <c r="H871" s="42" t="s">
        <v>1185</v>
      </c>
      <c r="I871" s="42" t="s">
        <v>37</v>
      </c>
      <c r="J871" s="42">
        <v>2000</v>
      </c>
    </row>
    <row r="872" spans="1:22">
      <c r="A872" s="61" t="s">
        <v>1777</v>
      </c>
      <c r="C872" s="64" t="s">
        <v>4</v>
      </c>
      <c r="D872" s="64" t="s">
        <v>1760</v>
      </c>
      <c r="E872" s="42" t="s">
        <v>1778</v>
      </c>
      <c r="F872" s="42" t="s">
        <v>1777</v>
      </c>
      <c r="G872" s="42">
        <v>188</v>
      </c>
      <c r="H872" s="42" t="s">
        <v>1164</v>
      </c>
      <c r="I872" s="42" t="s">
        <v>37</v>
      </c>
      <c r="J872" s="42">
        <v>1000</v>
      </c>
    </row>
    <row r="873" spans="1:22">
      <c r="A873" s="61" t="s">
        <v>1777</v>
      </c>
      <c r="C873" s="64" t="s">
        <v>4</v>
      </c>
      <c r="D873" s="64" t="s">
        <v>1760</v>
      </c>
      <c r="E873" s="42" t="s">
        <v>1778</v>
      </c>
      <c r="F873" s="42" t="s">
        <v>1777</v>
      </c>
      <c r="G873" s="42">
        <v>189</v>
      </c>
      <c r="H873" s="42" t="s">
        <v>1191</v>
      </c>
      <c r="I873" s="42" t="s">
        <v>37</v>
      </c>
      <c r="J873" s="42">
        <v>193</v>
      </c>
    </row>
    <row r="874" spans="1:22">
      <c r="A874" s="61" t="s">
        <v>1777</v>
      </c>
      <c r="C874" s="64" t="s">
        <v>4</v>
      </c>
      <c r="D874" s="64" t="s">
        <v>1760</v>
      </c>
      <c r="E874" s="42" t="s">
        <v>1778</v>
      </c>
      <c r="F874" s="42" t="s">
        <v>1777</v>
      </c>
      <c r="G874" s="42">
        <v>190</v>
      </c>
      <c r="H874" s="42" t="s">
        <v>1192</v>
      </c>
      <c r="I874" s="42" t="s">
        <v>37</v>
      </c>
      <c r="J874" s="42">
        <v>400</v>
      </c>
    </row>
    <row r="875" spans="1:22">
      <c r="A875" s="61" t="s">
        <v>1777</v>
      </c>
      <c r="C875" s="64" t="s">
        <v>4</v>
      </c>
      <c r="D875" s="64" t="s">
        <v>1760</v>
      </c>
      <c r="E875" s="42" t="s">
        <v>1778</v>
      </c>
      <c r="F875" s="42" t="s">
        <v>1777</v>
      </c>
      <c r="G875" s="42">
        <v>191</v>
      </c>
      <c r="H875" s="42" t="s">
        <v>1193</v>
      </c>
      <c r="I875" s="42" t="s">
        <v>37</v>
      </c>
      <c r="J875" s="42">
        <v>1000</v>
      </c>
    </row>
    <row r="876" spans="1:22">
      <c r="A876" s="61" t="s">
        <v>1777</v>
      </c>
      <c r="C876" s="64" t="s">
        <v>4</v>
      </c>
      <c r="D876" s="64" t="s">
        <v>1760</v>
      </c>
      <c r="E876" s="42" t="s">
        <v>1778</v>
      </c>
      <c r="F876" s="42" t="s">
        <v>1777</v>
      </c>
      <c r="G876" s="42">
        <v>192</v>
      </c>
      <c r="H876" s="42" t="s">
        <v>1357</v>
      </c>
      <c r="I876" s="42" t="s">
        <v>133</v>
      </c>
      <c r="J876" s="42">
        <v>330</v>
      </c>
    </row>
    <row r="877" spans="1:22">
      <c r="A877" s="61" t="s">
        <v>1777</v>
      </c>
      <c r="C877" s="64" t="s">
        <v>4</v>
      </c>
      <c r="D877" s="64" t="s">
        <v>1760</v>
      </c>
      <c r="E877" s="42" t="s">
        <v>1778</v>
      </c>
      <c r="F877" s="42" t="s">
        <v>1777</v>
      </c>
      <c r="G877" s="42">
        <v>193</v>
      </c>
      <c r="H877" s="42" t="s">
        <v>381</v>
      </c>
      <c r="I877" s="42" t="s">
        <v>133</v>
      </c>
      <c r="J877" s="42">
        <v>5000</v>
      </c>
    </row>
    <row r="878" spans="1:22">
      <c r="A878" s="61" t="s">
        <v>1777</v>
      </c>
      <c r="C878" s="64" t="s">
        <v>4</v>
      </c>
      <c r="D878" s="64" t="s">
        <v>1760</v>
      </c>
      <c r="E878" s="42" t="s">
        <v>1778</v>
      </c>
      <c r="F878" s="42" t="s">
        <v>1777</v>
      </c>
      <c r="G878" s="42">
        <v>194</v>
      </c>
      <c r="H878" s="42" t="s">
        <v>419</v>
      </c>
      <c r="I878" s="42" t="s">
        <v>133</v>
      </c>
      <c r="J878" s="42">
        <v>15000</v>
      </c>
    </row>
    <row r="879" spans="1:22">
      <c r="A879" s="61" t="s">
        <v>1777</v>
      </c>
      <c r="C879" s="64" t="s">
        <v>4</v>
      </c>
      <c r="D879" s="64" t="s">
        <v>1760</v>
      </c>
      <c r="E879" s="42" t="s">
        <v>1778</v>
      </c>
      <c r="F879" s="42" t="s">
        <v>1777</v>
      </c>
      <c r="G879" s="42">
        <v>195</v>
      </c>
      <c r="H879" s="42" t="s">
        <v>421</v>
      </c>
      <c r="I879" s="42" t="s">
        <v>133</v>
      </c>
      <c r="J879" s="42">
        <v>15000</v>
      </c>
    </row>
    <row r="880" spans="1:22">
      <c r="A880" s="61" t="s">
        <v>1777</v>
      </c>
      <c r="C880" s="64" t="s">
        <v>4</v>
      </c>
      <c r="D880" s="64" t="s">
        <v>1760</v>
      </c>
      <c r="E880" s="42" t="s">
        <v>1778</v>
      </c>
      <c r="F880" s="42" t="s">
        <v>1777</v>
      </c>
      <c r="G880" s="42">
        <v>196</v>
      </c>
      <c r="H880" s="42" t="s">
        <v>441</v>
      </c>
      <c r="I880" s="42" t="s">
        <v>133</v>
      </c>
      <c r="J880" s="42">
        <v>26000</v>
      </c>
    </row>
    <row r="881" spans="1:22">
      <c r="A881" s="61" t="s">
        <v>1777</v>
      </c>
      <c r="C881" s="64" t="s">
        <v>4</v>
      </c>
      <c r="D881" s="64" t="s">
        <v>1760</v>
      </c>
      <c r="E881" s="42" t="s">
        <v>1778</v>
      </c>
      <c r="F881" s="42" t="s">
        <v>1777</v>
      </c>
      <c r="G881" s="42">
        <v>197</v>
      </c>
      <c r="H881" s="42" t="s">
        <v>443</v>
      </c>
      <c r="I881" s="42" t="s">
        <v>133</v>
      </c>
      <c r="J881" s="42">
        <v>28000</v>
      </c>
    </row>
    <row r="882" spans="1:22">
      <c r="A882" s="61" t="s">
        <v>1777</v>
      </c>
      <c r="C882" s="64" t="s">
        <v>4</v>
      </c>
      <c r="D882" s="64" t="s">
        <v>1760</v>
      </c>
      <c r="E882" s="42" t="s">
        <v>1778</v>
      </c>
      <c r="F882" s="42" t="s">
        <v>1777</v>
      </c>
      <c r="G882" s="42">
        <v>198</v>
      </c>
      <c r="H882" s="42" t="s">
        <v>553</v>
      </c>
      <c r="I882" s="42" t="s">
        <v>133</v>
      </c>
      <c r="J882" s="42">
        <v>10000</v>
      </c>
    </row>
    <row r="883" spans="1:22">
      <c r="A883" s="61" t="s">
        <v>1777</v>
      </c>
      <c r="C883" s="64" t="s">
        <v>4</v>
      </c>
      <c r="D883" s="64" t="s">
        <v>1760</v>
      </c>
      <c r="E883" s="42" t="s">
        <v>1778</v>
      </c>
      <c r="F883" s="42" t="s">
        <v>1777</v>
      </c>
      <c r="G883" s="42">
        <v>199</v>
      </c>
      <c r="H883" s="42" t="s">
        <v>551</v>
      </c>
      <c r="I883" s="42" t="s">
        <v>133</v>
      </c>
      <c r="J883" s="42">
        <v>10000</v>
      </c>
    </row>
    <row r="884" spans="1:22">
      <c r="A884" s="61" t="s">
        <v>1777</v>
      </c>
      <c r="C884" s="64" t="s">
        <v>4</v>
      </c>
      <c r="D884" s="64" t="s">
        <v>1760</v>
      </c>
      <c r="E884" s="42" t="s">
        <v>1778</v>
      </c>
      <c r="F884" s="42" t="s">
        <v>1777</v>
      </c>
      <c r="G884" s="42">
        <v>200</v>
      </c>
      <c r="H884" s="42" t="s">
        <v>549</v>
      </c>
      <c r="I884" s="42" t="s">
        <v>133</v>
      </c>
      <c r="J884" s="42">
        <v>15000</v>
      </c>
    </row>
    <row r="885" spans="1:22">
      <c r="A885" s="61" t="s">
        <v>1777</v>
      </c>
      <c r="C885" s="64" t="s">
        <v>4</v>
      </c>
      <c r="D885" s="64" t="s">
        <v>1760</v>
      </c>
      <c r="E885" s="42" t="s">
        <v>1778</v>
      </c>
      <c r="F885" s="42" t="s">
        <v>1777</v>
      </c>
      <c r="G885" s="42">
        <v>201</v>
      </c>
      <c r="H885" s="42" t="s">
        <v>547</v>
      </c>
      <c r="I885" s="42" t="s">
        <v>133</v>
      </c>
      <c r="J885" s="42">
        <v>8000</v>
      </c>
    </row>
    <row r="886" spans="1:22">
      <c r="A886" s="61" t="s">
        <v>1777</v>
      </c>
      <c r="C886" s="64" t="s">
        <v>4</v>
      </c>
      <c r="D886" s="64" t="s">
        <v>1760</v>
      </c>
      <c r="E886" s="42" t="s">
        <v>1778</v>
      </c>
      <c r="F886" s="42" t="s">
        <v>1777</v>
      </c>
      <c r="G886" s="42">
        <v>202</v>
      </c>
      <c r="H886" s="42" t="s">
        <v>611</v>
      </c>
      <c r="I886" s="42" t="s">
        <v>133</v>
      </c>
      <c r="J886" s="42">
        <v>12000</v>
      </c>
    </row>
    <row r="887" spans="1:22">
      <c r="A887" s="61" t="s">
        <v>1777</v>
      </c>
      <c r="C887" s="64" t="s">
        <v>4</v>
      </c>
      <c r="D887" s="64" t="s">
        <v>1760</v>
      </c>
      <c r="E887" s="42" t="s">
        <v>1778</v>
      </c>
      <c r="F887" s="42" t="s">
        <v>1777</v>
      </c>
      <c r="G887" s="42">
        <v>203</v>
      </c>
      <c r="H887" s="42" t="s">
        <v>613</v>
      </c>
      <c r="I887" s="42" t="s">
        <v>133</v>
      </c>
      <c r="J887" s="42">
        <v>5000</v>
      </c>
    </row>
    <row r="888" spans="1:22">
      <c r="A888" s="61" t="s">
        <v>1777</v>
      </c>
      <c r="C888" s="64" t="s">
        <v>4</v>
      </c>
      <c r="D888" s="64" t="s">
        <v>1760</v>
      </c>
      <c r="E888" s="42" t="s">
        <v>1778</v>
      </c>
      <c r="F888" s="42" t="s">
        <v>1777</v>
      </c>
      <c r="G888" s="42">
        <v>204</v>
      </c>
      <c r="H888" s="42" t="s">
        <v>977</v>
      </c>
      <c r="I888" s="42" t="s">
        <v>133</v>
      </c>
      <c r="J888" s="42">
        <v>12500</v>
      </c>
    </row>
    <row r="889" spans="1:22">
      <c r="A889" s="61" t="s">
        <v>1777</v>
      </c>
      <c r="C889" s="64" t="s">
        <v>4</v>
      </c>
      <c r="D889" s="64" t="s">
        <v>1760</v>
      </c>
      <c r="E889" s="42" t="s">
        <v>1778</v>
      </c>
      <c r="F889" s="42" t="s">
        <v>1777</v>
      </c>
      <c r="G889" s="42">
        <v>205</v>
      </c>
      <c r="H889" s="42" t="s">
        <v>979</v>
      </c>
      <c r="I889" s="42" t="s">
        <v>133</v>
      </c>
      <c r="J889" s="42">
        <v>6000</v>
      </c>
    </row>
    <row r="890" spans="1:22">
      <c r="A890" s="61" t="s">
        <v>1777</v>
      </c>
      <c r="C890" s="64" t="s">
        <v>4</v>
      </c>
      <c r="D890" s="64" t="s">
        <v>1760</v>
      </c>
      <c r="E890" s="42" t="s">
        <v>1778</v>
      </c>
      <c r="F890" s="42" t="s">
        <v>1777</v>
      </c>
      <c r="G890" s="42">
        <v>206</v>
      </c>
      <c r="H890" s="42" t="s">
        <v>731</v>
      </c>
      <c r="I890" s="42" t="s">
        <v>133</v>
      </c>
      <c r="J890" s="42">
        <v>8000</v>
      </c>
    </row>
    <row r="891" spans="1:22">
      <c r="A891" s="61" t="s">
        <v>1777</v>
      </c>
      <c r="C891" s="64" t="s">
        <v>4</v>
      </c>
      <c r="D891" s="64" t="s">
        <v>1760</v>
      </c>
      <c r="E891" s="42" t="s">
        <v>1778</v>
      </c>
      <c r="F891" s="42" t="s">
        <v>1777</v>
      </c>
      <c r="G891" s="42">
        <v>207</v>
      </c>
      <c r="H891" s="42" t="s">
        <v>729</v>
      </c>
      <c r="I891" s="42" t="s">
        <v>133</v>
      </c>
      <c r="J891" s="42">
        <v>5000</v>
      </c>
    </row>
    <row r="892" spans="1:22">
      <c r="A892" s="61" t="s">
        <v>1777</v>
      </c>
      <c r="C892" s="64" t="s">
        <v>4</v>
      </c>
      <c r="D892" s="64" t="s">
        <v>1760</v>
      </c>
      <c r="E892" s="42" t="s">
        <v>1778</v>
      </c>
      <c r="F892" s="42" t="s">
        <v>1777</v>
      </c>
      <c r="G892" s="42">
        <v>208</v>
      </c>
      <c r="H892" s="42" t="s">
        <v>765</v>
      </c>
      <c r="I892" s="42" t="s">
        <v>133</v>
      </c>
      <c r="J892" s="42">
        <v>4000</v>
      </c>
    </row>
    <row r="893" spans="1:22">
      <c r="A893" s="61" t="s">
        <v>1777</v>
      </c>
      <c r="C893" s="64" t="s">
        <v>4</v>
      </c>
      <c r="D893" s="64" t="s">
        <v>1760</v>
      </c>
      <c r="E893" s="42" t="s">
        <v>1778</v>
      </c>
      <c r="F893" s="42" t="s">
        <v>1777</v>
      </c>
      <c r="G893" s="42">
        <v>209</v>
      </c>
      <c r="H893" s="42" t="s">
        <v>767</v>
      </c>
      <c r="I893" s="42" t="s">
        <v>133</v>
      </c>
      <c r="J893" s="42">
        <v>3000</v>
      </c>
    </row>
    <row r="894" spans="1:22">
      <c r="A894" s="61" t="s">
        <v>1777</v>
      </c>
      <c r="C894" s="64" t="s">
        <v>4</v>
      </c>
      <c r="D894" s="64" t="s">
        <v>1760</v>
      </c>
      <c r="E894" s="42" t="s">
        <v>1778</v>
      </c>
      <c r="F894" s="42" t="s">
        <v>1777</v>
      </c>
      <c r="G894" s="42">
        <v>210</v>
      </c>
      <c r="H894" s="42" t="s">
        <v>1214</v>
      </c>
      <c r="I894" s="42" t="s">
        <v>133</v>
      </c>
      <c r="J894" s="42">
        <v>20000</v>
      </c>
    </row>
    <row r="895" spans="1:22">
      <c r="A895" s="61" t="s">
        <v>1777</v>
      </c>
      <c r="C895" s="64" t="s">
        <v>4</v>
      </c>
      <c r="D895" s="64" t="s">
        <v>1760</v>
      </c>
      <c r="E895" s="42" t="s">
        <v>1778</v>
      </c>
      <c r="F895" s="42" t="s">
        <v>1777</v>
      </c>
      <c r="G895" s="42">
        <v>211</v>
      </c>
      <c r="H895" s="42" t="s">
        <v>1215</v>
      </c>
      <c r="I895" s="42" t="s">
        <v>133</v>
      </c>
      <c r="J895" s="42">
        <v>20000</v>
      </c>
    </row>
    <row r="896" spans="1:22">
      <c r="A896" s="61" t="s">
        <v>1777</v>
      </c>
      <c r="C896" s="64" t="s">
        <v>4</v>
      </c>
      <c r="D896" s="64" t="s">
        <v>1760</v>
      </c>
      <c r="E896" s="42" t="s">
        <v>1778</v>
      </c>
      <c r="F896" s="42" t="s">
        <v>1777</v>
      </c>
      <c r="G896" s="42">
        <v>212</v>
      </c>
      <c r="H896" s="42" t="s">
        <v>1066</v>
      </c>
      <c r="I896" s="42" t="s">
        <v>133</v>
      </c>
      <c r="J896" s="42">
        <v>5000</v>
      </c>
    </row>
    <row r="897" spans="1:22">
      <c r="A897" s="61" t="s">
        <v>1777</v>
      </c>
      <c r="C897" s="64" t="s">
        <v>4</v>
      </c>
      <c r="D897" s="64" t="s">
        <v>1760</v>
      </c>
      <c r="E897" s="42" t="s">
        <v>1778</v>
      </c>
      <c r="F897" s="42" t="s">
        <v>1777</v>
      </c>
      <c r="G897" s="42">
        <v>213</v>
      </c>
      <c r="H897" s="42" t="s">
        <v>1369</v>
      </c>
      <c r="I897" s="42" t="s">
        <v>133</v>
      </c>
      <c r="J897" s="42">
        <v>13000</v>
      </c>
    </row>
    <row r="898" spans="1:22">
      <c r="A898" s="61" t="s">
        <v>1777</v>
      </c>
      <c r="C898" s="64" t="s">
        <v>4</v>
      </c>
      <c r="D898" s="64" t="s">
        <v>1760</v>
      </c>
      <c r="E898" s="42" t="s">
        <v>1778</v>
      </c>
      <c r="F898" s="42" t="s">
        <v>1777</v>
      </c>
      <c r="G898" s="42">
        <v>214</v>
      </c>
      <c r="H898" s="42" t="s">
        <v>1267</v>
      </c>
      <c r="I898" s="42" t="s">
        <v>133</v>
      </c>
      <c r="J898" s="42">
        <v>28579</v>
      </c>
    </row>
    <row r="899" spans="1:22">
      <c r="A899" s="61" t="s">
        <v>1777</v>
      </c>
      <c r="C899" s="64" t="s">
        <v>4</v>
      </c>
      <c r="D899" s="64" t="s">
        <v>1760</v>
      </c>
      <c r="E899" s="42" t="s">
        <v>1778</v>
      </c>
      <c r="F899" s="42" t="s">
        <v>1777</v>
      </c>
      <c r="G899" s="42">
        <v>215</v>
      </c>
      <c r="H899" s="42" t="s">
        <v>1268</v>
      </c>
      <c r="I899" s="42" t="s">
        <v>133</v>
      </c>
      <c r="J899" s="42">
        <v>10000</v>
      </c>
    </row>
    <row r="900" spans="1:22">
      <c r="A900" s="61" t="s">
        <v>1777</v>
      </c>
      <c r="C900" s="64" t="s">
        <v>4</v>
      </c>
      <c r="D900" s="64" t="s">
        <v>1760</v>
      </c>
      <c r="E900" s="42" t="s">
        <v>1778</v>
      </c>
      <c r="F900" s="42" t="s">
        <v>1777</v>
      </c>
      <c r="G900" s="42">
        <v>216</v>
      </c>
      <c r="H900" s="42" t="s">
        <v>131</v>
      </c>
      <c r="I900" s="42" t="s">
        <v>133</v>
      </c>
      <c r="J900" s="42">
        <v>88115</v>
      </c>
    </row>
    <row r="901" spans="1:22">
      <c r="A901" s="61" t="s">
        <v>1777</v>
      </c>
      <c r="C901" s="64" t="s">
        <v>4</v>
      </c>
      <c r="D901" s="64" t="s">
        <v>1760</v>
      </c>
      <c r="E901" s="42" t="s">
        <v>1778</v>
      </c>
      <c r="F901" s="42" t="s">
        <v>1777</v>
      </c>
      <c r="G901" s="42">
        <v>217</v>
      </c>
      <c r="H901" s="42" t="s">
        <v>137</v>
      </c>
      <c r="I901" s="42" t="s">
        <v>133</v>
      </c>
      <c r="J901" s="42">
        <v>5000</v>
      </c>
    </row>
    <row r="902" spans="1:22">
      <c r="A902" s="61" t="s">
        <v>1777</v>
      </c>
      <c r="C902" s="64" t="s">
        <v>4</v>
      </c>
      <c r="D902" s="64" t="s">
        <v>1760</v>
      </c>
      <c r="E902" s="42" t="s">
        <v>1778</v>
      </c>
      <c r="F902" s="42" t="s">
        <v>1777</v>
      </c>
      <c r="G902" s="42">
        <v>218</v>
      </c>
      <c r="H902" s="42" t="s">
        <v>93</v>
      </c>
      <c r="I902" s="42" t="s">
        <v>92</v>
      </c>
      <c r="J902" s="42">
        <v>83802</v>
      </c>
    </row>
    <row r="903" spans="1:22">
      <c r="A903" s="61" t="s">
        <v>1777</v>
      </c>
      <c r="C903" s="64" t="s">
        <v>4</v>
      </c>
      <c r="D903" s="64" t="s">
        <v>1760</v>
      </c>
      <c r="E903" s="42" t="s">
        <v>1778</v>
      </c>
      <c r="F903" s="42" t="s">
        <v>1777</v>
      </c>
      <c r="G903" s="42">
        <v>219</v>
      </c>
      <c r="H903" s="42" t="s">
        <v>687</v>
      </c>
      <c r="I903" s="42" t="s">
        <v>92</v>
      </c>
      <c r="J903" s="42">
        <v>5000</v>
      </c>
    </row>
    <row r="904" spans="1:22">
      <c r="A904" s="61" t="s">
        <v>1777</v>
      </c>
      <c r="C904" s="64" t="s">
        <v>4</v>
      </c>
      <c r="D904" s="64" t="s">
        <v>1760</v>
      </c>
      <c r="E904" s="42" t="s">
        <v>1778</v>
      </c>
      <c r="F904" s="42" t="s">
        <v>1777</v>
      </c>
      <c r="G904" s="42">
        <v>220</v>
      </c>
      <c r="H904" s="42" t="s">
        <v>139</v>
      </c>
      <c r="I904" s="42" t="s">
        <v>92</v>
      </c>
      <c r="J904" s="42">
        <v>5000</v>
      </c>
    </row>
    <row r="905" spans="1:22">
      <c r="A905" s="61" t="s">
        <v>1777</v>
      </c>
      <c r="C905" s="64" t="s">
        <v>4</v>
      </c>
      <c r="D905" s="64" t="s">
        <v>1760</v>
      </c>
      <c r="E905" s="42" t="s">
        <v>1778</v>
      </c>
      <c r="F905" s="42" t="s">
        <v>1777</v>
      </c>
      <c r="G905" s="42">
        <v>221</v>
      </c>
      <c r="H905" s="42" t="s">
        <v>197</v>
      </c>
      <c r="I905" s="42" t="s">
        <v>102</v>
      </c>
      <c r="J905" s="42">
        <v>1233</v>
      </c>
    </row>
    <row r="906" spans="1:22">
      <c r="A906" s="61" t="s">
        <v>1777</v>
      </c>
      <c r="C906" s="64" t="s">
        <v>4</v>
      </c>
      <c r="D906" s="64" t="s">
        <v>1760</v>
      </c>
      <c r="E906" s="42" t="s">
        <v>1779</v>
      </c>
      <c r="F906" s="42" t="s">
        <v>1777</v>
      </c>
      <c r="G906" s="42">
        <v>1</v>
      </c>
      <c r="H906" s="42" t="s">
        <v>165</v>
      </c>
      <c r="I906" s="42" t="s">
        <v>113</v>
      </c>
      <c r="J906" s="42">
        <v>6036</v>
      </c>
    </row>
    <row r="907" spans="1:22">
      <c r="A907" s="61" t="s">
        <v>1777</v>
      </c>
      <c r="C907" s="64" t="s">
        <v>4</v>
      </c>
      <c r="D907" s="64" t="s">
        <v>1760</v>
      </c>
      <c r="E907" s="42" t="s">
        <v>1779</v>
      </c>
      <c r="F907" s="42" t="s">
        <v>1777</v>
      </c>
      <c r="G907" s="42">
        <v>2</v>
      </c>
      <c r="H907" s="42" t="s">
        <v>172</v>
      </c>
      <c r="I907" s="42" t="s">
        <v>102</v>
      </c>
      <c r="J907" s="42">
        <v>131319</v>
      </c>
    </row>
    <row r="908" spans="1:22">
      <c r="A908" s="61" t="s">
        <v>1777</v>
      </c>
      <c r="C908" s="64" t="s">
        <v>4</v>
      </c>
      <c r="D908" s="64" t="s">
        <v>1760</v>
      </c>
      <c r="E908" s="42" t="s">
        <v>1779</v>
      </c>
      <c r="F908" s="42" t="s">
        <v>1777</v>
      </c>
      <c r="G908" s="42">
        <v>3</v>
      </c>
      <c r="H908" s="42" t="s">
        <v>114</v>
      </c>
      <c r="I908" s="42" t="s">
        <v>106</v>
      </c>
      <c r="J908" s="42">
        <v>25727</v>
      </c>
    </row>
    <row r="909" spans="1:22">
      <c r="A909" s="61" t="s">
        <v>1777</v>
      </c>
      <c r="C909" s="64" t="s">
        <v>4</v>
      </c>
      <c r="D909" s="64" t="s">
        <v>1760</v>
      </c>
      <c r="E909" s="42" t="s">
        <v>1779</v>
      </c>
      <c r="F909" s="42" t="s">
        <v>1777</v>
      </c>
      <c r="G909" s="42">
        <v>4</v>
      </c>
      <c r="H909" s="42" t="s">
        <v>175</v>
      </c>
      <c r="I909" s="42" t="s">
        <v>106</v>
      </c>
      <c r="J909" s="42">
        <v>20000</v>
      </c>
    </row>
    <row r="910" spans="1:22">
      <c r="A910" s="61" t="s">
        <v>1777</v>
      </c>
      <c r="C910" s="64" t="s">
        <v>4</v>
      </c>
      <c r="D910" s="64" t="s">
        <v>1760</v>
      </c>
      <c r="E910" s="42" t="s">
        <v>1779</v>
      </c>
      <c r="F910" s="42" t="s">
        <v>1777</v>
      </c>
      <c r="G910" s="42">
        <v>5</v>
      </c>
      <c r="H910" s="42" t="s">
        <v>455</v>
      </c>
      <c r="I910" s="42" t="s">
        <v>106</v>
      </c>
      <c r="J910" s="42">
        <v>20000</v>
      </c>
    </row>
    <row r="911" spans="1:22">
      <c r="A911" s="61" t="s">
        <v>1777</v>
      </c>
      <c r="C911" s="64" t="s">
        <v>4</v>
      </c>
      <c r="D911" s="64" t="s">
        <v>1760</v>
      </c>
      <c r="E911" s="42" t="s">
        <v>1779</v>
      </c>
      <c r="F911" s="42" t="s">
        <v>1777</v>
      </c>
      <c r="G911" s="42">
        <v>6</v>
      </c>
      <c r="H911" s="42" t="s">
        <v>453</v>
      </c>
      <c r="I911" s="42" t="s">
        <v>106</v>
      </c>
      <c r="J911" s="42">
        <v>40000</v>
      </c>
    </row>
    <row r="912" spans="1:22">
      <c r="A912" s="61" t="s">
        <v>1777</v>
      </c>
      <c r="C912" s="64" t="s">
        <v>4</v>
      </c>
      <c r="D912" s="64" t="s">
        <v>1760</v>
      </c>
      <c r="E912" s="42" t="s">
        <v>1779</v>
      </c>
      <c r="F912" s="42" t="s">
        <v>1777</v>
      </c>
      <c r="G912" s="42">
        <v>7</v>
      </c>
      <c r="H912" s="42" t="s">
        <v>195</v>
      </c>
      <c r="I912" s="42" t="s">
        <v>106</v>
      </c>
      <c r="J912" s="42">
        <v>30000</v>
      </c>
    </row>
    <row r="913" spans="1:22">
      <c r="A913" s="61" t="s">
        <v>1777</v>
      </c>
      <c r="C913" s="64" t="s">
        <v>4</v>
      </c>
      <c r="D913" s="64" t="s">
        <v>1760</v>
      </c>
      <c r="E913" s="42" t="s">
        <v>1779</v>
      </c>
      <c r="F913" s="42" t="s">
        <v>1777</v>
      </c>
      <c r="G913" s="42">
        <v>8</v>
      </c>
      <c r="H913" s="42" t="s">
        <v>331</v>
      </c>
      <c r="I913" s="42" t="s">
        <v>106</v>
      </c>
      <c r="J913" s="42">
        <v>56185</v>
      </c>
    </row>
    <row r="914" spans="1:22">
      <c r="A914" s="61" t="s">
        <v>1777</v>
      </c>
      <c r="C914" s="64" t="s">
        <v>4</v>
      </c>
      <c r="D914" s="64" t="s">
        <v>1760</v>
      </c>
      <c r="E914" s="42" t="s">
        <v>1779</v>
      </c>
      <c r="F914" s="42" t="s">
        <v>1777</v>
      </c>
      <c r="G914" s="42">
        <v>9</v>
      </c>
      <c r="H914" s="42" t="s">
        <v>1173</v>
      </c>
      <c r="I914" s="42" t="s">
        <v>1175</v>
      </c>
      <c r="J914" s="42">
        <v>100</v>
      </c>
    </row>
    <row r="915" spans="1:22">
      <c r="A915" s="61" t="s">
        <v>1777</v>
      </c>
      <c r="C915" s="64" t="s">
        <v>4</v>
      </c>
      <c r="D915" s="64" t="s">
        <v>1760</v>
      </c>
      <c r="E915" s="42" t="s">
        <v>1779</v>
      </c>
      <c r="F915" s="42" t="s">
        <v>1777</v>
      </c>
      <c r="G915" s="42">
        <v>10</v>
      </c>
      <c r="H915" s="42" t="s">
        <v>1197</v>
      </c>
      <c r="I915" s="42" t="s">
        <v>158</v>
      </c>
      <c r="J915" s="42">
        <v>1000</v>
      </c>
    </row>
    <row r="916" spans="1:22">
      <c r="A916" s="61" t="s">
        <v>1777</v>
      </c>
      <c r="C916" s="64" t="s">
        <v>4</v>
      </c>
      <c r="D916" s="64" t="s">
        <v>1760</v>
      </c>
      <c r="E916" s="42" t="s">
        <v>1779</v>
      </c>
      <c r="F916" s="42" t="s">
        <v>1777</v>
      </c>
      <c r="G916" s="42">
        <v>11</v>
      </c>
      <c r="H916" s="42" t="s">
        <v>167</v>
      </c>
      <c r="I916" s="42" t="s">
        <v>113</v>
      </c>
      <c r="J916" s="42">
        <v>30000</v>
      </c>
    </row>
    <row r="917" spans="1:22">
      <c r="A917" s="61" t="s">
        <v>1777</v>
      </c>
      <c r="C917" s="64" t="s">
        <v>4</v>
      </c>
      <c r="D917" s="64" t="s">
        <v>1760</v>
      </c>
      <c r="E917" s="42" t="s">
        <v>1779</v>
      </c>
      <c r="F917" s="42" t="s">
        <v>1777</v>
      </c>
      <c r="G917" s="42">
        <v>12</v>
      </c>
      <c r="H917" s="42" t="s">
        <v>168</v>
      </c>
      <c r="I917" s="42" t="s">
        <v>113</v>
      </c>
      <c r="J917" s="42">
        <v>20000</v>
      </c>
    </row>
    <row r="918" spans="1:22">
      <c r="A918" s="61" t="s">
        <v>1777</v>
      </c>
      <c r="C918" s="64" t="s">
        <v>4</v>
      </c>
      <c r="D918" s="64" t="s">
        <v>1760</v>
      </c>
      <c r="E918" s="42" t="s">
        <v>1779</v>
      </c>
      <c r="F918" s="42" t="s">
        <v>1777</v>
      </c>
      <c r="G918" s="42">
        <v>13</v>
      </c>
      <c r="H918" s="42" t="s">
        <v>555</v>
      </c>
      <c r="I918" s="42" t="s">
        <v>113</v>
      </c>
      <c r="J918" s="42">
        <v>6000</v>
      </c>
    </row>
    <row r="919" spans="1:22">
      <c r="A919" s="61" t="s">
        <v>1777</v>
      </c>
      <c r="C919" s="64" t="s">
        <v>4</v>
      </c>
      <c r="D919" s="64" t="s">
        <v>1760</v>
      </c>
      <c r="E919" s="42" t="s">
        <v>1779</v>
      </c>
      <c r="F919" s="42" t="s">
        <v>1777</v>
      </c>
      <c r="G919" s="42">
        <v>14</v>
      </c>
      <c r="H919" s="42" t="s">
        <v>1200</v>
      </c>
      <c r="I919" s="42" t="s">
        <v>1780</v>
      </c>
      <c r="J919" s="42">
        <v>400</v>
      </c>
    </row>
    <row r="920" spans="1:22">
      <c r="A920" s="61" t="s">
        <v>1777</v>
      </c>
      <c r="C920" s="64" t="s">
        <v>4</v>
      </c>
      <c r="D920" s="64" t="s">
        <v>1760</v>
      </c>
      <c r="E920" s="42" t="s">
        <v>1779</v>
      </c>
      <c r="F920" s="42" t="s">
        <v>1777</v>
      </c>
      <c r="G920" s="42">
        <v>15</v>
      </c>
      <c r="H920" s="42" t="s">
        <v>463</v>
      </c>
      <c r="I920" s="42" t="s">
        <v>1764</v>
      </c>
      <c r="J920" s="42">
        <v>1376</v>
      </c>
    </row>
    <row r="921" spans="1:22">
      <c r="A921" s="61" t="s">
        <v>1777</v>
      </c>
      <c r="C921" s="64" t="s">
        <v>4</v>
      </c>
      <c r="D921" s="64" t="s">
        <v>1760</v>
      </c>
      <c r="E921" s="42" t="s">
        <v>1779</v>
      </c>
      <c r="F921" s="42" t="s">
        <v>1777</v>
      </c>
      <c r="G921" s="42">
        <v>16</v>
      </c>
      <c r="H921" s="42" t="s">
        <v>391</v>
      </c>
      <c r="I921" s="42" t="s">
        <v>133</v>
      </c>
      <c r="J921" s="42">
        <v>50000</v>
      </c>
    </row>
    <row r="922" spans="1:22">
      <c r="A922" s="61" t="s">
        <v>1777</v>
      </c>
      <c r="C922" s="64" t="s">
        <v>4</v>
      </c>
      <c r="D922" s="64" t="s">
        <v>1760</v>
      </c>
      <c r="E922" s="42" t="s">
        <v>1779</v>
      </c>
      <c r="F922" s="42" t="s">
        <v>1777</v>
      </c>
      <c r="G922" s="42">
        <v>17</v>
      </c>
      <c r="H922" s="42" t="s">
        <v>1458</v>
      </c>
      <c r="I922" s="42" t="s">
        <v>133</v>
      </c>
      <c r="J922" s="42">
        <v>40000</v>
      </c>
    </row>
    <row r="923" spans="1:22">
      <c r="A923" s="61" t="s">
        <v>1777</v>
      </c>
      <c r="C923" s="64" t="s">
        <v>4</v>
      </c>
      <c r="D923" s="64" t="s">
        <v>1760</v>
      </c>
      <c r="E923" s="42" t="s">
        <v>1779</v>
      </c>
      <c r="F923" s="42" t="s">
        <v>1777</v>
      </c>
      <c r="G923" s="42">
        <v>18</v>
      </c>
      <c r="H923" s="42" t="s">
        <v>571</v>
      </c>
      <c r="I923" s="42" t="s">
        <v>133</v>
      </c>
      <c r="J923" s="42">
        <v>40000</v>
      </c>
    </row>
    <row r="924" spans="1:22">
      <c r="A924" s="61" t="s">
        <v>1777</v>
      </c>
      <c r="C924" s="64" t="s">
        <v>4</v>
      </c>
      <c r="D924" s="64" t="s">
        <v>1760</v>
      </c>
      <c r="E924" s="42" t="s">
        <v>1779</v>
      </c>
      <c r="F924" s="42" t="s">
        <v>1777</v>
      </c>
      <c r="G924" s="42">
        <v>19</v>
      </c>
      <c r="H924" s="42" t="s">
        <v>591</v>
      </c>
      <c r="I924" s="42" t="s">
        <v>133</v>
      </c>
      <c r="J924" s="42">
        <v>35000</v>
      </c>
    </row>
    <row r="925" spans="1:22">
      <c r="A925" s="61" t="s">
        <v>1777</v>
      </c>
      <c r="C925" s="64" t="s">
        <v>4</v>
      </c>
      <c r="D925" s="64" t="s">
        <v>1760</v>
      </c>
      <c r="E925" s="42" t="s">
        <v>1779</v>
      </c>
      <c r="F925" s="42" t="s">
        <v>1777</v>
      </c>
      <c r="G925" s="42">
        <v>20</v>
      </c>
      <c r="H925" s="42" t="s">
        <v>937</v>
      </c>
      <c r="I925" s="42" t="s">
        <v>133</v>
      </c>
      <c r="J925" s="42">
        <v>10000</v>
      </c>
    </row>
    <row r="926" spans="1:22">
      <c r="A926" s="61" t="s">
        <v>1777</v>
      </c>
      <c r="C926" s="64" t="s">
        <v>4</v>
      </c>
      <c r="D926" s="64" t="s">
        <v>1760</v>
      </c>
      <c r="E926" s="42" t="s">
        <v>1779</v>
      </c>
      <c r="F926" s="42" t="s">
        <v>1777</v>
      </c>
      <c r="G926" s="42">
        <v>21</v>
      </c>
      <c r="H926" s="42" t="s">
        <v>939</v>
      </c>
      <c r="I926" s="42" t="s">
        <v>133</v>
      </c>
      <c r="J926" s="42">
        <v>10000</v>
      </c>
    </row>
    <row r="927" spans="1:22">
      <c r="A927" s="61" t="s">
        <v>1777</v>
      </c>
      <c r="C927" s="64" t="s">
        <v>4</v>
      </c>
      <c r="D927" s="64" t="s">
        <v>1760</v>
      </c>
      <c r="E927" s="42" t="s">
        <v>1779</v>
      </c>
      <c r="F927" s="42" t="s">
        <v>1777</v>
      </c>
      <c r="G927" s="42">
        <v>22</v>
      </c>
      <c r="H927" s="42" t="s">
        <v>946</v>
      </c>
      <c r="I927" s="42" t="s">
        <v>133</v>
      </c>
      <c r="J927" s="42">
        <v>16000</v>
      </c>
    </row>
    <row r="928" spans="1:22">
      <c r="A928" s="61" t="s">
        <v>1777</v>
      </c>
      <c r="C928" s="64" t="s">
        <v>4</v>
      </c>
      <c r="D928" s="64" t="s">
        <v>1760</v>
      </c>
      <c r="E928" s="42" t="s">
        <v>1779</v>
      </c>
      <c r="F928" s="42" t="s">
        <v>1777</v>
      </c>
      <c r="G928" s="42">
        <v>23</v>
      </c>
      <c r="H928" s="42" t="s">
        <v>1253</v>
      </c>
      <c r="I928" s="42" t="s">
        <v>133</v>
      </c>
      <c r="J928" s="42">
        <v>43000</v>
      </c>
    </row>
    <row r="929" spans="1:22">
      <c r="A929" s="61" t="s">
        <v>1777</v>
      </c>
      <c r="C929" s="64" t="s">
        <v>4</v>
      </c>
      <c r="D929" s="64" t="s">
        <v>1760</v>
      </c>
      <c r="E929" s="42" t="s">
        <v>1779</v>
      </c>
      <c r="F929" s="42" t="s">
        <v>1777</v>
      </c>
      <c r="G929" s="42">
        <v>24</v>
      </c>
      <c r="H929" s="42" t="s">
        <v>1261</v>
      </c>
      <c r="I929" s="42" t="s">
        <v>133</v>
      </c>
      <c r="J929" s="42">
        <v>80000</v>
      </c>
    </row>
    <row r="930" spans="1:22">
      <c r="A930" s="61" t="s">
        <v>1777</v>
      </c>
      <c r="C930" s="64" t="s">
        <v>4</v>
      </c>
      <c r="D930" s="64" t="s">
        <v>1760</v>
      </c>
      <c r="E930" s="42" t="s">
        <v>1779</v>
      </c>
      <c r="F930" s="42" t="s">
        <v>1777</v>
      </c>
      <c r="G930" s="42">
        <v>25</v>
      </c>
      <c r="H930" s="42" t="s">
        <v>691</v>
      </c>
      <c r="I930" s="42" t="s">
        <v>1763</v>
      </c>
      <c r="J930" s="42">
        <v>3000</v>
      </c>
    </row>
    <row r="931" spans="1:22">
      <c r="A931" s="61" t="s">
        <v>1777</v>
      </c>
      <c r="C931" s="64" t="s">
        <v>4</v>
      </c>
      <c r="D931" s="64" t="s">
        <v>1760</v>
      </c>
      <c r="E931" s="42" t="s">
        <v>1779</v>
      </c>
      <c r="F931" s="42" t="s">
        <v>1777</v>
      </c>
      <c r="G931" s="42">
        <v>26</v>
      </c>
      <c r="H931" s="42" t="s">
        <v>108</v>
      </c>
      <c r="I931" s="42" t="s">
        <v>1763</v>
      </c>
      <c r="J931" s="42">
        <v>173784</v>
      </c>
    </row>
    <row r="932" spans="1:22">
      <c r="A932" s="61" t="s">
        <v>1777</v>
      </c>
      <c r="C932" s="64" t="s">
        <v>4</v>
      </c>
      <c r="D932" s="64" t="s">
        <v>1760</v>
      </c>
      <c r="E932" s="42" t="s">
        <v>1779</v>
      </c>
      <c r="F932" s="42" t="s">
        <v>1777</v>
      </c>
      <c r="G932" s="42">
        <v>27</v>
      </c>
      <c r="H932" s="42" t="s">
        <v>134</v>
      </c>
      <c r="I932" s="42" t="s">
        <v>1763</v>
      </c>
      <c r="J932" s="42">
        <v>5000</v>
      </c>
    </row>
    <row r="933" spans="1:22">
      <c r="A933" s="61" t="s">
        <v>1777</v>
      </c>
      <c r="C933" s="64" t="s">
        <v>4</v>
      </c>
      <c r="D933" s="64" t="s">
        <v>1760</v>
      </c>
      <c r="E933" s="42" t="s">
        <v>1779</v>
      </c>
      <c r="F933" s="42" t="s">
        <v>1777</v>
      </c>
      <c r="G933" s="42">
        <v>28</v>
      </c>
      <c r="H933" s="42" t="s">
        <v>93</v>
      </c>
      <c r="I933" s="42" t="s">
        <v>92</v>
      </c>
      <c r="J933" s="42">
        <v>81206</v>
      </c>
    </row>
    <row r="934" spans="1:22">
      <c r="A934" s="61" t="s">
        <v>1777</v>
      </c>
      <c r="C934" s="64" t="s">
        <v>4</v>
      </c>
      <c r="D934" s="64" t="s">
        <v>1760</v>
      </c>
      <c r="E934" s="42" t="s">
        <v>1778</v>
      </c>
      <c r="F934" s="42" t="s">
        <v>1777</v>
      </c>
      <c r="G934" s="42">
        <v>1</v>
      </c>
      <c r="H934" s="42" t="s">
        <v>477</v>
      </c>
      <c r="I934" s="42" t="s">
        <v>106</v>
      </c>
      <c r="J934" s="42">
        <v>80000</v>
      </c>
    </row>
    <row r="935" spans="1:22">
      <c r="A935" s="61" t="s">
        <v>1777</v>
      </c>
      <c r="C935" s="64" t="s">
        <v>4</v>
      </c>
      <c r="D935" s="64" t="s">
        <v>1760</v>
      </c>
      <c r="E935" s="42" t="s">
        <v>1778</v>
      </c>
      <c r="F935" s="42" t="s">
        <v>1777</v>
      </c>
      <c r="G935" s="42">
        <v>2</v>
      </c>
      <c r="H935" s="42" t="s">
        <v>1366</v>
      </c>
      <c r="I935" s="42" t="s">
        <v>106</v>
      </c>
      <c r="J935" s="42">
        <v>20000</v>
      </c>
    </row>
    <row r="936" spans="1:22">
      <c r="A936" s="61" t="s">
        <v>1777</v>
      </c>
      <c r="C936" s="64" t="s">
        <v>4</v>
      </c>
      <c r="D936" s="64" t="s">
        <v>1760</v>
      </c>
      <c r="E936" s="42" t="s">
        <v>1778</v>
      </c>
      <c r="F936" s="42" t="s">
        <v>1777</v>
      </c>
      <c r="G936" s="42">
        <v>3</v>
      </c>
      <c r="H936" s="42" t="s">
        <v>305</v>
      </c>
      <c r="I936" s="42" t="s">
        <v>106</v>
      </c>
      <c r="J936" s="42">
        <v>20000</v>
      </c>
    </row>
    <row r="937" spans="1:22">
      <c r="A937" s="61" t="s">
        <v>1777</v>
      </c>
      <c r="C937" s="64" t="s">
        <v>4</v>
      </c>
      <c r="D937" s="64" t="s">
        <v>1760</v>
      </c>
      <c r="E937" s="42" t="s">
        <v>1778</v>
      </c>
      <c r="F937" s="42" t="s">
        <v>1777</v>
      </c>
      <c r="G937" s="42">
        <v>4</v>
      </c>
      <c r="H937" s="42" t="s">
        <v>114</v>
      </c>
      <c r="I937" s="42" t="s">
        <v>106</v>
      </c>
      <c r="J937" s="42">
        <v>68993</v>
      </c>
    </row>
    <row r="938" spans="1:22">
      <c r="A938" s="61" t="s">
        <v>1777</v>
      </c>
      <c r="C938" s="64" t="s">
        <v>4</v>
      </c>
      <c r="D938" s="64" t="s">
        <v>1760</v>
      </c>
      <c r="E938" s="42" t="s">
        <v>1778</v>
      </c>
      <c r="F938" s="42" t="s">
        <v>1777</v>
      </c>
      <c r="G938" s="42">
        <v>5</v>
      </c>
      <c r="H938" s="42" t="s">
        <v>545</v>
      </c>
      <c r="I938" s="42" t="s">
        <v>113</v>
      </c>
      <c r="J938" s="42">
        <v>10000</v>
      </c>
    </row>
    <row r="939" spans="1:22">
      <c r="A939" s="61" t="s">
        <v>1777</v>
      </c>
      <c r="C939" s="64" t="s">
        <v>4</v>
      </c>
      <c r="D939" s="64" t="s">
        <v>1760</v>
      </c>
      <c r="E939" s="42" t="s">
        <v>1778</v>
      </c>
      <c r="F939" s="42" t="s">
        <v>1777</v>
      </c>
      <c r="G939" s="42">
        <v>6</v>
      </c>
      <c r="H939" s="42" t="s">
        <v>1275</v>
      </c>
      <c r="I939" s="42" t="s">
        <v>113</v>
      </c>
      <c r="J939" s="42">
        <v>20000</v>
      </c>
    </row>
    <row r="940" spans="1:22">
      <c r="A940" s="61" t="s">
        <v>1777</v>
      </c>
      <c r="C940" s="64" t="s">
        <v>4</v>
      </c>
      <c r="D940" s="64" t="s">
        <v>1760</v>
      </c>
      <c r="E940" s="42" t="s">
        <v>1778</v>
      </c>
      <c r="F940" s="42" t="s">
        <v>1777</v>
      </c>
      <c r="G940" s="42">
        <v>7</v>
      </c>
      <c r="H940" s="42" t="s">
        <v>159</v>
      </c>
      <c r="I940" s="42" t="s">
        <v>113</v>
      </c>
      <c r="J940" s="42">
        <v>30000</v>
      </c>
    </row>
    <row r="941" spans="1:22">
      <c r="A941" s="61" t="s">
        <v>1777</v>
      </c>
      <c r="C941" s="64" t="s">
        <v>4</v>
      </c>
      <c r="D941" s="64" t="s">
        <v>1760</v>
      </c>
      <c r="E941" s="42" t="s">
        <v>1778</v>
      </c>
      <c r="F941" s="42" t="s">
        <v>1777</v>
      </c>
      <c r="G941" s="42">
        <v>8</v>
      </c>
      <c r="H941" s="42" t="s">
        <v>771</v>
      </c>
      <c r="I941" s="42" t="s">
        <v>113</v>
      </c>
      <c r="J941" s="42">
        <v>15000</v>
      </c>
    </row>
    <row r="942" spans="1:22">
      <c r="A942" s="61" t="s">
        <v>1777</v>
      </c>
      <c r="C942" s="64" t="s">
        <v>4</v>
      </c>
      <c r="D942" s="64" t="s">
        <v>1760</v>
      </c>
      <c r="E942" s="42" t="s">
        <v>1778</v>
      </c>
      <c r="F942" s="42" t="s">
        <v>1777</v>
      </c>
      <c r="G942" s="42">
        <v>9</v>
      </c>
      <c r="H942" s="42" t="s">
        <v>163</v>
      </c>
      <c r="I942" s="42" t="s">
        <v>113</v>
      </c>
      <c r="J942" s="42">
        <v>10000</v>
      </c>
    </row>
    <row r="943" spans="1:22">
      <c r="A943" s="61" t="s">
        <v>1777</v>
      </c>
      <c r="C943" s="64" t="s">
        <v>4</v>
      </c>
      <c r="D943" s="64" t="s">
        <v>1760</v>
      </c>
      <c r="E943" s="42" t="s">
        <v>1778</v>
      </c>
      <c r="F943" s="42" t="s">
        <v>1777</v>
      </c>
      <c r="G943" s="42">
        <v>10</v>
      </c>
      <c r="H943" s="42" t="s">
        <v>165</v>
      </c>
      <c r="I943" s="42" t="s">
        <v>113</v>
      </c>
      <c r="J943" s="42">
        <v>11095</v>
      </c>
    </row>
    <row r="944" spans="1:22">
      <c r="A944" s="61" t="s">
        <v>1777</v>
      </c>
      <c r="C944" s="64" t="s">
        <v>4</v>
      </c>
      <c r="D944" s="64" t="s">
        <v>1760</v>
      </c>
      <c r="E944" s="42" t="s">
        <v>1778</v>
      </c>
      <c r="F944" s="42" t="s">
        <v>1777</v>
      </c>
      <c r="G944" s="42">
        <v>11</v>
      </c>
      <c r="H944" s="42" t="s">
        <v>1123</v>
      </c>
      <c r="I944" s="42" t="s">
        <v>113</v>
      </c>
      <c r="J944" s="42">
        <v>18856</v>
      </c>
    </row>
    <row r="945" spans="1:22">
      <c r="A945" s="61" t="s">
        <v>1777</v>
      </c>
      <c r="C945" s="64" t="s">
        <v>4</v>
      </c>
      <c r="D945" s="64" t="s">
        <v>1760</v>
      </c>
      <c r="E945" s="42" t="s">
        <v>1778</v>
      </c>
      <c r="F945" s="42" t="s">
        <v>1777</v>
      </c>
      <c r="G945" s="42">
        <v>12</v>
      </c>
      <c r="H945" s="42" t="s">
        <v>100</v>
      </c>
      <c r="I945" s="42" t="s">
        <v>102</v>
      </c>
      <c r="J945" s="42">
        <v>10000</v>
      </c>
    </row>
    <row r="946" spans="1:22">
      <c r="A946" s="61" t="s">
        <v>1777</v>
      </c>
      <c r="C946" s="64" t="s">
        <v>4</v>
      </c>
      <c r="D946" s="64" t="s">
        <v>1760</v>
      </c>
      <c r="E946" s="42" t="s">
        <v>1778</v>
      </c>
      <c r="F946" s="42" t="s">
        <v>1777</v>
      </c>
      <c r="G946" s="42">
        <v>13</v>
      </c>
      <c r="H946" s="42" t="s">
        <v>187</v>
      </c>
      <c r="I946" s="42" t="s">
        <v>102</v>
      </c>
      <c r="J946" s="42">
        <v>10000</v>
      </c>
    </row>
    <row r="947" spans="1:22">
      <c r="A947" s="61" t="s">
        <v>1777</v>
      </c>
      <c r="C947" s="64" t="s">
        <v>4</v>
      </c>
      <c r="D947" s="64" t="s">
        <v>1760</v>
      </c>
      <c r="E947" s="42" t="s">
        <v>1778</v>
      </c>
      <c r="F947" s="42" t="s">
        <v>1777</v>
      </c>
      <c r="G947" s="42">
        <v>14</v>
      </c>
      <c r="H947" s="42" t="s">
        <v>143</v>
      </c>
      <c r="I947" s="42" t="s">
        <v>102</v>
      </c>
      <c r="J947" s="42">
        <v>1000</v>
      </c>
    </row>
    <row r="948" spans="1:22">
      <c r="A948" s="61" t="s">
        <v>1777</v>
      </c>
      <c r="C948" s="64" t="s">
        <v>4</v>
      </c>
      <c r="D948" s="64" t="s">
        <v>1760</v>
      </c>
      <c r="E948" s="42" t="s">
        <v>1778</v>
      </c>
      <c r="F948" s="42" t="s">
        <v>1777</v>
      </c>
      <c r="G948" s="42">
        <v>15</v>
      </c>
      <c r="H948" s="42" t="s">
        <v>169</v>
      </c>
      <c r="I948" s="42" t="s">
        <v>102</v>
      </c>
      <c r="J948" s="42">
        <v>40000</v>
      </c>
    </row>
    <row r="949" spans="1:22">
      <c r="A949" s="61" t="s">
        <v>1777</v>
      </c>
      <c r="C949" s="64" t="s">
        <v>4</v>
      </c>
      <c r="D949" s="64" t="s">
        <v>1760</v>
      </c>
      <c r="E949" s="42" t="s">
        <v>1778</v>
      </c>
      <c r="F949" s="42" t="s">
        <v>1777</v>
      </c>
      <c r="G949" s="42">
        <v>16</v>
      </c>
      <c r="H949" s="42" t="s">
        <v>973</v>
      </c>
      <c r="I949" s="42" t="s">
        <v>102</v>
      </c>
      <c r="J949" s="42">
        <v>2000</v>
      </c>
    </row>
    <row r="950" spans="1:22">
      <c r="A950" s="61" t="s">
        <v>1777</v>
      </c>
      <c r="C950" s="64" t="s">
        <v>4</v>
      </c>
      <c r="D950" s="64" t="s">
        <v>1760</v>
      </c>
      <c r="E950" s="42" t="s">
        <v>1778</v>
      </c>
      <c r="F950" s="42" t="s">
        <v>1777</v>
      </c>
      <c r="G950" s="42">
        <v>17</v>
      </c>
      <c r="H950" s="42" t="s">
        <v>171</v>
      </c>
      <c r="I950" s="42" t="s">
        <v>102</v>
      </c>
      <c r="J950" s="42">
        <v>50000</v>
      </c>
    </row>
    <row r="951" spans="1:22">
      <c r="A951" s="61" t="s">
        <v>1777</v>
      </c>
      <c r="C951" s="64" t="s">
        <v>4</v>
      </c>
      <c r="D951" s="64" t="s">
        <v>1760</v>
      </c>
      <c r="E951" s="42" t="s">
        <v>1778</v>
      </c>
      <c r="F951" s="42" t="s">
        <v>1777</v>
      </c>
      <c r="G951" s="42">
        <v>18</v>
      </c>
      <c r="H951" s="42" t="s">
        <v>173</v>
      </c>
      <c r="I951" s="42" t="s">
        <v>102</v>
      </c>
      <c r="J951" s="42">
        <v>10000</v>
      </c>
    </row>
    <row r="952" spans="1:22">
      <c r="A952" s="61" t="s">
        <v>1777</v>
      </c>
      <c r="C952" s="64" t="s">
        <v>4</v>
      </c>
      <c r="D952" s="64" t="s">
        <v>1760</v>
      </c>
      <c r="E952" s="42" t="s">
        <v>1778</v>
      </c>
      <c r="F952" s="42" t="s">
        <v>1777</v>
      </c>
      <c r="G952" s="42">
        <v>19</v>
      </c>
      <c r="H952" s="42" t="s">
        <v>463</v>
      </c>
      <c r="I952" s="42" t="s">
        <v>1764</v>
      </c>
      <c r="J952" s="42">
        <v>30184</v>
      </c>
    </row>
    <row r="953" spans="1:22">
      <c r="A953" s="61" t="s">
        <v>1777</v>
      </c>
      <c r="C953" s="64" t="s">
        <v>4</v>
      </c>
      <c r="D953" s="64" t="s">
        <v>1760</v>
      </c>
      <c r="E953" s="42" t="s">
        <v>1778</v>
      </c>
      <c r="F953" s="42" t="s">
        <v>1777</v>
      </c>
      <c r="G953" s="42">
        <v>20</v>
      </c>
      <c r="H953" s="42" t="s">
        <v>35</v>
      </c>
      <c r="I953" s="42" t="s">
        <v>37</v>
      </c>
      <c r="J953" s="42">
        <v>10000</v>
      </c>
    </row>
    <row r="954" spans="1:22">
      <c r="A954" s="61" t="s">
        <v>1777</v>
      </c>
      <c r="C954" s="64" t="s">
        <v>4</v>
      </c>
      <c r="D954" s="64" t="s">
        <v>1760</v>
      </c>
      <c r="E954" s="42" t="s">
        <v>1778</v>
      </c>
      <c r="F954" s="42" t="s">
        <v>1777</v>
      </c>
      <c r="G954" s="42">
        <v>21</v>
      </c>
      <c r="H954" s="42" t="s">
        <v>215</v>
      </c>
      <c r="I954" s="42" t="s">
        <v>37</v>
      </c>
      <c r="J954" s="42">
        <v>20000</v>
      </c>
    </row>
    <row r="955" spans="1:22">
      <c r="A955" s="61" t="s">
        <v>1777</v>
      </c>
      <c r="C955" s="64" t="s">
        <v>4</v>
      </c>
      <c r="D955" s="64" t="s">
        <v>1760</v>
      </c>
      <c r="E955" s="42" t="s">
        <v>1778</v>
      </c>
      <c r="F955" s="42" t="s">
        <v>1777</v>
      </c>
      <c r="G955" s="42">
        <v>22</v>
      </c>
      <c r="H955" s="42" t="s">
        <v>51</v>
      </c>
      <c r="I955" s="42" t="s">
        <v>37</v>
      </c>
      <c r="J955" s="42">
        <v>10000</v>
      </c>
    </row>
    <row r="956" spans="1:22">
      <c r="A956" s="61" t="s">
        <v>1777</v>
      </c>
      <c r="C956" s="64" t="s">
        <v>4</v>
      </c>
      <c r="D956" s="64" t="s">
        <v>1760</v>
      </c>
      <c r="E956" s="42" t="s">
        <v>1778</v>
      </c>
      <c r="F956" s="42" t="s">
        <v>1777</v>
      </c>
      <c r="G956" s="42">
        <v>23</v>
      </c>
      <c r="H956" s="42" t="s">
        <v>183</v>
      </c>
      <c r="I956" s="42" t="s">
        <v>37</v>
      </c>
      <c r="J956" s="42">
        <v>20000</v>
      </c>
    </row>
    <row r="957" spans="1:22">
      <c r="A957" s="61" t="s">
        <v>1777</v>
      </c>
      <c r="C957" s="64" t="s">
        <v>4</v>
      </c>
      <c r="D957" s="64" t="s">
        <v>1760</v>
      </c>
      <c r="E957" s="42" t="s">
        <v>1778</v>
      </c>
      <c r="F957" s="42" t="s">
        <v>1777</v>
      </c>
      <c r="G957" s="42">
        <v>24</v>
      </c>
      <c r="H957" s="42" t="s">
        <v>337</v>
      </c>
      <c r="I957" s="42" t="s">
        <v>37</v>
      </c>
      <c r="J957" s="42">
        <v>20000</v>
      </c>
    </row>
    <row r="958" spans="1:22">
      <c r="A958" s="61" t="s">
        <v>1777</v>
      </c>
      <c r="C958" s="64" t="s">
        <v>4</v>
      </c>
      <c r="D958" s="64" t="s">
        <v>1760</v>
      </c>
      <c r="E958" s="42" t="s">
        <v>1778</v>
      </c>
      <c r="F958" s="42" t="s">
        <v>1777</v>
      </c>
      <c r="G958" s="42">
        <v>25</v>
      </c>
      <c r="H958" s="42" t="s">
        <v>193</v>
      </c>
      <c r="I958" s="42" t="s">
        <v>37</v>
      </c>
      <c r="J958" s="42">
        <v>5000</v>
      </c>
    </row>
    <row r="959" spans="1:22">
      <c r="A959" s="61" t="s">
        <v>1777</v>
      </c>
      <c r="C959" s="64" t="s">
        <v>4</v>
      </c>
      <c r="D959" s="64" t="s">
        <v>1760</v>
      </c>
      <c r="E959" s="42" t="s">
        <v>1778</v>
      </c>
      <c r="F959" s="42" t="s">
        <v>1777</v>
      </c>
      <c r="G959" s="42">
        <v>26</v>
      </c>
      <c r="H959" s="42" t="s">
        <v>333</v>
      </c>
      <c r="I959" s="42" t="s">
        <v>37</v>
      </c>
      <c r="J959" s="42">
        <v>15000</v>
      </c>
    </row>
    <row r="960" spans="1:22">
      <c r="A960" s="61" t="s">
        <v>1777</v>
      </c>
      <c r="C960" s="64" t="s">
        <v>4</v>
      </c>
      <c r="D960" s="64" t="s">
        <v>1760</v>
      </c>
      <c r="E960" s="42" t="s">
        <v>1778</v>
      </c>
      <c r="F960" s="42" t="s">
        <v>1777</v>
      </c>
      <c r="G960" s="42">
        <v>27</v>
      </c>
      <c r="H960" s="42" t="s">
        <v>207</v>
      </c>
      <c r="I960" s="42" t="s">
        <v>37</v>
      </c>
      <c r="J960" s="42">
        <v>20000</v>
      </c>
    </row>
    <row r="961" spans="1:22">
      <c r="A961" s="61" t="s">
        <v>1777</v>
      </c>
      <c r="C961" s="64" t="s">
        <v>4</v>
      </c>
      <c r="D961" s="64" t="s">
        <v>1760</v>
      </c>
      <c r="E961" s="42" t="s">
        <v>1778</v>
      </c>
      <c r="F961" s="42" t="s">
        <v>1777</v>
      </c>
      <c r="G961" s="42">
        <v>28</v>
      </c>
      <c r="H961" s="42" t="s">
        <v>213</v>
      </c>
      <c r="I961" s="42" t="s">
        <v>37</v>
      </c>
      <c r="J961" s="42">
        <v>10000</v>
      </c>
    </row>
    <row r="962" spans="1:22">
      <c r="A962" s="61" t="s">
        <v>1777</v>
      </c>
      <c r="C962" s="64" t="s">
        <v>4</v>
      </c>
      <c r="D962" s="64" t="s">
        <v>1760</v>
      </c>
      <c r="E962" s="42" t="s">
        <v>1778</v>
      </c>
      <c r="F962" s="42" t="s">
        <v>1777</v>
      </c>
      <c r="G962" s="42">
        <v>29</v>
      </c>
      <c r="H962" s="42" t="s">
        <v>303</v>
      </c>
      <c r="I962" s="42" t="s">
        <v>37</v>
      </c>
      <c r="J962" s="42">
        <v>5000</v>
      </c>
    </row>
    <row r="963" spans="1:22">
      <c r="A963" s="61" t="s">
        <v>1777</v>
      </c>
      <c r="C963" s="64" t="s">
        <v>4</v>
      </c>
      <c r="D963" s="64" t="s">
        <v>1760</v>
      </c>
      <c r="E963" s="42" t="s">
        <v>1778</v>
      </c>
      <c r="F963" s="42" t="s">
        <v>1777</v>
      </c>
      <c r="G963" s="42">
        <v>30</v>
      </c>
      <c r="H963" s="42" t="s">
        <v>231</v>
      </c>
      <c r="I963" s="42" t="s">
        <v>37</v>
      </c>
      <c r="J963" s="42">
        <v>15000</v>
      </c>
    </row>
    <row r="964" spans="1:22">
      <c r="A964" s="61" t="s">
        <v>1777</v>
      </c>
      <c r="C964" s="64" t="s">
        <v>4</v>
      </c>
      <c r="D964" s="64" t="s">
        <v>1760</v>
      </c>
      <c r="E964" s="42" t="s">
        <v>1778</v>
      </c>
      <c r="F964" s="42" t="s">
        <v>1777</v>
      </c>
      <c r="G964" s="42">
        <v>31</v>
      </c>
      <c r="H964" s="42" t="s">
        <v>229</v>
      </c>
      <c r="I964" s="42" t="s">
        <v>37</v>
      </c>
      <c r="J964" s="42">
        <v>20000</v>
      </c>
    </row>
    <row r="965" spans="1:22">
      <c r="A965" s="61" t="s">
        <v>1777</v>
      </c>
      <c r="C965" s="64" t="s">
        <v>4</v>
      </c>
      <c r="D965" s="64" t="s">
        <v>1760</v>
      </c>
      <c r="E965" s="42" t="s">
        <v>1778</v>
      </c>
      <c r="F965" s="42" t="s">
        <v>1777</v>
      </c>
      <c r="G965" s="42">
        <v>32</v>
      </c>
      <c r="H965" s="42" t="s">
        <v>451</v>
      </c>
      <c r="I965" s="42" t="s">
        <v>37</v>
      </c>
      <c r="J965" s="42">
        <v>40000</v>
      </c>
    </row>
    <row r="966" spans="1:22">
      <c r="A966" s="61" t="s">
        <v>1777</v>
      </c>
      <c r="C966" s="64" t="s">
        <v>4</v>
      </c>
      <c r="D966" s="64" t="s">
        <v>1760</v>
      </c>
      <c r="E966" s="42" t="s">
        <v>1778</v>
      </c>
      <c r="F966" s="42" t="s">
        <v>1777</v>
      </c>
      <c r="G966" s="42">
        <v>33</v>
      </c>
      <c r="H966" s="42" t="s">
        <v>449</v>
      </c>
      <c r="I966" s="42" t="s">
        <v>37</v>
      </c>
      <c r="J966" s="42">
        <v>70000</v>
      </c>
    </row>
    <row r="967" spans="1:22">
      <c r="A967" s="61" t="s">
        <v>1777</v>
      </c>
      <c r="C967" s="64" t="s">
        <v>4</v>
      </c>
      <c r="D967" s="64" t="s">
        <v>1760</v>
      </c>
      <c r="E967" s="42" t="s">
        <v>1778</v>
      </c>
      <c r="F967" s="42" t="s">
        <v>1777</v>
      </c>
      <c r="G967" s="42">
        <v>34</v>
      </c>
      <c r="H967" s="42" t="s">
        <v>457</v>
      </c>
      <c r="I967" s="42" t="s">
        <v>37</v>
      </c>
      <c r="J967" s="42">
        <v>30000</v>
      </c>
    </row>
    <row r="968" spans="1:22">
      <c r="A968" s="61" t="s">
        <v>1777</v>
      </c>
      <c r="C968" s="64" t="s">
        <v>4</v>
      </c>
      <c r="D968" s="64" t="s">
        <v>1760</v>
      </c>
      <c r="E968" s="42" t="s">
        <v>1778</v>
      </c>
      <c r="F968" s="42" t="s">
        <v>1777</v>
      </c>
      <c r="G968" s="42">
        <v>35</v>
      </c>
      <c r="H968" s="42" t="s">
        <v>325</v>
      </c>
      <c r="I968" s="42" t="s">
        <v>37</v>
      </c>
      <c r="J968" s="42">
        <v>40000</v>
      </c>
    </row>
    <row r="969" spans="1:22">
      <c r="A969" s="61" t="s">
        <v>1777</v>
      </c>
      <c r="C969" s="64" t="s">
        <v>4</v>
      </c>
      <c r="D969" s="64" t="s">
        <v>1760</v>
      </c>
      <c r="E969" s="42" t="s">
        <v>1778</v>
      </c>
      <c r="F969" s="42" t="s">
        <v>1777</v>
      </c>
      <c r="G969" s="42">
        <v>36</v>
      </c>
      <c r="H969" s="42" t="s">
        <v>327</v>
      </c>
      <c r="I969" s="42" t="s">
        <v>37</v>
      </c>
      <c r="J969" s="42">
        <v>30000</v>
      </c>
    </row>
    <row r="970" spans="1:22">
      <c r="A970" s="61" t="s">
        <v>1777</v>
      </c>
      <c r="C970" s="64" t="s">
        <v>4</v>
      </c>
      <c r="D970" s="64" t="s">
        <v>1760</v>
      </c>
      <c r="E970" s="42" t="s">
        <v>1778</v>
      </c>
      <c r="F970" s="42" t="s">
        <v>1777</v>
      </c>
      <c r="G970" s="42">
        <v>37</v>
      </c>
      <c r="H970" s="42" t="s">
        <v>475</v>
      </c>
      <c r="I970" s="42" t="s">
        <v>37</v>
      </c>
      <c r="J970" s="42">
        <v>40000</v>
      </c>
    </row>
    <row r="971" spans="1:22">
      <c r="A971" s="61" t="s">
        <v>1777</v>
      </c>
      <c r="C971" s="64" t="s">
        <v>4</v>
      </c>
      <c r="D971" s="64" t="s">
        <v>1760</v>
      </c>
      <c r="E971" s="42" t="s">
        <v>1778</v>
      </c>
      <c r="F971" s="42" t="s">
        <v>1777</v>
      </c>
      <c r="G971" s="42">
        <v>38</v>
      </c>
      <c r="H971" s="42" t="s">
        <v>711</v>
      </c>
      <c r="I971" s="42" t="s">
        <v>37</v>
      </c>
      <c r="J971" s="42">
        <v>10000</v>
      </c>
    </row>
    <row r="972" spans="1:22">
      <c r="A972" s="61" t="s">
        <v>1777</v>
      </c>
      <c r="C972" s="64" t="s">
        <v>4</v>
      </c>
      <c r="D972" s="64" t="s">
        <v>1760</v>
      </c>
      <c r="E972" s="42" t="s">
        <v>1778</v>
      </c>
      <c r="F972" s="42" t="s">
        <v>1777</v>
      </c>
      <c r="G972" s="42">
        <v>39</v>
      </c>
      <c r="H972" s="42" t="s">
        <v>603</v>
      </c>
      <c r="I972" s="42" t="s">
        <v>37</v>
      </c>
      <c r="J972" s="42">
        <v>70000</v>
      </c>
    </row>
    <row r="973" spans="1:22">
      <c r="A973" s="61" t="s">
        <v>1777</v>
      </c>
      <c r="C973" s="64" t="s">
        <v>4</v>
      </c>
      <c r="D973" s="64" t="s">
        <v>1760</v>
      </c>
      <c r="E973" s="42" t="s">
        <v>1778</v>
      </c>
      <c r="F973" s="42" t="s">
        <v>1777</v>
      </c>
      <c r="G973" s="42">
        <v>40</v>
      </c>
      <c r="H973" s="42" t="s">
        <v>385</v>
      </c>
      <c r="I973" s="42" t="s">
        <v>37</v>
      </c>
      <c r="J973" s="42">
        <v>9000</v>
      </c>
    </row>
    <row r="974" spans="1:22">
      <c r="A974" s="61" t="s">
        <v>1777</v>
      </c>
      <c r="C974" s="64" t="s">
        <v>4</v>
      </c>
      <c r="D974" s="64" t="s">
        <v>1760</v>
      </c>
      <c r="E974" s="42" t="s">
        <v>1778</v>
      </c>
      <c r="F974" s="42" t="s">
        <v>1777</v>
      </c>
      <c r="G974" s="42">
        <v>41</v>
      </c>
      <c r="H974" s="42" t="s">
        <v>481</v>
      </c>
      <c r="I974" s="42" t="s">
        <v>37</v>
      </c>
      <c r="J974" s="42">
        <v>20000</v>
      </c>
    </row>
    <row r="975" spans="1:22">
      <c r="A975" s="61" t="s">
        <v>1777</v>
      </c>
      <c r="C975" s="64" t="s">
        <v>4</v>
      </c>
      <c r="D975" s="64" t="s">
        <v>1760</v>
      </c>
      <c r="E975" s="42" t="s">
        <v>1778</v>
      </c>
      <c r="F975" s="42" t="s">
        <v>1777</v>
      </c>
      <c r="G975" s="42">
        <v>42</v>
      </c>
      <c r="H975" s="42" t="s">
        <v>319</v>
      </c>
      <c r="I975" s="42" t="s">
        <v>37</v>
      </c>
      <c r="J975" s="42">
        <v>5000</v>
      </c>
    </row>
    <row r="976" spans="1:22">
      <c r="A976" s="61" t="s">
        <v>1777</v>
      </c>
      <c r="C976" s="64" t="s">
        <v>4</v>
      </c>
      <c r="D976" s="64" t="s">
        <v>1760</v>
      </c>
      <c r="E976" s="42" t="s">
        <v>1778</v>
      </c>
      <c r="F976" s="42" t="s">
        <v>1777</v>
      </c>
      <c r="G976" s="42">
        <v>43</v>
      </c>
      <c r="H976" s="42" t="s">
        <v>561</v>
      </c>
      <c r="I976" s="42" t="s">
        <v>37</v>
      </c>
      <c r="J976" s="42">
        <v>190000</v>
      </c>
    </row>
    <row r="977" spans="1:22">
      <c r="A977" s="61" t="s">
        <v>1777</v>
      </c>
      <c r="C977" s="64" t="s">
        <v>4</v>
      </c>
      <c r="D977" s="64" t="s">
        <v>1760</v>
      </c>
      <c r="E977" s="42" t="s">
        <v>1778</v>
      </c>
      <c r="F977" s="42" t="s">
        <v>1777</v>
      </c>
      <c r="G977" s="42">
        <v>44</v>
      </c>
      <c r="H977" s="42" t="s">
        <v>483</v>
      </c>
      <c r="I977" s="42" t="s">
        <v>37</v>
      </c>
      <c r="J977" s="42">
        <v>49000</v>
      </c>
    </row>
    <row r="978" spans="1:22">
      <c r="A978" s="61" t="s">
        <v>1777</v>
      </c>
      <c r="C978" s="64" t="s">
        <v>4</v>
      </c>
      <c r="D978" s="64" t="s">
        <v>1760</v>
      </c>
      <c r="E978" s="42" t="s">
        <v>1778</v>
      </c>
      <c r="F978" s="42" t="s">
        <v>1777</v>
      </c>
      <c r="G978" s="42">
        <v>45</v>
      </c>
      <c r="H978" s="42" t="s">
        <v>485</v>
      </c>
      <c r="I978" s="42" t="s">
        <v>37</v>
      </c>
      <c r="J978" s="42">
        <v>60000</v>
      </c>
    </row>
    <row r="979" spans="1:22">
      <c r="A979" s="61" t="s">
        <v>1777</v>
      </c>
      <c r="C979" s="64" t="s">
        <v>4</v>
      </c>
      <c r="D979" s="64" t="s">
        <v>1760</v>
      </c>
      <c r="E979" s="42" t="s">
        <v>1778</v>
      </c>
      <c r="F979" s="42" t="s">
        <v>1777</v>
      </c>
      <c r="G979" s="42">
        <v>46</v>
      </c>
      <c r="H979" s="42" t="s">
        <v>567</v>
      </c>
      <c r="I979" s="42" t="s">
        <v>37</v>
      </c>
      <c r="J979" s="42">
        <v>10000</v>
      </c>
    </row>
    <row r="980" spans="1:22">
      <c r="A980" s="61" t="s">
        <v>1777</v>
      </c>
      <c r="C980" s="64" t="s">
        <v>4</v>
      </c>
      <c r="D980" s="64" t="s">
        <v>1760</v>
      </c>
      <c r="E980" s="42" t="s">
        <v>1778</v>
      </c>
      <c r="F980" s="42" t="s">
        <v>1777</v>
      </c>
      <c r="G980" s="42">
        <v>47</v>
      </c>
      <c r="H980" s="42" t="s">
        <v>461</v>
      </c>
      <c r="I980" s="42" t="s">
        <v>37</v>
      </c>
      <c r="J980" s="42">
        <v>140000</v>
      </c>
    </row>
    <row r="981" spans="1:22">
      <c r="A981" s="61" t="s">
        <v>1777</v>
      </c>
      <c r="C981" s="64" t="s">
        <v>4</v>
      </c>
      <c r="D981" s="64" t="s">
        <v>1760</v>
      </c>
      <c r="E981" s="42" t="s">
        <v>1778</v>
      </c>
      <c r="F981" s="42" t="s">
        <v>1777</v>
      </c>
      <c r="G981" s="42">
        <v>48</v>
      </c>
      <c r="H981" s="42" t="s">
        <v>565</v>
      </c>
      <c r="I981" s="42" t="s">
        <v>37</v>
      </c>
      <c r="J981" s="42">
        <v>70000</v>
      </c>
    </row>
    <row r="982" spans="1:22">
      <c r="A982" s="61" t="s">
        <v>1777</v>
      </c>
      <c r="C982" s="64" t="s">
        <v>4</v>
      </c>
      <c r="D982" s="64" t="s">
        <v>1760</v>
      </c>
      <c r="E982" s="42" t="s">
        <v>1778</v>
      </c>
      <c r="F982" s="42" t="s">
        <v>1777</v>
      </c>
      <c r="G982" s="42">
        <v>49</v>
      </c>
      <c r="H982" s="42" t="s">
        <v>423</v>
      </c>
      <c r="I982" s="42" t="s">
        <v>37</v>
      </c>
      <c r="J982" s="42">
        <v>20000</v>
      </c>
    </row>
    <row r="983" spans="1:22">
      <c r="A983" s="61" t="s">
        <v>1777</v>
      </c>
      <c r="C983" s="64" t="s">
        <v>4</v>
      </c>
      <c r="D983" s="64" t="s">
        <v>1760</v>
      </c>
      <c r="E983" s="42" t="s">
        <v>1778</v>
      </c>
      <c r="F983" s="42" t="s">
        <v>1777</v>
      </c>
      <c r="G983" s="42">
        <v>50</v>
      </c>
      <c r="H983" s="42" t="s">
        <v>425</v>
      </c>
      <c r="I983" s="42" t="s">
        <v>37</v>
      </c>
      <c r="J983" s="42">
        <v>40000</v>
      </c>
    </row>
    <row r="984" spans="1:22">
      <c r="A984" s="61" t="s">
        <v>1777</v>
      </c>
      <c r="C984" s="64" t="s">
        <v>4</v>
      </c>
      <c r="D984" s="64" t="s">
        <v>1760</v>
      </c>
      <c r="E984" s="42" t="s">
        <v>1778</v>
      </c>
      <c r="F984" s="42" t="s">
        <v>1777</v>
      </c>
      <c r="G984" s="42">
        <v>51</v>
      </c>
      <c r="H984" s="42" t="s">
        <v>427</v>
      </c>
      <c r="I984" s="42" t="s">
        <v>37</v>
      </c>
      <c r="J984" s="42">
        <v>40000</v>
      </c>
    </row>
    <row r="985" spans="1:22">
      <c r="A985" s="61" t="s">
        <v>1777</v>
      </c>
      <c r="C985" s="64" t="s">
        <v>4</v>
      </c>
      <c r="D985" s="64" t="s">
        <v>1760</v>
      </c>
      <c r="E985" s="42" t="s">
        <v>1778</v>
      </c>
      <c r="F985" s="42" t="s">
        <v>1777</v>
      </c>
      <c r="G985" s="42">
        <v>52</v>
      </c>
      <c r="H985" s="42" t="s">
        <v>429</v>
      </c>
      <c r="I985" s="42" t="s">
        <v>37</v>
      </c>
      <c r="J985" s="42">
        <v>40000</v>
      </c>
    </row>
    <row r="986" spans="1:22">
      <c r="A986" s="61" t="s">
        <v>1777</v>
      </c>
      <c r="C986" s="64" t="s">
        <v>4</v>
      </c>
      <c r="D986" s="64" t="s">
        <v>1760</v>
      </c>
      <c r="E986" s="42" t="s">
        <v>1778</v>
      </c>
      <c r="F986" s="42" t="s">
        <v>1777</v>
      </c>
      <c r="G986" s="42">
        <v>53</v>
      </c>
      <c r="H986" s="42" t="s">
        <v>435</v>
      </c>
      <c r="I986" s="42" t="s">
        <v>37</v>
      </c>
      <c r="J986" s="42">
        <v>80000</v>
      </c>
    </row>
    <row r="987" spans="1:22">
      <c r="A987" s="61" t="s">
        <v>1777</v>
      </c>
      <c r="C987" s="64" t="s">
        <v>4</v>
      </c>
      <c r="D987" s="64" t="s">
        <v>1760</v>
      </c>
      <c r="E987" s="42" t="s">
        <v>1778</v>
      </c>
      <c r="F987" s="42" t="s">
        <v>1777</v>
      </c>
      <c r="G987" s="42">
        <v>54</v>
      </c>
      <c r="H987" s="42" t="s">
        <v>445</v>
      </c>
      <c r="I987" s="42" t="s">
        <v>37</v>
      </c>
      <c r="J987" s="42">
        <v>30000</v>
      </c>
    </row>
    <row r="988" spans="1:22">
      <c r="A988" s="61" t="s">
        <v>1777</v>
      </c>
      <c r="C988" s="64" t="s">
        <v>4</v>
      </c>
      <c r="D988" s="64" t="s">
        <v>1760</v>
      </c>
      <c r="E988" s="42" t="s">
        <v>1778</v>
      </c>
      <c r="F988" s="42" t="s">
        <v>1777</v>
      </c>
      <c r="G988" s="42">
        <v>55</v>
      </c>
      <c r="H988" s="42" t="s">
        <v>431</v>
      </c>
      <c r="I988" s="42" t="s">
        <v>37</v>
      </c>
      <c r="J988" s="42">
        <v>20000</v>
      </c>
    </row>
    <row r="989" spans="1:22">
      <c r="A989" s="61" t="s">
        <v>1777</v>
      </c>
      <c r="C989" s="64" t="s">
        <v>4</v>
      </c>
      <c r="D989" s="64" t="s">
        <v>1760</v>
      </c>
      <c r="E989" s="42" t="s">
        <v>1778</v>
      </c>
      <c r="F989" s="42" t="s">
        <v>1777</v>
      </c>
      <c r="G989" s="42">
        <v>56</v>
      </c>
      <c r="H989" s="42" t="s">
        <v>433</v>
      </c>
      <c r="I989" s="42" t="s">
        <v>37</v>
      </c>
      <c r="J989" s="42">
        <v>60000</v>
      </c>
    </row>
    <row r="990" spans="1:22">
      <c r="A990" s="61" t="s">
        <v>1777</v>
      </c>
      <c r="C990" s="64" t="s">
        <v>4</v>
      </c>
      <c r="D990" s="64" t="s">
        <v>1760</v>
      </c>
      <c r="E990" s="42" t="s">
        <v>1778</v>
      </c>
      <c r="F990" s="42" t="s">
        <v>1777</v>
      </c>
      <c r="G990" s="42">
        <v>57</v>
      </c>
      <c r="H990" s="42" t="s">
        <v>657</v>
      </c>
      <c r="I990" s="42" t="s">
        <v>37</v>
      </c>
      <c r="J990" s="42">
        <v>5000</v>
      </c>
    </row>
    <row r="991" spans="1:22">
      <c r="A991" s="61" t="s">
        <v>1777</v>
      </c>
      <c r="C991" s="64" t="s">
        <v>4</v>
      </c>
      <c r="D991" s="64" t="s">
        <v>1760</v>
      </c>
      <c r="E991" s="42" t="s">
        <v>1778</v>
      </c>
      <c r="F991" s="42" t="s">
        <v>1777</v>
      </c>
      <c r="G991" s="42">
        <v>58</v>
      </c>
      <c r="H991" s="42" t="s">
        <v>491</v>
      </c>
      <c r="I991" s="42" t="s">
        <v>37</v>
      </c>
      <c r="J991" s="42">
        <v>40000</v>
      </c>
    </row>
    <row r="992" spans="1:22">
      <c r="A992" s="61" t="s">
        <v>1777</v>
      </c>
      <c r="C992" s="64" t="s">
        <v>4</v>
      </c>
      <c r="D992" s="64" t="s">
        <v>1760</v>
      </c>
      <c r="E992" s="42" t="s">
        <v>1778</v>
      </c>
      <c r="F992" s="42" t="s">
        <v>1777</v>
      </c>
      <c r="G992" s="42">
        <v>59</v>
      </c>
      <c r="H992" s="42" t="s">
        <v>569</v>
      </c>
      <c r="I992" s="42" t="s">
        <v>37</v>
      </c>
      <c r="J992" s="42">
        <v>10000</v>
      </c>
    </row>
    <row r="993" spans="1:22">
      <c r="A993" s="61" t="s">
        <v>1777</v>
      </c>
      <c r="C993" s="64" t="s">
        <v>4</v>
      </c>
      <c r="D993" s="64" t="s">
        <v>1760</v>
      </c>
      <c r="E993" s="42" t="s">
        <v>1778</v>
      </c>
      <c r="F993" s="42" t="s">
        <v>1777</v>
      </c>
      <c r="G993" s="42">
        <v>60</v>
      </c>
      <c r="H993" s="42" t="s">
        <v>519</v>
      </c>
      <c r="I993" s="42" t="s">
        <v>37</v>
      </c>
      <c r="J993" s="42">
        <v>220000</v>
      </c>
    </row>
    <row r="994" spans="1:22">
      <c r="A994" s="61" t="s">
        <v>1777</v>
      </c>
      <c r="C994" s="64" t="s">
        <v>4</v>
      </c>
      <c r="D994" s="64" t="s">
        <v>1760</v>
      </c>
      <c r="E994" s="42" t="s">
        <v>1778</v>
      </c>
      <c r="F994" s="42" t="s">
        <v>1777</v>
      </c>
      <c r="G994" s="42">
        <v>61</v>
      </c>
      <c r="H994" s="42" t="s">
        <v>515</v>
      </c>
      <c r="I994" s="42" t="s">
        <v>37</v>
      </c>
      <c r="J994" s="42">
        <v>40000</v>
      </c>
    </row>
    <row r="995" spans="1:22">
      <c r="A995" s="61" t="s">
        <v>1777</v>
      </c>
      <c r="C995" s="64" t="s">
        <v>4</v>
      </c>
      <c r="D995" s="64" t="s">
        <v>1760</v>
      </c>
      <c r="E995" s="42" t="s">
        <v>1778</v>
      </c>
      <c r="F995" s="42" t="s">
        <v>1777</v>
      </c>
      <c r="G995" s="42">
        <v>62</v>
      </c>
      <c r="H995" s="42" t="s">
        <v>527</v>
      </c>
      <c r="I995" s="42" t="s">
        <v>37</v>
      </c>
      <c r="J995" s="42">
        <v>60000</v>
      </c>
    </row>
    <row r="996" spans="1:22">
      <c r="A996" s="61" t="s">
        <v>1777</v>
      </c>
      <c r="C996" s="64" t="s">
        <v>4</v>
      </c>
      <c r="D996" s="64" t="s">
        <v>1760</v>
      </c>
      <c r="E996" s="42" t="s">
        <v>1778</v>
      </c>
      <c r="F996" s="42" t="s">
        <v>1777</v>
      </c>
      <c r="G996" s="42">
        <v>63</v>
      </c>
      <c r="H996" s="42" t="s">
        <v>597</v>
      </c>
      <c r="I996" s="42" t="s">
        <v>37</v>
      </c>
      <c r="J996" s="42">
        <v>70000</v>
      </c>
    </row>
    <row r="997" spans="1:22">
      <c r="A997" s="61" t="s">
        <v>1777</v>
      </c>
      <c r="C997" s="64" t="s">
        <v>4</v>
      </c>
      <c r="D997" s="64" t="s">
        <v>1760</v>
      </c>
      <c r="E997" s="42" t="s">
        <v>1778</v>
      </c>
      <c r="F997" s="42" t="s">
        <v>1777</v>
      </c>
      <c r="G997" s="42">
        <v>64</v>
      </c>
      <c r="H997" s="42" t="s">
        <v>599</v>
      </c>
      <c r="I997" s="42" t="s">
        <v>37</v>
      </c>
      <c r="J997" s="42">
        <v>370000</v>
      </c>
    </row>
    <row r="998" spans="1:22">
      <c r="A998" s="61" t="s">
        <v>1777</v>
      </c>
      <c r="C998" s="64" t="s">
        <v>4</v>
      </c>
      <c r="D998" s="64" t="s">
        <v>1760</v>
      </c>
      <c r="E998" s="42" t="s">
        <v>1778</v>
      </c>
      <c r="F998" s="42" t="s">
        <v>1777</v>
      </c>
      <c r="G998" s="42">
        <v>65</v>
      </c>
      <c r="H998" s="42" t="s">
        <v>601</v>
      </c>
      <c r="I998" s="42" t="s">
        <v>37</v>
      </c>
      <c r="J998" s="42">
        <v>50000</v>
      </c>
    </row>
    <row r="999" spans="1:22">
      <c r="A999" s="61" t="s">
        <v>1777</v>
      </c>
      <c r="C999" s="64" t="s">
        <v>4</v>
      </c>
      <c r="D999" s="64" t="s">
        <v>1760</v>
      </c>
      <c r="E999" s="42" t="s">
        <v>1778</v>
      </c>
      <c r="F999" s="42" t="s">
        <v>1777</v>
      </c>
      <c r="G999" s="42">
        <v>66</v>
      </c>
      <c r="H999" s="42" t="s">
        <v>673</v>
      </c>
      <c r="I999" s="42" t="s">
        <v>37</v>
      </c>
      <c r="J999" s="42">
        <v>40000</v>
      </c>
    </row>
    <row r="1000" spans="1:22">
      <c r="A1000" s="61" t="s">
        <v>1777</v>
      </c>
      <c r="C1000" s="64" t="s">
        <v>4</v>
      </c>
      <c r="D1000" s="64" t="s">
        <v>1760</v>
      </c>
      <c r="E1000" s="42" t="s">
        <v>1778</v>
      </c>
      <c r="F1000" s="42" t="s">
        <v>1777</v>
      </c>
      <c r="G1000" s="42">
        <v>67</v>
      </c>
      <c r="H1000" s="42" t="s">
        <v>543</v>
      </c>
      <c r="I1000" s="42" t="s">
        <v>37</v>
      </c>
      <c r="J1000" s="42">
        <v>10000</v>
      </c>
    </row>
    <row r="1001" spans="1:22">
      <c r="A1001" s="61" t="s">
        <v>1777</v>
      </c>
      <c r="C1001" s="64" t="s">
        <v>4</v>
      </c>
      <c r="D1001" s="64" t="s">
        <v>1760</v>
      </c>
      <c r="E1001" s="42" t="s">
        <v>1778</v>
      </c>
      <c r="F1001" s="42" t="s">
        <v>1777</v>
      </c>
      <c r="G1001" s="42">
        <v>68</v>
      </c>
      <c r="H1001" s="42" t="s">
        <v>447</v>
      </c>
      <c r="I1001" s="42" t="s">
        <v>37</v>
      </c>
      <c r="J1001" s="42">
        <v>30000</v>
      </c>
    </row>
    <row r="1002" spans="1:22">
      <c r="A1002" s="61" t="s">
        <v>1777</v>
      </c>
      <c r="C1002" s="64" t="s">
        <v>4</v>
      </c>
      <c r="D1002" s="64" t="s">
        <v>1760</v>
      </c>
      <c r="E1002" s="42" t="s">
        <v>1778</v>
      </c>
      <c r="F1002" s="42" t="s">
        <v>1777</v>
      </c>
      <c r="G1002" s="42">
        <v>69</v>
      </c>
      <c r="H1002" s="42" t="s">
        <v>541</v>
      </c>
      <c r="I1002" s="42" t="s">
        <v>37</v>
      </c>
      <c r="J1002" s="42">
        <v>10000</v>
      </c>
    </row>
    <row r="1003" spans="1:22">
      <c r="A1003" s="61" t="s">
        <v>1777</v>
      </c>
      <c r="C1003" s="64" t="s">
        <v>4</v>
      </c>
      <c r="D1003" s="64" t="s">
        <v>1760</v>
      </c>
      <c r="E1003" s="42" t="s">
        <v>1778</v>
      </c>
      <c r="F1003" s="42" t="s">
        <v>1777</v>
      </c>
      <c r="G1003" s="42">
        <v>70</v>
      </c>
      <c r="H1003" s="42" t="s">
        <v>557</v>
      </c>
      <c r="I1003" s="42" t="s">
        <v>37</v>
      </c>
      <c r="J1003" s="42">
        <v>10000</v>
      </c>
    </row>
    <row r="1004" spans="1:22">
      <c r="A1004" s="61" t="s">
        <v>1777</v>
      </c>
      <c r="C1004" s="64" t="s">
        <v>4</v>
      </c>
      <c r="D1004" s="64" t="s">
        <v>1760</v>
      </c>
      <c r="E1004" s="42" t="s">
        <v>1778</v>
      </c>
      <c r="F1004" s="42" t="s">
        <v>1777</v>
      </c>
      <c r="G1004" s="42">
        <v>71</v>
      </c>
      <c r="H1004" s="42" t="s">
        <v>563</v>
      </c>
      <c r="I1004" s="42" t="s">
        <v>37</v>
      </c>
      <c r="J1004" s="42">
        <v>20000</v>
      </c>
    </row>
    <row r="1005" spans="1:22">
      <c r="A1005" s="61" t="s">
        <v>1777</v>
      </c>
      <c r="C1005" s="64" t="s">
        <v>4</v>
      </c>
      <c r="D1005" s="64" t="s">
        <v>1760</v>
      </c>
      <c r="E1005" s="42" t="s">
        <v>1778</v>
      </c>
      <c r="F1005" s="42" t="s">
        <v>1777</v>
      </c>
      <c r="G1005" s="42">
        <v>72</v>
      </c>
      <c r="H1005" s="42" t="s">
        <v>615</v>
      </c>
      <c r="I1005" s="42" t="s">
        <v>37</v>
      </c>
      <c r="J1005" s="42">
        <v>30000</v>
      </c>
    </row>
    <row r="1006" spans="1:22">
      <c r="A1006" s="61" t="s">
        <v>1777</v>
      </c>
      <c r="C1006" s="64" t="s">
        <v>4</v>
      </c>
      <c r="D1006" s="64" t="s">
        <v>1760</v>
      </c>
      <c r="E1006" s="42" t="s">
        <v>1778</v>
      </c>
      <c r="F1006" s="42" t="s">
        <v>1777</v>
      </c>
      <c r="G1006" s="42">
        <v>73</v>
      </c>
      <c r="H1006" s="42" t="s">
        <v>671</v>
      </c>
      <c r="I1006" s="42" t="s">
        <v>37</v>
      </c>
      <c r="J1006" s="42">
        <v>5000</v>
      </c>
    </row>
    <row r="1007" spans="1:22">
      <c r="A1007" s="61" t="s">
        <v>1777</v>
      </c>
      <c r="C1007" s="64" t="s">
        <v>4</v>
      </c>
      <c r="D1007" s="64" t="s">
        <v>1760</v>
      </c>
      <c r="E1007" s="42" t="s">
        <v>1778</v>
      </c>
      <c r="F1007" s="42" t="s">
        <v>1777</v>
      </c>
      <c r="G1007" s="42">
        <v>74</v>
      </c>
      <c r="H1007" s="42" t="s">
        <v>677</v>
      </c>
      <c r="I1007" s="42" t="s">
        <v>37</v>
      </c>
      <c r="J1007" s="42">
        <v>33000</v>
      </c>
    </row>
    <row r="1008" spans="1:22">
      <c r="A1008" s="61" t="s">
        <v>1777</v>
      </c>
      <c r="C1008" s="64" t="s">
        <v>4</v>
      </c>
      <c r="D1008" s="64" t="s">
        <v>1760</v>
      </c>
      <c r="E1008" s="42" t="s">
        <v>1778</v>
      </c>
      <c r="F1008" s="42" t="s">
        <v>1777</v>
      </c>
      <c r="G1008" s="42">
        <v>75</v>
      </c>
      <c r="H1008" s="42" t="s">
        <v>679</v>
      </c>
      <c r="I1008" s="42" t="s">
        <v>37</v>
      </c>
      <c r="J1008" s="42">
        <v>10000</v>
      </c>
    </row>
    <row r="1009" spans="1:22">
      <c r="A1009" s="61" t="s">
        <v>1777</v>
      </c>
      <c r="C1009" s="64" t="s">
        <v>4</v>
      </c>
      <c r="D1009" s="64" t="s">
        <v>1760</v>
      </c>
      <c r="E1009" s="42" t="s">
        <v>1778</v>
      </c>
      <c r="F1009" s="42" t="s">
        <v>1777</v>
      </c>
      <c r="G1009" s="42">
        <v>76</v>
      </c>
      <c r="H1009" s="42" t="s">
        <v>665</v>
      </c>
      <c r="I1009" s="42" t="s">
        <v>37</v>
      </c>
      <c r="J1009" s="42">
        <v>5000</v>
      </c>
    </row>
    <row r="1010" spans="1:22">
      <c r="A1010" s="61" t="s">
        <v>1777</v>
      </c>
      <c r="C1010" s="64" t="s">
        <v>4</v>
      </c>
      <c r="D1010" s="64" t="s">
        <v>1760</v>
      </c>
      <c r="E1010" s="42" t="s">
        <v>1778</v>
      </c>
      <c r="F1010" s="42" t="s">
        <v>1777</v>
      </c>
      <c r="G1010" s="42">
        <v>77</v>
      </c>
      <c r="H1010" s="42" t="s">
        <v>663</v>
      </c>
      <c r="I1010" s="42" t="s">
        <v>37</v>
      </c>
      <c r="J1010" s="42">
        <v>10000</v>
      </c>
    </row>
    <row r="1011" spans="1:22">
      <c r="A1011" s="61" t="s">
        <v>1777</v>
      </c>
      <c r="C1011" s="64" t="s">
        <v>4</v>
      </c>
      <c r="D1011" s="64" t="s">
        <v>1760</v>
      </c>
      <c r="E1011" s="42" t="s">
        <v>1778</v>
      </c>
      <c r="F1011" s="42" t="s">
        <v>1777</v>
      </c>
      <c r="G1011" s="42">
        <v>78</v>
      </c>
      <c r="H1011" s="42" t="s">
        <v>661</v>
      </c>
      <c r="I1011" s="42" t="s">
        <v>37</v>
      </c>
      <c r="J1011" s="42">
        <v>10000</v>
      </c>
    </row>
    <row r="1012" spans="1:22">
      <c r="A1012" s="61" t="s">
        <v>1777</v>
      </c>
      <c r="C1012" s="64" t="s">
        <v>4</v>
      </c>
      <c r="D1012" s="64" t="s">
        <v>1760</v>
      </c>
      <c r="E1012" s="42" t="s">
        <v>1778</v>
      </c>
      <c r="F1012" s="42" t="s">
        <v>1777</v>
      </c>
      <c r="G1012" s="42">
        <v>79</v>
      </c>
      <c r="H1012" s="42" t="s">
        <v>537</v>
      </c>
      <c r="I1012" s="42" t="s">
        <v>37</v>
      </c>
      <c r="J1012" s="42">
        <v>20000</v>
      </c>
    </row>
    <row r="1013" spans="1:22">
      <c r="A1013" s="61" t="s">
        <v>1777</v>
      </c>
      <c r="C1013" s="64" t="s">
        <v>4</v>
      </c>
      <c r="D1013" s="64" t="s">
        <v>1760</v>
      </c>
      <c r="E1013" s="42" t="s">
        <v>1778</v>
      </c>
      <c r="F1013" s="42" t="s">
        <v>1777</v>
      </c>
      <c r="G1013" s="42">
        <v>80</v>
      </c>
      <c r="H1013" s="42" t="s">
        <v>1121</v>
      </c>
      <c r="I1013" s="42" t="s">
        <v>37</v>
      </c>
      <c r="J1013" s="42">
        <v>15000</v>
      </c>
    </row>
    <row r="1014" spans="1:22">
      <c r="A1014" s="61" t="s">
        <v>1777</v>
      </c>
      <c r="C1014" s="64" t="s">
        <v>4</v>
      </c>
      <c r="D1014" s="64" t="s">
        <v>1760</v>
      </c>
      <c r="E1014" s="42" t="s">
        <v>1778</v>
      </c>
      <c r="F1014" s="42" t="s">
        <v>1777</v>
      </c>
      <c r="G1014" s="42">
        <v>81</v>
      </c>
      <c r="H1014" s="42" t="s">
        <v>659</v>
      </c>
      <c r="I1014" s="42" t="s">
        <v>37</v>
      </c>
      <c r="J1014" s="42">
        <v>5000</v>
      </c>
    </row>
    <row r="1015" spans="1:22">
      <c r="A1015" s="61" t="s">
        <v>1777</v>
      </c>
      <c r="C1015" s="64" t="s">
        <v>4</v>
      </c>
      <c r="D1015" s="64" t="s">
        <v>1760</v>
      </c>
      <c r="E1015" s="42" t="s">
        <v>1778</v>
      </c>
      <c r="F1015" s="42" t="s">
        <v>1777</v>
      </c>
      <c r="G1015" s="42">
        <v>82</v>
      </c>
      <c r="H1015" s="42" t="s">
        <v>675</v>
      </c>
      <c r="I1015" s="42" t="s">
        <v>37</v>
      </c>
      <c r="J1015" s="42">
        <v>90000</v>
      </c>
    </row>
    <row r="1016" spans="1:22">
      <c r="A1016" s="61" t="s">
        <v>1777</v>
      </c>
      <c r="C1016" s="64" t="s">
        <v>4</v>
      </c>
      <c r="D1016" s="64" t="s">
        <v>1760</v>
      </c>
      <c r="E1016" s="42" t="s">
        <v>1778</v>
      </c>
      <c r="F1016" s="42" t="s">
        <v>1777</v>
      </c>
      <c r="G1016" s="42">
        <v>83</v>
      </c>
      <c r="H1016" s="42" t="s">
        <v>797</v>
      </c>
      <c r="I1016" s="42" t="s">
        <v>37</v>
      </c>
      <c r="J1016" s="42">
        <v>10000</v>
      </c>
    </row>
    <row r="1017" spans="1:22">
      <c r="A1017" s="61" t="s">
        <v>1777</v>
      </c>
      <c r="C1017" s="64" t="s">
        <v>4</v>
      </c>
      <c r="D1017" s="64" t="s">
        <v>1760</v>
      </c>
      <c r="E1017" s="42" t="s">
        <v>1778</v>
      </c>
      <c r="F1017" s="42" t="s">
        <v>1777</v>
      </c>
      <c r="G1017" s="42">
        <v>84</v>
      </c>
      <c r="H1017" s="42" t="s">
        <v>799</v>
      </c>
      <c r="I1017" s="42" t="s">
        <v>37</v>
      </c>
      <c r="J1017" s="42">
        <v>10000</v>
      </c>
    </row>
    <row r="1018" spans="1:22">
      <c r="A1018" s="61" t="s">
        <v>1777</v>
      </c>
      <c r="C1018" s="64" t="s">
        <v>4</v>
      </c>
      <c r="D1018" s="64" t="s">
        <v>1760</v>
      </c>
      <c r="E1018" s="42" t="s">
        <v>1778</v>
      </c>
      <c r="F1018" s="42" t="s">
        <v>1777</v>
      </c>
      <c r="G1018" s="42">
        <v>85</v>
      </c>
      <c r="H1018" s="42" t="s">
        <v>809</v>
      </c>
      <c r="I1018" s="42" t="s">
        <v>37</v>
      </c>
      <c r="J1018" s="42">
        <v>15000</v>
      </c>
    </row>
    <row r="1019" spans="1:22">
      <c r="A1019" s="61" t="s">
        <v>1777</v>
      </c>
      <c r="C1019" s="64" t="s">
        <v>4</v>
      </c>
      <c r="D1019" s="64" t="s">
        <v>1760</v>
      </c>
      <c r="E1019" s="42" t="s">
        <v>1778</v>
      </c>
      <c r="F1019" s="42" t="s">
        <v>1777</v>
      </c>
      <c r="G1019" s="42">
        <v>86</v>
      </c>
      <c r="H1019" s="42" t="s">
        <v>717</v>
      </c>
      <c r="I1019" s="42" t="s">
        <v>37</v>
      </c>
      <c r="J1019" s="42">
        <v>30000</v>
      </c>
    </row>
    <row r="1020" spans="1:22">
      <c r="A1020" s="61" t="s">
        <v>1777</v>
      </c>
      <c r="C1020" s="64" t="s">
        <v>4</v>
      </c>
      <c r="D1020" s="64" t="s">
        <v>1760</v>
      </c>
      <c r="E1020" s="42" t="s">
        <v>1778</v>
      </c>
      <c r="F1020" s="42" t="s">
        <v>1777</v>
      </c>
      <c r="G1020" s="42">
        <v>87</v>
      </c>
      <c r="H1020" s="42" t="s">
        <v>743</v>
      </c>
      <c r="I1020" s="42" t="s">
        <v>37</v>
      </c>
      <c r="J1020" s="42">
        <v>20000</v>
      </c>
    </row>
    <row r="1021" spans="1:22">
      <c r="A1021" s="61" t="s">
        <v>1777</v>
      </c>
      <c r="C1021" s="64" t="s">
        <v>4</v>
      </c>
      <c r="D1021" s="64" t="s">
        <v>1760</v>
      </c>
      <c r="E1021" s="42" t="s">
        <v>1778</v>
      </c>
      <c r="F1021" s="42" t="s">
        <v>1777</v>
      </c>
      <c r="G1021" s="42">
        <v>88</v>
      </c>
      <c r="H1021" s="42" t="s">
        <v>745</v>
      </c>
      <c r="I1021" s="42" t="s">
        <v>37</v>
      </c>
      <c r="J1021" s="42">
        <v>10000</v>
      </c>
    </row>
    <row r="1022" spans="1:22">
      <c r="A1022" s="61" t="s">
        <v>1777</v>
      </c>
      <c r="C1022" s="64" t="s">
        <v>4</v>
      </c>
      <c r="D1022" s="64" t="s">
        <v>1760</v>
      </c>
      <c r="E1022" s="42" t="s">
        <v>1778</v>
      </c>
      <c r="F1022" s="42" t="s">
        <v>1777</v>
      </c>
      <c r="G1022" s="42">
        <v>89</v>
      </c>
      <c r="H1022" s="42" t="s">
        <v>747</v>
      </c>
      <c r="I1022" s="42" t="s">
        <v>37</v>
      </c>
      <c r="J1022" s="42">
        <v>10000</v>
      </c>
    </row>
    <row r="1023" spans="1:22">
      <c r="A1023" s="61" t="s">
        <v>1777</v>
      </c>
      <c r="C1023" s="64" t="s">
        <v>4</v>
      </c>
      <c r="D1023" s="64" t="s">
        <v>1760</v>
      </c>
      <c r="E1023" s="42" t="s">
        <v>1778</v>
      </c>
      <c r="F1023" s="42" t="s">
        <v>1777</v>
      </c>
      <c r="G1023" s="42">
        <v>90</v>
      </c>
      <c r="H1023" s="42" t="s">
        <v>749</v>
      </c>
      <c r="I1023" s="42" t="s">
        <v>37</v>
      </c>
      <c r="J1023" s="42">
        <v>115000</v>
      </c>
    </row>
    <row r="1024" spans="1:22">
      <c r="A1024" s="61" t="s">
        <v>1777</v>
      </c>
      <c r="C1024" s="64" t="s">
        <v>4</v>
      </c>
      <c r="D1024" s="64" t="s">
        <v>1760</v>
      </c>
      <c r="E1024" s="42" t="s">
        <v>1778</v>
      </c>
      <c r="F1024" s="42" t="s">
        <v>1777</v>
      </c>
      <c r="G1024" s="42">
        <v>91</v>
      </c>
      <c r="H1024" s="42" t="s">
        <v>751</v>
      </c>
      <c r="I1024" s="42" t="s">
        <v>37</v>
      </c>
      <c r="J1024" s="42">
        <v>40000</v>
      </c>
    </row>
    <row r="1025" spans="1:22">
      <c r="A1025" s="61" t="s">
        <v>1777</v>
      </c>
      <c r="C1025" s="64" t="s">
        <v>4</v>
      </c>
      <c r="D1025" s="64" t="s">
        <v>1760</v>
      </c>
      <c r="E1025" s="42" t="s">
        <v>1778</v>
      </c>
      <c r="F1025" s="42" t="s">
        <v>1777</v>
      </c>
      <c r="G1025" s="42">
        <v>92</v>
      </c>
      <c r="H1025" s="42" t="s">
        <v>753</v>
      </c>
      <c r="I1025" s="42" t="s">
        <v>37</v>
      </c>
      <c r="J1025" s="42">
        <v>15000</v>
      </c>
    </row>
    <row r="1026" spans="1:22">
      <c r="A1026" s="61" t="s">
        <v>1777</v>
      </c>
      <c r="C1026" s="64" t="s">
        <v>4</v>
      </c>
      <c r="D1026" s="64" t="s">
        <v>1760</v>
      </c>
      <c r="E1026" s="42" t="s">
        <v>1778</v>
      </c>
      <c r="F1026" s="42" t="s">
        <v>1777</v>
      </c>
      <c r="G1026" s="42">
        <v>93</v>
      </c>
      <c r="H1026" s="42" t="s">
        <v>721</v>
      </c>
      <c r="I1026" s="42" t="s">
        <v>37</v>
      </c>
      <c r="J1026" s="42">
        <v>10000</v>
      </c>
    </row>
    <row r="1027" spans="1:22">
      <c r="A1027" s="61" t="s">
        <v>1777</v>
      </c>
      <c r="C1027" s="64" t="s">
        <v>4</v>
      </c>
      <c r="D1027" s="64" t="s">
        <v>1760</v>
      </c>
      <c r="E1027" s="42" t="s">
        <v>1778</v>
      </c>
      <c r="F1027" s="42" t="s">
        <v>1777</v>
      </c>
      <c r="G1027" s="42">
        <v>94</v>
      </c>
      <c r="H1027" s="42" t="s">
        <v>683</v>
      </c>
      <c r="I1027" s="42" t="s">
        <v>37</v>
      </c>
      <c r="J1027" s="42">
        <v>160000</v>
      </c>
    </row>
    <row r="1028" spans="1:22">
      <c r="A1028" s="61" t="s">
        <v>1777</v>
      </c>
      <c r="C1028" s="64" t="s">
        <v>4</v>
      </c>
      <c r="D1028" s="64" t="s">
        <v>1760</v>
      </c>
      <c r="E1028" s="42" t="s">
        <v>1778</v>
      </c>
      <c r="F1028" s="42" t="s">
        <v>1777</v>
      </c>
      <c r="G1028" s="42">
        <v>95</v>
      </c>
      <c r="H1028" s="42" t="s">
        <v>719</v>
      </c>
      <c r="I1028" s="42" t="s">
        <v>37</v>
      </c>
      <c r="J1028" s="42">
        <v>10000</v>
      </c>
    </row>
    <row r="1029" spans="1:22">
      <c r="A1029" s="61" t="s">
        <v>1777</v>
      </c>
      <c r="C1029" s="64" t="s">
        <v>4</v>
      </c>
      <c r="D1029" s="64" t="s">
        <v>1760</v>
      </c>
      <c r="E1029" s="42" t="s">
        <v>1778</v>
      </c>
      <c r="F1029" s="42" t="s">
        <v>1777</v>
      </c>
      <c r="G1029" s="42">
        <v>96</v>
      </c>
      <c r="H1029" s="42" t="s">
        <v>967</v>
      </c>
      <c r="I1029" s="42" t="s">
        <v>37</v>
      </c>
      <c r="J1029" s="42">
        <v>20000</v>
      </c>
    </row>
    <row r="1030" spans="1:22">
      <c r="A1030" s="61" t="s">
        <v>1777</v>
      </c>
      <c r="C1030" s="64" t="s">
        <v>4</v>
      </c>
      <c r="D1030" s="64" t="s">
        <v>1760</v>
      </c>
      <c r="E1030" s="42" t="s">
        <v>1778</v>
      </c>
      <c r="F1030" s="42" t="s">
        <v>1777</v>
      </c>
      <c r="G1030" s="42">
        <v>97</v>
      </c>
      <c r="H1030" s="42" t="s">
        <v>907</v>
      </c>
      <c r="I1030" s="42" t="s">
        <v>37</v>
      </c>
      <c r="J1030" s="42">
        <v>30000</v>
      </c>
    </row>
    <row r="1031" spans="1:22">
      <c r="A1031" s="61" t="s">
        <v>1777</v>
      </c>
      <c r="C1031" s="64" t="s">
        <v>4</v>
      </c>
      <c r="D1031" s="64" t="s">
        <v>1760</v>
      </c>
      <c r="E1031" s="42" t="s">
        <v>1778</v>
      </c>
      <c r="F1031" s="42" t="s">
        <v>1777</v>
      </c>
      <c r="G1031" s="42">
        <v>98</v>
      </c>
      <c r="H1031" s="42" t="s">
        <v>909</v>
      </c>
      <c r="I1031" s="42" t="s">
        <v>37</v>
      </c>
      <c r="J1031" s="42">
        <v>20000</v>
      </c>
    </row>
    <row r="1032" spans="1:22">
      <c r="A1032" s="61" t="s">
        <v>1777</v>
      </c>
      <c r="C1032" s="64" t="s">
        <v>4</v>
      </c>
      <c r="D1032" s="64" t="s">
        <v>1760</v>
      </c>
      <c r="E1032" s="42" t="s">
        <v>1778</v>
      </c>
      <c r="F1032" s="42" t="s">
        <v>1777</v>
      </c>
      <c r="G1032" s="42">
        <v>99</v>
      </c>
      <c r="H1032" s="42" t="s">
        <v>911</v>
      </c>
      <c r="I1032" s="42" t="s">
        <v>37</v>
      </c>
      <c r="J1032" s="42">
        <v>30000</v>
      </c>
    </row>
    <row r="1033" spans="1:22">
      <c r="A1033" s="61" t="s">
        <v>1777</v>
      </c>
      <c r="C1033" s="64" t="s">
        <v>4</v>
      </c>
      <c r="D1033" s="64" t="s">
        <v>1760</v>
      </c>
      <c r="E1033" s="42" t="s">
        <v>1778</v>
      </c>
      <c r="F1033" s="42" t="s">
        <v>1777</v>
      </c>
      <c r="G1033" s="42">
        <v>100</v>
      </c>
      <c r="H1033" s="42" t="s">
        <v>913</v>
      </c>
      <c r="I1033" s="42" t="s">
        <v>37</v>
      </c>
      <c r="J1033" s="42">
        <v>45000</v>
      </c>
    </row>
    <row r="1034" spans="1:22">
      <c r="A1034" s="61" t="s">
        <v>1777</v>
      </c>
      <c r="C1034" s="64" t="s">
        <v>4</v>
      </c>
      <c r="D1034" s="64" t="s">
        <v>1760</v>
      </c>
      <c r="E1034" s="42" t="s">
        <v>1778</v>
      </c>
      <c r="F1034" s="42" t="s">
        <v>1777</v>
      </c>
      <c r="G1034" s="42">
        <v>101</v>
      </c>
      <c r="H1034" s="42" t="s">
        <v>915</v>
      </c>
      <c r="I1034" s="42" t="s">
        <v>37</v>
      </c>
      <c r="J1034" s="42">
        <v>50000</v>
      </c>
    </row>
    <row r="1035" spans="1:22">
      <c r="A1035" s="61" t="s">
        <v>1777</v>
      </c>
      <c r="C1035" s="64" t="s">
        <v>4</v>
      </c>
      <c r="D1035" s="64" t="s">
        <v>1760</v>
      </c>
      <c r="E1035" s="42" t="s">
        <v>1778</v>
      </c>
      <c r="F1035" s="42" t="s">
        <v>1777</v>
      </c>
      <c r="G1035" s="42">
        <v>102</v>
      </c>
      <c r="H1035" s="42" t="s">
        <v>917</v>
      </c>
      <c r="I1035" s="42" t="s">
        <v>37</v>
      </c>
      <c r="J1035" s="42">
        <v>10000</v>
      </c>
    </row>
    <row r="1036" spans="1:22">
      <c r="A1036" s="61" t="s">
        <v>1777</v>
      </c>
      <c r="C1036" s="64" t="s">
        <v>4</v>
      </c>
      <c r="D1036" s="64" t="s">
        <v>1760</v>
      </c>
      <c r="E1036" s="42" t="s">
        <v>1778</v>
      </c>
      <c r="F1036" s="42" t="s">
        <v>1777</v>
      </c>
      <c r="G1036" s="42">
        <v>103</v>
      </c>
      <c r="H1036" s="42" t="s">
        <v>971</v>
      </c>
      <c r="I1036" s="42" t="s">
        <v>37</v>
      </c>
      <c r="J1036" s="42">
        <v>3000</v>
      </c>
    </row>
    <row r="1037" spans="1:22">
      <c r="A1037" s="61" t="s">
        <v>1777</v>
      </c>
      <c r="C1037" s="64" t="s">
        <v>4</v>
      </c>
      <c r="D1037" s="64" t="s">
        <v>1760</v>
      </c>
      <c r="E1037" s="42" t="s">
        <v>1778</v>
      </c>
      <c r="F1037" s="42" t="s">
        <v>1777</v>
      </c>
      <c r="G1037" s="42">
        <v>104</v>
      </c>
      <c r="H1037" s="42" t="s">
        <v>763</v>
      </c>
      <c r="I1037" s="42" t="s">
        <v>37</v>
      </c>
      <c r="J1037" s="42">
        <v>10000</v>
      </c>
    </row>
    <row r="1038" spans="1:22">
      <c r="A1038" s="61" t="s">
        <v>1777</v>
      </c>
      <c r="C1038" s="64" t="s">
        <v>4</v>
      </c>
      <c r="D1038" s="64" t="s">
        <v>1760</v>
      </c>
      <c r="E1038" s="42" t="s">
        <v>1778</v>
      </c>
      <c r="F1038" s="42" t="s">
        <v>1777</v>
      </c>
      <c r="G1038" s="42">
        <v>105</v>
      </c>
      <c r="H1038" s="42" t="s">
        <v>975</v>
      </c>
      <c r="I1038" s="42" t="s">
        <v>37</v>
      </c>
      <c r="J1038" s="42">
        <v>10000</v>
      </c>
    </row>
    <row r="1039" spans="1:22">
      <c r="A1039" s="61" t="s">
        <v>1777</v>
      </c>
      <c r="C1039" s="64" t="s">
        <v>4</v>
      </c>
      <c r="D1039" s="64" t="s">
        <v>1760</v>
      </c>
      <c r="E1039" s="42" t="s">
        <v>1778</v>
      </c>
      <c r="F1039" s="42" t="s">
        <v>1777</v>
      </c>
      <c r="G1039" s="42">
        <v>106</v>
      </c>
      <c r="H1039" s="42" t="s">
        <v>961</v>
      </c>
      <c r="I1039" s="42" t="s">
        <v>37</v>
      </c>
      <c r="J1039" s="42">
        <v>60000</v>
      </c>
    </row>
    <row r="1040" spans="1:22">
      <c r="A1040" s="61" t="s">
        <v>1777</v>
      </c>
      <c r="C1040" s="64" t="s">
        <v>4</v>
      </c>
      <c r="D1040" s="64" t="s">
        <v>1760</v>
      </c>
      <c r="E1040" s="42" t="s">
        <v>1778</v>
      </c>
      <c r="F1040" s="42" t="s">
        <v>1777</v>
      </c>
      <c r="G1040" s="42">
        <v>107</v>
      </c>
      <c r="H1040" s="42" t="s">
        <v>919</v>
      </c>
      <c r="I1040" s="42" t="s">
        <v>37</v>
      </c>
      <c r="J1040" s="42">
        <v>40000</v>
      </c>
    </row>
    <row r="1041" spans="1:22">
      <c r="A1041" s="61" t="s">
        <v>1777</v>
      </c>
      <c r="C1041" s="64" t="s">
        <v>4</v>
      </c>
      <c r="D1041" s="64" t="s">
        <v>1760</v>
      </c>
      <c r="E1041" s="42" t="s">
        <v>1778</v>
      </c>
      <c r="F1041" s="42" t="s">
        <v>1777</v>
      </c>
      <c r="G1041" s="42">
        <v>108</v>
      </c>
      <c r="H1041" s="42" t="s">
        <v>1331</v>
      </c>
      <c r="I1041" s="42" t="s">
        <v>37</v>
      </c>
      <c r="J1041" s="42">
        <v>205000</v>
      </c>
    </row>
    <row r="1042" spans="1:22">
      <c r="A1042" s="61" t="s">
        <v>1777</v>
      </c>
      <c r="C1042" s="64" t="s">
        <v>4</v>
      </c>
      <c r="D1042" s="64" t="s">
        <v>1760</v>
      </c>
      <c r="E1042" s="42" t="s">
        <v>1778</v>
      </c>
      <c r="F1042" s="42" t="s">
        <v>1777</v>
      </c>
      <c r="G1042" s="42">
        <v>109</v>
      </c>
      <c r="H1042" s="42" t="s">
        <v>1318</v>
      </c>
      <c r="I1042" s="42" t="s">
        <v>37</v>
      </c>
      <c r="J1042" s="42">
        <v>70000</v>
      </c>
    </row>
    <row r="1043" spans="1:22">
      <c r="A1043" s="61" t="s">
        <v>1777</v>
      </c>
      <c r="C1043" s="64" t="s">
        <v>4</v>
      </c>
      <c r="D1043" s="64" t="s">
        <v>1760</v>
      </c>
      <c r="E1043" s="42" t="s">
        <v>1778</v>
      </c>
      <c r="F1043" s="42" t="s">
        <v>1777</v>
      </c>
      <c r="G1043" s="42">
        <v>110</v>
      </c>
      <c r="H1043" s="42" t="s">
        <v>1273</v>
      </c>
      <c r="I1043" s="42" t="s">
        <v>37</v>
      </c>
      <c r="J1043" s="42">
        <v>85000</v>
      </c>
    </row>
    <row r="1044" spans="1:22">
      <c r="A1044" s="61" t="s">
        <v>1777</v>
      </c>
      <c r="C1044" s="64" t="s">
        <v>4</v>
      </c>
      <c r="D1044" s="64" t="s">
        <v>1760</v>
      </c>
      <c r="E1044" s="42" t="s">
        <v>1778</v>
      </c>
      <c r="F1044" s="42" t="s">
        <v>1777</v>
      </c>
      <c r="G1044" s="42">
        <v>111</v>
      </c>
      <c r="H1044" s="42" t="s">
        <v>1274</v>
      </c>
      <c r="I1044" s="42" t="s">
        <v>37</v>
      </c>
      <c r="J1044" s="42">
        <v>6000</v>
      </c>
    </row>
    <row r="1045" spans="1:22">
      <c r="A1045" s="61" t="s">
        <v>1777</v>
      </c>
      <c r="C1045" s="64" t="s">
        <v>4</v>
      </c>
      <c r="D1045" s="64" t="s">
        <v>1760</v>
      </c>
      <c r="E1045" s="42" t="s">
        <v>1778</v>
      </c>
      <c r="F1045" s="42" t="s">
        <v>1777</v>
      </c>
      <c r="G1045" s="42">
        <v>112</v>
      </c>
      <c r="H1045" s="42" t="s">
        <v>1324</v>
      </c>
      <c r="I1045" s="42" t="s">
        <v>37</v>
      </c>
      <c r="J1045" s="42">
        <v>20000</v>
      </c>
    </row>
    <row r="1046" spans="1:22">
      <c r="A1046" s="61" t="s">
        <v>1777</v>
      </c>
      <c r="C1046" s="64" t="s">
        <v>4</v>
      </c>
      <c r="D1046" s="64" t="s">
        <v>1760</v>
      </c>
      <c r="E1046" s="42" t="s">
        <v>1778</v>
      </c>
      <c r="F1046" s="42" t="s">
        <v>1777</v>
      </c>
      <c r="G1046" s="42">
        <v>113</v>
      </c>
      <c r="H1046" s="42" t="s">
        <v>1284</v>
      </c>
      <c r="I1046" s="42" t="s">
        <v>37</v>
      </c>
      <c r="J1046" s="42">
        <v>15000</v>
      </c>
    </row>
    <row r="1047" spans="1:22">
      <c r="A1047" s="61" t="s">
        <v>1777</v>
      </c>
      <c r="C1047" s="64" t="s">
        <v>4</v>
      </c>
      <c r="D1047" s="64" t="s">
        <v>1760</v>
      </c>
      <c r="E1047" s="42" t="s">
        <v>1778</v>
      </c>
      <c r="F1047" s="42" t="s">
        <v>1777</v>
      </c>
      <c r="G1047" s="42">
        <v>114</v>
      </c>
      <c r="H1047" s="42" t="s">
        <v>959</v>
      </c>
      <c r="I1047" s="42" t="s">
        <v>37</v>
      </c>
      <c r="J1047" s="42">
        <v>140000</v>
      </c>
    </row>
    <row r="1048" spans="1:22">
      <c r="A1048" s="61" t="s">
        <v>1777</v>
      </c>
      <c r="C1048" s="64" t="s">
        <v>4</v>
      </c>
      <c r="D1048" s="64" t="s">
        <v>1760</v>
      </c>
      <c r="E1048" s="42" t="s">
        <v>1778</v>
      </c>
      <c r="F1048" s="42" t="s">
        <v>1777</v>
      </c>
      <c r="G1048" s="42">
        <v>115</v>
      </c>
      <c r="H1048" s="42" t="s">
        <v>1367</v>
      </c>
      <c r="I1048" s="42" t="s">
        <v>37</v>
      </c>
      <c r="J1048" s="42">
        <v>5000</v>
      </c>
    </row>
    <row r="1049" spans="1:22">
      <c r="A1049" s="61" t="s">
        <v>1777</v>
      </c>
      <c r="C1049" s="64" t="s">
        <v>4</v>
      </c>
      <c r="D1049" s="64" t="s">
        <v>1760</v>
      </c>
      <c r="E1049" s="42" t="s">
        <v>1778</v>
      </c>
      <c r="F1049" s="42" t="s">
        <v>1777</v>
      </c>
      <c r="G1049" s="42">
        <v>116</v>
      </c>
      <c r="H1049" s="42" t="s">
        <v>1290</v>
      </c>
      <c r="I1049" s="42" t="s">
        <v>37</v>
      </c>
      <c r="J1049" s="42">
        <v>30000</v>
      </c>
    </row>
    <row r="1050" spans="1:22">
      <c r="A1050" s="61" t="s">
        <v>1777</v>
      </c>
      <c r="C1050" s="64" t="s">
        <v>4</v>
      </c>
      <c r="D1050" s="64" t="s">
        <v>1760</v>
      </c>
      <c r="E1050" s="42" t="s">
        <v>1778</v>
      </c>
      <c r="F1050" s="42" t="s">
        <v>1777</v>
      </c>
      <c r="G1050" s="42">
        <v>117</v>
      </c>
      <c r="H1050" s="42" t="s">
        <v>1262</v>
      </c>
      <c r="I1050" s="42" t="s">
        <v>37</v>
      </c>
      <c r="J1050" s="42">
        <v>35000</v>
      </c>
    </row>
    <row r="1051" spans="1:22">
      <c r="A1051" s="61" t="s">
        <v>1781</v>
      </c>
      <c r="C1051" s="64" t="s">
        <v>4</v>
      </c>
      <c r="D1051" s="64" t="s">
        <v>1760</v>
      </c>
      <c r="E1051" s="42" t="s">
        <v>1782</v>
      </c>
      <c r="F1051" s="42" t="s">
        <v>1781</v>
      </c>
      <c r="G1051" s="42">
        <v>1</v>
      </c>
      <c r="H1051" s="42" t="s">
        <v>940</v>
      </c>
      <c r="I1051" s="42" t="s">
        <v>106</v>
      </c>
      <c r="J1051" s="42">
        <v>10000</v>
      </c>
    </row>
    <row r="1052" spans="1:22">
      <c r="A1052" s="61" t="s">
        <v>1781</v>
      </c>
      <c r="C1052" s="64" t="s">
        <v>4</v>
      </c>
      <c r="D1052" s="64" t="s">
        <v>1760</v>
      </c>
      <c r="E1052" s="42" t="s">
        <v>1782</v>
      </c>
      <c r="F1052" s="42" t="s">
        <v>1781</v>
      </c>
      <c r="G1052" s="42">
        <v>2</v>
      </c>
      <c r="H1052" s="42" t="s">
        <v>107</v>
      </c>
      <c r="I1052" s="42" t="s">
        <v>106</v>
      </c>
      <c r="J1052" s="42">
        <v>20000</v>
      </c>
    </row>
    <row r="1053" spans="1:22">
      <c r="A1053" s="61" t="s">
        <v>1781</v>
      </c>
      <c r="C1053" s="64" t="s">
        <v>4</v>
      </c>
      <c r="D1053" s="64" t="s">
        <v>1760</v>
      </c>
      <c r="E1053" s="42" t="s">
        <v>1782</v>
      </c>
      <c r="F1053" s="42" t="s">
        <v>1781</v>
      </c>
      <c r="G1053" s="42">
        <v>3</v>
      </c>
      <c r="H1053" s="42" t="s">
        <v>115</v>
      </c>
      <c r="I1053" s="42" t="s">
        <v>106</v>
      </c>
      <c r="J1053" s="42">
        <v>20000</v>
      </c>
    </row>
    <row r="1054" spans="1:22">
      <c r="A1054" s="61" t="s">
        <v>1781</v>
      </c>
      <c r="C1054" s="64" t="s">
        <v>4</v>
      </c>
      <c r="D1054" s="64" t="s">
        <v>1760</v>
      </c>
      <c r="E1054" s="42" t="s">
        <v>1782</v>
      </c>
      <c r="F1054" s="42" t="s">
        <v>1781</v>
      </c>
      <c r="G1054" s="42">
        <v>4</v>
      </c>
      <c r="H1054" s="42" t="s">
        <v>635</v>
      </c>
      <c r="I1054" s="42" t="s">
        <v>106</v>
      </c>
      <c r="J1054" s="42">
        <v>179919</v>
      </c>
    </row>
    <row r="1055" spans="1:22">
      <c r="A1055" s="61" t="s">
        <v>1781</v>
      </c>
      <c r="C1055" s="64" t="s">
        <v>4</v>
      </c>
      <c r="D1055" s="64" t="s">
        <v>1760</v>
      </c>
      <c r="E1055" s="42" t="s">
        <v>1782</v>
      </c>
      <c r="F1055" s="42" t="s">
        <v>1781</v>
      </c>
      <c r="G1055" s="42">
        <v>5</v>
      </c>
      <c r="H1055" s="42" t="s">
        <v>807</v>
      </c>
      <c r="I1055" s="42" t="s">
        <v>106</v>
      </c>
      <c r="J1055" s="42">
        <v>30144</v>
      </c>
    </row>
    <row r="1056" spans="1:22">
      <c r="A1056" s="61" t="s">
        <v>1781</v>
      </c>
      <c r="C1056" s="64" t="s">
        <v>4</v>
      </c>
      <c r="D1056" s="64" t="s">
        <v>1760</v>
      </c>
      <c r="E1056" s="42" t="s">
        <v>1782</v>
      </c>
      <c r="F1056" s="42" t="s">
        <v>1781</v>
      </c>
      <c r="G1056" s="42">
        <v>6</v>
      </c>
      <c r="H1056" s="42" t="s">
        <v>733</v>
      </c>
      <c r="I1056" s="42" t="s">
        <v>113</v>
      </c>
      <c r="J1056" s="42">
        <v>20000</v>
      </c>
    </row>
    <row r="1057" spans="1:22">
      <c r="A1057" s="61" t="s">
        <v>1781</v>
      </c>
      <c r="C1057" s="64" t="s">
        <v>4</v>
      </c>
      <c r="D1057" s="64" t="s">
        <v>1760</v>
      </c>
      <c r="E1057" s="42" t="s">
        <v>1782</v>
      </c>
      <c r="F1057" s="42" t="s">
        <v>1781</v>
      </c>
      <c r="G1057" s="42">
        <v>7</v>
      </c>
      <c r="H1057" s="42" t="s">
        <v>347</v>
      </c>
      <c r="I1057" s="42" t="s">
        <v>113</v>
      </c>
      <c r="J1057" s="42">
        <v>14000</v>
      </c>
    </row>
    <row r="1058" spans="1:22">
      <c r="A1058" s="61" t="s">
        <v>1781</v>
      </c>
      <c r="C1058" s="64" t="s">
        <v>4</v>
      </c>
      <c r="D1058" s="64" t="s">
        <v>1760</v>
      </c>
      <c r="E1058" s="42" t="s">
        <v>1782</v>
      </c>
      <c r="F1058" s="42" t="s">
        <v>1781</v>
      </c>
      <c r="G1058" s="42">
        <v>8</v>
      </c>
      <c r="H1058" s="42" t="s">
        <v>409</v>
      </c>
      <c r="I1058" s="42" t="s">
        <v>113</v>
      </c>
      <c r="J1058" s="42">
        <v>10000</v>
      </c>
    </row>
    <row r="1059" spans="1:22">
      <c r="A1059" s="61" t="s">
        <v>1781</v>
      </c>
      <c r="C1059" s="64" t="s">
        <v>4</v>
      </c>
      <c r="D1059" s="64" t="s">
        <v>1760</v>
      </c>
      <c r="E1059" s="42" t="s">
        <v>1782</v>
      </c>
      <c r="F1059" s="42" t="s">
        <v>1781</v>
      </c>
      <c r="G1059" s="42">
        <v>9</v>
      </c>
      <c r="H1059" s="42" t="s">
        <v>399</v>
      </c>
      <c r="I1059" s="42" t="s">
        <v>113</v>
      </c>
      <c r="J1059" s="42">
        <v>10000</v>
      </c>
    </row>
    <row r="1060" spans="1:22">
      <c r="A1060" s="61" t="s">
        <v>1781</v>
      </c>
      <c r="C1060" s="64" t="s">
        <v>4</v>
      </c>
      <c r="D1060" s="64" t="s">
        <v>1760</v>
      </c>
      <c r="E1060" s="42" t="s">
        <v>1782</v>
      </c>
      <c r="F1060" s="42" t="s">
        <v>1781</v>
      </c>
      <c r="G1060" s="42">
        <v>10</v>
      </c>
      <c r="H1060" s="42" t="s">
        <v>929</v>
      </c>
      <c r="I1060" s="42" t="s">
        <v>113</v>
      </c>
      <c r="J1060" s="42">
        <v>30000</v>
      </c>
    </row>
    <row r="1061" spans="1:22">
      <c r="A1061" s="61" t="s">
        <v>1781</v>
      </c>
      <c r="C1061" s="64" t="s">
        <v>4</v>
      </c>
      <c r="D1061" s="64" t="s">
        <v>1760</v>
      </c>
      <c r="E1061" s="42" t="s">
        <v>1782</v>
      </c>
      <c r="F1061" s="42" t="s">
        <v>1781</v>
      </c>
      <c r="G1061" s="42">
        <v>11</v>
      </c>
      <c r="H1061" s="42" t="s">
        <v>737</v>
      </c>
      <c r="I1061" s="42" t="s">
        <v>113</v>
      </c>
      <c r="J1061" s="42">
        <v>50000</v>
      </c>
    </row>
    <row r="1062" spans="1:22">
      <c r="A1062" s="61" t="s">
        <v>1781</v>
      </c>
      <c r="C1062" s="64" t="s">
        <v>4</v>
      </c>
      <c r="D1062" s="64" t="s">
        <v>1760</v>
      </c>
      <c r="E1062" s="42" t="s">
        <v>1782</v>
      </c>
      <c r="F1062" s="42" t="s">
        <v>1781</v>
      </c>
      <c r="G1062" s="42">
        <v>12</v>
      </c>
      <c r="H1062" s="42" t="s">
        <v>931</v>
      </c>
      <c r="I1062" s="42" t="s">
        <v>113</v>
      </c>
      <c r="J1062" s="42">
        <v>30000</v>
      </c>
    </row>
    <row r="1063" spans="1:22">
      <c r="A1063" s="61" t="s">
        <v>1781</v>
      </c>
      <c r="C1063" s="64" t="s">
        <v>4</v>
      </c>
      <c r="D1063" s="64" t="s">
        <v>1760</v>
      </c>
      <c r="E1063" s="42" t="s">
        <v>1782</v>
      </c>
      <c r="F1063" s="42" t="s">
        <v>1781</v>
      </c>
      <c r="G1063" s="42">
        <v>13</v>
      </c>
      <c r="H1063" s="42" t="s">
        <v>401</v>
      </c>
      <c r="I1063" s="42" t="s">
        <v>113</v>
      </c>
      <c r="J1063" s="42">
        <v>10000</v>
      </c>
    </row>
    <row r="1064" spans="1:22">
      <c r="A1064" s="61" t="s">
        <v>1781</v>
      </c>
      <c r="C1064" s="64" t="s">
        <v>4</v>
      </c>
      <c r="D1064" s="64" t="s">
        <v>1760</v>
      </c>
      <c r="E1064" s="42" t="s">
        <v>1782</v>
      </c>
      <c r="F1064" s="42" t="s">
        <v>1781</v>
      </c>
      <c r="G1064" s="42">
        <v>14</v>
      </c>
      <c r="H1064" s="42" t="s">
        <v>1287</v>
      </c>
      <c r="I1064" s="42" t="s">
        <v>113</v>
      </c>
      <c r="J1064" s="42">
        <v>14000</v>
      </c>
    </row>
    <row r="1065" spans="1:22">
      <c r="A1065" s="61" t="s">
        <v>1781</v>
      </c>
      <c r="C1065" s="64" t="s">
        <v>4</v>
      </c>
      <c r="D1065" s="64" t="s">
        <v>1760</v>
      </c>
      <c r="E1065" s="42" t="s">
        <v>1782</v>
      </c>
      <c r="F1065" s="42" t="s">
        <v>1781</v>
      </c>
      <c r="G1065" s="42">
        <v>15</v>
      </c>
      <c r="H1065" s="42" t="s">
        <v>103</v>
      </c>
      <c r="I1065" s="42" t="s">
        <v>102</v>
      </c>
      <c r="J1065" s="42">
        <v>20000</v>
      </c>
    </row>
    <row r="1066" spans="1:22">
      <c r="A1066" s="61" t="s">
        <v>1781</v>
      </c>
      <c r="C1066" s="64" t="s">
        <v>4</v>
      </c>
      <c r="D1066" s="64" t="s">
        <v>1760</v>
      </c>
      <c r="E1066" s="42" t="s">
        <v>1782</v>
      </c>
      <c r="F1066" s="42" t="s">
        <v>1781</v>
      </c>
      <c r="G1066" s="42">
        <v>16</v>
      </c>
      <c r="H1066" s="42" t="s">
        <v>197</v>
      </c>
      <c r="I1066" s="42" t="s">
        <v>102</v>
      </c>
      <c r="J1066" s="42">
        <v>93830</v>
      </c>
    </row>
    <row r="1067" spans="1:22">
      <c r="A1067" s="61" t="s">
        <v>1781</v>
      </c>
      <c r="C1067" s="64" t="s">
        <v>4</v>
      </c>
      <c r="D1067" s="64" t="s">
        <v>1760</v>
      </c>
      <c r="E1067" s="42" t="s">
        <v>1782</v>
      </c>
      <c r="F1067" s="42" t="s">
        <v>1781</v>
      </c>
      <c r="G1067" s="42">
        <v>17</v>
      </c>
      <c r="H1067" s="42" t="s">
        <v>895</v>
      </c>
      <c r="I1067" s="42" t="s">
        <v>37</v>
      </c>
      <c r="J1067" s="42">
        <v>30000</v>
      </c>
    </row>
    <row r="1068" spans="1:22">
      <c r="A1068" s="61" t="s">
        <v>1781</v>
      </c>
      <c r="C1068" s="64" t="s">
        <v>4</v>
      </c>
      <c r="D1068" s="64" t="s">
        <v>1760</v>
      </c>
      <c r="E1068" s="42" t="s">
        <v>1782</v>
      </c>
      <c r="F1068" s="42" t="s">
        <v>1781</v>
      </c>
      <c r="G1068" s="42">
        <v>18</v>
      </c>
      <c r="H1068" s="42" t="s">
        <v>353</v>
      </c>
      <c r="I1068" s="42" t="s">
        <v>37</v>
      </c>
      <c r="J1068" s="42">
        <v>15000</v>
      </c>
    </row>
    <row r="1069" spans="1:22">
      <c r="A1069" s="61" t="s">
        <v>1781</v>
      </c>
      <c r="C1069" s="64" t="s">
        <v>4</v>
      </c>
      <c r="D1069" s="64" t="s">
        <v>1760</v>
      </c>
      <c r="E1069" s="42" t="s">
        <v>1782</v>
      </c>
      <c r="F1069" s="42" t="s">
        <v>1781</v>
      </c>
      <c r="G1069" s="42">
        <v>19</v>
      </c>
      <c r="H1069" s="42" t="s">
        <v>355</v>
      </c>
      <c r="I1069" s="42" t="s">
        <v>37</v>
      </c>
      <c r="J1069" s="42">
        <v>16000</v>
      </c>
    </row>
    <row r="1070" spans="1:22">
      <c r="A1070" s="61" t="s">
        <v>1781</v>
      </c>
      <c r="C1070" s="64" t="s">
        <v>4</v>
      </c>
      <c r="D1070" s="64" t="s">
        <v>1760</v>
      </c>
      <c r="E1070" s="42" t="s">
        <v>1782</v>
      </c>
      <c r="F1070" s="42" t="s">
        <v>1781</v>
      </c>
      <c r="G1070" s="42">
        <v>20</v>
      </c>
      <c r="H1070" s="42" t="s">
        <v>357</v>
      </c>
      <c r="I1070" s="42" t="s">
        <v>37</v>
      </c>
      <c r="J1070" s="42">
        <v>10000</v>
      </c>
    </row>
    <row r="1071" spans="1:22">
      <c r="A1071" s="61" t="s">
        <v>1781</v>
      </c>
      <c r="C1071" s="64" t="s">
        <v>4</v>
      </c>
      <c r="D1071" s="64" t="s">
        <v>1760</v>
      </c>
      <c r="E1071" s="42" t="s">
        <v>1782</v>
      </c>
      <c r="F1071" s="42" t="s">
        <v>1781</v>
      </c>
      <c r="G1071" s="42">
        <v>21</v>
      </c>
      <c r="H1071" s="42" t="s">
        <v>411</v>
      </c>
      <c r="I1071" s="42" t="s">
        <v>37</v>
      </c>
      <c r="J1071" s="42">
        <v>10000</v>
      </c>
    </row>
    <row r="1072" spans="1:22">
      <c r="A1072" s="61" t="s">
        <v>1781</v>
      </c>
      <c r="C1072" s="64" t="s">
        <v>4</v>
      </c>
      <c r="D1072" s="64" t="s">
        <v>1760</v>
      </c>
      <c r="E1072" s="42" t="s">
        <v>1782</v>
      </c>
      <c r="F1072" s="42" t="s">
        <v>1781</v>
      </c>
      <c r="G1072" s="42">
        <v>22</v>
      </c>
      <c r="H1072" s="42" t="s">
        <v>897</v>
      </c>
      <c r="I1072" s="42" t="s">
        <v>37</v>
      </c>
      <c r="J1072" s="42">
        <v>5000</v>
      </c>
    </row>
    <row r="1073" spans="1:22">
      <c r="A1073" s="61" t="s">
        <v>1781</v>
      </c>
      <c r="C1073" s="64" t="s">
        <v>4</v>
      </c>
      <c r="D1073" s="64" t="s">
        <v>1760</v>
      </c>
      <c r="E1073" s="42" t="s">
        <v>1782</v>
      </c>
      <c r="F1073" s="42" t="s">
        <v>1781</v>
      </c>
      <c r="G1073" s="42">
        <v>23</v>
      </c>
      <c r="H1073" s="42" t="s">
        <v>211</v>
      </c>
      <c r="I1073" s="42" t="s">
        <v>37</v>
      </c>
      <c r="J1073" s="42">
        <v>10000</v>
      </c>
    </row>
    <row r="1074" spans="1:22">
      <c r="A1074" s="61" t="s">
        <v>1781</v>
      </c>
      <c r="C1074" s="64" t="s">
        <v>4</v>
      </c>
      <c r="D1074" s="64" t="s">
        <v>1760</v>
      </c>
      <c r="E1074" s="42" t="s">
        <v>1782</v>
      </c>
      <c r="F1074" s="42" t="s">
        <v>1781</v>
      </c>
      <c r="G1074" s="42">
        <v>24</v>
      </c>
      <c r="H1074" s="42" t="s">
        <v>407</v>
      </c>
      <c r="I1074" s="42" t="s">
        <v>37</v>
      </c>
      <c r="J1074" s="42">
        <v>15000</v>
      </c>
    </row>
    <row r="1075" spans="1:22">
      <c r="A1075" s="61" t="s">
        <v>1781</v>
      </c>
      <c r="C1075" s="64" t="s">
        <v>4</v>
      </c>
      <c r="D1075" s="64" t="s">
        <v>1760</v>
      </c>
      <c r="E1075" s="42" t="s">
        <v>1782</v>
      </c>
      <c r="F1075" s="42" t="s">
        <v>1781</v>
      </c>
      <c r="G1075" s="42">
        <v>25</v>
      </c>
      <c r="H1075" s="42" t="s">
        <v>413</v>
      </c>
      <c r="I1075" s="42" t="s">
        <v>37</v>
      </c>
      <c r="J1075" s="42">
        <v>10000</v>
      </c>
    </row>
    <row r="1076" spans="1:22">
      <c r="A1076" s="61" t="s">
        <v>1781</v>
      </c>
      <c r="C1076" s="64" t="s">
        <v>4</v>
      </c>
      <c r="D1076" s="64" t="s">
        <v>1760</v>
      </c>
      <c r="E1076" s="42" t="s">
        <v>1782</v>
      </c>
      <c r="F1076" s="42" t="s">
        <v>1781</v>
      </c>
      <c r="G1076" s="42">
        <v>26</v>
      </c>
      <c r="H1076" s="42" t="s">
        <v>373</v>
      </c>
      <c r="I1076" s="42" t="s">
        <v>37</v>
      </c>
      <c r="J1076" s="42">
        <v>20000</v>
      </c>
    </row>
    <row r="1077" spans="1:22">
      <c r="A1077" s="61" t="s">
        <v>1781</v>
      </c>
      <c r="C1077" s="64" t="s">
        <v>4</v>
      </c>
      <c r="D1077" s="64" t="s">
        <v>1760</v>
      </c>
      <c r="E1077" s="42" t="s">
        <v>1782</v>
      </c>
      <c r="F1077" s="42" t="s">
        <v>1781</v>
      </c>
      <c r="G1077" s="42">
        <v>27</v>
      </c>
      <c r="H1077" s="42" t="s">
        <v>375</v>
      </c>
      <c r="I1077" s="42" t="s">
        <v>37</v>
      </c>
      <c r="J1077" s="42">
        <v>10000</v>
      </c>
    </row>
    <row r="1078" spans="1:22">
      <c r="A1078" s="61" t="s">
        <v>1781</v>
      </c>
      <c r="C1078" s="64" t="s">
        <v>4</v>
      </c>
      <c r="D1078" s="64" t="s">
        <v>1760</v>
      </c>
      <c r="E1078" s="42" t="s">
        <v>1782</v>
      </c>
      <c r="F1078" s="42" t="s">
        <v>1781</v>
      </c>
      <c r="G1078" s="42">
        <v>28</v>
      </c>
      <c r="H1078" s="42" t="s">
        <v>365</v>
      </c>
      <c r="I1078" s="42" t="s">
        <v>37</v>
      </c>
      <c r="J1078" s="42">
        <v>6000</v>
      </c>
    </row>
    <row r="1079" spans="1:22">
      <c r="A1079" s="61" t="s">
        <v>1781</v>
      </c>
      <c r="C1079" s="64" t="s">
        <v>4</v>
      </c>
      <c r="D1079" s="64" t="s">
        <v>1760</v>
      </c>
      <c r="E1079" s="42" t="s">
        <v>1782</v>
      </c>
      <c r="F1079" s="42" t="s">
        <v>1781</v>
      </c>
      <c r="G1079" s="42">
        <v>29</v>
      </c>
      <c r="H1079" s="42" t="s">
        <v>339</v>
      </c>
      <c r="I1079" s="42" t="s">
        <v>37</v>
      </c>
      <c r="J1079" s="42">
        <v>15000</v>
      </c>
    </row>
    <row r="1080" spans="1:22">
      <c r="A1080" s="61" t="s">
        <v>1781</v>
      </c>
      <c r="C1080" s="64" t="s">
        <v>4</v>
      </c>
      <c r="D1080" s="64" t="s">
        <v>1760</v>
      </c>
      <c r="E1080" s="42" t="s">
        <v>1782</v>
      </c>
      <c r="F1080" s="42" t="s">
        <v>1781</v>
      </c>
      <c r="G1080" s="42">
        <v>30</v>
      </c>
      <c r="H1080" s="42" t="s">
        <v>345</v>
      </c>
      <c r="I1080" s="42" t="s">
        <v>37</v>
      </c>
      <c r="J1080" s="42">
        <v>10000</v>
      </c>
    </row>
    <row r="1081" spans="1:22">
      <c r="A1081" s="61" t="s">
        <v>1781</v>
      </c>
      <c r="C1081" s="64" t="s">
        <v>4</v>
      </c>
      <c r="D1081" s="64" t="s">
        <v>1760</v>
      </c>
      <c r="E1081" s="42" t="s">
        <v>1782</v>
      </c>
      <c r="F1081" s="42" t="s">
        <v>1781</v>
      </c>
      <c r="G1081" s="42">
        <v>31</v>
      </c>
      <c r="H1081" s="42" t="s">
        <v>393</v>
      </c>
      <c r="I1081" s="42" t="s">
        <v>37</v>
      </c>
      <c r="J1081" s="42">
        <v>25000</v>
      </c>
    </row>
    <row r="1082" spans="1:22">
      <c r="A1082" s="61" t="s">
        <v>1781</v>
      </c>
      <c r="C1082" s="64" t="s">
        <v>4</v>
      </c>
      <c r="D1082" s="64" t="s">
        <v>1760</v>
      </c>
      <c r="E1082" s="42" t="s">
        <v>1782</v>
      </c>
      <c r="F1082" s="42" t="s">
        <v>1781</v>
      </c>
      <c r="G1082" s="42">
        <v>32</v>
      </c>
      <c r="H1082" s="42" t="s">
        <v>573</v>
      </c>
      <c r="I1082" s="42" t="s">
        <v>37</v>
      </c>
      <c r="J1082" s="42">
        <v>20000</v>
      </c>
    </row>
    <row r="1083" spans="1:22">
      <c r="A1083" s="61" t="s">
        <v>1781</v>
      </c>
      <c r="C1083" s="64" t="s">
        <v>4</v>
      </c>
      <c r="D1083" s="64" t="s">
        <v>1760</v>
      </c>
      <c r="E1083" s="42" t="s">
        <v>1782</v>
      </c>
      <c r="F1083" s="42" t="s">
        <v>1781</v>
      </c>
      <c r="G1083" s="42">
        <v>33</v>
      </c>
      <c r="H1083" s="42" t="s">
        <v>942</v>
      </c>
      <c r="I1083" s="42" t="s">
        <v>37</v>
      </c>
      <c r="J1083" s="42">
        <v>10000</v>
      </c>
    </row>
    <row r="1084" spans="1:22">
      <c r="A1084" s="61" t="s">
        <v>1781</v>
      </c>
      <c r="C1084" s="64" t="s">
        <v>4</v>
      </c>
      <c r="D1084" s="64" t="s">
        <v>1760</v>
      </c>
      <c r="E1084" s="42" t="s">
        <v>1782</v>
      </c>
      <c r="F1084" s="42" t="s">
        <v>1781</v>
      </c>
      <c r="G1084" s="42">
        <v>34</v>
      </c>
      <c r="H1084" s="42" t="s">
        <v>1341</v>
      </c>
      <c r="I1084" s="42" t="s">
        <v>37</v>
      </c>
      <c r="J1084" s="42">
        <v>10000</v>
      </c>
    </row>
    <row r="1085" spans="1:22">
      <c r="A1085" s="61" t="s">
        <v>1781</v>
      </c>
      <c r="C1085" s="64" t="s">
        <v>4</v>
      </c>
      <c r="D1085" s="64" t="s">
        <v>1760</v>
      </c>
      <c r="E1085" s="42" t="s">
        <v>1782</v>
      </c>
      <c r="F1085" s="42" t="s">
        <v>1781</v>
      </c>
      <c r="G1085" s="42">
        <v>35</v>
      </c>
      <c r="H1085" s="42" t="s">
        <v>739</v>
      </c>
      <c r="I1085" s="42" t="s">
        <v>37</v>
      </c>
      <c r="J1085" s="42">
        <v>80000</v>
      </c>
    </row>
    <row r="1086" spans="1:22">
      <c r="A1086" s="61" t="s">
        <v>1781</v>
      </c>
      <c r="C1086" s="64" t="s">
        <v>4</v>
      </c>
      <c r="D1086" s="64" t="s">
        <v>1760</v>
      </c>
      <c r="E1086" s="42" t="s">
        <v>1782</v>
      </c>
      <c r="F1086" s="42" t="s">
        <v>1781</v>
      </c>
      <c r="G1086" s="42">
        <v>36</v>
      </c>
      <c r="H1086" s="42" t="s">
        <v>589</v>
      </c>
      <c r="I1086" s="42" t="s">
        <v>37</v>
      </c>
      <c r="J1086" s="42">
        <v>10000</v>
      </c>
    </row>
    <row r="1087" spans="1:22">
      <c r="A1087" s="61" t="s">
        <v>1781</v>
      </c>
      <c r="C1087" s="64" t="s">
        <v>4</v>
      </c>
      <c r="D1087" s="64" t="s">
        <v>1760</v>
      </c>
      <c r="E1087" s="42" t="s">
        <v>1782</v>
      </c>
      <c r="F1087" s="42" t="s">
        <v>1781</v>
      </c>
      <c r="G1087" s="42">
        <v>37</v>
      </c>
      <c r="H1087" s="42" t="s">
        <v>587</v>
      </c>
      <c r="I1087" s="42" t="s">
        <v>37</v>
      </c>
      <c r="J1087" s="42">
        <v>20000</v>
      </c>
    </row>
    <row r="1088" spans="1:22">
      <c r="A1088" s="61" t="s">
        <v>1781</v>
      </c>
      <c r="C1088" s="64" t="s">
        <v>4</v>
      </c>
      <c r="D1088" s="64" t="s">
        <v>1760</v>
      </c>
      <c r="E1088" s="42" t="s">
        <v>1782</v>
      </c>
      <c r="F1088" s="42" t="s">
        <v>1781</v>
      </c>
      <c r="G1088" s="42">
        <v>38</v>
      </c>
      <c r="H1088" s="42" t="s">
        <v>581</v>
      </c>
      <c r="I1088" s="42" t="s">
        <v>37</v>
      </c>
      <c r="J1088" s="42">
        <v>20000</v>
      </c>
    </row>
    <row r="1089" spans="1:22">
      <c r="A1089" s="61" t="s">
        <v>1781</v>
      </c>
      <c r="C1089" s="64" t="s">
        <v>4</v>
      </c>
      <c r="D1089" s="64" t="s">
        <v>1760</v>
      </c>
      <c r="E1089" s="42" t="s">
        <v>1782</v>
      </c>
      <c r="F1089" s="42" t="s">
        <v>1781</v>
      </c>
      <c r="G1089" s="42">
        <v>39</v>
      </c>
      <c r="H1089" s="42" t="s">
        <v>575</v>
      </c>
      <c r="I1089" s="42" t="s">
        <v>37</v>
      </c>
      <c r="J1089" s="42">
        <v>20000</v>
      </c>
    </row>
    <row r="1090" spans="1:22">
      <c r="A1090" s="61" t="s">
        <v>1781</v>
      </c>
      <c r="C1090" s="64" t="s">
        <v>4</v>
      </c>
      <c r="D1090" s="64" t="s">
        <v>1760</v>
      </c>
      <c r="E1090" s="42" t="s">
        <v>1782</v>
      </c>
      <c r="F1090" s="42" t="s">
        <v>1781</v>
      </c>
      <c r="G1090" s="42">
        <v>40</v>
      </c>
      <c r="H1090" s="42" t="s">
        <v>629</v>
      </c>
      <c r="I1090" s="42" t="s">
        <v>37</v>
      </c>
      <c r="J1090" s="42">
        <v>40000</v>
      </c>
    </row>
    <row r="1091" spans="1:22">
      <c r="A1091" s="61" t="s">
        <v>1781</v>
      </c>
      <c r="C1091" s="64" t="s">
        <v>4</v>
      </c>
      <c r="D1091" s="64" t="s">
        <v>1760</v>
      </c>
      <c r="E1091" s="42" t="s">
        <v>1782</v>
      </c>
      <c r="F1091" s="42" t="s">
        <v>1781</v>
      </c>
      <c r="G1091" s="42">
        <v>41</v>
      </c>
      <c r="H1091" s="42" t="s">
        <v>735</v>
      </c>
      <c r="I1091" s="42" t="s">
        <v>37</v>
      </c>
      <c r="J1091" s="42">
        <v>105000</v>
      </c>
    </row>
    <row r="1092" spans="1:22">
      <c r="A1092" s="61" t="s">
        <v>1781</v>
      </c>
      <c r="C1092" s="64" t="s">
        <v>4</v>
      </c>
      <c r="D1092" s="64" t="s">
        <v>1760</v>
      </c>
      <c r="E1092" s="42" t="s">
        <v>1782</v>
      </c>
      <c r="F1092" s="42" t="s">
        <v>1781</v>
      </c>
      <c r="G1092" s="42">
        <v>42</v>
      </c>
      <c r="H1092" s="42" t="s">
        <v>741</v>
      </c>
      <c r="I1092" s="42" t="s">
        <v>37</v>
      </c>
      <c r="J1092" s="42">
        <v>40000</v>
      </c>
    </row>
    <row r="1093" spans="1:22">
      <c r="A1093" s="61" t="s">
        <v>1781</v>
      </c>
      <c r="C1093" s="64" t="s">
        <v>4</v>
      </c>
      <c r="D1093" s="64" t="s">
        <v>1760</v>
      </c>
      <c r="E1093" s="42" t="s">
        <v>1782</v>
      </c>
      <c r="F1093" s="42" t="s">
        <v>1781</v>
      </c>
      <c r="G1093" s="42">
        <v>43</v>
      </c>
      <c r="H1093" s="42" t="s">
        <v>627</v>
      </c>
      <c r="I1093" s="42" t="s">
        <v>37</v>
      </c>
      <c r="J1093" s="42">
        <v>45000</v>
      </c>
    </row>
    <row r="1094" spans="1:22">
      <c r="A1094" s="61" t="s">
        <v>1781</v>
      </c>
      <c r="C1094" s="64" t="s">
        <v>4</v>
      </c>
      <c r="D1094" s="64" t="s">
        <v>1760</v>
      </c>
      <c r="E1094" s="42" t="s">
        <v>1782</v>
      </c>
      <c r="F1094" s="42" t="s">
        <v>1781</v>
      </c>
      <c r="G1094" s="42">
        <v>44</v>
      </c>
      <c r="H1094" s="42" t="s">
        <v>705</v>
      </c>
      <c r="I1094" s="42" t="s">
        <v>37</v>
      </c>
      <c r="J1094" s="42">
        <v>90000</v>
      </c>
    </row>
    <row r="1095" spans="1:22">
      <c r="A1095" s="61" t="s">
        <v>1781</v>
      </c>
      <c r="C1095" s="64" t="s">
        <v>4</v>
      </c>
      <c r="D1095" s="64" t="s">
        <v>1760</v>
      </c>
      <c r="E1095" s="42" t="s">
        <v>1782</v>
      </c>
      <c r="F1095" s="42" t="s">
        <v>1781</v>
      </c>
      <c r="G1095" s="42">
        <v>45</v>
      </c>
      <c r="H1095" s="42" t="s">
        <v>649</v>
      </c>
      <c r="I1095" s="42" t="s">
        <v>37</v>
      </c>
      <c r="J1095" s="42">
        <v>20000</v>
      </c>
    </row>
    <row r="1096" spans="1:22">
      <c r="A1096" s="61" t="s">
        <v>1781</v>
      </c>
      <c r="C1096" s="64" t="s">
        <v>4</v>
      </c>
      <c r="D1096" s="64" t="s">
        <v>1760</v>
      </c>
      <c r="E1096" s="42" t="s">
        <v>1782</v>
      </c>
      <c r="F1096" s="42" t="s">
        <v>1781</v>
      </c>
      <c r="G1096" s="42">
        <v>46</v>
      </c>
      <c r="H1096" s="42" t="s">
        <v>651</v>
      </c>
      <c r="I1096" s="42" t="s">
        <v>37</v>
      </c>
      <c r="J1096" s="42">
        <v>10000</v>
      </c>
    </row>
    <row r="1097" spans="1:22">
      <c r="A1097" s="61" t="s">
        <v>1781</v>
      </c>
      <c r="C1097" s="64" t="s">
        <v>4</v>
      </c>
      <c r="D1097" s="64" t="s">
        <v>1760</v>
      </c>
      <c r="E1097" s="42" t="s">
        <v>1782</v>
      </c>
      <c r="F1097" s="42" t="s">
        <v>1781</v>
      </c>
      <c r="G1097" s="42">
        <v>47</v>
      </c>
      <c r="H1097" s="42" t="s">
        <v>1279</v>
      </c>
      <c r="I1097" s="42" t="s">
        <v>37</v>
      </c>
      <c r="J1097" s="42">
        <v>20000</v>
      </c>
    </row>
    <row r="1098" spans="1:22">
      <c r="A1098" s="61" t="s">
        <v>1781</v>
      </c>
      <c r="C1098" s="64" t="s">
        <v>4</v>
      </c>
      <c r="D1098" s="64" t="s">
        <v>1760</v>
      </c>
      <c r="E1098" s="42" t="s">
        <v>1782</v>
      </c>
      <c r="F1098" s="42" t="s">
        <v>1781</v>
      </c>
      <c r="G1098" s="42">
        <v>48</v>
      </c>
      <c r="H1098" s="42" t="s">
        <v>921</v>
      </c>
      <c r="I1098" s="42" t="s">
        <v>37</v>
      </c>
      <c r="J1098" s="42">
        <v>25000</v>
      </c>
    </row>
    <row r="1099" spans="1:22">
      <c r="A1099" s="61" t="s">
        <v>1781</v>
      </c>
      <c r="C1099" s="64" t="s">
        <v>4</v>
      </c>
      <c r="D1099" s="64" t="s">
        <v>1760</v>
      </c>
      <c r="E1099" s="42" t="s">
        <v>1782</v>
      </c>
      <c r="F1099" s="42" t="s">
        <v>1781</v>
      </c>
      <c r="G1099" s="42">
        <v>49</v>
      </c>
      <c r="H1099" s="42" t="s">
        <v>1063</v>
      </c>
      <c r="I1099" s="42" t="s">
        <v>37</v>
      </c>
      <c r="J1099" s="42">
        <v>10000</v>
      </c>
    </row>
    <row r="1100" spans="1:22">
      <c r="A1100" s="61" t="s">
        <v>1781</v>
      </c>
      <c r="C1100" s="64" t="s">
        <v>4</v>
      </c>
      <c r="D1100" s="64" t="s">
        <v>1760</v>
      </c>
      <c r="E1100" s="42" t="s">
        <v>1782</v>
      </c>
      <c r="F1100" s="42" t="s">
        <v>1781</v>
      </c>
      <c r="G1100" s="42">
        <v>50</v>
      </c>
      <c r="H1100" s="42" t="s">
        <v>631</v>
      </c>
      <c r="I1100" s="42" t="s">
        <v>37</v>
      </c>
      <c r="J1100" s="42">
        <v>95000</v>
      </c>
    </row>
    <row r="1101" spans="1:22">
      <c r="A1101" s="61" t="s">
        <v>1781</v>
      </c>
      <c r="C1101" s="64" t="s">
        <v>4</v>
      </c>
      <c r="D1101" s="64" t="s">
        <v>1760</v>
      </c>
      <c r="E1101" s="42" t="s">
        <v>1782</v>
      </c>
      <c r="F1101" s="42" t="s">
        <v>1781</v>
      </c>
      <c r="G1101" s="42">
        <v>51</v>
      </c>
      <c r="H1101" s="42" t="s">
        <v>707</v>
      </c>
      <c r="I1101" s="42" t="s">
        <v>37</v>
      </c>
      <c r="J1101" s="42">
        <v>60000</v>
      </c>
    </row>
    <row r="1102" spans="1:22">
      <c r="A1102" s="61" t="s">
        <v>1781</v>
      </c>
      <c r="C1102" s="64" t="s">
        <v>4</v>
      </c>
      <c r="D1102" s="64" t="s">
        <v>1760</v>
      </c>
      <c r="E1102" s="42" t="s">
        <v>1782</v>
      </c>
      <c r="F1102" s="42" t="s">
        <v>1781</v>
      </c>
      <c r="G1102" s="42">
        <v>52</v>
      </c>
      <c r="H1102" s="42" t="s">
        <v>633</v>
      </c>
      <c r="I1102" s="42" t="s">
        <v>37</v>
      </c>
      <c r="J1102" s="42">
        <v>80000</v>
      </c>
    </row>
    <row r="1103" spans="1:22">
      <c r="A1103" s="61" t="s">
        <v>1781</v>
      </c>
      <c r="C1103" s="64" t="s">
        <v>4</v>
      </c>
      <c r="D1103" s="64" t="s">
        <v>1760</v>
      </c>
      <c r="E1103" s="42" t="s">
        <v>1782</v>
      </c>
      <c r="F1103" s="42" t="s">
        <v>1781</v>
      </c>
      <c r="G1103" s="42">
        <v>53</v>
      </c>
      <c r="H1103" s="42" t="s">
        <v>625</v>
      </c>
      <c r="I1103" s="42" t="s">
        <v>37</v>
      </c>
      <c r="J1103" s="42">
        <v>10000</v>
      </c>
    </row>
    <row r="1104" spans="1:22">
      <c r="A1104" s="61" t="s">
        <v>1781</v>
      </c>
      <c r="C1104" s="64" t="s">
        <v>4</v>
      </c>
      <c r="D1104" s="64" t="s">
        <v>1760</v>
      </c>
      <c r="E1104" s="42" t="s">
        <v>1782</v>
      </c>
      <c r="F1104" s="42" t="s">
        <v>1781</v>
      </c>
      <c r="G1104" s="42">
        <v>54</v>
      </c>
      <c r="H1104" s="42" t="s">
        <v>759</v>
      </c>
      <c r="I1104" s="42" t="s">
        <v>37</v>
      </c>
      <c r="J1104" s="42">
        <v>50000</v>
      </c>
    </row>
    <row r="1105" spans="1:22">
      <c r="A1105" s="61" t="s">
        <v>1781</v>
      </c>
      <c r="C1105" s="64" t="s">
        <v>4</v>
      </c>
      <c r="D1105" s="64" t="s">
        <v>1760</v>
      </c>
      <c r="E1105" s="42" t="s">
        <v>1782</v>
      </c>
      <c r="F1105" s="42" t="s">
        <v>1781</v>
      </c>
      <c r="G1105" s="42">
        <v>55</v>
      </c>
      <c r="H1105" s="42" t="s">
        <v>539</v>
      </c>
      <c r="I1105" s="42" t="s">
        <v>37</v>
      </c>
      <c r="J1105" s="42">
        <v>20000</v>
      </c>
    </row>
    <row r="1106" spans="1:22">
      <c r="A1106" s="61" t="s">
        <v>1781</v>
      </c>
      <c r="C1106" s="64" t="s">
        <v>4</v>
      </c>
      <c r="D1106" s="64" t="s">
        <v>1760</v>
      </c>
      <c r="E1106" s="42" t="s">
        <v>1782</v>
      </c>
      <c r="F1106" s="42" t="s">
        <v>1781</v>
      </c>
      <c r="G1106" s="42">
        <v>56</v>
      </c>
      <c r="H1106" s="42" t="s">
        <v>801</v>
      </c>
      <c r="I1106" s="42" t="s">
        <v>37</v>
      </c>
      <c r="J1106" s="42">
        <v>70000</v>
      </c>
    </row>
    <row r="1107" spans="1:22">
      <c r="A1107" s="61" t="s">
        <v>1781</v>
      </c>
      <c r="C1107" s="64" t="s">
        <v>4</v>
      </c>
      <c r="D1107" s="64" t="s">
        <v>1760</v>
      </c>
      <c r="E1107" s="42" t="s">
        <v>1782</v>
      </c>
      <c r="F1107" s="42" t="s">
        <v>1781</v>
      </c>
      <c r="G1107" s="42">
        <v>57</v>
      </c>
      <c r="H1107" s="42" t="s">
        <v>1064</v>
      </c>
      <c r="I1107" s="42" t="s">
        <v>37</v>
      </c>
      <c r="J1107" s="42">
        <v>30000</v>
      </c>
    </row>
    <row r="1108" spans="1:22">
      <c r="A1108" s="61" t="s">
        <v>1781</v>
      </c>
      <c r="C1108" s="64" t="s">
        <v>4</v>
      </c>
      <c r="D1108" s="64" t="s">
        <v>1760</v>
      </c>
      <c r="E1108" s="42" t="s">
        <v>1782</v>
      </c>
      <c r="F1108" s="42" t="s">
        <v>1781</v>
      </c>
      <c r="G1108" s="42">
        <v>58</v>
      </c>
      <c r="H1108" s="42" t="s">
        <v>923</v>
      </c>
      <c r="I1108" s="42" t="s">
        <v>37</v>
      </c>
      <c r="J1108" s="42">
        <v>80000</v>
      </c>
    </row>
    <row r="1109" spans="1:22">
      <c r="A1109" s="61" t="s">
        <v>1781</v>
      </c>
      <c r="C1109" s="64" t="s">
        <v>4</v>
      </c>
      <c r="D1109" s="64" t="s">
        <v>1760</v>
      </c>
      <c r="E1109" s="42" t="s">
        <v>1782</v>
      </c>
      <c r="F1109" s="42" t="s">
        <v>1781</v>
      </c>
      <c r="G1109" s="42">
        <v>59</v>
      </c>
      <c r="H1109" s="42" t="s">
        <v>925</v>
      </c>
      <c r="I1109" s="42" t="s">
        <v>37</v>
      </c>
      <c r="J1109" s="42">
        <v>30000</v>
      </c>
    </row>
    <row r="1110" spans="1:22">
      <c r="A1110" s="61" t="s">
        <v>1781</v>
      </c>
      <c r="C1110" s="64" t="s">
        <v>4</v>
      </c>
      <c r="D1110" s="64" t="s">
        <v>1760</v>
      </c>
      <c r="E1110" s="42" t="s">
        <v>1782</v>
      </c>
      <c r="F1110" s="42" t="s">
        <v>1781</v>
      </c>
      <c r="G1110" s="42">
        <v>60</v>
      </c>
      <c r="H1110" s="42" t="s">
        <v>1272</v>
      </c>
      <c r="I1110" s="42" t="s">
        <v>37</v>
      </c>
      <c r="J1110" s="42">
        <v>30000</v>
      </c>
    </row>
    <row r="1111" spans="1:22">
      <c r="A1111" s="61" t="s">
        <v>1781</v>
      </c>
      <c r="C1111" s="64" t="s">
        <v>4</v>
      </c>
      <c r="D1111" s="64" t="s">
        <v>1760</v>
      </c>
      <c r="E1111" s="42" t="s">
        <v>1782</v>
      </c>
      <c r="F1111" s="42" t="s">
        <v>1781</v>
      </c>
      <c r="G1111" s="42">
        <v>61</v>
      </c>
      <c r="H1111" s="42" t="s">
        <v>927</v>
      </c>
      <c r="I1111" s="42" t="s">
        <v>37</v>
      </c>
      <c r="J1111" s="42">
        <v>40000</v>
      </c>
    </row>
    <row r="1112" spans="1:22">
      <c r="A1112" s="61" t="s">
        <v>1781</v>
      </c>
      <c r="C1112" s="64" t="s">
        <v>4</v>
      </c>
      <c r="D1112" s="64" t="s">
        <v>1760</v>
      </c>
      <c r="E1112" s="42" t="s">
        <v>1782</v>
      </c>
      <c r="F1112" s="42" t="s">
        <v>1781</v>
      </c>
      <c r="G1112" s="42">
        <v>62</v>
      </c>
      <c r="H1112" s="42" t="s">
        <v>1319</v>
      </c>
      <c r="I1112" s="42" t="s">
        <v>37</v>
      </c>
      <c r="J1112" s="42">
        <v>40000</v>
      </c>
    </row>
    <row r="1113" spans="1:22">
      <c r="A1113" s="61" t="s">
        <v>1781</v>
      </c>
      <c r="C1113" s="64" t="s">
        <v>4</v>
      </c>
      <c r="D1113" s="64" t="s">
        <v>1760</v>
      </c>
      <c r="E1113" s="42" t="s">
        <v>1782</v>
      </c>
      <c r="F1113" s="42" t="s">
        <v>1781</v>
      </c>
      <c r="G1113" s="42">
        <v>63</v>
      </c>
      <c r="H1113" s="42" t="s">
        <v>1374</v>
      </c>
      <c r="I1113" s="42" t="s">
        <v>37</v>
      </c>
      <c r="J1113" s="42">
        <v>10000</v>
      </c>
    </row>
    <row r="1114" spans="1:22">
      <c r="A1114" s="61" t="s">
        <v>1781</v>
      </c>
      <c r="C1114" s="64" t="s">
        <v>4</v>
      </c>
      <c r="D1114" s="64" t="s">
        <v>1760</v>
      </c>
      <c r="E1114" s="42" t="s">
        <v>1782</v>
      </c>
      <c r="F1114" s="42" t="s">
        <v>1781</v>
      </c>
      <c r="G1114" s="42">
        <v>64</v>
      </c>
      <c r="H1114" s="42" t="s">
        <v>1359</v>
      </c>
      <c r="I1114" s="42" t="s">
        <v>37</v>
      </c>
      <c r="J1114" s="42">
        <v>5000</v>
      </c>
    </row>
    <row r="1115" spans="1:22">
      <c r="A1115" s="61" t="s">
        <v>1781</v>
      </c>
      <c r="C1115" s="64" t="s">
        <v>4</v>
      </c>
      <c r="D1115" s="64" t="s">
        <v>1760</v>
      </c>
      <c r="E1115" s="42" t="s">
        <v>1782</v>
      </c>
      <c r="F1115" s="42" t="s">
        <v>1781</v>
      </c>
      <c r="G1115" s="42">
        <v>65</v>
      </c>
      <c r="H1115" s="42" t="s">
        <v>1283</v>
      </c>
      <c r="I1115" s="42" t="s">
        <v>37</v>
      </c>
      <c r="J1115" s="42">
        <v>20000</v>
      </c>
    </row>
    <row r="1116" spans="1:22">
      <c r="A1116" s="61" t="s">
        <v>1781</v>
      </c>
      <c r="C1116" s="64" t="s">
        <v>4</v>
      </c>
      <c r="D1116" s="64" t="s">
        <v>1760</v>
      </c>
      <c r="E1116" s="42" t="s">
        <v>1782</v>
      </c>
      <c r="F1116" s="42" t="s">
        <v>1781</v>
      </c>
      <c r="G1116" s="42">
        <v>66</v>
      </c>
      <c r="H1116" s="42" t="s">
        <v>1295</v>
      </c>
      <c r="I1116" s="42" t="s">
        <v>37</v>
      </c>
      <c r="J1116" s="42">
        <v>10000</v>
      </c>
    </row>
    <row r="1117" spans="1:22">
      <c r="A1117" s="61" t="s">
        <v>1781</v>
      </c>
      <c r="C1117" s="64" t="s">
        <v>4</v>
      </c>
      <c r="D1117" s="64" t="s">
        <v>1760</v>
      </c>
      <c r="E1117" s="42" t="s">
        <v>1782</v>
      </c>
      <c r="F1117" s="42" t="s">
        <v>1781</v>
      </c>
      <c r="G1117" s="42">
        <v>67</v>
      </c>
      <c r="H1117" s="42" t="s">
        <v>415</v>
      </c>
      <c r="I1117" s="42" t="s">
        <v>37</v>
      </c>
      <c r="J1117" s="42">
        <v>5000</v>
      </c>
    </row>
    <row r="1118" spans="1:22">
      <c r="A1118" s="61" t="s">
        <v>1781</v>
      </c>
      <c r="C1118" s="64" t="s">
        <v>4</v>
      </c>
      <c r="D1118" s="64" t="s">
        <v>1760</v>
      </c>
      <c r="E1118" s="42" t="s">
        <v>1782</v>
      </c>
      <c r="F1118" s="42" t="s">
        <v>1781</v>
      </c>
      <c r="G1118" s="42">
        <v>68</v>
      </c>
      <c r="H1118" s="42" t="s">
        <v>951</v>
      </c>
      <c r="I1118" s="42" t="s">
        <v>37</v>
      </c>
      <c r="J1118" s="42">
        <v>30000</v>
      </c>
    </row>
    <row r="1119" spans="1:22">
      <c r="A1119" s="61" t="s">
        <v>1781</v>
      </c>
      <c r="C1119" s="64" t="s">
        <v>4</v>
      </c>
      <c r="D1119" s="64" t="s">
        <v>1760</v>
      </c>
      <c r="E1119" s="42" t="s">
        <v>1782</v>
      </c>
      <c r="F1119" s="42" t="s">
        <v>1781</v>
      </c>
      <c r="G1119" s="42">
        <v>69</v>
      </c>
      <c r="H1119" s="42" t="s">
        <v>948</v>
      </c>
      <c r="I1119" s="42" t="s">
        <v>37</v>
      </c>
      <c r="J1119" s="42">
        <v>10000</v>
      </c>
    </row>
    <row r="1120" spans="1:22">
      <c r="A1120" s="61" t="s">
        <v>1781</v>
      </c>
      <c r="C1120" s="64" t="s">
        <v>4</v>
      </c>
      <c r="D1120" s="64" t="s">
        <v>1760</v>
      </c>
      <c r="E1120" s="42" t="s">
        <v>1782</v>
      </c>
      <c r="F1120" s="42" t="s">
        <v>1781</v>
      </c>
      <c r="G1120" s="42">
        <v>70</v>
      </c>
      <c r="H1120" s="42" t="s">
        <v>1356</v>
      </c>
      <c r="I1120" s="42" t="s">
        <v>37</v>
      </c>
      <c r="J1120" s="42">
        <v>30000</v>
      </c>
    </row>
    <row r="1121" spans="1:22">
      <c r="A1121" s="61" t="s">
        <v>1781</v>
      </c>
      <c r="C1121" s="64" t="s">
        <v>4</v>
      </c>
      <c r="D1121" s="64" t="s">
        <v>1760</v>
      </c>
      <c r="E1121" s="42" t="s">
        <v>1782</v>
      </c>
      <c r="F1121" s="42" t="s">
        <v>1781</v>
      </c>
      <c r="G1121" s="42">
        <v>71</v>
      </c>
      <c r="H1121" s="42" t="s">
        <v>1343</v>
      </c>
      <c r="I1121" s="42" t="s">
        <v>37</v>
      </c>
      <c r="J1121" s="42">
        <v>80000</v>
      </c>
    </row>
    <row r="1122" spans="1:22">
      <c r="A1122" s="61" t="s">
        <v>1781</v>
      </c>
      <c r="C1122" s="64" t="s">
        <v>4</v>
      </c>
      <c r="D1122" s="64" t="s">
        <v>1760</v>
      </c>
      <c r="E1122" s="42" t="s">
        <v>1782</v>
      </c>
      <c r="F1122" s="42" t="s">
        <v>1781</v>
      </c>
      <c r="G1122" s="42">
        <v>72</v>
      </c>
      <c r="H1122" s="42" t="s">
        <v>56</v>
      </c>
      <c r="I1122" s="42" t="s">
        <v>37</v>
      </c>
      <c r="J1122" s="42">
        <v>125000</v>
      </c>
    </row>
    <row r="1123" spans="1:22">
      <c r="A1123" s="61" t="s">
        <v>1781</v>
      </c>
      <c r="C1123" s="64" t="s">
        <v>4</v>
      </c>
      <c r="D1123" s="64" t="s">
        <v>1760</v>
      </c>
      <c r="E1123" s="42" t="s">
        <v>1782</v>
      </c>
      <c r="F1123" s="42" t="s">
        <v>1781</v>
      </c>
      <c r="G1123" s="42">
        <v>73</v>
      </c>
      <c r="H1123" s="42" t="s">
        <v>61</v>
      </c>
      <c r="I1123" s="42" t="s">
        <v>37</v>
      </c>
      <c r="J1123" s="42">
        <v>5000</v>
      </c>
    </row>
    <row r="1124" spans="1:22">
      <c r="A1124" s="61" t="s">
        <v>1781</v>
      </c>
      <c r="C1124" s="64" t="s">
        <v>4</v>
      </c>
      <c r="D1124" s="64" t="s">
        <v>1760</v>
      </c>
      <c r="E1124" s="42" t="s">
        <v>1782</v>
      </c>
      <c r="F1124" s="42" t="s">
        <v>1781</v>
      </c>
      <c r="G1124" s="42">
        <v>74</v>
      </c>
      <c r="H1124" s="42" t="s">
        <v>803</v>
      </c>
      <c r="I1124" s="42" t="s">
        <v>37</v>
      </c>
      <c r="J1124" s="42">
        <v>10000</v>
      </c>
    </row>
    <row r="1125" spans="1:22">
      <c r="A1125" s="61" t="s">
        <v>1781</v>
      </c>
      <c r="C1125" s="64" t="s">
        <v>4</v>
      </c>
      <c r="D1125" s="64" t="s">
        <v>1760</v>
      </c>
      <c r="E1125" s="42" t="s">
        <v>1782</v>
      </c>
      <c r="F1125" s="42" t="s">
        <v>1781</v>
      </c>
      <c r="G1125" s="42">
        <v>75</v>
      </c>
      <c r="H1125" s="42" t="s">
        <v>579</v>
      </c>
      <c r="I1125" s="42" t="s">
        <v>37</v>
      </c>
      <c r="J1125" s="42">
        <v>20000</v>
      </c>
    </row>
    <row r="1126" spans="1:22">
      <c r="A1126" s="61" t="s">
        <v>1781</v>
      </c>
      <c r="C1126" s="64" t="s">
        <v>4</v>
      </c>
      <c r="D1126" s="64" t="s">
        <v>1760</v>
      </c>
      <c r="E1126" s="42" t="s">
        <v>1782</v>
      </c>
      <c r="F1126" s="42" t="s">
        <v>1781</v>
      </c>
      <c r="G1126" s="42">
        <v>76</v>
      </c>
      <c r="H1126" s="42" t="s">
        <v>609</v>
      </c>
      <c r="I1126" s="42" t="s">
        <v>37</v>
      </c>
      <c r="J1126" s="42">
        <v>5000</v>
      </c>
    </row>
    <row r="1127" spans="1:22">
      <c r="A1127" s="61" t="s">
        <v>1781</v>
      </c>
      <c r="C1127" s="64" t="s">
        <v>4</v>
      </c>
      <c r="D1127" s="64" t="s">
        <v>1760</v>
      </c>
      <c r="E1127" s="42" t="s">
        <v>1782</v>
      </c>
      <c r="F1127" s="42" t="s">
        <v>1781</v>
      </c>
      <c r="G1127" s="42">
        <v>77</v>
      </c>
      <c r="H1127" s="42" t="s">
        <v>189</v>
      </c>
      <c r="I1127" s="42" t="s">
        <v>37</v>
      </c>
      <c r="J1127" s="42">
        <v>5000</v>
      </c>
    </row>
    <row r="1128" spans="1:22">
      <c r="A1128" s="61" t="s">
        <v>1781</v>
      </c>
      <c r="C1128" s="64" t="s">
        <v>4</v>
      </c>
      <c r="D1128" s="64" t="s">
        <v>1760</v>
      </c>
      <c r="E1128" s="42" t="s">
        <v>1782</v>
      </c>
      <c r="F1128" s="42" t="s">
        <v>1781</v>
      </c>
      <c r="G1128" s="42">
        <v>78</v>
      </c>
      <c r="H1128" s="42" t="s">
        <v>403</v>
      </c>
      <c r="I1128" s="42" t="s">
        <v>37</v>
      </c>
      <c r="J1128" s="42">
        <v>15000</v>
      </c>
    </row>
    <row r="1129" spans="1:22">
      <c r="A1129" s="61" t="s">
        <v>1781</v>
      </c>
      <c r="C1129" s="64" t="s">
        <v>4</v>
      </c>
      <c r="D1129" s="64" t="s">
        <v>1760</v>
      </c>
      <c r="E1129" s="42" t="s">
        <v>1782</v>
      </c>
      <c r="F1129" s="42" t="s">
        <v>1781</v>
      </c>
      <c r="G1129" s="42">
        <v>79</v>
      </c>
      <c r="H1129" s="42" t="s">
        <v>1358</v>
      </c>
      <c r="I1129" s="42" t="s">
        <v>37</v>
      </c>
      <c r="J1129" s="42">
        <v>5000</v>
      </c>
    </row>
    <row r="1130" spans="1:22">
      <c r="A1130" s="61" t="s">
        <v>1781</v>
      </c>
      <c r="C1130" s="64" t="s">
        <v>4</v>
      </c>
      <c r="D1130" s="64" t="s">
        <v>1760</v>
      </c>
      <c r="E1130" s="42" t="s">
        <v>1782</v>
      </c>
      <c r="F1130" s="42" t="s">
        <v>1781</v>
      </c>
      <c r="G1130" s="42">
        <v>80</v>
      </c>
      <c r="H1130" s="42" t="s">
        <v>72</v>
      </c>
      <c r="I1130" s="42" t="s">
        <v>37</v>
      </c>
      <c r="J1130" s="42">
        <v>25000</v>
      </c>
    </row>
    <row r="1131" spans="1:22">
      <c r="A1131" s="61" t="s">
        <v>1781</v>
      </c>
      <c r="C1131" s="64" t="s">
        <v>4</v>
      </c>
      <c r="D1131" s="64" t="s">
        <v>1760</v>
      </c>
      <c r="E1131" s="42" t="s">
        <v>1782</v>
      </c>
      <c r="F1131" s="42" t="s">
        <v>1781</v>
      </c>
      <c r="G1131" s="42">
        <v>81</v>
      </c>
      <c r="H1131" s="42" t="s">
        <v>75</v>
      </c>
      <c r="I1131" s="42" t="s">
        <v>37</v>
      </c>
      <c r="J1131" s="42">
        <v>5000</v>
      </c>
    </row>
    <row r="1132" spans="1:22">
      <c r="A1132" s="61" t="s">
        <v>1781</v>
      </c>
      <c r="C1132" s="64" t="s">
        <v>4</v>
      </c>
      <c r="D1132" s="64" t="s">
        <v>1760</v>
      </c>
      <c r="E1132" s="42" t="s">
        <v>1782</v>
      </c>
      <c r="F1132" s="42" t="s">
        <v>1781</v>
      </c>
      <c r="G1132" s="42">
        <v>82</v>
      </c>
      <c r="H1132" s="42" t="s">
        <v>335</v>
      </c>
      <c r="I1132" s="42" t="s">
        <v>37</v>
      </c>
      <c r="J1132" s="42">
        <v>10000</v>
      </c>
    </row>
    <row r="1133" spans="1:22">
      <c r="A1133" s="61" t="s">
        <v>1781</v>
      </c>
      <c r="C1133" s="64" t="s">
        <v>4</v>
      </c>
      <c r="D1133" s="64" t="s">
        <v>1760</v>
      </c>
      <c r="E1133" s="42" t="s">
        <v>1782</v>
      </c>
      <c r="F1133" s="42" t="s">
        <v>1781</v>
      </c>
      <c r="G1133" s="42">
        <v>83</v>
      </c>
      <c r="H1133" s="42" t="s">
        <v>709</v>
      </c>
      <c r="I1133" s="42" t="s">
        <v>37</v>
      </c>
      <c r="J1133" s="42">
        <v>60000</v>
      </c>
    </row>
    <row r="1134" spans="1:22">
      <c r="A1134" s="61" t="s">
        <v>1781</v>
      </c>
      <c r="C1134" s="64" t="s">
        <v>4</v>
      </c>
      <c r="D1134" s="64" t="s">
        <v>1760</v>
      </c>
      <c r="E1134" s="42" t="s">
        <v>1782</v>
      </c>
      <c r="F1134" s="42" t="s">
        <v>1781</v>
      </c>
      <c r="G1134" s="42">
        <v>84</v>
      </c>
      <c r="H1134" s="42" t="s">
        <v>76</v>
      </c>
      <c r="I1134" s="42" t="s">
        <v>37</v>
      </c>
      <c r="J1134" s="42">
        <v>15000</v>
      </c>
    </row>
    <row r="1135" spans="1:22">
      <c r="A1135" s="61" t="s">
        <v>1781</v>
      </c>
      <c r="C1135" s="64" t="s">
        <v>4</v>
      </c>
      <c r="D1135" s="64" t="s">
        <v>1760</v>
      </c>
      <c r="E1135" s="42" t="s">
        <v>1782</v>
      </c>
      <c r="F1135" s="42" t="s">
        <v>1781</v>
      </c>
      <c r="G1135" s="42">
        <v>85</v>
      </c>
      <c r="H1135" s="42" t="s">
        <v>805</v>
      </c>
      <c r="I1135" s="42" t="s">
        <v>37</v>
      </c>
      <c r="J1135" s="42">
        <v>20000</v>
      </c>
    </row>
    <row r="1136" spans="1:22">
      <c r="A1136" s="61" t="s">
        <v>1781</v>
      </c>
      <c r="C1136" s="64" t="s">
        <v>4</v>
      </c>
      <c r="D1136" s="64" t="s">
        <v>1760</v>
      </c>
      <c r="E1136" s="42" t="s">
        <v>1782</v>
      </c>
      <c r="F1136" s="42" t="s">
        <v>1781</v>
      </c>
      <c r="G1136" s="42">
        <v>86</v>
      </c>
      <c r="H1136" s="42" t="s">
        <v>397</v>
      </c>
      <c r="I1136" s="42" t="s">
        <v>37</v>
      </c>
      <c r="J1136" s="42">
        <v>10000</v>
      </c>
    </row>
    <row r="1137" spans="1:22">
      <c r="A1137" s="61" t="s">
        <v>1781</v>
      </c>
      <c r="C1137" s="64" t="s">
        <v>4</v>
      </c>
      <c r="D1137" s="64" t="s">
        <v>1760</v>
      </c>
      <c r="E1137" s="42" t="s">
        <v>1782</v>
      </c>
      <c r="F1137" s="42" t="s">
        <v>1781</v>
      </c>
      <c r="G1137" s="42">
        <v>87</v>
      </c>
      <c r="H1137" s="42" t="s">
        <v>529</v>
      </c>
      <c r="I1137" s="42" t="s">
        <v>37</v>
      </c>
      <c r="J1137" s="42">
        <v>10000</v>
      </c>
    </row>
    <row r="1138" spans="1:22">
      <c r="A1138" s="61" t="s">
        <v>1781</v>
      </c>
      <c r="C1138" s="64" t="s">
        <v>4</v>
      </c>
      <c r="D1138" s="64" t="s">
        <v>1760</v>
      </c>
      <c r="E1138" s="42" t="s">
        <v>1782</v>
      </c>
      <c r="F1138" s="42" t="s">
        <v>1781</v>
      </c>
      <c r="G1138" s="42">
        <v>88</v>
      </c>
      <c r="H1138" s="42" t="s">
        <v>359</v>
      </c>
      <c r="I1138" s="42" t="s">
        <v>37</v>
      </c>
      <c r="J1138" s="42">
        <v>20000</v>
      </c>
    </row>
    <row r="1139" spans="1:22">
      <c r="A1139" s="61" t="s">
        <v>1781</v>
      </c>
      <c r="C1139" s="64" t="s">
        <v>4</v>
      </c>
      <c r="D1139" s="64" t="s">
        <v>1760</v>
      </c>
      <c r="E1139" s="42" t="s">
        <v>1782</v>
      </c>
      <c r="F1139" s="42" t="s">
        <v>1781</v>
      </c>
      <c r="G1139" s="42">
        <v>89</v>
      </c>
      <c r="H1139" s="42" t="s">
        <v>405</v>
      </c>
      <c r="I1139" s="42" t="s">
        <v>37</v>
      </c>
      <c r="J1139" s="42">
        <v>10000</v>
      </c>
    </row>
    <row r="1140" spans="1:22">
      <c r="A1140" s="61" t="s">
        <v>1781</v>
      </c>
      <c r="C1140" s="64" t="s">
        <v>4</v>
      </c>
      <c r="D1140" s="64" t="s">
        <v>1760</v>
      </c>
      <c r="E1140" s="42" t="s">
        <v>1782</v>
      </c>
      <c r="F1140" s="42" t="s">
        <v>1781</v>
      </c>
      <c r="G1140" s="42">
        <v>90</v>
      </c>
      <c r="H1140" s="42" t="s">
        <v>577</v>
      </c>
      <c r="I1140" s="42" t="s">
        <v>37</v>
      </c>
      <c r="J1140" s="42">
        <v>20000</v>
      </c>
    </row>
    <row r="1141" spans="1:22">
      <c r="A1141" s="61" t="s">
        <v>1781</v>
      </c>
      <c r="C1141" s="64" t="s">
        <v>4</v>
      </c>
      <c r="D1141" s="64" t="s">
        <v>1760</v>
      </c>
      <c r="E1141" s="42" t="s">
        <v>1782</v>
      </c>
      <c r="F1141" s="42" t="s">
        <v>1781</v>
      </c>
      <c r="G1141" s="42">
        <v>91</v>
      </c>
      <c r="H1141" s="42" t="s">
        <v>585</v>
      </c>
      <c r="I1141" s="42" t="s">
        <v>37</v>
      </c>
      <c r="J1141" s="42">
        <v>20000</v>
      </c>
    </row>
    <row r="1142" spans="1:22">
      <c r="A1142" s="61" t="s">
        <v>1781</v>
      </c>
      <c r="C1142" s="64" t="s">
        <v>4</v>
      </c>
      <c r="D1142" s="64" t="s">
        <v>1760</v>
      </c>
      <c r="E1142" s="42" t="s">
        <v>1782</v>
      </c>
      <c r="F1142" s="42" t="s">
        <v>1781</v>
      </c>
      <c r="G1142" s="42">
        <v>92</v>
      </c>
      <c r="H1142" s="42" t="s">
        <v>757</v>
      </c>
      <c r="I1142" s="42" t="s">
        <v>37</v>
      </c>
      <c r="J1142" s="42">
        <v>230000</v>
      </c>
    </row>
    <row r="1143" spans="1:22">
      <c r="A1143" s="61" t="s">
        <v>1781</v>
      </c>
      <c r="C1143" s="64" t="s">
        <v>4</v>
      </c>
      <c r="D1143" s="64" t="s">
        <v>1760</v>
      </c>
      <c r="E1143" s="42" t="s">
        <v>1782</v>
      </c>
      <c r="F1143" s="42" t="s">
        <v>1781</v>
      </c>
      <c r="G1143" s="42">
        <v>93</v>
      </c>
      <c r="H1143" s="42" t="s">
        <v>952</v>
      </c>
      <c r="I1143" s="42" t="s">
        <v>37</v>
      </c>
      <c r="J1143" s="42">
        <v>20000</v>
      </c>
    </row>
    <row r="1144" spans="1:22">
      <c r="A1144" s="61" t="s">
        <v>1781</v>
      </c>
      <c r="C1144" s="64" t="s">
        <v>4</v>
      </c>
      <c r="D1144" s="64" t="s">
        <v>1760</v>
      </c>
      <c r="E1144" s="42" t="s">
        <v>1782</v>
      </c>
      <c r="F1144" s="42" t="s">
        <v>1781</v>
      </c>
      <c r="G1144" s="42">
        <v>94</v>
      </c>
      <c r="H1144" s="42" t="s">
        <v>341</v>
      </c>
      <c r="I1144" s="42" t="s">
        <v>37</v>
      </c>
      <c r="J1144" s="42">
        <v>5000</v>
      </c>
    </row>
    <row r="1145" spans="1:22">
      <c r="A1145" s="61" t="s">
        <v>1781</v>
      </c>
      <c r="C1145" s="64" t="s">
        <v>4</v>
      </c>
      <c r="D1145" s="64" t="s">
        <v>1760</v>
      </c>
      <c r="E1145" s="42" t="s">
        <v>1782</v>
      </c>
      <c r="F1145" s="42" t="s">
        <v>1781</v>
      </c>
      <c r="G1145" s="42">
        <v>95</v>
      </c>
      <c r="H1145" s="42" t="s">
        <v>417</v>
      </c>
      <c r="I1145" s="42" t="s">
        <v>37</v>
      </c>
      <c r="J1145" s="42">
        <v>10000</v>
      </c>
    </row>
    <row r="1146" spans="1:22">
      <c r="A1146" s="61" t="s">
        <v>1781</v>
      </c>
      <c r="C1146" s="64" t="s">
        <v>4</v>
      </c>
      <c r="D1146" s="64" t="s">
        <v>1760</v>
      </c>
      <c r="E1146" s="42" t="s">
        <v>1782</v>
      </c>
      <c r="F1146" s="42" t="s">
        <v>1781</v>
      </c>
      <c r="G1146" s="42">
        <v>96</v>
      </c>
      <c r="H1146" s="42" t="s">
        <v>369</v>
      </c>
      <c r="I1146" s="42" t="s">
        <v>37</v>
      </c>
      <c r="J1146" s="42">
        <v>5000</v>
      </c>
    </row>
    <row r="1147" spans="1:22">
      <c r="A1147" s="61" t="s">
        <v>1781</v>
      </c>
      <c r="C1147" s="64" t="s">
        <v>4</v>
      </c>
      <c r="D1147" s="64" t="s">
        <v>1760</v>
      </c>
      <c r="E1147" s="42" t="s">
        <v>1782</v>
      </c>
      <c r="F1147" s="42" t="s">
        <v>1781</v>
      </c>
      <c r="G1147" s="42">
        <v>97</v>
      </c>
      <c r="H1147" s="42" t="s">
        <v>343</v>
      </c>
      <c r="I1147" s="42" t="s">
        <v>37</v>
      </c>
      <c r="J1147" s="42">
        <v>30000</v>
      </c>
    </row>
    <row r="1148" spans="1:22">
      <c r="A1148" s="61" t="s">
        <v>1781</v>
      </c>
      <c r="C1148" s="64" t="s">
        <v>4</v>
      </c>
      <c r="D1148" s="64" t="s">
        <v>1760</v>
      </c>
      <c r="E1148" s="42" t="s">
        <v>1782</v>
      </c>
      <c r="F1148" s="42" t="s">
        <v>1781</v>
      </c>
      <c r="G1148" s="42">
        <v>98</v>
      </c>
      <c r="H1148" s="42" t="s">
        <v>583</v>
      </c>
      <c r="I1148" s="42" t="s">
        <v>37</v>
      </c>
      <c r="J1148" s="42">
        <v>15000</v>
      </c>
    </row>
    <row r="1149" spans="1:22">
      <c r="A1149" s="61" t="s">
        <v>1781</v>
      </c>
      <c r="C1149" s="64" t="s">
        <v>4</v>
      </c>
      <c r="D1149" s="64" t="s">
        <v>1760</v>
      </c>
      <c r="E1149" s="42" t="s">
        <v>1782</v>
      </c>
      <c r="F1149" s="42" t="s">
        <v>1781</v>
      </c>
      <c r="G1149" s="42">
        <v>99</v>
      </c>
      <c r="H1149" s="42" t="s">
        <v>945</v>
      </c>
      <c r="I1149" s="42" t="s">
        <v>1763</v>
      </c>
      <c r="J1149" s="42">
        <v>3000</v>
      </c>
    </row>
    <row r="1150" spans="1:22">
      <c r="A1150" s="61" t="s">
        <v>1783</v>
      </c>
      <c r="C1150" s="64" t="s">
        <v>4</v>
      </c>
      <c r="D1150" s="64" t="s">
        <v>1760</v>
      </c>
      <c r="E1150" s="42" t="s">
        <v>1784</v>
      </c>
      <c r="F1150" s="42" t="s">
        <v>1783</v>
      </c>
      <c r="G1150" s="42">
        <v>3</v>
      </c>
      <c r="H1150" s="42" t="s">
        <v>455</v>
      </c>
      <c r="I1150" s="42" t="s">
        <v>106</v>
      </c>
      <c r="J1150" s="42">
        <v>40000</v>
      </c>
    </row>
    <row r="1151" spans="1:22">
      <c r="A1151" s="61" t="s">
        <v>1783</v>
      </c>
      <c r="C1151" s="64" t="s">
        <v>4</v>
      </c>
      <c r="D1151" s="64" t="s">
        <v>1760</v>
      </c>
      <c r="E1151" s="42" t="s">
        <v>1784</v>
      </c>
      <c r="F1151" s="42" t="s">
        <v>1783</v>
      </c>
      <c r="G1151" s="42">
        <v>4</v>
      </c>
      <c r="H1151" s="42" t="s">
        <v>453</v>
      </c>
      <c r="I1151" s="42" t="s">
        <v>106</v>
      </c>
      <c r="J1151" s="42">
        <v>20000</v>
      </c>
    </row>
    <row r="1152" spans="1:22">
      <c r="A1152" s="61" t="s">
        <v>1783</v>
      </c>
      <c r="C1152" s="64" t="s">
        <v>4</v>
      </c>
      <c r="D1152" s="64" t="s">
        <v>1760</v>
      </c>
      <c r="E1152" s="42" t="s">
        <v>1784</v>
      </c>
      <c r="F1152" s="42" t="s">
        <v>1783</v>
      </c>
      <c r="G1152" s="42">
        <v>5</v>
      </c>
      <c r="H1152" s="42" t="s">
        <v>807</v>
      </c>
      <c r="I1152" s="42" t="s">
        <v>106</v>
      </c>
      <c r="J1152" s="42">
        <v>27409</v>
      </c>
    </row>
    <row r="1153" spans="1:22">
      <c r="A1153" s="61" t="s">
        <v>1783</v>
      </c>
      <c r="C1153" s="64" t="s">
        <v>4</v>
      </c>
      <c r="D1153" s="64" t="s">
        <v>1760</v>
      </c>
      <c r="E1153" s="42" t="s">
        <v>1784</v>
      </c>
      <c r="F1153" s="42" t="s">
        <v>1783</v>
      </c>
      <c r="G1153" s="42">
        <v>6</v>
      </c>
      <c r="H1153" s="42" t="s">
        <v>197</v>
      </c>
      <c r="I1153" s="42" t="s">
        <v>102</v>
      </c>
      <c r="J1153" s="42">
        <v>43272</v>
      </c>
    </row>
    <row r="1154" spans="1:22">
      <c r="A1154" s="61" t="s">
        <v>1783</v>
      </c>
      <c r="C1154" s="64" t="s">
        <v>4</v>
      </c>
      <c r="D1154" s="64" t="s">
        <v>1760</v>
      </c>
      <c r="E1154" s="42" t="s">
        <v>1784</v>
      </c>
      <c r="F1154" s="42" t="s">
        <v>1783</v>
      </c>
      <c r="G1154" s="42">
        <v>7</v>
      </c>
      <c r="H1154" s="42" t="s">
        <v>172</v>
      </c>
      <c r="I1154" s="42" t="s">
        <v>102</v>
      </c>
      <c r="J1154" s="42">
        <v>91938</v>
      </c>
    </row>
    <row r="1155" spans="1:22">
      <c r="A1155" s="61" t="s">
        <v>1783</v>
      </c>
      <c r="C1155" s="64" t="s">
        <v>4</v>
      </c>
      <c r="D1155" s="64" t="s">
        <v>1760</v>
      </c>
      <c r="E1155" s="42" t="s">
        <v>1784</v>
      </c>
      <c r="F1155" s="42" t="s">
        <v>1783</v>
      </c>
      <c r="G1155" s="42">
        <v>8</v>
      </c>
      <c r="H1155" s="42" t="s">
        <v>463</v>
      </c>
      <c r="I1155" s="42" t="s">
        <v>1764</v>
      </c>
      <c r="J1155" s="42">
        <v>21480</v>
      </c>
    </row>
    <row r="1156" spans="1:22">
      <c r="A1156" s="61" t="s">
        <v>1783</v>
      </c>
      <c r="C1156" s="64" t="s">
        <v>4</v>
      </c>
      <c r="D1156" s="64" t="s">
        <v>1760</v>
      </c>
      <c r="E1156" s="42" t="s">
        <v>1784</v>
      </c>
      <c r="F1156" s="42" t="s">
        <v>1783</v>
      </c>
      <c r="G1156" s="42">
        <v>9</v>
      </c>
      <c r="H1156" s="42" t="s">
        <v>1290</v>
      </c>
      <c r="I1156" s="42" t="s">
        <v>37</v>
      </c>
      <c r="J1156" s="42">
        <v>13941</v>
      </c>
    </row>
    <row r="1157" spans="1:22">
      <c r="A1157" s="61" t="s">
        <v>1783</v>
      </c>
      <c r="C1157" s="64" t="s">
        <v>4</v>
      </c>
      <c r="D1157" s="64" t="s">
        <v>1760</v>
      </c>
      <c r="E1157" s="42" t="s">
        <v>1784</v>
      </c>
      <c r="F1157" s="42" t="s">
        <v>1783</v>
      </c>
      <c r="G1157" s="42">
        <v>10</v>
      </c>
      <c r="H1157" s="42" t="s">
        <v>1262</v>
      </c>
      <c r="I1157" s="42" t="s">
        <v>37</v>
      </c>
      <c r="J1157" s="42">
        <v>30000</v>
      </c>
    </row>
    <row r="1158" spans="1:22">
      <c r="A1158" s="61" t="s">
        <v>1783</v>
      </c>
      <c r="C1158" s="64" t="s">
        <v>4</v>
      </c>
      <c r="D1158" s="64" t="s">
        <v>1760</v>
      </c>
      <c r="E1158" s="42" t="s">
        <v>1784</v>
      </c>
      <c r="F1158" s="42" t="s">
        <v>1783</v>
      </c>
      <c r="G1158" s="42">
        <v>11</v>
      </c>
      <c r="H1158" s="42" t="s">
        <v>1285</v>
      </c>
      <c r="I1158" s="42" t="s">
        <v>37</v>
      </c>
      <c r="J1158" s="42">
        <v>15000</v>
      </c>
    </row>
    <row r="1159" spans="1:22">
      <c r="A1159" s="61" t="s">
        <v>1783</v>
      </c>
      <c r="C1159" s="64" t="s">
        <v>4</v>
      </c>
      <c r="D1159" s="64" t="s">
        <v>1760</v>
      </c>
      <c r="E1159" s="42" t="s">
        <v>1784</v>
      </c>
      <c r="F1159" s="42" t="s">
        <v>1783</v>
      </c>
      <c r="G1159" s="42">
        <v>12</v>
      </c>
      <c r="H1159" s="42" t="s">
        <v>1322</v>
      </c>
      <c r="I1159" s="42" t="s">
        <v>37</v>
      </c>
      <c r="J1159" s="42">
        <v>10000</v>
      </c>
    </row>
    <row r="1160" spans="1:22">
      <c r="A1160" s="61" t="s">
        <v>1783</v>
      </c>
      <c r="C1160" s="64" t="s">
        <v>4</v>
      </c>
      <c r="D1160" s="64" t="s">
        <v>1760</v>
      </c>
      <c r="E1160" s="42" t="s">
        <v>1784</v>
      </c>
      <c r="F1160" s="42" t="s">
        <v>1783</v>
      </c>
      <c r="G1160" s="42">
        <v>13</v>
      </c>
      <c r="H1160" s="42" t="s">
        <v>1326</v>
      </c>
      <c r="I1160" s="42" t="s">
        <v>37</v>
      </c>
      <c r="J1160" s="42">
        <v>30000</v>
      </c>
    </row>
    <row r="1161" spans="1:22">
      <c r="A1161" s="61" t="s">
        <v>1783</v>
      </c>
      <c r="C1161" s="64" t="s">
        <v>4</v>
      </c>
      <c r="D1161" s="64" t="s">
        <v>1760</v>
      </c>
      <c r="E1161" s="42" t="s">
        <v>1784</v>
      </c>
      <c r="F1161" s="42" t="s">
        <v>1783</v>
      </c>
      <c r="G1161" s="42">
        <v>14</v>
      </c>
      <c r="H1161" s="42" t="s">
        <v>1333</v>
      </c>
      <c r="I1161" s="42" t="s">
        <v>37</v>
      </c>
      <c r="J1161" s="42">
        <v>30000</v>
      </c>
    </row>
    <row r="1162" spans="1:22">
      <c r="A1162" s="61" t="s">
        <v>1783</v>
      </c>
      <c r="C1162" s="64" t="s">
        <v>4</v>
      </c>
      <c r="D1162" s="64" t="s">
        <v>1760</v>
      </c>
      <c r="E1162" s="42" t="s">
        <v>1784</v>
      </c>
      <c r="F1162" s="42" t="s">
        <v>1783</v>
      </c>
      <c r="G1162" s="42">
        <v>15</v>
      </c>
      <c r="H1162" s="42" t="s">
        <v>1381</v>
      </c>
      <c r="I1162" s="42" t="s">
        <v>37</v>
      </c>
      <c r="J1162" s="42">
        <v>80</v>
      </c>
    </row>
    <row r="1163" spans="1:22">
      <c r="A1163" s="61" t="s">
        <v>1783</v>
      </c>
      <c r="C1163" s="64" t="s">
        <v>4</v>
      </c>
      <c r="D1163" s="64" t="s">
        <v>1760</v>
      </c>
      <c r="E1163" s="42" t="s">
        <v>1784</v>
      </c>
      <c r="F1163" s="42" t="s">
        <v>1783</v>
      </c>
      <c r="G1163" s="42">
        <v>16</v>
      </c>
      <c r="H1163" s="42" t="s">
        <v>1368</v>
      </c>
      <c r="I1163" s="42" t="s">
        <v>37</v>
      </c>
      <c r="J1163" s="42">
        <v>50000</v>
      </c>
    </row>
    <row r="1164" spans="1:22">
      <c r="A1164" s="61" t="s">
        <v>1783</v>
      </c>
      <c r="C1164" s="64" t="s">
        <v>4</v>
      </c>
      <c r="D1164" s="64" t="s">
        <v>1760</v>
      </c>
      <c r="E1164" s="42" t="s">
        <v>1784</v>
      </c>
      <c r="F1164" s="42" t="s">
        <v>1783</v>
      </c>
      <c r="G1164" s="42">
        <v>17</v>
      </c>
      <c r="H1164" s="42" t="s">
        <v>1382</v>
      </c>
      <c r="I1164" s="42" t="s">
        <v>37</v>
      </c>
      <c r="J1164" s="42">
        <v>80</v>
      </c>
    </row>
    <row r="1165" spans="1:22">
      <c r="A1165" s="61" t="s">
        <v>1783</v>
      </c>
      <c r="C1165" s="64" t="s">
        <v>4</v>
      </c>
      <c r="D1165" s="64" t="s">
        <v>1760</v>
      </c>
      <c r="E1165" s="42" t="s">
        <v>1784</v>
      </c>
      <c r="F1165" s="42" t="s">
        <v>1783</v>
      </c>
      <c r="G1165" s="42">
        <v>18</v>
      </c>
      <c r="H1165" s="42" t="s">
        <v>267</v>
      </c>
      <c r="I1165" s="42" t="s">
        <v>37</v>
      </c>
      <c r="J1165" s="42">
        <v>5000</v>
      </c>
    </row>
    <row r="1166" spans="1:22">
      <c r="A1166" s="61" t="s">
        <v>1783</v>
      </c>
      <c r="C1166" s="64" t="s">
        <v>4</v>
      </c>
      <c r="D1166" s="64" t="s">
        <v>1760</v>
      </c>
      <c r="E1166" s="42" t="s">
        <v>1784</v>
      </c>
      <c r="F1166" s="42" t="s">
        <v>1783</v>
      </c>
      <c r="G1166" s="42">
        <v>19</v>
      </c>
      <c r="H1166" s="42" t="s">
        <v>269</v>
      </c>
      <c r="I1166" s="42" t="s">
        <v>37</v>
      </c>
      <c r="J1166" s="42">
        <v>1000</v>
      </c>
    </row>
    <row r="1167" spans="1:22">
      <c r="A1167" s="61" t="s">
        <v>1783</v>
      </c>
      <c r="C1167" s="64" t="s">
        <v>4</v>
      </c>
      <c r="D1167" s="64" t="s">
        <v>1760</v>
      </c>
      <c r="E1167" s="42" t="s">
        <v>1784</v>
      </c>
      <c r="F1167" s="42" t="s">
        <v>1783</v>
      </c>
      <c r="G1167" s="42">
        <v>20</v>
      </c>
      <c r="H1167" s="42" t="s">
        <v>381</v>
      </c>
      <c r="I1167" s="42" t="s">
        <v>133</v>
      </c>
      <c r="J1167" s="42">
        <v>5000</v>
      </c>
    </row>
    <row r="1168" spans="1:22">
      <c r="A1168" s="61" t="s">
        <v>1783</v>
      </c>
      <c r="C1168" s="64" t="s">
        <v>4</v>
      </c>
      <c r="D1168" s="64" t="s">
        <v>1760</v>
      </c>
      <c r="E1168" s="42" t="s">
        <v>1784</v>
      </c>
      <c r="F1168" s="42" t="s">
        <v>1783</v>
      </c>
      <c r="G1168" s="42">
        <v>21</v>
      </c>
      <c r="H1168" s="42" t="s">
        <v>419</v>
      </c>
      <c r="I1168" s="42" t="s">
        <v>133</v>
      </c>
      <c r="J1168" s="42">
        <v>10000</v>
      </c>
    </row>
    <row r="1169" spans="1:22">
      <c r="A1169" s="61" t="s">
        <v>1783</v>
      </c>
      <c r="C1169" s="64" t="s">
        <v>4</v>
      </c>
      <c r="D1169" s="64" t="s">
        <v>1760</v>
      </c>
      <c r="E1169" s="42" t="s">
        <v>1784</v>
      </c>
      <c r="F1169" s="42" t="s">
        <v>1783</v>
      </c>
      <c r="G1169" s="42">
        <v>22</v>
      </c>
      <c r="H1169" s="42" t="s">
        <v>421</v>
      </c>
      <c r="I1169" s="42" t="s">
        <v>133</v>
      </c>
      <c r="J1169" s="42">
        <v>10000</v>
      </c>
    </row>
    <row r="1170" spans="1:22">
      <c r="A1170" s="61" t="s">
        <v>1783</v>
      </c>
      <c r="C1170" s="64" t="s">
        <v>4</v>
      </c>
      <c r="D1170" s="64" t="s">
        <v>1760</v>
      </c>
      <c r="E1170" s="42" t="s">
        <v>1784</v>
      </c>
      <c r="F1170" s="42" t="s">
        <v>1783</v>
      </c>
      <c r="G1170" s="42">
        <v>23</v>
      </c>
      <c r="H1170" s="42" t="s">
        <v>441</v>
      </c>
      <c r="I1170" s="42" t="s">
        <v>133</v>
      </c>
      <c r="J1170" s="42">
        <v>36000</v>
      </c>
    </row>
    <row r="1171" spans="1:22">
      <c r="A1171" s="61" t="s">
        <v>1783</v>
      </c>
      <c r="C1171" s="64" t="s">
        <v>4</v>
      </c>
      <c r="D1171" s="64" t="s">
        <v>1760</v>
      </c>
      <c r="E1171" s="42" t="s">
        <v>1784</v>
      </c>
      <c r="F1171" s="42" t="s">
        <v>1783</v>
      </c>
      <c r="G1171" s="42">
        <v>24</v>
      </c>
      <c r="H1171" s="42" t="s">
        <v>443</v>
      </c>
      <c r="I1171" s="42" t="s">
        <v>133</v>
      </c>
      <c r="J1171" s="42">
        <v>32000</v>
      </c>
    </row>
    <row r="1172" spans="1:22">
      <c r="A1172" s="61" t="s">
        <v>1783</v>
      </c>
      <c r="C1172" s="64" t="s">
        <v>4</v>
      </c>
      <c r="D1172" s="64" t="s">
        <v>1760</v>
      </c>
      <c r="E1172" s="42" t="s">
        <v>1784</v>
      </c>
      <c r="F1172" s="42" t="s">
        <v>1783</v>
      </c>
      <c r="G1172" s="42">
        <v>25</v>
      </c>
      <c r="H1172" s="42" t="s">
        <v>553</v>
      </c>
      <c r="I1172" s="42" t="s">
        <v>133</v>
      </c>
      <c r="J1172" s="42">
        <v>10000</v>
      </c>
    </row>
    <row r="1173" spans="1:22">
      <c r="A1173" s="61" t="s">
        <v>1783</v>
      </c>
      <c r="C1173" s="64" t="s">
        <v>4</v>
      </c>
      <c r="D1173" s="64" t="s">
        <v>1760</v>
      </c>
      <c r="E1173" s="42" t="s">
        <v>1784</v>
      </c>
      <c r="F1173" s="42" t="s">
        <v>1783</v>
      </c>
      <c r="G1173" s="42">
        <v>26</v>
      </c>
      <c r="H1173" s="42" t="s">
        <v>551</v>
      </c>
      <c r="I1173" s="42" t="s">
        <v>133</v>
      </c>
      <c r="J1173" s="42">
        <v>10000</v>
      </c>
    </row>
    <row r="1174" spans="1:22">
      <c r="A1174" s="61" t="s">
        <v>1783</v>
      </c>
      <c r="C1174" s="64" t="s">
        <v>4</v>
      </c>
      <c r="D1174" s="64" t="s">
        <v>1760</v>
      </c>
      <c r="E1174" s="42" t="s">
        <v>1784</v>
      </c>
      <c r="F1174" s="42" t="s">
        <v>1783</v>
      </c>
      <c r="G1174" s="42">
        <v>27</v>
      </c>
      <c r="H1174" s="42" t="s">
        <v>549</v>
      </c>
      <c r="I1174" s="42" t="s">
        <v>133</v>
      </c>
      <c r="J1174" s="42">
        <v>30000</v>
      </c>
    </row>
    <row r="1175" spans="1:22">
      <c r="A1175" s="61" t="s">
        <v>1783</v>
      </c>
      <c r="C1175" s="64" t="s">
        <v>4</v>
      </c>
      <c r="D1175" s="64" t="s">
        <v>1760</v>
      </c>
      <c r="E1175" s="42" t="s">
        <v>1784</v>
      </c>
      <c r="F1175" s="42" t="s">
        <v>1783</v>
      </c>
      <c r="G1175" s="42">
        <v>28</v>
      </c>
      <c r="H1175" s="42" t="s">
        <v>547</v>
      </c>
      <c r="I1175" s="42" t="s">
        <v>133</v>
      </c>
      <c r="J1175" s="42">
        <v>18000</v>
      </c>
    </row>
    <row r="1176" spans="1:22">
      <c r="A1176" s="61" t="s">
        <v>1783</v>
      </c>
      <c r="C1176" s="64" t="s">
        <v>4</v>
      </c>
      <c r="D1176" s="64" t="s">
        <v>1760</v>
      </c>
      <c r="E1176" s="42" t="s">
        <v>1784</v>
      </c>
      <c r="F1176" s="42" t="s">
        <v>1783</v>
      </c>
      <c r="G1176" s="42">
        <v>29</v>
      </c>
      <c r="H1176" s="42" t="s">
        <v>611</v>
      </c>
      <c r="I1176" s="42" t="s">
        <v>133</v>
      </c>
      <c r="J1176" s="42">
        <v>12000</v>
      </c>
    </row>
    <row r="1177" spans="1:22">
      <c r="A1177" s="61" t="s">
        <v>1783</v>
      </c>
      <c r="C1177" s="64" t="s">
        <v>4</v>
      </c>
      <c r="D1177" s="64" t="s">
        <v>1760</v>
      </c>
      <c r="E1177" s="42" t="s">
        <v>1784</v>
      </c>
      <c r="F1177" s="42" t="s">
        <v>1783</v>
      </c>
      <c r="G1177" s="42">
        <v>30</v>
      </c>
      <c r="H1177" s="42" t="s">
        <v>613</v>
      </c>
      <c r="I1177" s="42" t="s">
        <v>133</v>
      </c>
      <c r="J1177" s="42">
        <v>5000</v>
      </c>
    </row>
    <row r="1178" spans="1:22">
      <c r="A1178" s="61" t="s">
        <v>1783</v>
      </c>
      <c r="C1178" s="64" t="s">
        <v>4</v>
      </c>
      <c r="D1178" s="64" t="s">
        <v>1760</v>
      </c>
      <c r="E1178" s="42" t="s">
        <v>1784</v>
      </c>
      <c r="F1178" s="42" t="s">
        <v>1783</v>
      </c>
      <c r="G1178" s="42">
        <v>31</v>
      </c>
      <c r="H1178" s="42" t="s">
        <v>731</v>
      </c>
      <c r="I1178" s="42" t="s">
        <v>133</v>
      </c>
      <c r="J1178" s="42">
        <v>17500</v>
      </c>
    </row>
    <row r="1179" spans="1:22">
      <c r="A1179" s="61" t="s">
        <v>1783</v>
      </c>
      <c r="C1179" s="64" t="s">
        <v>4</v>
      </c>
      <c r="D1179" s="64" t="s">
        <v>1760</v>
      </c>
      <c r="E1179" s="42" t="s">
        <v>1784</v>
      </c>
      <c r="F1179" s="42" t="s">
        <v>1783</v>
      </c>
      <c r="G1179" s="42">
        <v>32</v>
      </c>
      <c r="H1179" s="42" t="s">
        <v>729</v>
      </c>
      <c r="I1179" s="42" t="s">
        <v>133</v>
      </c>
      <c r="J1179" s="42">
        <v>5000</v>
      </c>
    </row>
    <row r="1180" spans="1:22">
      <c r="A1180" s="61" t="s">
        <v>1783</v>
      </c>
      <c r="C1180" s="64" t="s">
        <v>4</v>
      </c>
      <c r="D1180" s="64" t="s">
        <v>1760</v>
      </c>
      <c r="E1180" s="42" t="s">
        <v>1784</v>
      </c>
      <c r="F1180" s="42" t="s">
        <v>1783</v>
      </c>
      <c r="G1180" s="42">
        <v>33</v>
      </c>
      <c r="H1180" s="42" t="s">
        <v>765</v>
      </c>
      <c r="I1180" s="42" t="s">
        <v>133</v>
      </c>
      <c r="J1180" s="42">
        <v>4000</v>
      </c>
    </row>
    <row r="1181" spans="1:22">
      <c r="A1181" s="61" t="s">
        <v>1783</v>
      </c>
      <c r="C1181" s="64" t="s">
        <v>4</v>
      </c>
      <c r="D1181" s="64" t="s">
        <v>1760</v>
      </c>
      <c r="E1181" s="42" t="s">
        <v>1784</v>
      </c>
      <c r="F1181" s="42" t="s">
        <v>1783</v>
      </c>
      <c r="G1181" s="42">
        <v>34</v>
      </c>
      <c r="H1181" s="42" t="s">
        <v>767</v>
      </c>
      <c r="I1181" s="42" t="s">
        <v>133</v>
      </c>
      <c r="J1181" s="42">
        <v>3000</v>
      </c>
    </row>
    <row r="1182" spans="1:22">
      <c r="A1182" s="61" t="s">
        <v>1783</v>
      </c>
      <c r="C1182" s="64" t="s">
        <v>4</v>
      </c>
      <c r="D1182" s="64" t="s">
        <v>1760</v>
      </c>
      <c r="E1182" s="42" t="s">
        <v>1784</v>
      </c>
      <c r="F1182" s="42" t="s">
        <v>1783</v>
      </c>
      <c r="G1182" s="42">
        <v>35</v>
      </c>
      <c r="H1182" s="42" t="s">
        <v>131</v>
      </c>
      <c r="I1182" s="42" t="s">
        <v>133</v>
      </c>
      <c r="J1182" s="42">
        <v>50000</v>
      </c>
    </row>
    <row r="1183" spans="1:22">
      <c r="A1183" s="61" t="s">
        <v>1783</v>
      </c>
      <c r="C1183" s="64" t="s">
        <v>4</v>
      </c>
      <c r="D1183" s="64" t="s">
        <v>1760</v>
      </c>
      <c r="E1183" s="42" t="s">
        <v>1784</v>
      </c>
      <c r="F1183" s="42" t="s">
        <v>1783</v>
      </c>
      <c r="G1183" s="42">
        <v>36</v>
      </c>
      <c r="H1183" s="42" t="s">
        <v>137</v>
      </c>
      <c r="I1183" s="42" t="s">
        <v>133</v>
      </c>
      <c r="J1183" s="42">
        <v>1000</v>
      </c>
    </row>
    <row r="1184" spans="1:22">
      <c r="A1184" s="61" t="s">
        <v>1783</v>
      </c>
      <c r="C1184" s="64" t="s">
        <v>4</v>
      </c>
      <c r="D1184" s="64" t="s">
        <v>1760</v>
      </c>
      <c r="E1184" s="42" t="s">
        <v>1784</v>
      </c>
      <c r="F1184" s="42" t="s">
        <v>1783</v>
      </c>
      <c r="G1184" s="42">
        <v>37</v>
      </c>
      <c r="H1184" s="42" t="s">
        <v>977</v>
      </c>
      <c r="I1184" s="42" t="s">
        <v>133</v>
      </c>
      <c r="J1184" s="42">
        <v>3000</v>
      </c>
    </row>
    <row r="1185" spans="1:22">
      <c r="A1185" s="61" t="s">
        <v>1783</v>
      </c>
      <c r="C1185" s="64" t="s">
        <v>4</v>
      </c>
      <c r="D1185" s="64" t="s">
        <v>1760</v>
      </c>
      <c r="E1185" s="42" t="s">
        <v>1784</v>
      </c>
      <c r="F1185" s="42" t="s">
        <v>1783</v>
      </c>
      <c r="G1185" s="42">
        <v>38</v>
      </c>
      <c r="H1185" s="42" t="s">
        <v>979</v>
      </c>
      <c r="I1185" s="42" t="s">
        <v>133</v>
      </c>
      <c r="J1185" s="42">
        <v>2000</v>
      </c>
    </row>
    <row r="1186" spans="1:22">
      <c r="A1186" s="61" t="s">
        <v>1783</v>
      </c>
      <c r="C1186" s="64" t="s">
        <v>4</v>
      </c>
      <c r="D1186" s="64" t="s">
        <v>1760</v>
      </c>
      <c r="E1186" s="42" t="s">
        <v>1784</v>
      </c>
      <c r="F1186" s="42" t="s">
        <v>1783</v>
      </c>
      <c r="G1186" s="42">
        <v>39</v>
      </c>
      <c r="H1186" s="42" t="s">
        <v>1214</v>
      </c>
      <c r="I1186" s="42" t="s">
        <v>133</v>
      </c>
      <c r="J1186" s="42">
        <v>10000</v>
      </c>
    </row>
    <row r="1187" spans="1:22">
      <c r="A1187" s="61" t="s">
        <v>1783</v>
      </c>
      <c r="C1187" s="64" t="s">
        <v>4</v>
      </c>
      <c r="D1187" s="64" t="s">
        <v>1760</v>
      </c>
      <c r="E1187" s="42" t="s">
        <v>1784</v>
      </c>
      <c r="F1187" s="42" t="s">
        <v>1783</v>
      </c>
      <c r="G1187" s="42">
        <v>40</v>
      </c>
      <c r="H1187" s="42" t="s">
        <v>1215</v>
      </c>
      <c r="I1187" s="42" t="s">
        <v>133</v>
      </c>
      <c r="J1187" s="42">
        <v>10000</v>
      </c>
    </row>
    <row r="1188" spans="1:22">
      <c r="A1188" s="61" t="s">
        <v>1783</v>
      </c>
      <c r="C1188" s="64" t="s">
        <v>4</v>
      </c>
      <c r="D1188" s="64" t="s">
        <v>1760</v>
      </c>
      <c r="E1188" s="42" t="s">
        <v>1784</v>
      </c>
      <c r="F1188" s="42" t="s">
        <v>1783</v>
      </c>
      <c r="G1188" s="42">
        <v>41</v>
      </c>
      <c r="H1188" s="42" t="s">
        <v>1369</v>
      </c>
      <c r="I1188" s="42" t="s">
        <v>133</v>
      </c>
      <c r="J1188" s="42">
        <v>20000</v>
      </c>
    </row>
    <row r="1189" spans="1:22">
      <c r="A1189" s="61" t="s">
        <v>1783</v>
      </c>
      <c r="C1189" s="64" t="s">
        <v>4</v>
      </c>
      <c r="D1189" s="64" t="s">
        <v>1760</v>
      </c>
      <c r="E1189" s="42" t="s">
        <v>1785</v>
      </c>
      <c r="F1189" s="42" t="s">
        <v>1783</v>
      </c>
      <c r="G1189" s="42">
        <v>1</v>
      </c>
      <c r="H1189" s="42" t="s">
        <v>205</v>
      </c>
      <c r="I1189" s="42" t="s">
        <v>106</v>
      </c>
      <c r="J1189" s="42">
        <v>20000</v>
      </c>
    </row>
    <row r="1190" spans="1:22">
      <c r="A1190" s="61" t="s">
        <v>1783</v>
      </c>
      <c r="C1190" s="64" t="s">
        <v>4</v>
      </c>
      <c r="D1190" s="64" t="s">
        <v>1760</v>
      </c>
      <c r="E1190" s="42" t="s">
        <v>1785</v>
      </c>
      <c r="F1190" s="42" t="s">
        <v>1783</v>
      </c>
      <c r="G1190" s="42">
        <v>2</v>
      </c>
      <c r="H1190" s="42" t="s">
        <v>477</v>
      </c>
      <c r="I1190" s="42" t="s">
        <v>106</v>
      </c>
      <c r="J1190" s="42">
        <v>80000</v>
      </c>
    </row>
    <row r="1191" spans="1:22">
      <c r="A1191" s="61" t="s">
        <v>1783</v>
      </c>
      <c r="C1191" s="64" t="s">
        <v>4</v>
      </c>
      <c r="D1191" s="64" t="s">
        <v>1760</v>
      </c>
      <c r="E1191" s="42" t="s">
        <v>1785</v>
      </c>
      <c r="F1191" s="42" t="s">
        <v>1783</v>
      </c>
      <c r="G1191" s="42">
        <v>3</v>
      </c>
      <c r="H1191" s="42" t="s">
        <v>1366</v>
      </c>
      <c r="I1191" s="42" t="s">
        <v>106</v>
      </c>
      <c r="J1191" s="42">
        <v>40000</v>
      </c>
    </row>
    <row r="1192" spans="1:22">
      <c r="A1192" s="61" t="s">
        <v>1783</v>
      </c>
      <c r="C1192" s="64" t="s">
        <v>4</v>
      </c>
      <c r="D1192" s="64" t="s">
        <v>1760</v>
      </c>
      <c r="E1192" s="42" t="s">
        <v>1785</v>
      </c>
      <c r="F1192" s="42" t="s">
        <v>1783</v>
      </c>
      <c r="G1192" s="42">
        <v>4</v>
      </c>
      <c r="H1192" s="42" t="s">
        <v>1386</v>
      </c>
      <c r="I1192" s="42" t="s">
        <v>106</v>
      </c>
      <c r="J1192" s="42">
        <v>40000</v>
      </c>
    </row>
    <row r="1193" spans="1:22">
      <c r="A1193" s="61" t="s">
        <v>1783</v>
      </c>
      <c r="C1193" s="64" t="s">
        <v>4</v>
      </c>
      <c r="D1193" s="64" t="s">
        <v>1760</v>
      </c>
      <c r="E1193" s="42" t="s">
        <v>1785</v>
      </c>
      <c r="F1193" s="42" t="s">
        <v>1783</v>
      </c>
      <c r="G1193" s="42">
        <v>5</v>
      </c>
      <c r="H1193" s="42" t="s">
        <v>713</v>
      </c>
      <c r="I1193" s="42" t="s">
        <v>106</v>
      </c>
      <c r="J1193" s="42">
        <v>20000</v>
      </c>
    </row>
    <row r="1194" spans="1:22">
      <c r="A1194" s="61" t="s">
        <v>1783</v>
      </c>
      <c r="C1194" s="64" t="s">
        <v>4</v>
      </c>
      <c r="D1194" s="64" t="s">
        <v>1760</v>
      </c>
      <c r="E1194" s="42" t="s">
        <v>1785</v>
      </c>
      <c r="F1194" s="42" t="s">
        <v>1783</v>
      </c>
      <c r="G1194" s="42">
        <v>6</v>
      </c>
      <c r="H1194" s="42" t="s">
        <v>114</v>
      </c>
      <c r="I1194" s="42" t="s">
        <v>106</v>
      </c>
      <c r="J1194" s="42">
        <v>96619</v>
      </c>
    </row>
    <row r="1195" spans="1:22">
      <c r="A1195" s="61" t="s">
        <v>1783</v>
      </c>
      <c r="C1195" s="64" t="s">
        <v>4</v>
      </c>
      <c r="D1195" s="64" t="s">
        <v>1760</v>
      </c>
      <c r="E1195" s="42" t="s">
        <v>1785</v>
      </c>
      <c r="F1195" s="42" t="s">
        <v>1783</v>
      </c>
      <c r="G1195" s="42">
        <v>7</v>
      </c>
      <c r="H1195" s="42" t="s">
        <v>279</v>
      </c>
      <c r="I1195" s="42" t="s">
        <v>113</v>
      </c>
      <c r="J1195" s="42">
        <v>10000</v>
      </c>
    </row>
    <row r="1196" spans="1:22">
      <c r="A1196" s="61" t="s">
        <v>1783</v>
      </c>
      <c r="C1196" s="64" t="s">
        <v>4</v>
      </c>
      <c r="D1196" s="64" t="s">
        <v>1760</v>
      </c>
      <c r="E1196" s="42" t="s">
        <v>1785</v>
      </c>
      <c r="F1196" s="42" t="s">
        <v>1783</v>
      </c>
      <c r="G1196" s="42">
        <v>8</v>
      </c>
      <c r="H1196" s="42" t="s">
        <v>545</v>
      </c>
      <c r="I1196" s="42" t="s">
        <v>113</v>
      </c>
      <c r="J1196" s="42">
        <v>10000</v>
      </c>
    </row>
    <row r="1197" spans="1:22">
      <c r="A1197" s="61" t="s">
        <v>1783</v>
      </c>
      <c r="C1197" s="64" t="s">
        <v>4</v>
      </c>
      <c r="D1197" s="64" t="s">
        <v>1760</v>
      </c>
      <c r="E1197" s="42" t="s">
        <v>1785</v>
      </c>
      <c r="F1197" s="42" t="s">
        <v>1783</v>
      </c>
      <c r="G1197" s="42">
        <v>9</v>
      </c>
      <c r="H1197" s="42" t="s">
        <v>1376</v>
      </c>
      <c r="I1197" s="42" t="s">
        <v>113</v>
      </c>
      <c r="J1197" s="42">
        <v>50</v>
      </c>
    </row>
    <row r="1198" spans="1:22">
      <c r="A1198" s="61" t="s">
        <v>1783</v>
      </c>
      <c r="C1198" s="64" t="s">
        <v>4</v>
      </c>
      <c r="D1198" s="64" t="s">
        <v>1760</v>
      </c>
      <c r="E1198" s="42" t="s">
        <v>1785</v>
      </c>
      <c r="F1198" s="42" t="s">
        <v>1783</v>
      </c>
      <c r="G1198" s="42">
        <v>10</v>
      </c>
      <c r="H1198" s="42" t="s">
        <v>813</v>
      </c>
      <c r="I1198" s="42" t="s">
        <v>113</v>
      </c>
      <c r="J1198" s="42">
        <v>5000</v>
      </c>
    </row>
    <row r="1199" spans="1:22">
      <c r="A1199" s="61" t="s">
        <v>1783</v>
      </c>
      <c r="C1199" s="64" t="s">
        <v>4</v>
      </c>
      <c r="D1199" s="64" t="s">
        <v>1760</v>
      </c>
      <c r="E1199" s="42" t="s">
        <v>1785</v>
      </c>
      <c r="F1199" s="42" t="s">
        <v>1783</v>
      </c>
      <c r="G1199" s="42">
        <v>11</v>
      </c>
      <c r="H1199" s="42" t="s">
        <v>1275</v>
      </c>
      <c r="I1199" s="42" t="s">
        <v>113</v>
      </c>
      <c r="J1199" s="42">
        <v>10000</v>
      </c>
    </row>
    <row r="1200" spans="1:22">
      <c r="A1200" s="61" t="s">
        <v>1783</v>
      </c>
      <c r="C1200" s="64" t="s">
        <v>4</v>
      </c>
      <c r="D1200" s="64" t="s">
        <v>1760</v>
      </c>
      <c r="E1200" s="42" t="s">
        <v>1785</v>
      </c>
      <c r="F1200" s="42" t="s">
        <v>1783</v>
      </c>
      <c r="G1200" s="42">
        <v>12</v>
      </c>
      <c r="H1200" s="42" t="s">
        <v>111</v>
      </c>
      <c r="I1200" s="42" t="s">
        <v>113</v>
      </c>
      <c r="J1200" s="42">
        <v>10000</v>
      </c>
    </row>
    <row r="1201" spans="1:22">
      <c r="A1201" s="61" t="s">
        <v>1783</v>
      </c>
      <c r="C1201" s="64" t="s">
        <v>4</v>
      </c>
      <c r="D1201" s="64" t="s">
        <v>1760</v>
      </c>
      <c r="E1201" s="42" t="s">
        <v>1785</v>
      </c>
      <c r="F1201" s="42" t="s">
        <v>1783</v>
      </c>
      <c r="G1201" s="42">
        <v>13</v>
      </c>
      <c r="H1201" s="42" t="s">
        <v>162</v>
      </c>
      <c r="I1201" s="42" t="s">
        <v>113</v>
      </c>
      <c r="J1201" s="42">
        <v>20000</v>
      </c>
    </row>
    <row r="1202" spans="1:22">
      <c r="A1202" s="61" t="s">
        <v>1783</v>
      </c>
      <c r="C1202" s="64" t="s">
        <v>4</v>
      </c>
      <c r="D1202" s="64" t="s">
        <v>1760</v>
      </c>
      <c r="E1202" s="42" t="s">
        <v>1785</v>
      </c>
      <c r="F1202" s="42" t="s">
        <v>1783</v>
      </c>
      <c r="G1202" s="42">
        <v>14</v>
      </c>
      <c r="H1202" s="42" t="s">
        <v>771</v>
      </c>
      <c r="I1202" s="42" t="s">
        <v>113</v>
      </c>
      <c r="J1202" s="42">
        <v>20000</v>
      </c>
    </row>
    <row r="1203" spans="1:22">
      <c r="A1203" s="61" t="s">
        <v>1783</v>
      </c>
      <c r="C1203" s="64" t="s">
        <v>4</v>
      </c>
      <c r="D1203" s="64" t="s">
        <v>1760</v>
      </c>
      <c r="E1203" s="42" t="s">
        <v>1785</v>
      </c>
      <c r="F1203" s="42" t="s">
        <v>1783</v>
      </c>
      <c r="G1203" s="42">
        <v>15</v>
      </c>
      <c r="H1203" s="42" t="s">
        <v>164</v>
      </c>
      <c r="I1203" s="42" t="s">
        <v>113</v>
      </c>
      <c r="J1203" s="42">
        <v>5000</v>
      </c>
    </row>
    <row r="1204" spans="1:22">
      <c r="A1204" s="61" t="s">
        <v>1783</v>
      </c>
      <c r="C1204" s="64" t="s">
        <v>4</v>
      </c>
      <c r="D1204" s="64" t="s">
        <v>1760</v>
      </c>
      <c r="E1204" s="42" t="s">
        <v>1785</v>
      </c>
      <c r="F1204" s="42" t="s">
        <v>1783</v>
      </c>
      <c r="G1204" s="42">
        <v>16</v>
      </c>
      <c r="H1204" s="42" t="s">
        <v>165</v>
      </c>
      <c r="I1204" s="42" t="s">
        <v>113</v>
      </c>
      <c r="J1204" s="42">
        <v>32869</v>
      </c>
    </row>
    <row r="1205" spans="1:22">
      <c r="A1205" s="61" t="s">
        <v>1783</v>
      </c>
      <c r="C1205" s="64" t="s">
        <v>4</v>
      </c>
      <c r="D1205" s="64" t="s">
        <v>1760</v>
      </c>
      <c r="E1205" s="42" t="s">
        <v>1786</v>
      </c>
      <c r="F1205" s="42" t="s">
        <v>1783</v>
      </c>
      <c r="G1205" s="42">
        <v>1</v>
      </c>
      <c r="H1205" s="42" t="s">
        <v>172</v>
      </c>
      <c r="I1205" s="42" t="s">
        <v>102</v>
      </c>
      <c r="J1205" s="42">
        <v>88916</v>
      </c>
    </row>
    <row r="1206" spans="1:22">
      <c r="A1206" s="61" t="s">
        <v>1783</v>
      </c>
      <c r="C1206" s="64" t="s">
        <v>4</v>
      </c>
      <c r="D1206" s="64" t="s">
        <v>1760</v>
      </c>
      <c r="E1206" s="42" t="s">
        <v>1785</v>
      </c>
      <c r="F1206" s="42" t="s">
        <v>1783</v>
      </c>
      <c r="G1206" s="42">
        <v>17</v>
      </c>
      <c r="H1206" s="42" t="s">
        <v>167</v>
      </c>
      <c r="I1206" s="42" t="s">
        <v>113</v>
      </c>
      <c r="J1206" s="42">
        <v>30000</v>
      </c>
    </row>
    <row r="1207" spans="1:22">
      <c r="A1207" s="61" t="s">
        <v>1783</v>
      </c>
      <c r="C1207" s="64" t="s">
        <v>4</v>
      </c>
      <c r="D1207" s="64" t="s">
        <v>1760</v>
      </c>
      <c r="E1207" s="42" t="s">
        <v>1785</v>
      </c>
      <c r="F1207" s="42" t="s">
        <v>1783</v>
      </c>
      <c r="G1207" s="42">
        <v>18</v>
      </c>
      <c r="H1207" s="42" t="s">
        <v>168</v>
      </c>
      <c r="I1207" s="42" t="s">
        <v>113</v>
      </c>
      <c r="J1207" s="42">
        <v>30000</v>
      </c>
    </row>
    <row r="1208" spans="1:22">
      <c r="A1208" s="61" t="s">
        <v>1783</v>
      </c>
      <c r="C1208" s="64" t="s">
        <v>4</v>
      </c>
      <c r="D1208" s="64" t="s">
        <v>1760</v>
      </c>
      <c r="E1208" s="42" t="s">
        <v>1785</v>
      </c>
      <c r="F1208" s="42" t="s">
        <v>1783</v>
      </c>
      <c r="G1208" s="42">
        <v>19</v>
      </c>
      <c r="H1208" s="42" t="s">
        <v>555</v>
      </c>
      <c r="I1208" s="42" t="s">
        <v>113</v>
      </c>
      <c r="J1208" s="42">
        <v>8000</v>
      </c>
    </row>
    <row r="1209" spans="1:22">
      <c r="A1209" s="61" t="s">
        <v>1783</v>
      </c>
      <c r="C1209" s="64" t="s">
        <v>4</v>
      </c>
      <c r="D1209" s="64" t="s">
        <v>1760</v>
      </c>
      <c r="E1209" s="42" t="s">
        <v>1785</v>
      </c>
      <c r="F1209" s="42" t="s">
        <v>1783</v>
      </c>
      <c r="G1209" s="42">
        <v>20</v>
      </c>
      <c r="H1209" s="42" t="s">
        <v>1269</v>
      </c>
      <c r="I1209" s="42" t="s">
        <v>113</v>
      </c>
      <c r="J1209" s="42">
        <v>5000</v>
      </c>
    </row>
    <row r="1210" spans="1:22">
      <c r="A1210" s="61" t="s">
        <v>1783</v>
      </c>
      <c r="C1210" s="64" t="s">
        <v>4</v>
      </c>
      <c r="D1210" s="64" t="s">
        <v>1760</v>
      </c>
      <c r="E1210" s="42" t="s">
        <v>1785</v>
      </c>
      <c r="F1210" s="42" t="s">
        <v>1783</v>
      </c>
      <c r="G1210" s="42">
        <v>21</v>
      </c>
      <c r="H1210" s="42" t="s">
        <v>1123</v>
      </c>
      <c r="I1210" s="42" t="s">
        <v>113</v>
      </c>
      <c r="J1210" s="42">
        <v>37144</v>
      </c>
    </row>
    <row r="1211" spans="1:22">
      <c r="A1211" s="61" t="s">
        <v>1783</v>
      </c>
      <c r="C1211" s="64" t="s">
        <v>4</v>
      </c>
      <c r="D1211" s="64" t="s">
        <v>1760</v>
      </c>
      <c r="E1211" s="42" t="s">
        <v>1785</v>
      </c>
      <c r="F1211" s="42" t="s">
        <v>1783</v>
      </c>
      <c r="G1211" s="42">
        <v>22</v>
      </c>
      <c r="H1211" s="42" t="s">
        <v>187</v>
      </c>
      <c r="I1211" s="42" t="s">
        <v>102</v>
      </c>
      <c r="J1211" s="42">
        <v>10000</v>
      </c>
    </row>
    <row r="1212" spans="1:22">
      <c r="A1212" s="61" t="s">
        <v>1783</v>
      </c>
      <c r="C1212" s="64" t="s">
        <v>4</v>
      </c>
      <c r="D1212" s="64" t="s">
        <v>1760</v>
      </c>
      <c r="E1212" s="42" t="s">
        <v>1785</v>
      </c>
      <c r="F1212" s="42" t="s">
        <v>1783</v>
      </c>
      <c r="G1212" s="42">
        <v>23</v>
      </c>
      <c r="H1212" s="42" t="s">
        <v>169</v>
      </c>
      <c r="I1212" s="42" t="s">
        <v>102</v>
      </c>
      <c r="J1212" s="42">
        <v>10000</v>
      </c>
    </row>
    <row r="1213" spans="1:22">
      <c r="A1213" s="61" t="s">
        <v>1783</v>
      </c>
      <c r="C1213" s="64" t="s">
        <v>4</v>
      </c>
      <c r="D1213" s="64" t="s">
        <v>1760</v>
      </c>
      <c r="E1213" s="42" t="s">
        <v>1785</v>
      </c>
      <c r="F1213" s="42" t="s">
        <v>1783</v>
      </c>
      <c r="G1213" s="42">
        <v>24</v>
      </c>
      <c r="H1213" s="42" t="s">
        <v>973</v>
      </c>
      <c r="I1213" s="42" t="s">
        <v>102</v>
      </c>
      <c r="J1213" s="42">
        <v>4000</v>
      </c>
    </row>
    <row r="1214" spans="1:22">
      <c r="A1214" s="61" t="s">
        <v>1783</v>
      </c>
      <c r="C1214" s="64" t="s">
        <v>4</v>
      </c>
      <c r="D1214" s="64" t="s">
        <v>1760</v>
      </c>
      <c r="E1214" s="42" t="s">
        <v>1785</v>
      </c>
      <c r="F1214" s="42" t="s">
        <v>1783</v>
      </c>
      <c r="G1214" s="42">
        <v>25</v>
      </c>
      <c r="H1214" s="42" t="s">
        <v>171</v>
      </c>
      <c r="I1214" s="42" t="s">
        <v>102</v>
      </c>
      <c r="J1214" s="42">
        <v>70000</v>
      </c>
    </row>
    <row r="1215" spans="1:22">
      <c r="A1215" s="61" t="s">
        <v>1783</v>
      </c>
      <c r="C1215" s="64" t="s">
        <v>4</v>
      </c>
      <c r="D1215" s="64" t="s">
        <v>1760</v>
      </c>
      <c r="E1215" s="42" t="s">
        <v>1785</v>
      </c>
      <c r="F1215" s="42" t="s">
        <v>1783</v>
      </c>
      <c r="G1215" s="42">
        <v>26</v>
      </c>
      <c r="H1215" s="42" t="s">
        <v>463</v>
      </c>
      <c r="I1215" s="42" t="s">
        <v>1764</v>
      </c>
      <c r="J1215" s="42">
        <v>35538</v>
      </c>
    </row>
    <row r="1216" spans="1:22">
      <c r="A1216" s="61" t="s">
        <v>1783</v>
      </c>
      <c r="C1216" s="64" t="s">
        <v>4</v>
      </c>
      <c r="D1216" s="64" t="s">
        <v>1760</v>
      </c>
      <c r="E1216" s="42" t="s">
        <v>1785</v>
      </c>
      <c r="F1216" s="42" t="s">
        <v>1783</v>
      </c>
      <c r="G1216" s="42">
        <v>27</v>
      </c>
      <c r="H1216" s="42" t="s">
        <v>35</v>
      </c>
      <c r="I1216" s="42" t="s">
        <v>37</v>
      </c>
      <c r="J1216" s="42">
        <v>10000</v>
      </c>
    </row>
    <row r="1217" spans="1:22">
      <c r="A1217" s="61" t="s">
        <v>1783</v>
      </c>
      <c r="C1217" s="64" t="s">
        <v>4</v>
      </c>
      <c r="D1217" s="64" t="s">
        <v>1760</v>
      </c>
      <c r="E1217" s="42" t="s">
        <v>1785</v>
      </c>
      <c r="F1217" s="42" t="s">
        <v>1783</v>
      </c>
      <c r="G1217" s="42">
        <v>28</v>
      </c>
      <c r="H1217" s="42" t="s">
        <v>49</v>
      </c>
      <c r="I1217" s="42" t="s">
        <v>37</v>
      </c>
      <c r="J1217" s="42">
        <v>5000</v>
      </c>
    </row>
    <row r="1218" spans="1:22">
      <c r="A1218" s="61" t="s">
        <v>1783</v>
      </c>
      <c r="C1218" s="64" t="s">
        <v>4</v>
      </c>
      <c r="D1218" s="64" t="s">
        <v>1760</v>
      </c>
      <c r="E1218" s="42" t="s">
        <v>1785</v>
      </c>
      <c r="F1218" s="42" t="s">
        <v>1783</v>
      </c>
      <c r="G1218" s="42">
        <v>29</v>
      </c>
      <c r="H1218" s="42" t="s">
        <v>215</v>
      </c>
      <c r="I1218" s="42" t="s">
        <v>37</v>
      </c>
      <c r="J1218" s="42">
        <v>10000</v>
      </c>
    </row>
    <row r="1219" spans="1:22">
      <c r="A1219" s="61" t="s">
        <v>1783</v>
      </c>
      <c r="C1219" s="64" t="s">
        <v>4</v>
      </c>
      <c r="D1219" s="64" t="s">
        <v>1760</v>
      </c>
      <c r="E1219" s="42" t="s">
        <v>1785</v>
      </c>
      <c r="F1219" s="42" t="s">
        <v>1783</v>
      </c>
      <c r="G1219" s="42">
        <v>30</v>
      </c>
      <c r="H1219" s="42" t="s">
        <v>51</v>
      </c>
      <c r="I1219" s="42" t="s">
        <v>37</v>
      </c>
      <c r="J1219" s="42">
        <v>10000</v>
      </c>
    </row>
    <row r="1220" spans="1:22">
      <c r="A1220" s="61" t="s">
        <v>1783</v>
      </c>
      <c r="C1220" s="64" t="s">
        <v>4</v>
      </c>
      <c r="D1220" s="64" t="s">
        <v>1760</v>
      </c>
      <c r="E1220" s="42" t="s">
        <v>1785</v>
      </c>
      <c r="F1220" s="42" t="s">
        <v>1783</v>
      </c>
      <c r="G1220" s="42">
        <v>31</v>
      </c>
      <c r="H1220" s="42" t="s">
        <v>225</v>
      </c>
      <c r="I1220" s="42" t="s">
        <v>37</v>
      </c>
      <c r="J1220" s="42">
        <v>5000</v>
      </c>
    </row>
    <row r="1221" spans="1:22">
      <c r="A1221" s="61" t="s">
        <v>1783</v>
      </c>
      <c r="C1221" s="64" t="s">
        <v>4</v>
      </c>
      <c r="D1221" s="64" t="s">
        <v>1760</v>
      </c>
      <c r="E1221" s="42" t="s">
        <v>1785</v>
      </c>
      <c r="F1221" s="42" t="s">
        <v>1783</v>
      </c>
      <c r="G1221" s="42">
        <v>32</v>
      </c>
      <c r="H1221" s="42" t="s">
        <v>183</v>
      </c>
      <c r="I1221" s="42" t="s">
        <v>37</v>
      </c>
      <c r="J1221" s="42">
        <v>20000</v>
      </c>
    </row>
    <row r="1222" spans="1:22">
      <c r="A1222" s="61" t="s">
        <v>1783</v>
      </c>
      <c r="C1222" s="64" t="s">
        <v>4</v>
      </c>
      <c r="D1222" s="64" t="s">
        <v>1760</v>
      </c>
      <c r="E1222" s="42" t="s">
        <v>1785</v>
      </c>
      <c r="F1222" s="42" t="s">
        <v>1783</v>
      </c>
      <c r="G1222" s="42">
        <v>33</v>
      </c>
      <c r="H1222" s="42" t="s">
        <v>185</v>
      </c>
      <c r="I1222" s="42" t="s">
        <v>37</v>
      </c>
      <c r="J1222" s="42">
        <v>10000</v>
      </c>
    </row>
    <row r="1223" spans="1:22">
      <c r="A1223" s="61" t="s">
        <v>1783</v>
      </c>
      <c r="C1223" s="64" t="s">
        <v>4</v>
      </c>
      <c r="D1223" s="64" t="s">
        <v>1760</v>
      </c>
      <c r="E1223" s="42" t="s">
        <v>1785</v>
      </c>
      <c r="F1223" s="42" t="s">
        <v>1783</v>
      </c>
      <c r="G1223" s="42">
        <v>34</v>
      </c>
      <c r="H1223" s="42" t="s">
        <v>337</v>
      </c>
      <c r="I1223" s="42" t="s">
        <v>37</v>
      </c>
      <c r="J1223" s="42">
        <v>20000</v>
      </c>
    </row>
    <row r="1224" spans="1:22">
      <c r="A1224" s="61" t="s">
        <v>1783</v>
      </c>
      <c r="C1224" s="64" t="s">
        <v>4</v>
      </c>
      <c r="D1224" s="64" t="s">
        <v>1760</v>
      </c>
      <c r="E1224" s="42" t="s">
        <v>1785</v>
      </c>
      <c r="F1224" s="42" t="s">
        <v>1783</v>
      </c>
      <c r="G1224" s="42">
        <v>35</v>
      </c>
      <c r="H1224" s="42" t="s">
        <v>333</v>
      </c>
      <c r="I1224" s="42" t="s">
        <v>37</v>
      </c>
      <c r="J1224" s="42">
        <v>15000</v>
      </c>
    </row>
    <row r="1225" spans="1:22">
      <c r="A1225" s="61" t="s">
        <v>1783</v>
      </c>
      <c r="C1225" s="64" t="s">
        <v>4</v>
      </c>
      <c r="D1225" s="64" t="s">
        <v>1760</v>
      </c>
      <c r="E1225" s="42" t="s">
        <v>1785</v>
      </c>
      <c r="F1225" s="42" t="s">
        <v>1783</v>
      </c>
      <c r="G1225" s="42">
        <v>36</v>
      </c>
      <c r="H1225" s="42" t="s">
        <v>207</v>
      </c>
      <c r="I1225" s="42" t="s">
        <v>37</v>
      </c>
      <c r="J1225" s="42">
        <v>30000</v>
      </c>
    </row>
    <row r="1226" spans="1:22">
      <c r="A1226" s="61" t="s">
        <v>1783</v>
      </c>
      <c r="C1226" s="64" t="s">
        <v>4</v>
      </c>
      <c r="D1226" s="64" t="s">
        <v>1760</v>
      </c>
      <c r="E1226" s="42" t="s">
        <v>1785</v>
      </c>
      <c r="F1226" s="42" t="s">
        <v>1783</v>
      </c>
      <c r="G1226" s="42">
        <v>37</v>
      </c>
      <c r="H1226" s="42" t="s">
        <v>201</v>
      </c>
      <c r="I1226" s="42" t="s">
        <v>37</v>
      </c>
      <c r="J1226" s="42">
        <v>160000</v>
      </c>
    </row>
    <row r="1227" spans="1:22">
      <c r="A1227" s="61" t="s">
        <v>1783</v>
      </c>
      <c r="C1227" s="64" t="s">
        <v>4</v>
      </c>
      <c r="D1227" s="64" t="s">
        <v>1760</v>
      </c>
      <c r="E1227" s="42" t="s">
        <v>1785</v>
      </c>
      <c r="F1227" s="42" t="s">
        <v>1783</v>
      </c>
      <c r="G1227" s="42">
        <v>38</v>
      </c>
      <c r="H1227" s="42" t="s">
        <v>363</v>
      </c>
      <c r="I1227" s="42" t="s">
        <v>37</v>
      </c>
      <c r="J1227" s="42">
        <v>10000</v>
      </c>
    </row>
    <row r="1228" spans="1:22">
      <c r="A1228" s="61" t="s">
        <v>1783</v>
      </c>
      <c r="C1228" s="64" t="s">
        <v>4</v>
      </c>
      <c r="D1228" s="64" t="s">
        <v>1760</v>
      </c>
      <c r="E1228" s="42" t="s">
        <v>1785</v>
      </c>
      <c r="F1228" s="42" t="s">
        <v>1783</v>
      </c>
      <c r="G1228" s="42">
        <v>39</v>
      </c>
      <c r="H1228" s="42" t="s">
        <v>213</v>
      </c>
      <c r="I1228" s="42" t="s">
        <v>37</v>
      </c>
      <c r="J1228" s="42">
        <v>10000</v>
      </c>
    </row>
    <row r="1229" spans="1:22">
      <c r="A1229" s="61" t="s">
        <v>1783</v>
      </c>
      <c r="C1229" s="64" t="s">
        <v>4</v>
      </c>
      <c r="D1229" s="64" t="s">
        <v>1760</v>
      </c>
      <c r="E1229" s="42" t="s">
        <v>1785</v>
      </c>
      <c r="F1229" s="42" t="s">
        <v>1783</v>
      </c>
      <c r="G1229" s="42">
        <v>40</v>
      </c>
      <c r="H1229" s="42" t="s">
        <v>231</v>
      </c>
      <c r="I1229" s="42" t="s">
        <v>37</v>
      </c>
      <c r="J1229" s="42">
        <v>20000</v>
      </c>
    </row>
    <row r="1230" spans="1:22">
      <c r="A1230" s="61" t="s">
        <v>1783</v>
      </c>
      <c r="C1230" s="64" t="s">
        <v>4</v>
      </c>
      <c r="D1230" s="64" t="s">
        <v>1760</v>
      </c>
      <c r="E1230" s="42" t="s">
        <v>1785</v>
      </c>
      <c r="F1230" s="42" t="s">
        <v>1783</v>
      </c>
      <c r="G1230" s="42">
        <v>41</v>
      </c>
      <c r="H1230" s="42" t="s">
        <v>281</v>
      </c>
      <c r="I1230" s="42" t="s">
        <v>37</v>
      </c>
      <c r="J1230" s="42">
        <v>10000</v>
      </c>
    </row>
    <row r="1231" spans="1:22">
      <c r="A1231" s="61" t="s">
        <v>1783</v>
      </c>
      <c r="C1231" s="64" t="s">
        <v>4</v>
      </c>
      <c r="D1231" s="64" t="s">
        <v>1760</v>
      </c>
      <c r="E1231" s="42" t="s">
        <v>1785</v>
      </c>
      <c r="F1231" s="42" t="s">
        <v>1783</v>
      </c>
      <c r="G1231" s="42">
        <v>42</v>
      </c>
      <c r="H1231" s="42" t="s">
        <v>229</v>
      </c>
      <c r="I1231" s="42" t="s">
        <v>37</v>
      </c>
      <c r="J1231" s="42">
        <v>20000</v>
      </c>
    </row>
    <row r="1232" spans="1:22">
      <c r="A1232" s="61" t="s">
        <v>1783</v>
      </c>
      <c r="C1232" s="64" t="s">
        <v>4</v>
      </c>
      <c r="D1232" s="64" t="s">
        <v>1760</v>
      </c>
      <c r="E1232" s="42" t="s">
        <v>1785</v>
      </c>
      <c r="F1232" s="42" t="s">
        <v>1783</v>
      </c>
      <c r="G1232" s="42">
        <v>43</v>
      </c>
      <c r="H1232" s="42" t="s">
        <v>233</v>
      </c>
      <c r="I1232" s="42" t="s">
        <v>37</v>
      </c>
      <c r="J1232" s="42">
        <v>10000</v>
      </c>
    </row>
    <row r="1233" spans="1:22">
      <c r="A1233" s="61" t="s">
        <v>1783</v>
      </c>
      <c r="C1233" s="64" t="s">
        <v>4</v>
      </c>
      <c r="D1233" s="64" t="s">
        <v>1760</v>
      </c>
      <c r="E1233" s="42" t="s">
        <v>1785</v>
      </c>
      <c r="F1233" s="42" t="s">
        <v>1783</v>
      </c>
      <c r="G1233" s="42">
        <v>44</v>
      </c>
      <c r="H1233" s="42" t="s">
        <v>451</v>
      </c>
      <c r="I1233" s="42" t="s">
        <v>37</v>
      </c>
      <c r="J1233" s="42">
        <v>30000</v>
      </c>
    </row>
    <row r="1234" spans="1:22">
      <c r="A1234" s="61" t="s">
        <v>1783</v>
      </c>
      <c r="C1234" s="64" t="s">
        <v>4</v>
      </c>
      <c r="D1234" s="64" t="s">
        <v>1760</v>
      </c>
      <c r="E1234" s="42" t="s">
        <v>1785</v>
      </c>
      <c r="F1234" s="42" t="s">
        <v>1783</v>
      </c>
      <c r="G1234" s="42">
        <v>45</v>
      </c>
      <c r="H1234" s="42" t="s">
        <v>449</v>
      </c>
      <c r="I1234" s="42" t="s">
        <v>37</v>
      </c>
      <c r="J1234" s="42">
        <v>70000</v>
      </c>
    </row>
    <row r="1235" spans="1:22">
      <c r="A1235" s="61" t="s">
        <v>1783</v>
      </c>
      <c r="C1235" s="64" t="s">
        <v>4</v>
      </c>
      <c r="D1235" s="64" t="s">
        <v>1760</v>
      </c>
      <c r="E1235" s="42" t="s">
        <v>1785</v>
      </c>
      <c r="F1235" s="42" t="s">
        <v>1783</v>
      </c>
      <c r="G1235" s="42">
        <v>46</v>
      </c>
      <c r="H1235" s="42" t="s">
        <v>457</v>
      </c>
      <c r="I1235" s="42" t="s">
        <v>37</v>
      </c>
      <c r="J1235" s="42">
        <v>30000</v>
      </c>
    </row>
    <row r="1236" spans="1:22">
      <c r="A1236" s="61" t="s">
        <v>1783</v>
      </c>
      <c r="C1236" s="64" t="s">
        <v>4</v>
      </c>
      <c r="D1236" s="64" t="s">
        <v>1760</v>
      </c>
      <c r="E1236" s="42" t="s">
        <v>1785</v>
      </c>
      <c r="F1236" s="42" t="s">
        <v>1783</v>
      </c>
      <c r="G1236" s="42">
        <v>47</v>
      </c>
      <c r="H1236" s="42" t="s">
        <v>275</v>
      </c>
      <c r="I1236" s="42" t="s">
        <v>37</v>
      </c>
      <c r="J1236" s="42">
        <v>10000</v>
      </c>
    </row>
    <row r="1237" spans="1:22">
      <c r="A1237" s="61" t="s">
        <v>1783</v>
      </c>
      <c r="C1237" s="64" t="s">
        <v>4</v>
      </c>
      <c r="D1237" s="64" t="s">
        <v>1760</v>
      </c>
      <c r="E1237" s="42" t="s">
        <v>1785</v>
      </c>
      <c r="F1237" s="42" t="s">
        <v>1783</v>
      </c>
      <c r="G1237" s="42">
        <v>48</v>
      </c>
      <c r="H1237" s="42" t="s">
        <v>325</v>
      </c>
      <c r="I1237" s="42" t="s">
        <v>37</v>
      </c>
      <c r="J1237" s="42">
        <v>35000</v>
      </c>
    </row>
    <row r="1238" spans="1:22">
      <c r="A1238" s="61" t="s">
        <v>1783</v>
      </c>
      <c r="C1238" s="64" t="s">
        <v>4</v>
      </c>
      <c r="D1238" s="64" t="s">
        <v>1760</v>
      </c>
      <c r="E1238" s="42" t="s">
        <v>1785</v>
      </c>
      <c r="F1238" s="42" t="s">
        <v>1783</v>
      </c>
      <c r="G1238" s="42">
        <v>49</v>
      </c>
      <c r="H1238" s="42" t="s">
        <v>327</v>
      </c>
      <c r="I1238" s="42" t="s">
        <v>37</v>
      </c>
      <c r="J1238" s="42">
        <v>40000</v>
      </c>
    </row>
    <row r="1239" spans="1:22">
      <c r="A1239" s="61" t="s">
        <v>1783</v>
      </c>
      <c r="C1239" s="64" t="s">
        <v>4</v>
      </c>
      <c r="D1239" s="64" t="s">
        <v>1760</v>
      </c>
      <c r="E1239" s="42" t="s">
        <v>1785</v>
      </c>
      <c r="F1239" s="42" t="s">
        <v>1783</v>
      </c>
      <c r="G1239" s="42">
        <v>50</v>
      </c>
      <c r="H1239" s="42" t="s">
        <v>383</v>
      </c>
      <c r="I1239" s="42" t="s">
        <v>37</v>
      </c>
      <c r="J1239" s="42">
        <v>10000</v>
      </c>
    </row>
    <row r="1240" spans="1:22">
      <c r="A1240" s="61" t="s">
        <v>1783</v>
      </c>
      <c r="C1240" s="64" t="s">
        <v>4</v>
      </c>
      <c r="D1240" s="64" t="s">
        <v>1760</v>
      </c>
      <c r="E1240" s="42" t="s">
        <v>1785</v>
      </c>
      <c r="F1240" s="42" t="s">
        <v>1783</v>
      </c>
      <c r="G1240" s="42">
        <v>51</v>
      </c>
      <c r="H1240" s="42" t="s">
        <v>379</v>
      </c>
      <c r="I1240" s="42" t="s">
        <v>37</v>
      </c>
      <c r="J1240" s="42">
        <v>5000</v>
      </c>
    </row>
    <row r="1241" spans="1:22">
      <c r="A1241" s="61" t="s">
        <v>1783</v>
      </c>
      <c r="C1241" s="64" t="s">
        <v>4</v>
      </c>
      <c r="D1241" s="64" t="s">
        <v>1760</v>
      </c>
      <c r="E1241" s="42" t="s">
        <v>1785</v>
      </c>
      <c r="F1241" s="42" t="s">
        <v>1783</v>
      </c>
      <c r="G1241" s="42">
        <v>52</v>
      </c>
      <c r="H1241" s="42" t="s">
        <v>475</v>
      </c>
      <c r="I1241" s="42" t="s">
        <v>37</v>
      </c>
      <c r="J1241" s="42">
        <v>40000</v>
      </c>
    </row>
    <row r="1242" spans="1:22">
      <c r="A1242" s="61" t="s">
        <v>1783</v>
      </c>
      <c r="C1242" s="64" t="s">
        <v>4</v>
      </c>
      <c r="D1242" s="64" t="s">
        <v>1760</v>
      </c>
      <c r="E1242" s="42" t="s">
        <v>1785</v>
      </c>
      <c r="F1242" s="42" t="s">
        <v>1783</v>
      </c>
      <c r="G1242" s="42">
        <v>53</v>
      </c>
      <c r="H1242" s="42" t="s">
        <v>711</v>
      </c>
      <c r="I1242" s="42" t="s">
        <v>37</v>
      </c>
      <c r="J1242" s="42">
        <v>10000</v>
      </c>
    </row>
    <row r="1243" spans="1:22">
      <c r="A1243" s="61" t="s">
        <v>1783</v>
      </c>
      <c r="C1243" s="64" t="s">
        <v>4</v>
      </c>
      <c r="D1243" s="64" t="s">
        <v>1760</v>
      </c>
      <c r="E1243" s="42" t="s">
        <v>1785</v>
      </c>
      <c r="F1243" s="42" t="s">
        <v>1783</v>
      </c>
      <c r="G1243" s="42">
        <v>54</v>
      </c>
      <c r="H1243" s="42" t="s">
        <v>603</v>
      </c>
      <c r="I1243" s="42" t="s">
        <v>37</v>
      </c>
      <c r="J1243" s="42">
        <v>30000</v>
      </c>
    </row>
    <row r="1244" spans="1:22">
      <c r="A1244" s="61" t="s">
        <v>1783</v>
      </c>
      <c r="C1244" s="64" t="s">
        <v>4</v>
      </c>
      <c r="D1244" s="64" t="s">
        <v>1760</v>
      </c>
      <c r="E1244" s="42" t="s">
        <v>1785</v>
      </c>
      <c r="F1244" s="42" t="s">
        <v>1783</v>
      </c>
      <c r="G1244" s="42">
        <v>55</v>
      </c>
      <c r="H1244" s="42" t="s">
        <v>287</v>
      </c>
      <c r="I1244" s="42" t="s">
        <v>37</v>
      </c>
      <c r="J1244" s="42">
        <v>5000</v>
      </c>
    </row>
    <row r="1245" spans="1:22">
      <c r="A1245" s="61" t="s">
        <v>1783</v>
      </c>
      <c r="C1245" s="64" t="s">
        <v>4</v>
      </c>
      <c r="D1245" s="64" t="s">
        <v>1760</v>
      </c>
      <c r="E1245" s="42" t="s">
        <v>1785</v>
      </c>
      <c r="F1245" s="42" t="s">
        <v>1783</v>
      </c>
      <c r="G1245" s="42">
        <v>56</v>
      </c>
      <c r="H1245" s="42" t="s">
        <v>385</v>
      </c>
      <c r="I1245" s="42" t="s">
        <v>37</v>
      </c>
      <c r="J1245" s="42">
        <v>9000</v>
      </c>
    </row>
    <row r="1246" spans="1:22">
      <c r="A1246" s="61" t="s">
        <v>1783</v>
      </c>
      <c r="C1246" s="64" t="s">
        <v>4</v>
      </c>
      <c r="D1246" s="64" t="s">
        <v>1760</v>
      </c>
      <c r="E1246" s="42" t="s">
        <v>1785</v>
      </c>
      <c r="F1246" s="42" t="s">
        <v>1783</v>
      </c>
      <c r="G1246" s="42">
        <v>57</v>
      </c>
      <c r="H1246" s="42" t="s">
        <v>481</v>
      </c>
      <c r="I1246" s="42" t="s">
        <v>37</v>
      </c>
      <c r="J1246" s="42">
        <v>30000</v>
      </c>
    </row>
    <row r="1247" spans="1:22">
      <c r="A1247" s="61" t="s">
        <v>1783</v>
      </c>
      <c r="C1247" s="64" t="s">
        <v>4</v>
      </c>
      <c r="D1247" s="64" t="s">
        <v>1760</v>
      </c>
      <c r="E1247" s="42" t="s">
        <v>1785</v>
      </c>
      <c r="F1247" s="42" t="s">
        <v>1783</v>
      </c>
      <c r="G1247" s="42">
        <v>58</v>
      </c>
      <c r="H1247" s="42" t="s">
        <v>319</v>
      </c>
      <c r="I1247" s="42" t="s">
        <v>37</v>
      </c>
      <c r="J1247" s="42">
        <v>5000</v>
      </c>
    </row>
    <row r="1248" spans="1:22">
      <c r="A1248" s="61" t="s">
        <v>1783</v>
      </c>
      <c r="C1248" s="64" t="s">
        <v>4</v>
      </c>
      <c r="D1248" s="64" t="s">
        <v>1760</v>
      </c>
      <c r="E1248" s="42" t="s">
        <v>1785</v>
      </c>
      <c r="F1248" s="42" t="s">
        <v>1783</v>
      </c>
      <c r="G1248" s="42">
        <v>59</v>
      </c>
      <c r="H1248" s="42" t="s">
        <v>321</v>
      </c>
      <c r="I1248" s="42" t="s">
        <v>37</v>
      </c>
      <c r="J1248" s="42">
        <v>5000</v>
      </c>
    </row>
    <row r="1249" spans="1:22">
      <c r="A1249" s="61" t="s">
        <v>1783</v>
      </c>
      <c r="C1249" s="64" t="s">
        <v>4</v>
      </c>
      <c r="D1249" s="64" t="s">
        <v>1760</v>
      </c>
      <c r="E1249" s="42" t="s">
        <v>1785</v>
      </c>
      <c r="F1249" s="42" t="s">
        <v>1783</v>
      </c>
      <c r="G1249" s="42">
        <v>60</v>
      </c>
      <c r="H1249" s="42" t="s">
        <v>561</v>
      </c>
      <c r="I1249" s="42" t="s">
        <v>37</v>
      </c>
      <c r="J1249" s="42">
        <v>120000</v>
      </c>
    </row>
    <row r="1250" spans="1:22">
      <c r="A1250" s="61" t="s">
        <v>1783</v>
      </c>
      <c r="C1250" s="64" t="s">
        <v>4</v>
      </c>
      <c r="D1250" s="64" t="s">
        <v>1760</v>
      </c>
      <c r="E1250" s="42" t="s">
        <v>1785</v>
      </c>
      <c r="F1250" s="42" t="s">
        <v>1783</v>
      </c>
      <c r="G1250" s="42">
        <v>61</v>
      </c>
      <c r="H1250" s="42" t="s">
        <v>483</v>
      </c>
      <c r="I1250" s="42" t="s">
        <v>37</v>
      </c>
      <c r="J1250" s="42">
        <v>60000</v>
      </c>
    </row>
    <row r="1251" spans="1:22">
      <c r="A1251" s="61" t="s">
        <v>1783</v>
      </c>
      <c r="C1251" s="64" t="s">
        <v>4</v>
      </c>
      <c r="D1251" s="64" t="s">
        <v>1760</v>
      </c>
      <c r="E1251" s="42" t="s">
        <v>1785</v>
      </c>
      <c r="F1251" s="42" t="s">
        <v>1783</v>
      </c>
      <c r="G1251" s="42">
        <v>62</v>
      </c>
      <c r="H1251" s="42" t="s">
        <v>485</v>
      </c>
      <c r="I1251" s="42" t="s">
        <v>37</v>
      </c>
      <c r="J1251" s="42">
        <v>80000</v>
      </c>
    </row>
    <row r="1252" spans="1:22">
      <c r="A1252" s="61" t="s">
        <v>1783</v>
      </c>
      <c r="C1252" s="64" t="s">
        <v>4</v>
      </c>
      <c r="D1252" s="64" t="s">
        <v>1760</v>
      </c>
      <c r="E1252" s="42" t="s">
        <v>1785</v>
      </c>
      <c r="F1252" s="42" t="s">
        <v>1783</v>
      </c>
      <c r="G1252" s="42">
        <v>63</v>
      </c>
      <c r="H1252" s="42" t="s">
        <v>567</v>
      </c>
      <c r="I1252" s="42" t="s">
        <v>37</v>
      </c>
      <c r="J1252" s="42">
        <v>20000</v>
      </c>
    </row>
    <row r="1253" spans="1:22">
      <c r="A1253" s="61" t="s">
        <v>1783</v>
      </c>
      <c r="C1253" s="64" t="s">
        <v>4</v>
      </c>
      <c r="D1253" s="64" t="s">
        <v>1760</v>
      </c>
      <c r="E1253" s="42" t="s">
        <v>1785</v>
      </c>
      <c r="F1253" s="42" t="s">
        <v>1783</v>
      </c>
      <c r="G1253" s="42">
        <v>64</v>
      </c>
      <c r="H1253" s="42" t="s">
        <v>461</v>
      </c>
      <c r="I1253" s="42" t="s">
        <v>37</v>
      </c>
      <c r="J1253" s="42">
        <v>130000</v>
      </c>
    </row>
    <row r="1254" spans="1:22">
      <c r="A1254" s="61" t="s">
        <v>1783</v>
      </c>
      <c r="C1254" s="64" t="s">
        <v>4</v>
      </c>
      <c r="D1254" s="64" t="s">
        <v>1760</v>
      </c>
      <c r="E1254" s="42" t="s">
        <v>1785</v>
      </c>
      <c r="F1254" s="42" t="s">
        <v>1783</v>
      </c>
      <c r="G1254" s="42">
        <v>65</v>
      </c>
      <c r="H1254" s="42" t="s">
        <v>565</v>
      </c>
      <c r="I1254" s="42" t="s">
        <v>37</v>
      </c>
      <c r="J1254" s="42">
        <v>60000</v>
      </c>
    </row>
    <row r="1255" spans="1:22">
      <c r="A1255" s="61" t="s">
        <v>1783</v>
      </c>
      <c r="C1255" s="64" t="s">
        <v>4</v>
      </c>
      <c r="D1255" s="64" t="s">
        <v>1760</v>
      </c>
      <c r="E1255" s="42" t="s">
        <v>1785</v>
      </c>
      <c r="F1255" s="42" t="s">
        <v>1783</v>
      </c>
      <c r="G1255" s="42">
        <v>66</v>
      </c>
      <c r="H1255" s="42" t="s">
        <v>423</v>
      </c>
      <c r="I1255" s="42" t="s">
        <v>37</v>
      </c>
      <c r="J1255" s="42">
        <v>20000</v>
      </c>
    </row>
    <row r="1256" spans="1:22">
      <c r="A1256" s="61" t="s">
        <v>1783</v>
      </c>
      <c r="C1256" s="64" t="s">
        <v>4</v>
      </c>
      <c r="D1256" s="64" t="s">
        <v>1760</v>
      </c>
      <c r="E1256" s="42" t="s">
        <v>1785</v>
      </c>
      <c r="F1256" s="42" t="s">
        <v>1783</v>
      </c>
      <c r="G1256" s="42">
        <v>67</v>
      </c>
      <c r="H1256" s="42" t="s">
        <v>425</v>
      </c>
      <c r="I1256" s="42" t="s">
        <v>37</v>
      </c>
      <c r="J1256" s="42">
        <v>30000</v>
      </c>
    </row>
    <row r="1257" spans="1:22">
      <c r="A1257" s="61" t="s">
        <v>1783</v>
      </c>
      <c r="C1257" s="64" t="s">
        <v>4</v>
      </c>
      <c r="D1257" s="64" t="s">
        <v>1760</v>
      </c>
      <c r="E1257" s="42" t="s">
        <v>1785</v>
      </c>
      <c r="F1257" s="42" t="s">
        <v>1783</v>
      </c>
      <c r="G1257" s="42">
        <v>68</v>
      </c>
      <c r="H1257" s="42" t="s">
        <v>427</v>
      </c>
      <c r="I1257" s="42" t="s">
        <v>37</v>
      </c>
      <c r="J1257" s="42">
        <v>30000</v>
      </c>
    </row>
    <row r="1258" spans="1:22">
      <c r="A1258" s="61" t="s">
        <v>1783</v>
      </c>
      <c r="C1258" s="64" t="s">
        <v>4</v>
      </c>
      <c r="D1258" s="64" t="s">
        <v>1760</v>
      </c>
      <c r="E1258" s="42" t="s">
        <v>1785</v>
      </c>
      <c r="F1258" s="42" t="s">
        <v>1783</v>
      </c>
      <c r="G1258" s="42">
        <v>69</v>
      </c>
      <c r="H1258" s="42" t="s">
        <v>429</v>
      </c>
      <c r="I1258" s="42" t="s">
        <v>37</v>
      </c>
      <c r="J1258" s="42">
        <v>30000</v>
      </c>
    </row>
    <row r="1259" spans="1:22">
      <c r="A1259" s="61" t="s">
        <v>1783</v>
      </c>
      <c r="C1259" s="64" t="s">
        <v>4</v>
      </c>
      <c r="D1259" s="64" t="s">
        <v>1760</v>
      </c>
      <c r="E1259" s="42" t="s">
        <v>1785</v>
      </c>
      <c r="F1259" s="42" t="s">
        <v>1783</v>
      </c>
      <c r="G1259" s="42">
        <v>70</v>
      </c>
      <c r="H1259" s="42" t="s">
        <v>435</v>
      </c>
      <c r="I1259" s="42" t="s">
        <v>37</v>
      </c>
      <c r="J1259" s="42">
        <v>80000</v>
      </c>
    </row>
    <row r="1260" spans="1:22">
      <c r="A1260" s="61" t="s">
        <v>1783</v>
      </c>
      <c r="C1260" s="64" t="s">
        <v>4</v>
      </c>
      <c r="D1260" s="64" t="s">
        <v>1760</v>
      </c>
      <c r="E1260" s="42" t="s">
        <v>1785</v>
      </c>
      <c r="F1260" s="42" t="s">
        <v>1783</v>
      </c>
      <c r="G1260" s="42">
        <v>71</v>
      </c>
      <c r="H1260" s="42" t="s">
        <v>445</v>
      </c>
      <c r="I1260" s="42" t="s">
        <v>37</v>
      </c>
      <c r="J1260" s="42">
        <v>20000</v>
      </c>
    </row>
    <row r="1261" spans="1:22">
      <c r="A1261" s="61" t="s">
        <v>1783</v>
      </c>
      <c r="C1261" s="64" t="s">
        <v>4</v>
      </c>
      <c r="D1261" s="64" t="s">
        <v>1760</v>
      </c>
      <c r="E1261" s="42" t="s">
        <v>1785</v>
      </c>
      <c r="F1261" s="42" t="s">
        <v>1783</v>
      </c>
      <c r="G1261" s="42">
        <v>72</v>
      </c>
      <c r="H1261" s="42" t="s">
        <v>431</v>
      </c>
      <c r="I1261" s="42" t="s">
        <v>37</v>
      </c>
      <c r="J1261" s="42">
        <v>10000</v>
      </c>
    </row>
    <row r="1262" spans="1:22">
      <c r="A1262" s="61" t="s">
        <v>1783</v>
      </c>
      <c r="C1262" s="64" t="s">
        <v>4</v>
      </c>
      <c r="D1262" s="64" t="s">
        <v>1760</v>
      </c>
      <c r="E1262" s="42" t="s">
        <v>1785</v>
      </c>
      <c r="F1262" s="42" t="s">
        <v>1783</v>
      </c>
      <c r="G1262" s="42">
        <v>73</v>
      </c>
      <c r="H1262" s="42" t="s">
        <v>433</v>
      </c>
      <c r="I1262" s="42" t="s">
        <v>37</v>
      </c>
      <c r="J1262" s="42">
        <v>60000</v>
      </c>
    </row>
    <row r="1263" spans="1:22">
      <c r="A1263" s="61" t="s">
        <v>1783</v>
      </c>
      <c r="C1263" s="64" t="s">
        <v>4</v>
      </c>
      <c r="D1263" s="64" t="s">
        <v>1760</v>
      </c>
      <c r="E1263" s="42" t="s">
        <v>1785</v>
      </c>
      <c r="F1263" s="42" t="s">
        <v>1783</v>
      </c>
      <c r="G1263" s="42">
        <v>74</v>
      </c>
      <c r="H1263" s="42" t="s">
        <v>657</v>
      </c>
      <c r="I1263" s="42" t="s">
        <v>37</v>
      </c>
      <c r="J1263" s="42">
        <v>5000</v>
      </c>
    </row>
    <row r="1264" spans="1:22">
      <c r="A1264" s="61" t="s">
        <v>1783</v>
      </c>
      <c r="C1264" s="64" t="s">
        <v>4</v>
      </c>
      <c r="D1264" s="64" t="s">
        <v>1760</v>
      </c>
      <c r="E1264" s="42" t="s">
        <v>1785</v>
      </c>
      <c r="F1264" s="42" t="s">
        <v>1783</v>
      </c>
      <c r="G1264" s="42">
        <v>75</v>
      </c>
      <c r="H1264" s="42" t="s">
        <v>491</v>
      </c>
      <c r="I1264" s="42" t="s">
        <v>37</v>
      </c>
      <c r="J1264" s="42">
        <v>40000</v>
      </c>
    </row>
    <row r="1265" spans="1:22">
      <c r="A1265" s="61" t="s">
        <v>1783</v>
      </c>
      <c r="C1265" s="64" t="s">
        <v>4</v>
      </c>
      <c r="D1265" s="64" t="s">
        <v>1760</v>
      </c>
      <c r="E1265" s="42" t="s">
        <v>1785</v>
      </c>
      <c r="F1265" s="42" t="s">
        <v>1783</v>
      </c>
      <c r="G1265" s="42">
        <v>76</v>
      </c>
      <c r="H1265" s="42" t="s">
        <v>569</v>
      </c>
      <c r="I1265" s="42" t="s">
        <v>37</v>
      </c>
      <c r="J1265" s="42">
        <v>5000</v>
      </c>
    </row>
    <row r="1266" spans="1:22">
      <c r="A1266" s="61" t="s">
        <v>1783</v>
      </c>
      <c r="C1266" s="64" t="s">
        <v>4</v>
      </c>
      <c r="D1266" s="64" t="s">
        <v>1760</v>
      </c>
      <c r="E1266" s="42" t="s">
        <v>1785</v>
      </c>
      <c r="F1266" s="42" t="s">
        <v>1783</v>
      </c>
      <c r="G1266" s="42">
        <v>77</v>
      </c>
      <c r="H1266" s="42" t="s">
        <v>519</v>
      </c>
      <c r="I1266" s="42" t="s">
        <v>37</v>
      </c>
      <c r="J1266" s="42">
        <v>150000</v>
      </c>
    </row>
    <row r="1267" spans="1:22">
      <c r="A1267" s="61" t="s">
        <v>1783</v>
      </c>
      <c r="C1267" s="64" t="s">
        <v>4</v>
      </c>
      <c r="D1267" s="64" t="s">
        <v>1760</v>
      </c>
      <c r="E1267" s="42" t="s">
        <v>1785</v>
      </c>
      <c r="F1267" s="42" t="s">
        <v>1783</v>
      </c>
      <c r="G1267" s="42">
        <v>78</v>
      </c>
      <c r="H1267" s="42" t="s">
        <v>515</v>
      </c>
      <c r="I1267" s="42" t="s">
        <v>37</v>
      </c>
      <c r="J1267" s="42">
        <v>40000</v>
      </c>
    </row>
    <row r="1268" spans="1:22">
      <c r="A1268" s="61" t="s">
        <v>1783</v>
      </c>
      <c r="C1268" s="64" t="s">
        <v>4</v>
      </c>
      <c r="D1268" s="64" t="s">
        <v>1760</v>
      </c>
      <c r="E1268" s="42" t="s">
        <v>1785</v>
      </c>
      <c r="F1268" s="42" t="s">
        <v>1783</v>
      </c>
      <c r="G1268" s="42">
        <v>79</v>
      </c>
      <c r="H1268" s="42" t="s">
        <v>521</v>
      </c>
      <c r="I1268" s="42" t="s">
        <v>37</v>
      </c>
      <c r="J1268" s="42">
        <v>10000</v>
      </c>
    </row>
    <row r="1269" spans="1:22">
      <c r="A1269" s="61" t="s">
        <v>1783</v>
      </c>
      <c r="C1269" s="64" t="s">
        <v>4</v>
      </c>
      <c r="D1269" s="64" t="s">
        <v>1760</v>
      </c>
      <c r="E1269" s="42" t="s">
        <v>1785</v>
      </c>
      <c r="F1269" s="42" t="s">
        <v>1783</v>
      </c>
      <c r="G1269" s="42">
        <v>80</v>
      </c>
      <c r="H1269" s="42" t="s">
        <v>527</v>
      </c>
      <c r="I1269" s="42" t="s">
        <v>37</v>
      </c>
      <c r="J1269" s="42">
        <v>80000</v>
      </c>
    </row>
    <row r="1270" spans="1:22">
      <c r="A1270" s="61" t="s">
        <v>1783</v>
      </c>
      <c r="C1270" s="64" t="s">
        <v>4</v>
      </c>
      <c r="D1270" s="64" t="s">
        <v>1760</v>
      </c>
      <c r="E1270" s="42" t="s">
        <v>1785</v>
      </c>
      <c r="F1270" s="42" t="s">
        <v>1783</v>
      </c>
      <c r="G1270" s="42">
        <v>81</v>
      </c>
      <c r="H1270" s="42" t="s">
        <v>597</v>
      </c>
      <c r="I1270" s="42" t="s">
        <v>37</v>
      </c>
      <c r="J1270" s="42">
        <v>49982</v>
      </c>
    </row>
    <row r="1271" spans="1:22">
      <c r="A1271" s="61" t="s">
        <v>1783</v>
      </c>
      <c r="C1271" s="64" t="s">
        <v>4</v>
      </c>
      <c r="D1271" s="64" t="s">
        <v>1760</v>
      </c>
      <c r="E1271" s="42" t="s">
        <v>1785</v>
      </c>
      <c r="F1271" s="42" t="s">
        <v>1783</v>
      </c>
      <c r="G1271" s="42">
        <v>82</v>
      </c>
      <c r="H1271" s="42" t="s">
        <v>599</v>
      </c>
      <c r="I1271" s="42" t="s">
        <v>37</v>
      </c>
      <c r="J1271" s="42">
        <v>335000</v>
      </c>
    </row>
    <row r="1272" spans="1:22">
      <c r="A1272" s="61" t="s">
        <v>1783</v>
      </c>
      <c r="C1272" s="64" t="s">
        <v>4</v>
      </c>
      <c r="D1272" s="64" t="s">
        <v>1760</v>
      </c>
      <c r="E1272" s="42" t="s">
        <v>1785</v>
      </c>
      <c r="F1272" s="42" t="s">
        <v>1783</v>
      </c>
      <c r="G1272" s="42">
        <v>83</v>
      </c>
      <c r="H1272" s="42" t="s">
        <v>601</v>
      </c>
      <c r="I1272" s="42" t="s">
        <v>37</v>
      </c>
      <c r="J1272" s="42">
        <v>40000</v>
      </c>
    </row>
    <row r="1273" spans="1:22">
      <c r="A1273" s="61" t="s">
        <v>1783</v>
      </c>
      <c r="C1273" s="64" t="s">
        <v>4</v>
      </c>
      <c r="D1273" s="64" t="s">
        <v>1760</v>
      </c>
      <c r="E1273" s="42" t="s">
        <v>1785</v>
      </c>
      <c r="F1273" s="42" t="s">
        <v>1783</v>
      </c>
      <c r="G1273" s="42">
        <v>84</v>
      </c>
      <c r="H1273" s="42" t="s">
        <v>673</v>
      </c>
      <c r="I1273" s="42" t="s">
        <v>37</v>
      </c>
      <c r="J1273" s="42">
        <v>35000</v>
      </c>
    </row>
    <row r="1274" spans="1:22">
      <c r="A1274" s="61" t="s">
        <v>1783</v>
      </c>
      <c r="C1274" s="64" t="s">
        <v>4</v>
      </c>
      <c r="D1274" s="64" t="s">
        <v>1760</v>
      </c>
      <c r="E1274" s="42" t="s">
        <v>1785</v>
      </c>
      <c r="F1274" s="42" t="s">
        <v>1783</v>
      </c>
      <c r="G1274" s="42">
        <v>85</v>
      </c>
      <c r="H1274" s="42" t="s">
        <v>1371</v>
      </c>
      <c r="I1274" s="42" t="s">
        <v>37</v>
      </c>
      <c r="J1274" s="42">
        <v>50</v>
      </c>
    </row>
    <row r="1275" spans="1:22">
      <c r="A1275" s="61" t="s">
        <v>1783</v>
      </c>
      <c r="C1275" s="64" t="s">
        <v>4</v>
      </c>
      <c r="D1275" s="64" t="s">
        <v>1760</v>
      </c>
      <c r="E1275" s="42" t="s">
        <v>1785</v>
      </c>
      <c r="F1275" s="42" t="s">
        <v>1783</v>
      </c>
      <c r="G1275" s="42">
        <v>86</v>
      </c>
      <c r="H1275" s="42" t="s">
        <v>1372</v>
      </c>
      <c r="I1275" s="42" t="s">
        <v>37</v>
      </c>
      <c r="J1275" s="42">
        <v>50</v>
      </c>
    </row>
    <row r="1276" spans="1:22">
      <c r="A1276" s="61" t="s">
        <v>1783</v>
      </c>
      <c r="C1276" s="64" t="s">
        <v>4</v>
      </c>
      <c r="D1276" s="64" t="s">
        <v>1760</v>
      </c>
      <c r="E1276" s="42" t="s">
        <v>1785</v>
      </c>
      <c r="F1276" s="42" t="s">
        <v>1783</v>
      </c>
      <c r="G1276" s="42">
        <v>87</v>
      </c>
      <c r="H1276" s="42" t="s">
        <v>1373</v>
      </c>
      <c r="I1276" s="42" t="s">
        <v>37</v>
      </c>
      <c r="J1276" s="42">
        <v>50</v>
      </c>
    </row>
    <row r="1277" spans="1:22">
      <c r="A1277" s="61" t="s">
        <v>1783</v>
      </c>
      <c r="C1277" s="64" t="s">
        <v>4</v>
      </c>
      <c r="D1277" s="64" t="s">
        <v>1760</v>
      </c>
      <c r="E1277" s="42" t="s">
        <v>1785</v>
      </c>
      <c r="F1277" s="42" t="s">
        <v>1783</v>
      </c>
      <c r="G1277" s="42">
        <v>88</v>
      </c>
      <c r="H1277" s="42" t="s">
        <v>543</v>
      </c>
      <c r="I1277" s="42" t="s">
        <v>37</v>
      </c>
      <c r="J1277" s="42">
        <v>10000</v>
      </c>
    </row>
    <row r="1278" spans="1:22">
      <c r="A1278" s="61" t="s">
        <v>1783</v>
      </c>
      <c r="C1278" s="64" t="s">
        <v>4</v>
      </c>
      <c r="D1278" s="64" t="s">
        <v>1760</v>
      </c>
      <c r="E1278" s="42" t="s">
        <v>1785</v>
      </c>
      <c r="F1278" s="42" t="s">
        <v>1783</v>
      </c>
      <c r="G1278" s="42">
        <v>89</v>
      </c>
      <c r="H1278" s="42" t="s">
        <v>447</v>
      </c>
      <c r="I1278" s="42" t="s">
        <v>37</v>
      </c>
      <c r="J1278" s="42">
        <v>20000</v>
      </c>
    </row>
    <row r="1279" spans="1:22">
      <c r="A1279" s="61" t="s">
        <v>1783</v>
      </c>
      <c r="C1279" s="64" t="s">
        <v>4</v>
      </c>
      <c r="D1279" s="64" t="s">
        <v>1760</v>
      </c>
      <c r="E1279" s="42" t="s">
        <v>1785</v>
      </c>
      <c r="F1279" s="42" t="s">
        <v>1783</v>
      </c>
      <c r="G1279" s="42">
        <v>90</v>
      </c>
      <c r="H1279" s="42" t="s">
        <v>541</v>
      </c>
      <c r="I1279" s="42" t="s">
        <v>37</v>
      </c>
      <c r="J1279" s="42">
        <v>10000</v>
      </c>
    </row>
    <row r="1280" spans="1:22">
      <c r="A1280" s="61" t="s">
        <v>1783</v>
      </c>
      <c r="C1280" s="64" t="s">
        <v>4</v>
      </c>
      <c r="D1280" s="64" t="s">
        <v>1760</v>
      </c>
      <c r="E1280" s="42" t="s">
        <v>1785</v>
      </c>
      <c r="F1280" s="42" t="s">
        <v>1783</v>
      </c>
      <c r="G1280" s="42">
        <v>91</v>
      </c>
      <c r="H1280" s="42" t="s">
        <v>557</v>
      </c>
      <c r="I1280" s="42" t="s">
        <v>37</v>
      </c>
      <c r="J1280" s="42">
        <v>10000</v>
      </c>
    </row>
    <row r="1281" spans="1:22">
      <c r="A1281" s="61" t="s">
        <v>1783</v>
      </c>
      <c r="C1281" s="64" t="s">
        <v>4</v>
      </c>
      <c r="D1281" s="64" t="s">
        <v>1760</v>
      </c>
      <c r="E1281" s="42" t="s">
        <v>1785</v>
      </c>
      <c r="F1281" s="42" t="s">
        <v>1783</v>
      </c>
      <c r="G1281" s="42">
        <v>92</v>
      </c>
      <c r="H1281" s="42" t="s">
        <v>563</v>
      </c>
      <c r="I1281" s="42" t="s">
        <v>37</v>
      </c>
      <c r="J1281" s="42">
        <v>10000</v>
      </c>
    </row>
    <row r="1282" spans="1:22">
      <c r="A1282" s="61" t="s">
        <v>1783</v>
      </c>
      <c r="C1282" s="64" t="s">
        <v>4</v>
      </c>
      <c r="D1282" s="64" t="s">
        <v>1760</v>
      </c>
      <c r="E1282" s="42" t="s">
        <v>1785</v>
      </c>
      <c r="F1282" s="42" t="s">
        <v>1783</v>
      </c>
      <c r="G1282" s="42">
        <v>93</v>
      </c>
      <c r="H1282" s="42" t="s">
        <v>615</v>
      </c>
      <c r="I1282" s="42" t="s">
        <v>37</v>
      </c>
      <c r="J1282" s="42">
        <v>30000</v>
      </c>
    </row>
    <row r="1283" spans="1:22">
      <c r="A1283" s="61" t="s">
        <v>1783</v>
      </c>
      <c r="C1283" s="64" t="s">
        <v>4</v>
      </c>
      <c r="D1283" s="64" t="s">
        <v>1760</v>
      </c>
      <c r="E1283" s="42" t="s">
        <v>1785</v>
      </c>
      <c r="F1283" s="42" t="s">
        <v>1783</v>
      </c>
      <c r="G1283" s="42">
        <v>94</v>
      </c>
      <c r="H1283" s="42" t="s">
        <v>667</v>
      </c>
      <c r="I1283" s="42" t="s">
        <v>37</v>
      </c>
      <c r="J1283" s="42">
        <v>2000</v>
      </c>
    </row>
    <row r="1284" spans="1:22">
      <c r="A1284" s="61" t="s">
        <v>1783</v>
      </c>
      <c r="C1284" s="64" t="s">
        <v>4</v>
      </c>
      <c r="D1284" s="64" t="s">
        <v>1760</v>
      </c>
      <c r="E1284" s="42" t="s">
        <v>1785</v>
      </c>
      <c r="F1284" s="42" t="s">
        <v>1783</v>
      </c>
      <c r="G1284" s="42">
        <v>95</v>
      </c>
      <c r="H1284" s="42" t="s">
        <v>669</v>
      </c>
      <c r="I1284" s="42" t="s">
        <v>37</v>
      </c>
      <c r="J1284" s="42">
        <v>2000</v>
      </c>
    </row>
    <row r="1285" spans="1:22">
      <c r="A1285" s="61" t="s">
        <v>1783</v>
      </c>
      <c r="C1285" s="64" t="s">
        <v>4</v>
      </c>
      <c r="D1285" s="64" t="s">
        <v>1760</v>
      </c>
      <c r="E1285" s="42" t="s">
        <v>1785</v>
      </c>
      <c r="F1285" s="42" t="s">
        <v>1783</v>
      </c>
      <c r="G1285" s="42">
        <v>96</v>
      </c>
      <c r="H1285" s="42" t="s">
        <v>671</v>
      </c>
      <c r="I1285" s="42" t="s">
        <v>37</v>
      </c>
      <c r="J1285" s="42">
        <v>15000</v>
      </c>
    </row>
    <row r="1286" spans="1:22">
      <c r="A1286" s="61" t="s">
        <v>1783</v>
      </c>
      <c r="C1286" s="64" t="s">
        <v>4</v>
      </c>
      <c r="D1286" s="64" t="s">
        <v>1760</v>
      </c>
      <c r="E1286" s="42" t="s">
        <v>1785</v>
      </c>
      <c r="F1286" s="42" t="s">
        <v>1783</v>
      </c>
      <c r="G1286" s="42">
        <v>97</v>
      </c>
      <c r="H1286" s="42" t="s">
        <v>523</v>
      </c>
      <c r="I1286" s="42" t="s">
        <v>37</v>
      </c>
      <c r="J1286" s="42">
        <v>10000</v>
      </c>
    </row>
    <row r="1287" spans="1:22">
      <c r="A1287" s="61" t="s">
        <v>1783</v>
      </c>
      <c r="C1287" s="64" t="s">
        <v>4</v>
      </c>
      <c r="D1287" s="64" t="s">
        <v>1760</v>
      </c>
      <c r="E1287" s="42" t="s">
        <v>1785</v>
      </c>
      <c r="F1287" s="42" t="s">
        <v>1783</v>
      </c>
      <c r="G1287" s="42">
        <v>98</v>
      </c>
      <c r="H1287" s="42" t="s">
        <v>677</v>
      </c>
      <c r="I1287" s="42" t="s">
        <v>37</v>
      </c>
      <c r="J1287" s="42">
        <v>30000</v>
      </c>
    </row>
    <row r="1288" spans="1:22">
      <c r="A1288" s="61" t="s">
        <v>1783</v>
      </c>
      <c r="C1288" s="64" t="s">
        <v>4</v>
      </c>
      <c r="D1288" s="64" t="s">
        <v>1760</v>
      </c>
      <c r="E1288" s="42" t="s">
        <v>1785</v>
      </c>
      <c r="F1288" s="42" t="s">
        <v>1783</v>
      </c>
      <c r="G1288" s="42">
        <v>99</v>
      </c>
      <c r="H1288" s="42" t="s">
        <v>681</v>
      </c>
      <c r="I1288" s="42" t="s">
        <v>37</v>
      </c>
      <c r="J1288" s="42">
        <v>10000</v>
      </c>
    </row>
    <row r="1289" spans="1:22">
      <c r="A1289" s="61" t="s">
        <v>1783</v>
      </c>
      <c r="C1289" s="64" t="s">
        <v>4</v>
      </c>
      <c r="D1289" s="64" t="s">
        <v>1760</v>
      </c>
      <c r="E1289" s="42" t="s">
        <v>1785</v>
      </c>
      <c r="F1289" s="42" t="s">
        <v>1783</v>
      </c>
      <c r="G1289" s="42">
        <v>100</v>
      </c>
      <c r="H1289" s="42" t="s">
        <v>665</v>
      </c>
      <c r="I1289" s="42" t="s">
        <v>37</v>
      </c>
      <c r="J1289" s="42">
        <v>5000</v>
      </c>
    </row>
    <row r="1290" spans="1:22">
      <c r="A1290" s="61" t="s">
        <v>1783</v>
      </c>
      <c r="C1290" s="64" t="s">
        <v>4</v>
      </c>
      <c r="D1290" s="64" t="s">
        <v>1760</v>
      </c>
      <c r="E1290" s="42" t="s">
        <v>1785</v>
      </c>
      <c r="F1290" s="42" t="s">
        <v>1783</v>
      </c>
      <c r="G1290" s="42">
        <v>101</v>
      </c>
      <c r="H1290" s="42" t="s">
        <v>663</v>
      </c>
      <c r="I1290" s="42" t="s">
        <v>37</v>
      </c>
      <c r="J1290" s="42">
        <v>10000</v>
      </c>
    </row>
    <row r="1291" spans="1:22">
      <c r="A1291" s="61" t="s">
        <v>1783</v>
      </c>
      <c r="C1291" s="64" t="s">
        <v>4</v>
      </c>
      <c r="D1291" s="64" t="s">
        <v>1760</v>
      </c>
      <c r="E1291" s="42" t="s">
        <v>1785</v>
      </c>
      <c r="F1291" s="42" t="s">
        <v>1783</v>
      </c>
      <c r="G1291" s="42">
        <v>102</v>
      </c>
      <c r="H1291" s="42" t="s">
        <v>661</v>
      </c>
      <c r="I1291" s="42" t="s">
        <v>37</v>
      </c>
      <c r="J1291" s="42">
        <v>12000</v>
      </c>
    </row>
    <row r="1292" spans="1:22">
      <c r="A1292" s="61" t="s">
        <v>1783</v>
      </c>
      <c r="C1292" s="64" t="s">
        <v>4</v>
      </c>
      <c r="D1292" s="64" t="s">
        <v>1760</v>
      </c>
      <c r="E1292" s="42" t="s">
        <v>1785</v>
      </c>
      <c r="F1292" s="42" t="s">
        <v>1783</v>
      </c>
      <c r="G1292" s="42">
        <v>103</v>
      </c>
      <c r="H1292" s="42" t="s">
        <v>537</v>
      </c>
      <c r="I1292" s="42" t="s">
        <v>37</v>
      </c>
      <c r="J1292" s="42">
        <v>10000</v>
      </c>
    </row>
    <row r="1293" spans="1:22">
      <c r="A1293" s="61" t="s">
        <v>1783</v>
      </c>
      <c r="C1293" s="64" t="s">
        <v>4</v>
      </c>
      <c r="D1293" s="64" t="s">
        <v>1760</v>
      </c>
      <c r="E1293" s="42" t="s">
        <v>1785</v>
      </c>
      <c r="F1293" s="42" t="s">
        <v>1783</v>
      </c>
      <c r="G1293" s="42">
        <v>104</v>
      </c>
      <c r="H1293" s="42" t="s">
        <v>559</v>
      </c>
      <c r="I1293" s="42" t="s">
        <v>37</v>
      </c>
      <c r="J1293" s="42">
        <v>30000</v>
      </c>
    </row>
    <row r="1294" spans="1:22">
      <c r="A1294" s="61" t="s">
        <v>1783</v>
      </c>
      <c r="C1294" s="64" t="s">
        <v>4</v>
      </c>
      <c r="D1294" s="64" t="s">
        <v>1760</v>
      </c>
      <c r="E1294" s="42" t="s">
        <v>1785</v>
      </c>
      <c r="F1294" s="42" t="s">
        <v>1783</v>
      </c>
      <c r="G1294" s="42">
        <v>105</v>
      </c>
      <c r="H1294" s="42" t="s">
        <v>1121</v>
      </c>
      <c r="I1294" s="42" t="s">
        <v>37</v>
      </c>
      <c r="J1294" s="42">
        <v>25000</v>
      </c>
    </row>
    <row r="1295" spans="1:22">
      <c r="A1295" s="61" t="s">
        <v>1783</v>
      </c>
      <c r="C1295" s="64" t="s">
        <v>4</v>
      </c>
      <c r="D1295" s="64" t="s">
        <v>1760</v>
      </c>
      <c r="E1295" s="42" t="s">
        <v>1785</v>
      </c>
      <c r="F1295" s="42" t="s">
        <v>1783</v>
      </c>
      <c r="G1295" s="42">
        <v>106</v>
      </c>
      <c r="H1295" s="42" t="s">
        <v>659</v>
      </c>
      <c r="I1295" s="42" t="s">
        <v>37</v>
      </c>
      <c r="J1295" s="42">
        <v>10000</v>
      </c>
    </row>
    <row r="1296" spans="1:22">
      <c r="A1296" s="61" t="s">
        <v>1783</v>
      </c>
      <c r="C1296" s="64" t="s">
        <v>4</v>
      </c>
      <c r="D1296" s="64" t="s">
        <v>1760</v>
      </c>
      <c r="E1296" s="42" t="s">
        <v>1785</v>
      </c>
      <c r="F1296" s="42" t="s">
        <v>1783</v>
      </c>
      <c r="G1296" s="42">
        <v>107</v>
      </c>
      <c r="H1296" s="42" t="s">
        <v>675</v>
      </c>
      <c r="I1296" s="42" t="s">
        <v>37</v>
      </c>
      <c r="J1296" s="42">
        <v>30000</v>
      </c>
    </row>
    <row r="1297" spans="1:22">
      <c r="A1297" s="61" t="s">
        <v>1783</v>
      </c>
      <c r="C1297" s="64" t="s">
        <v>4</v>
      </c>
      <c r="D1297" s="64" t="s">
        <v>1760</v>
      </c>
      <c r="E1297" s="42" t="s">
        <v>1785</v>
      </c>
      <c r="F1297" s="42" t="s">
        <v>1783</v>
      </c>
      <c r="G1297" s="42">
        <v>108</v>
      </c>
      <c r="H1297" s="42" t="s">
        <v>797</v>
      </c>
      <c r="I1297" s="42" t="s">
        <v>37</v>
      </c>
      <c r="J1297" s="42">
        <v>5000</v>
      </c>
    </row>
    <row r="1298" spans="1:22">
      <c r="A1298" s="61" t="s">
        <v>1783</v>
      </c>
      <c r="C1298" s="64" t="s">
        <v>4</v>
      </c>
      <c r="D1298" s="64" t="s">
        <v>1760</v>
      </c>
      <c r="E1298" s="42" t="s">
        <v>1785</v>
      </c>
      <c r="F1298" s="42" t="s">
        <v>1783</v>
      </c>
      <c r="G1298" s="42">
        <v>109</v>
      </c>
      <c r="H1298" s="42" t="s">
        <v>799</v>
      </c>
      <c r="I1298" s="42" t="s">
        <v>37</v>
      </c>
      <c r="J1298" s="42">
        <v>5000</v>
      </c>
    </row>
    <row r="1299" spans="1:22">
      <c r="A1299" s="61" t="s">
        <v>1783</v>
      </c>
      <c r="C1299" s="64" t="s">
        <v>4</v>
      </c>
      <c r="D1299" s="64" t="s">
        <v>1760</v>
      </c>
      <c r="E1299" s="42" t="s">
        <v>1785</v>
      </c>
      <c r="F1299" s="42" t="s">
        <v>1783</v>
      </c>
      <c r="G1299" s="42">
        <v>110</v>
      </c>
      <c r="H1299" s="42" t="s">
        <v>809</v>
      </c>
      <c r="I1299" s="42" t="s">
        <v>37</v>
      </c>
      <c r="J1299" s="42">
        <v>35000</v>
      </c>
    </row>
    <row r="1300" spans="1:22">
      <c r="A1300" s="61" t="s">
        <v>1783</v>
      </c>
      <c r="C1300" s="64" t="s">
        <v>4</v>
      </c>
      <c r="D1300" s="64" t="s">
        <v>1760</v>
      </c>
      <c r="E1300" s="42" t="s">
        <v>1785</v>
      </c>
      <c r="F1300" s="42" t="s">
        <v>1783</v>
      </c>
      <c r="G1300" s="42">
        <v>111</v>
      </c>
      <c r="H1300" s="42" t="s">
        <v>717</v>
      </c>
      <c r="I1300" s="42" t="s">
        <v>37</v>
      </c>
      <c r="J1300" s="42">
        <v>40000</v>
      </c>
    </row>
    <row r="1301" spans="1:22">
      <c r="A1301" s="61" t="s">
        <v>1783</v>
      </c>
      <c r="C1301" s="64" t="s">
        <v>4</v>
      </c>
      <c r="D1301" s="64" t="s">
        <v>1760</v>
      </c>
      <c r="E1301" s="42" t="s">
        <v>1785</v>
      </c>
      <c r="F1301" s="42" t="s">
        <v>1783</v>
      </c>
      <c r="G1301" s="42">
        <v>112</v>
      </c>
      <c r="H1301" s="42" t="s">
        <v>743</v>
      </c>
      <c r="I1301" s="42" t="s">
        <v>37</v>
      </c>
      <c r="J1301" s="42">
        <v>20000</v>
      </c>
    </row>
    <row r="1302" spans="1:22">
      <c r="A1302" s="61" t="s">
        <v>1783</v>
      </c>
      <c r="C1302" s="64" t="s">
        <v>4</v>
      </c>
      <c r="D1302" s="64" t="s">
        <v>1760</v>
      </c>
      <c r="E1302" s="42" t="s">
        <v>1785</v>
      </c>
      <c r="F1302" s="42" t="s">
        <v>1783</v>
      </c>
      <c r="G1302" s="42">
        <v>113</v>
      </c>
      <c r="H1302" s="42" t="s">
        <v>747</v>
      </c>
      <c r="I1302" s="42" t="s">
        <v>37</v>
      </c>
      <c r="J1302" s="42">
        <v>10000</v>
      </c>
    </row>
    <row r="1303" spans="1:22">
      <c r="A1303" s="61" t="s">
        <v>1783</v>
      </c>
      <c r="C1303" s="64" t="s">
        <v>4</v>
      </c>
      <c r="D1303" s="64" t="s">
        <v>1760</v>
      </c>
      <c r="E1303" s="42" t="s">
        <v>1785</v>
      </c>
      <c r="F1303" s="42" t="s">
        <v>1783</v>
      </c>
      <c r="G1303" s="42">
        <v>114</v>
      </c>
      <c r="H1303" s="42" t="s">
        <v>749</v>
      </c>
      <c r="I1303" s="42" t="s">
        <v>37</v>
      </c>
      <c r="J1303" s="42">
        <v>115000</v>
      </c>
    </row>
    <row r="1304" spans="1:22">
      <c r="A1304" s="61" t="s">
        <v>1783</v>
      </c>
      <c r="C1304" s="64" t="s">
        <v>4</v>
      </c>
      <c r="D1304" s="64" t="s">
        <v>1760</v>
      </c>
      <c r="E1304" s="42" t="s">
        <v>1785</v>
      </c>
      <c r="F1304" s="42" t="s">
        <v>1783</v>
      </c>
      <c r="G1304" s="42">
        <v>115</v>
      </c>
      <c r="H1304" s="42" t="s">
        <v>751</v>
      </c>
      <c r="I1304" s="42" t="s">
        <v>37</v>
      </c>
      <c r="J1304" s="42">
        <v>5000</v>
      </c>
    </row>
    <row r="1305" spans="1:22">
      <c r="A1305" s="61" t="s">
        <v>1783</v>
      </c>
      <c r="C1305" s="64" t="s">
        <v>4</v>
      </c>
      <c r="D1305" s="64" t="s">
        <v>1760</v>
      </c>
      <c r="E1305" s="42" t="s">
        <v>1785</v>
      </c>
      <c r="F1305" s="42" t="s">
        <v>1783</v>
      </c>
      <c r="G1305" s="42">
        <v>116</v>
      </c>
      <c r="H1305" s="42" t="s">
        <v>753</v>
      </c>
      <c r="I1305" s="42" t="s">
        <v>37</v>
      </c>
      <c r="J1305" s="42">
        <v>15000</v>
      </c>
    </row>
    <row r="1306" spans="1:22">
      <c r="A1306" s="61" t="s">
        <v>1783</v>
      </c>
      <c r="C1306" s="64" t="s">
        <v>4</v>
      </c>
      <c r="D1306" s="64" t="s">
        <v>1760</v>
      </c>
      <c r="E1306" s="42" t="s">
        <v>1785</v>
      </c>
      <c r="F1306" s="42" t="s">
        <v>1783</v>
      </c>
      <c r="G1306" s="42">
        <v>117</v>
      </c>
      <c r="H1306" s="42" t="s">
        <v>1375</v>
      </c>
      <c r="I1306" s="42" t="s">
        <v>37</v>
      </c>
      <c r="J1306" s="42">
        <v>50</v>
      </c>
    </row>
    <row r="1307" spans="1:22">
      <c r="A1307" s="61" t="s">
        <v>1783</v>
      </c>
      <c r="C1307" s="64" t="s">
        <v>4</v>
      </c>
      <c r="D1307" s="64" t="s">
        <v>1760</v>
      </c>
      <c r="E1307" s="42" t="s">
        <v>1785</v>
      </c>
      <c r="F1307" s="42" t="s">
        <v>1783</v>
      </c>
      <c r="G1307" s="42">
        <v>118</v>
      </c>
      <c r="H1307" s="42" t="s">
        <v>683</v>
      </c>
      <c r="I1307" s="42" t="s">
        <v>37</v>
      </c>
      <c r="J1307" s="42">
        <v>170000</v>
      </c>
    </row>
    <row r="1308" spans="1:22">
      <c r="A1308" s="61" t="s">
        <v>1783</v>
      </c>
      <c r="C1308" s="64" t="s">
        <v>4</v>
      </c>
      <c r="D1308" s="64" t="s">
        <v>1760</v>
      </c>
      <c r="E1308" s="42" t="s">
        <v>1785</v>
      </c>
      <c r="F1308" s="42" t="s">
        <v>1783</v>
      </c>
      <c r="G1308" s="42">
        <v>119</v>
      </c>
      <c r="H1308" s="42" t="s">
        <v>967</v>
      </c>
      <c r="I1308" s="42" t="s">
        <v>37</v>
      </c>
      <c r="J1308" s="42">
        <v>20000</v>
      </c>
    </row>
    <row r="1309" spans="1:22">
      <c r="A1309" s="61" t="s">
        <v>1783</v>
      </c>
      <c r="C1309" s="64" t="s">
        <v>4</v>
      </c>
      <c r="D1309" s="64" t="s">
        <v>1760</v>
      </c>
      <c r="E1309" s="42" t="s">
        <v>1785</v>
      </c>
      <c r="F1309" s="42" t="s">
        <v>1783</v>
      </c>
      <c r="G1309" s="42">
        <v>120</v>
      </c>
      <c r="H1309" s="42" t="s">
        <v>907</v>
      </c>
      <c r="I1309" s="42" t="s">
        <v>37</v>
      </c>
      <c r="J1309" s="42">
        <v>20000</v>
      </c>
    </row>
    <row r="1310" spans="1:22">
      <c r="A1310" s="61" t="s">
        <v>1783</v>
      </c>
      <c r="C1310" s="64" t="s">
        <v>4</v>
      </c>
      <c r="D1310" s="64" t="s">
        <v>1760</v>
      </c>
      <c r="E1310" s="42" t="s">
        <v>1785</v>
      </c>
      <c r="F1310" s="42" t="s">
        <v>1783</v>
      </c>
      <c r="G1310" s="42">
        <v>121</v>
      </c>
      <c r="H1310" s="42" t="s">
        <v>909</v>
      </c>
      <c r="I1310" s="42" t="s">
        <v>37</v>
      </c>
      <c r="J1310" s="42">
        <v>20000</v>
      </c>
    </row>
    <row r="1311" spans="1:22">
      <c r="A1311" s="61" t="s">
        <v>1783</v>
      </c>
      <c r="C1311" s="64" t="s">
        <v>4</v>
      </c>
      <c r="D1311" s="64" t="s">
        <v>1760</v>
      </c>
      <c r="E1311" s="42" t="s">
        <v>1785</v>
      </c>
      <c r="F1311" s="42" t="s">
        <v>1783</v>
      </c>
      <c r="G1311" s="42">
        <v>122</v>
      </c>
      <c r="H1311" s="42" t="s">
        <v>911</v>
      </c>
      <c r="I1311" s="42" t="s">
        <v>37</v>
      </c>
      <c r="J1311" s="42">
        <v>20000</v>
      </c>
    </row>
    <row r="1312" spans="1:22">
      <c r="A1312" s="61" t="s">
        <v>1783</v>
      </c>
      <c r="C1312" s="64" t="s">
        <v>4</v>
      </c>
      <c r="D1312" s="64" t="s">
        <v>1760</v>
      </c>
      <c r="E1312" s="42" t="s">
        <v>1785</v>
      </c>
      <c r="F1312" s="42" t="s">
        <v>1783</v>
      </c>
      <c r="G1312" s="42">
        <v>123</v>
      </c>
      <c r="H1312" s="42" t="s">
        <v>913</v>
      </c>
      <c r="I1312" s="42" t="s">
        <v>37</v>
      </c>
      <c r="J1312" s="42">
        <v>39000</v>
      </c>
    </row>
    <row r="1313" spans="1:22">
      <c r="A1313" s="61" t="s">
        <v>1783</v>
      </c>
      <c r="C1313" s="64" t="s">
        <v>4</v>
      </c>
      <c r="D1313" s="64" t="s">
        <v>1760</v>
      </c>
      <c r="E1313" s="42" t="s">
        <v>1785</v>
      </c>
      <c r="F1313" s="42" t="s">
        <v>1783</v>
      </c>
      <c r="G1313" s="42">
        <v>124</v>
      </c>
      <c r="H1313" s="42" t="s">
        <v>915</v>
      </c>
      <c r="I1313" s="42" t="s">
        <v>37</v>
      </c>
      <c r="J1313" s="42">
        <v>40000</v>
      </c>
    </row>
    <row r="1314" spans="1:22">
      <c r="A1314" s="61" t="s">
        <v>1783</v>
      </c>
      <c r="C1314" s="64" t="s">
        <v>4</v>
      </c>
      <c r="D1314" s="64" t="s">
        <v>1760</v>
      </c>
      <c r="E1314" s="42" t="s">
        <v>1785</v>
      </c>
      <c r="F1314" s="42" t="s">
        <v>1783</v>
      </c>
      <c r="G1314" s="42">
        <v>125</v>
      </c>
      <c r="H1314" s="42" t="s">
        <v>971</v>
      </c>
      <c r="I1314" s="42" t="s">
        <v>37</v>
      </c>
      <c r="J1314" s="42">
        <v>6000</v>
      </c>
    </row>
    <row r="1315" spans="1:22">
      <c r="A1315" s="61" t="s">
        <v>1783</v>
      </c>
      <c r="C1315" s="64" t="s">
        <v>4</v>
      </c>
      <c r="D1315" s="64" t="s">
        <v>1760</v>
      </c>
      <c r="E1315" s="42" t="s">
        <v>1785</v>
      </c>
      <c r="F1315" s="42" t="s">
        <v>1783</v>
      </c>
      <c r="G1315" s="42">
        <v>126</v>
      </c>
      <c r="H1315" s="42" t="s">
        <v>763</v>
      </c>
      <c r="I1315" s="42" t="s">
        <v>37</v>
      </c>
      <c r="J1315" s="42">
        <v>10000</v>
      </c>
    </row>
    <row r="1316" spans="1:22">
      <c r="A1316" s="61" t="s">
        <v>1783</v>
      </c>
      <c r="C1316" s="64" t="s">
        <v>4</v>
      </c>
      <c r="D1316" s="64" t="s">
        <v>1760</v>
      </c>
      <c r="E1316" s="42" t="s">
        <v>1785</v>
      </c>
      <c r="F1316" s="42" t="s">
        <v>1783</v>
      </c>
      <c r="G1316" s="42">
        <v>127</v>
      </c>
      <c r="H1316" s="42" t="s">
        <v>769</v>
      </c>
      <c r="I1316" s="42" t="s">
        <v>37</v>
      </c>
      <c r="J1316" s="42">
        <v>10000</v>
      </c>
    </row>
    <row r="1317" spans="1:22">
      <c r="A1317" s="61" t="s">
        <v>1783</v>
      </c>
      <c r="C1317" s="64" t="s">
        <v>4</v>
      </c>
      <c r="D1317" s="64" t="s">
        <v>1760</v>
      </c>
      <c r="E1317" s="42" t="s">
        <v>1785</v>
      </c>
      <c r="F1317" s="42" t="s">
        <v>1783</v>
      </c>
      <c r="G1317" s="42">
        <v>128</v>
      </c>
      <c r="H1317" s="42" t="s">
        <v>961</v>
      </c>
      <c r="I1317" s="42" t="s">
        <v>37</v>
      </c>
      <c r="J1317" s="42">
        <v>50000</v>
      </c>
    </row>
    <row r="1318" spans="1:22">
      <c r="A1318" s="61" t="s">
        <v>1783</v>
      </c>
      <c r="C1318" s="64" t="s">
        <v>4</v>
      </c>
      <c r="D1318" s="64" t="s">
        <v>1760</v>
      </c>
      <c r="E1318" s="42" t="s">
        <v>1785</v>
      </c>
      <c r="F1318" s="42" t="s">
        <v>1783</v>
      </c>
      <c r="G1318" s="42">
        <v>129</v>
      </c>
      <c r="H1318" s="42" t="s">
        <v>919</v>
      </c>
      <c r="I1318" s="42" t="s">
        <v>37</v>
      </c>
      <c r="J1318" s="42">
        <v>30000</v>
      </c>
    </row>
    <row r="1319" spans="1:22">
      <c r="A1319" s="61" t="s">
        <v>1783</v>
      </c>
      <c r="C1319" s="64" t="s">
        <v>4</v>
      </c>
      <c r="D1319" s="64" t="s">
        <v>1760</v>
      </c>
      <c r="E1319" s="42" t="s">
        <v>1785</v>
      </c>
      <c r="F1319" s="42" t="s">
        <v>1783</v>
      </c>
      <c r="G1319" s="42">
        <v>130</v>
      </c>
      <c r="H1319" s="42" t="s">
        <v>1331</v>
      </c>
      <c r="I1319" s="42" t="s">
        <v>37</v>
      </c>
      <c r="J1319" s="42">
        <v>270000</v>
      </c>
    </row>
    <row r="1320" spans="1:22">
      <c r="A1320" s="61" t="s">
        <v>1783</v>
      </c>
      <c r="C1320" s="64" t="s">
        <v>4</v>
      </c>
      <c r="D1320" s="64" t="s">
        <v>1760</v>
      </c>
      <c r="E1320" s="42" t="s">
        <v>1785</v>
      </c>
      <c r="F1320" s="42" t="s">
        <v>1783</v>
      </c>
      <c r="G1320" s="42">
        <v>131</v>
      </c>
      <c r="H1320" s="42" t="s">
        <v>1318</v>
      </c>
      <c r="I1320" s="42" t="s">
        <v>37</v>
      </c>
      <c r="J1320" s="42">
        <v>75000</v>
      </c>
    </row>
    <row r="1321" spans="1:22">
      <c r="A1321" s="61" t="s">
        <v>1783</v>
      </c>
      <c r="C1321" s="64" t="s">
        <v>4</v>
      </c>
      <c r="D1321" s="64" t="s">
        <v>1760</v>
      </c>
      <c r="E1321" s="42" t="s">
        <v>1785</v>
      </c>
      <c r="F1321" s="42" t="s">
        <v>1783</v>
      </c>
      <c r="G1321" s="42">
        <v>132</v>
      </c>
      <c r="H1321" s="42" t="s">
        <v>1273</v>
      </c>
      <c r="I1321" s="42" t="s">
        <v>37</v>
      </c>
      <c r="J1321" s="42">
        <v>25000</v>
      </c>
    </row>
    <row r="1322" spans="1:22">
      <c r="A1322" s="61" t="s">
        <v>1783</v>
      </c>
      <c r="C1322" s="64" t="s">
        <v>4</v>
      </c>
      <c r="D1322" s="64" t="s">
        <v>1760</v>
      </c>
      <c r="E1322" s="42" t="s">
        <v>1785</v>
      </c>
      <c r="F1322" s="42" t="s">
        <v>1783</v>
      </c>
      <c r="G1322" s="42">
        <v>133</v>
      </c>
      <c r="H1322" s="42" t="s">
        <v>1274</v>
      </c>
      <c r="I1322" s="42" t="s">
        <v>37</v>
      </c>
      <c r="J1322" s="42">
        <v>6000</v>
      </c>
    </row>
    <row r="1323" spans="1:22">
      <c r="A1323" s="61" t="s">
        <v>1783</v>
      </c>
      <c r="C1323" s="64" t="s">
        <v>4</v>
      </c>
      <c r="D1323" s="64" t="s">
        <v>1760</v>
      </c>
      <c r="E1323" s="42" t="s">
        <v>1785</v>
      </c>
      <c r="F1323" s="42" t="s">
        <v>1783</v>
      </c>
      <c r="G1323" s="42">
        <v>134</v>
      </c>
      <c r="H1323" s="42" t="s">
        <v>1284</v>
      </c>
      <c r="I1323" s="42" t="s">
        <v>37</v>
      </c>
      <c r="J1323" s="42">
        <v>10000</v>
      </c>
    </row>
    <row r="1324" spans="1:22">
      <c r="A1324" s="61" t="s">
        <v>1783</v>
      </c>
      <c r="C1324" s="64" t="s">
        <v>4</v>
      </c>
      <c r="D1324" s="64" t="s">
        <v>1760</v>
      </c>
      <c r="E1324" s="42" t="s">
        <v>1785</v>
      </c>
      <c r="F1324" s="42" t="s">
        <v>1783</v>
      </c>
      <c r="G1324" s="42">
        <v>135</v>
      </c>
      <c r="H1324" s="42" t="s">
        <v>959</v>
      </c>
      <c r="I1324" s="42" t="s">
        <v>37</v>
      </c>
      <c r="J1324" s="42">
        <v>140000</v>
      </c>
    </row>
    <row r="1325" spans="1:22">
      <c r="A1325" s="61" t="s">
        <v>1783</v>
      </c>
      <c r="C1325" s="64" t="s">
        <v>4</v>
      </c>
      <c r="D1325" s="64" t="s">
        <v>1760</v>
      </c>
      <c r="E1325" s="42" t="s">
        <v>1785</v>
      </c>
      <c r="F1325" s="42" t="s">
        <v>1783</v>
      </c>
      <c r="G1325" s="42">
        <v>136</v>
      </c>
      <c r="H1325" s="42" t="s">
        <v>1367</v>
      </c>
      <c r="I1325" s="42" t="s">
        <v>37</v>
      </c>
      <c r="J1325" s="42">
        <v>34715</v>
      </c>
    </row>
    <row r="1326" spans="1:22">
      <c r="A1326" s="61" t="s">
        <v>1783</v>
      </c>
      <c r="C1326" s="64" t="s">
        <v>4</v>
      </c>
      <c r="D1326" s="64" t="s">
        <v>1760</v>
      </c>
      <c r="E1326" s="42" t="s">
        <v>1785</v>
      </c>
      <c r="F1326" s="42" t="s">
        <v>1783</v>
      </c>
      <c r="G1326" s="42">
        <v>137</v>
      </c>
      <c r="H1326" s="42" t="s">
        <v>1290</v>
      </c>
      <c r="I1326" s="42" t="s">
        <v>37</v>
      </c>
      <c r="J1326" s="42">
        <v>16059</v>
      </c>
    </row>
    <row r="1327" spans="1:22">
      <c r="A1327" s="61" t="s">
        <v>1783</v>
      </c>
      <c r="C1327" s="64" t="s">
        <v>4</v>
      </c>
      <c r="D1327" s="64" t="s">
        <v>1760</v>
      </c>
      <c r="E1327" s="42" t="s">
        <v>1785</v>
      </c>
      <c r="F1327" s="42" t="s">
        <v>1783</v>
      </c>
      <c r="G1327" s="42">
        <v>138</v>
      </c>
      <c r="H1327" s="42" t="s">
        <v>315</v>
      </c>
      <c r="I1327" s="42" t="s">
        <v>37</v>
      </c>
      <c r="J1327" s="42">
        <v>15000</v>
      </c>
    </row>
    <row r="1328" spans="1:22">
      <c r="A1328" s="61" t="s">
        <v>1783</v>
      </c>
      <c r="C1328" s="64" t="s">
        <v>4</v>
      </c>
      <c r="D1328" s="64" t="s">
        <v>1760</v>
      </c>
      <c r="E1328" s="42" t="s">
        <v>1785</v>
      </c>
      <c r="F1328" s="42" t="s">
        <v>1783</v>
      </c>
      <c r="G1328" s="42">
        <v>139</v>
      </c>
      <c r="H1328" s="42" t="s">
        <v>309</v>
      </c>
      <c r="I1328" s="42" t="s">
        <v>37</v>
      </c>
      <c r="J1328" s="42">
        <v>5000</v>
      </c>
    </row>
    <row r="1329" spans="1:22">
      <c r="A1329" s="61" t="s">
        <v>1783</v>
      </c>
      <c r="C1329" s="64" t="s">
        <v>4</v>
      </c>
      <c r="D1329" s="64" t="s">
        <v>1760</v>
      </c>
      <c r="E1329" s="42" t="s">
        <v>1785</v>
      </c>
      <c r="F1329" s="42" t="s">
        <v>1783</v>
      </c>
      <c r="G1329" s="42">
        <v>140</v>
      </c>
      <c r="H1329" s="42" t="s">
        <v>531</v>
      </c>
      <c r="I1329" s="42" t="s">
        <v>37</v>
      </c>
      <c r="J1329" s="42">
        <v>5000</v>
      </c>
    </row>
    <row r="1330" spans="1:22">
      <c r="A1330" s="61" t="s">
        <v>1783</v>
      </c>
      <c r="C1330" s="64" t="s">
        <v>4</v>
      </c>
      <c r="D1330" s="64" t="s">
        <v>1760</v>
      </c>
      <c r="E1330" s="42" t="s">
        <v>1785</v>
      </c>
      <c r="F1330" s="42" t="s">
        <v>1783</v>
      </c>
      <c r="G1330" s="42">
        <v>141</v>
      </c>
      <c r="H1330" s="42" t="s">
        <v>473</v>
      </c>
      <c r="I1330" s="42" t="s">
        <v>37</v>
      </c>
      <c r="J1330" s="42">
        <v>40000</v>
      </c>
    </row>
    <row r="1331" spans="1:22">
      <c r="A1331" s="61" t="s">
        <v>1783</v>
      </c>
      <c r="C1331" s="64" t="s">
        <v>4</v>
      </c>
      <c r="D1331" s="64" t="s">
        <v>1760</v>
      </c>
      <c r="E1331" s="42" t="s">
        <v>1785</v>
      </c>
      <c r="F1331" s="42" t="s">
        <v>1783</v>
      </c>
      <c r="G1331" s="42">
        <v>142</v>
      </c>
      <c r="H1331" s="42" t="s">
        <v>697</v>
      </c>
      <c r="I1331" s="42" t="s">
        <v>37</v>
      </c>
      <c r="J1331" s="42">
        <v>20000</v>
      </c>
    </row>
    <row r="1332" spans="1:22">
      <c r="A1332" s="61" t="s">
        <v>1783</v>
      </c>
      <c r="C1332" s="64" t="s">
        <v>4</v>
      </c>
      <c r="D1332" s="64" t="s">
        <v>1760</v>
      </c>
      <c r="E1332" s="42" t="s">
        <v>1785</v>
      </c>
      <c r="F1332" s="42" t="s">
        <v>1783</v>
      </c>
      <c r="G1332" s="42">
        <v>143</v>
      </c>
      <c r="H1332" s="42" t="s">
        <v>459</v>
      </c>
      <c r="I1332" s="42" t="s">
        <v>37</v>
      </c>
      <c r="J1332" s="42">
        <v>10000</v>
      </c>
    </row>
    <row r="1333" spans="1:22">
      <c r="A1333" s="61" t="s">
        <v>1783</v>
      </c>
      <c r="C1333" s="64" t="s">
        <v>4</v>
      </c>
      <c r="D1333" s="64" t="s">
        <v>1760</v>
      </c>
      <c r="E1333" s="42" t="s">
        <v>1785</v>
      </c>
      <c r="F1333" s="42" t="s">
        <v>1783</v>
      </c>
      <c r="G1333" s="42">
        <v>144</v>
      </c>
      <c r="H1333" s="42" t="s">
        <v>493</v>
      </c>
      <c r="I1333" s="42" t="s">
        <v>37</v>
      </c>
      <c r="J1333" s="42">
        <v>10000</v>
      </c>
    </row>
    <row r="1334" spans="1:22">
      <c r="A1334" s="61" t="s">
        <v>1783</v>
      </c>
      <c r="C1334" s="64" t="s">
        <v>4</v>
      </c>
      <c r="D1334" s="64" t="s">
        <v>1760</v>
      </c>
      <c r="E1334" s="42" t="s">
        <v>1785</v>
      </c>
      <c r="F1334" s="42" t="s">
        <v>1783</v>
      </c>
      <c r="G1334" s="42">
        <v>145</v>
      </c>
      <c r="H1334" s="42" t="s">
        <v>1349</v>
      </c>
      <c r="I1334" s="42" t="s">
        <v>37</v>
      </c>
      <c r="J1334" s="42">
        <v>40000</v>
      </c>
    </row>
    <row r="1335" spans="1:22">
      <c r="A1335" s="61" t="s">
        <v>1783</v>
      </c>
      <c r="C1335" s="64" t="s">
        <v>4</v>
      </c>
      <c r="D1335" s="64" t="s">
        <v>1760</v>
      </c>
      <c r="E1335" s="42" t="s">
        <v>1785</v>
      </c>
      <c r="F1335" s="42" t="s">
        <v>1783</v>
      </c>
      <c r="G1335" s="42">
        <v>146</v>
      </c>
      <c r="H1335" s="42" t="s">
        <v>1328</v>
      </c>
      <c r="I1335" s="42" t="s">
        <v>37</v>
      </c>
      <c r="J1335" s="42">
        <v>5000</v>
      </c>
    </row>
    <row r="1336" spans="1:22">
      <c r="A1336" s="61" t="s">
        <v>1783</v>
      </c>
      <c r="C1336" s="64" t="s">
        <v>4</v>
      </c>
      <c r="D1336" s="64" t="s">
        <v>1760</v>
      </c>
      <c r="E1336" s="42" t="s">
        <v>1785</v>
      </c>
      <c r="F1336" s="42" t="s">
        <v>1783</v>
      </c>
      <c r="G1336" s="42">
        <v>147</v>
      </c>
      <c r="H1336" s="42" t="s">
        <v>179</v>
      </c>
      <c r="I1336" s="42" t="s">
        <v>37</v>
      </c>
      <c r="J1336" s="42">
        <v>20000</v>
      </c>
    </row>
    <row r="1337" spans="1:22">
      <c r="A1337" s="61" t="s">
        <v>1783</v>
      </c>
      <c r="C1337" s="64" t="s">
        <v>4</v>
      </c>
      <c r="D1337" s="64" t="s">
        <v>1760</v>
      </c>
      <c r="E1337" s="42" t="s">
        <v>1785</v>
      </c>
      <c r="F1337" s="42" t="s">
        <v>1783</v>
      </c>
      <c r="G1337" s="42">
        <v>148</v>
      </c>
      <c r="H1337" s="42" t="s">
        <v>55</v>
      </c>
      <c r="I1337" s="42" t="s">
        <v>37</v>
      </c>
      <c r="J1337" s="42">
        <v>15000</v>
      </c>
    </row>
    <row r="1338" spans="1:22">
      <c r="A1338" s="61" t="s">
        <v>1783</v>
      </c>
      <c r="C1338" s="64" t="s">
        <v>4</v>
      </c>
      <c r="D1338" s="64" t="s">
        <v>1760</v>
      </c>
      <c r="E1338" s="42" t="s">
        <v>1785</v>
      </c>
      <c r="F1338" s="42" t="s">
        <v>1783</v>
      </c>
      <c r="G1338" s="42">
        <v>149</v>
      </c>
      <c r="H1338" s="42" t="s">
        <v>621</v>
      </c>
      <c r="I1338" s="42" t="s">
        <v>37</v>
      </c>
      <c r="J1338" s="42">
        <v>5000</v>
      </c>
    </row>
    <row r="1339" spans="1:22">
      <c r="A1339" s="61" t="s">
        <v>1783</v>
      </c>
      <c r="C1339" s="64" t="s">
        <v>4</v>
      </c>
      <c r="D1339" s="64" t="s">
        <v>1760</v>
      </c>
      <c r="E1339" s="42" t="s">
        <v>1785</v>
      </c>
      <c r="F1339" s="42" t="s">
        <v>1783</v>
      </c>
      <c r="G1339" s="42">
        <v>150</v>
      </c>
      <c r="H1339" s="42" t="s">
        <v>60</v>
      </c>
      <c r="I1339" s="42" t="s">
        <v>37</v>
      </c>
      <c r="J1339" s="42">
        <v>40000</v>
      </c>
    </row>
    <row r="1340" spans="1:22">
      <c r="A1340" s="61" t="s">
        <v>1783</v>
      </c>
      <c r="C1340" s="64" t="s">
        <v>4</v>
      </c>
      <c r="D1340" s="64" t="s">
        <v>1760</v>
      </c>
      <c r="E1340" s="42" t="s">
        <v>1785</v>
      </c>
      <c r="F1340" s="42" t="s">
        <v>1783</v>
      </c>
      <c r="G1340" s="42">
        <v>151</v>
      </c>
      <c r="H1340" s="42" t="s">
        <v>63</v>
      </c>
      <c r="I1340" s="42" t="s">
        <v>37</v>
      </c>
      <c r="J1340" s="42">
        <v>20000</v>
      </c>
    </row>
    <row r="1341" spans="1:22">
      <c r="A1341" s="61" t="s">
        <v>1783</v>
      </c>
      <c r="C1341" s="64" t="s">
        <v>4</v>
      </c>
      <c r="D1341" s="64" t="s">
        <v>1760</v>
      </c>
      <c r="E1341" s="42" t="s">
        <v>1785</v>
      </c>
      <c r="F1341" s="42" t="s">
        <v>1783</v>
      </c>
      <c r="G1341" s="42">
        <v>152</v>
      </c>
      <c r="H1341" s="42" t="s">
        <v>695</v>
      </c>
      <c r="I1341" s="42" t="s">
        <v>37</v>
      </c>
      <c r="J1341" s="42">
        <v>10000</v>
      </c>
    </row>
    <row r="1342" spans="1:22">
      <c r="A1342" s="61" t="s">
        <v>1783</v>
      </c>
      <c r="C1342" s="64" t="s">
        <v>4</v>
      </c>
      <c r="D1342" s="64" t="s">
        <v>1760</v>
      </c>
      <c r="E1342" s="42" t="s">
        <v>1785</v>
      </c>
      <c r="F1342" s="42" t="s">
        <v>1783</v>
      </c>
      <c r="G1342" s="42">
        <v>153</v>
      </c>
      <c r="H1342" s="42" t="s">
        <v>593</v>
      </c>
      <c r="I1342" s="42" t="s">
        <v>37</v>
      </c>
      <c r="J1342" s="42">
        <v>85000</v>
      </c>
    </row>
    <row r="1343" spans="1:22">
      <c r="A1343" s="61" t="s">
        <v>1783</v>
      </c>
      <c r="C1343" s="64" t="s">
        <v>4</v>
      </c>
      <c r="D1343" s="64" t="s">
        <v>1760</v>
      </c>
      <c r="E1343" s="42" t="s">
        <v>1785</v>
      </c>
      <c r="F1343" s="42" t="s">
        <v>1783</v>
      </c>
      <c r="G1343" s="42">
        <v>154</v>
      </c>
      <c r="H1343" s="42" t="s">
        <v>1124</v>
      </c>
      <c r="I1343" s="42" t="s">
        <v>37</v>
      </c>
      <c r="J1343" s="42">
        <v>15000</v>
      </c>
    </row>
    <row r="1344" spans="1:22">
      <c r="A1344" s="61" t="s">
        <v>1783</v>
      </c>
      <c r="C1344" s="64" t="s">
        <v>4</v>
      </c>
      <c r="D1344" s="64" t="s">
        <v>1760</v>
      </c>
      <c r="E1344" s="42" t="s">
        <v>1785</v>
      </c>
      <c r="F1344" s="42" t="s">
        <v>1783</v>
      </c>
      <c r="G1344" s="42">
        <v>155</v>
      </c>
      <c r="H1344" s="42" t="s">
        <v>67</v>
      </c>
      <c r="I1344" s="42" t="s">
        <v>37</v>
      </c>
      <c r="J1344" s="42">
        <v>40000</v>
      </c>
    </row>
    <row r="1345" spans="1:22">
      <c r="A1345" s="61" t="s">
        <v>1783</v>
      </c>
      <c r="C1345" s="64" t="s">
        <v>4</v>
      </c>
      <c r="D1345" s="64" t="s">
        <v>1760</v>
      </c>
      <c r="E1345" s="42" t="s">
        <v>1785</v>
      </c>
      <c r="F1345" s="42" t="s">
        <v>1783</v>
      </c>
      <c r="G1345" s="42">
        <v>156</v>
      </c>
      <c r="H1345" s="42" t="s">
        <v>68</v>
      </c>
      <c r="I1345" s="42" t="s">
        <v>37</v>
      </c>
      <c r="J1345" s="42">
        <v>10000</v>
      </c>
    </row>
    <row r="1346" spans="1:22">
      <c r="A1346" s="61" t="s">
        <v>1783</v>
      </c>
      <c r="C1346" s="64" t="s">
        <v>4</v>
      </c>
      <c r="D1346" s="64" t="s">
        <v>1760</v>
      </c>
      <c r="E1346" s="42" t="s">
        <v>1785</v>
      </c>
      <c r="F1346" s="42" t="s">
        <v>1783</v>
      </c>
      <c r="G1346" s="42">
        <v>157</v>
      </c>
      <c r="H1346" s="42" t="s">
        <v>70</v>
      </c>
      <c r="I1346" s="42" t="s">
        <v>37</v>
      </c>
      <c r="J1346" s="42">
        <v>10000</v>
      </c>
    </row>
    <row r="1347" spans="1:22">
      <c r="A1347" s="61" t="s">
        <v>1783</v>
      </c>
      <c r="C1347" s="64" t="s">
        <v>4</v>
      </c>
      <c r="D1347" s="64" t="s">
        <v>1760</v>
      </c>
      <c r="E1347" s="42" t="s">
        <v>1785</v>
      </c>
      <c r="F1347" s="42" t="s">
        <v>1783</v>
      </c>
      <c r="G1347" s="42">
        <v>158</v>
      </c>
      <c r="H1347" s="42" t="s">
        <v>71</v>
      </c>
      <c r="I1347" s="42" t="s">
        <v>37</v>
      </c>
      <c r="J1347" s="42">
        <v>10000</v>
      </c>
    </row>
    <row r="1348" spans="1:22">
      <c r="A1348" s="61" t="s">
        <v>1783</v>
      </c>
      <c r="C1348" s="64" t="s">
        <v>4</v>
      </c>
      <c r="D1348" s="64" t="s">
        <v>1760</v>
      </c>
      <c r="E1348" s="42" t="s">
        <v>1785</v>
      </c>
      <c r="F1348" s="42" t="s">
        <v>1783</v>
      </c>
      <c r="G1348" s="42">
        <v>159</v>
      </c>
      <c r="H1348" s="42" t="s">
        <v>74</v>
      </c>
      <c r="I1348" s="42" t="s">
        <v>37</v>
      </c>
      <c r="J1348" s="42">
        <v>10000</v>
      </c>
    </row>
    <row r="1349" spans="1:22">
      <c r="A1349" s="61" t="s">
        <v>1783</v>
      </c>
      <c r="C1349" s="64" t="s">
        <v>4</v>
      </c>
      <c r="D1349" s="64" t="s">
        <v>1760</v>
      </c>
      <c r="E1349" s="42" t="s">
        <v>1785</v>
      </c>
      <c r="F1349" s="42" t="s">
        <v>1783</v>
      </c>
      <c r="G1349" s="42">
        <v>160</v>
      </c>
      <c r="H1349" s="42" t="s">
        <v>469</v>
      </c>
      <c r="I1349" s="42" t="s">
        <v>37</v>
      </c>
      <c r="J1349" s="42">
        <v>20000</v>
      </c>
    </row>
    <row r="1350" spans="1:22">
      <c r="A1350" s="61" t="s">
        <v>1783</v>
      </c>
      <c r="C1350" s="64" t="s">
        <v>4</v>
      </c>
      <c r="D1350" s="64" t="s">
        <v>1760</v>
      </c>
      <c r="E1350" s="42" t="s">
        <v>1785</v>
      </c>
      <c r="F1350" s="42" t="s">
        <v>1783</v>
      </c>
      <c r="G1350" s="42">
        <v>161</v>
      </c>
      <c r="H1350" s="42" t="s">
        <v>471</v>
      </c>
      <c r="I1350" s="42" t="s">
        <v>37</v>
      </c>
      <c r="J1350" s="42">
        <v>20000</v>
      </c>
    </row>
    <row r="1351" spans="1:22">
      <c r="A1351" s="61" t="s">
        <v>1783</v>
      </c>
      <c r="C1351" s="64" t="s">
        <v>4</v>
      </c>
      <c r="D1351" s="64" t="s">
        <v>1760</v>
      </c>
      <c r="E1351" s="42" t="s">
        <v>1785</v>
      </c>
      <c r="F1351" s="42" t="s">
        <v>1783</v>
      </c>
      <c r="G1351" s="42">
        <v>162</v>
      </c>
      <c r="H1351" s="42" t="s">
        <v>78</v>
      </c>
      <c r="I1351" s="42" t="s">
        <v>37</v>
      </c>
      <c r="J1351" s="42">
        <v>10000</v>
      </c>
    </row>
    <row r="1352" spans="1:22">
      <c r="A1352" s="61" t="s">
        <v>1783</v>
      </c>
      <c r="C1352" s="64" t="s">
        <v>4</v>
      </c>
      <c r="D1352" s="64" t="s">
        <v>1760</v>
      </c>
      <c r="E1352" s="42" t="s">
        <v>1785</v>
      </c>
      <c r="F1352" s="42" t="s">
        <v>1783</v>
      </c>
      <c r="G1352" s="42">
        <v>163</v>
      </c>
      <c r="H1352" s="42" t="s">
        <v>79</v>
      </c>
      <c r="I1352" s="42" t="s">
        <v>37</v>
      </c>
      <c r="J1352" s="42">
        <v>30000</v>
      </c>
    </row>
    <row r="1353" spans="1:22">
      <c r="A1353" s="61" t="s">
        <v>1783</v>
      </c>
      <c r="C1353" s="64" t="s">
        <v>4</v>
      </c>
      <c r="D1353" s="64" t="s">
        <v>1760</v>
      </c>
      <c r="E1353" s="42" t="s">
        <v>1785</v>
      </c>
      <c r="F1353" s="42" t="s">
        <v>1783</v>
      </c>
      <c r="G1353" s="42">
        <v>164</v>
      </c>
      <c r="H1353" s="42" t="s">
        <v>80</v>
      </c>
      <c r="I1353" s="42" t="s">
        <v>37</v>
      </c>
      <c r="J1353" s="42">
        <v>5000</v>
      </c>
    </row>
    <row r="1354" spans="1:22">
      <c r="A1354" s="61" t="s">
        <v>1783</v>
      </c>
      <c r="C1354" s="64" t="s">
        <v>4</v>
      </c>
      <c r="D1354" s="64" t="s">
        <v>1760</v>
      </c>
      <c r="E1354" s="42" t="s">
        <v>1785</v>
      </c>
      <c r="F1354" s="42" t="s">
        <v>1783</v>
      </c>
      <c r="G1354" s="42">
        <v>165</v>
      </c>
      <c r="H1354" s="42" t="s">
        <v>82</v>
      </c>
      <c r="I1354" s="42" t="s">
        <v>37</v>
      </c>
      <c r="J1354" s="42">
        <v>5000</v>
      </c>
    </row>
    <row r="1355" spans="1:22">
      <c r="A1355" s="61" t="s">
        <v>1783</v>
      </c>
      <c r="C1355" s="64" t="s">
        <v>4</v>
      </c>
      <c r="D1355" s="64" t="s">
        <v>1760</v>
      </c>
      <c r="E1355" s="42" t="s">
        <v>1785</v>
      </c>
      <c r="F1355" s="42" t="s">
        <v>1783</v>
      </c>
      <c r="G1355" s="42">
        <v>166</v>
      </c>
      <c r="H1355" s="42" t="s">
        <v>86</v>
      </c>
      <c r="I1355" s="42" t="s">
        <v>37</v>
      </c>
      <c r="J1355" s="42">
        <v>5000</v>
      </c>
    </row>
    <row r="1356" spans="1:22">
      <c r="A1356" s="61" t="s">
        <v>1783</v>
      </c>
      <c r="C1356" s="64" t="s">
        <v>4</v>
      </c>
      <c r="D1356" s="64" t="s">
        <v>1760</v>
      </c>
      <c r="E1356" s="42" t="s">
        <v>1785</v>
      </c>
      <c r="F1356" s="42" t="s">
        <v>1783</v>
      </c>
      <c r="G1356" s="42">
        <v>167</v>
      </c>
      <c r="H1356" s="42" t="s">
        <v>89</v>
      </c>
      <c r="I1356" s="42" t="s">
        <v>37</v>
      </c>
      <c r="J1356" s="42">
        <v>8000</v>
      </c>
    </row>
    <row r="1357" spans="1:22">
      <c r="A1357" s="61" t="s">
        <v>1783</v>
      </c>
      <c r="C1357" s="64" t="s">
        <v>4</v>
      </c>
      <c r="D1357" s="64" t="s">
        <v>1760</v>
      </c>
      <c r="E1357" s="42" t="s">
        <v>1785</v>
      </c>
      <c r="F1357" s="42" t="s">
        <v>1783</v>
      </c>
      <c r="G1357" s="42">
        <v>168</v>
      </c>
      <c r="H1357" s="42" t="s">
        <v>116</v>
      </c>
      <c r="I1357" s="42" t="s">
        <v>37</v>
      </c>
      <c r="J1357" s="42">
        <v>20000</v>
      </c>
    </row>
    <row r="1358" spans="1:22">
      <c r="A1358" s="61" t="s">
        <v>1783</v>
      </c>
      <c r="C1358" s="64" t="s">
        <v>4</v>
      </c>
      <c r="D1358" s="64" t="s">
        <v>1760</v>
      </c>
      <c r="E1358" s="42" t="s">
        <v>1785</v>
      </c>
      <c r="F1358" s="42" t="s">
        <v>1783</v>
      </c>
      <c r="G1358" s="42">
        <v>169</v>
      </c>
      <c r="H1358" s="42" t="s">
        <v>117</v>
      </c>
      <c r="I1358" s="42" t="s">
        <v>37</v>
      </c>
      <c r="J1358" s="42">
        <v>5000</v>
      </c>
    </row>
    <row r="1359" spans="1:22">
      <c r="A1359" s="61" t="s">
        <v>1783</v>
      </c>
      <c r="C1359" s="64" t="s">
        <v>4</v>
      </c>
      <c r="D1359" s="64" t="s">
        <v>1760</v>
      </c>
      <c r="E1359" s="42" t="s">
        <v>1785</v>
      </c>
      <c r="F1359" s="42" t="s">
        <v>1783</v>
      </c>
      <c r="G1359" s="42">
        <v>170</v>
      </c>
      <c r="H1359" s="42" t="s">
        <v>120</v>
      </c>
      <c r="I1359" s="42" t="s">
        <v>37</v>
      </c>
      <c r="J1359" s="42">
        <v>20000</v>
      </c>
    </row>
    <row r="1360" spans="1:22">
      <c r="A1360" s="61" t="s">
        <v>1783</v>
      </c>
      <c r="C1360" s="64" t="s">
        <v>4</v>
      </c>
      <c r="D1360" s="64" t="s">
        <v>1760</v>
      </c>
      <c r="E1360" s="42" t="s">
        <v>1785</v>
      </c>
      <c r="F1360" s="42" t="s">
        <v>1783</v>
      </c>
      <c r="G1360" s="42">
        <v>171</v>
      </c>
      <c r="H1360" s="42" t="s">
        <v>124</v>
      </c>
      <c r="I1360" s="42" t="s">
        <v>37</v>
      </c>
      <c r="J1360" s="42">
        <v>10000</v>
      </c>
    </row>
    <row r="1361" spans="1:22">
      <c r="A1361" s="61" t="s">
        <v>1783</v>
      </c>
      <c r="C1361" s="64" t="s">
        <v>4</v>
      </c>
      <c r="D1361" s="64" t="s">
        <v>1760</v>
      </c>
      <c r="E1361" s="42" t="s">
        <v>1785</v>
      </c>
      <c r="F1361" s="42" t="s">
        <v>1783</v>
      </c>
      <c r="G1361" s="42">
        <v>172</v>
      </c>
      <c r="H1361" s="42" t="s">
        <v>126</v>
      </c>
      <c r="I1361" s="42" t="s">
        <v>37</v>
      </c>
      <c r="J1361" s="42">
        <v>10000</v>
      </c>
    </row>
    <row r="1362" spans="1:22">
      <c r="A1362" s="61" t="s">
        <v>1783</v>
      </c>
      <c r="C1362" s="64" t="s">
        <v>4</v>
      </c>
      <c r="D1362" s="64" t="s">
        <v>1760</v>
      </c>
      <c r="E1362" s="42" t="s">
        <v>1785</v>
      </c>
      <c r="F1362" s="42" t="s">
        <v>1783</v>
      </c>
      <c r="G1362" s="42">
        <v>173</v>
      </c>
      <c r="H1362" s="42" t="s">
        <v>257</v>
      </c>
      <c r="I1362" s="42" t="s">
        <v>37</v>
      </c>
      <c r="J1362" s="42">
        <v>1000</v>
      </c>
    </row>
    <row r="1363" spans="1:22">
      <c r="A1363" s="61" t="s">
        <v>1783</v>
      </c>
      <c r="C1363" s="64" t="s">
        <v>4</v>
      </c>
      <c r="D1363" s="64" t="s">
        <v>1760</v>
      </c>
      <c r="E1363" s="42" t="s">
        <v>1785</v>
      </c>
      <c r="F1363" s="42" t="s">
        <v>1783</v>
      </c>
      <c r="G1363" s="42">
        <v>174</v>
      </c>
      <c r="H1363" s="42" t="s">
        <v>128</v>
      </c>
      <c r="I1363" s="42" t="s">
        <v>37</v>
      </c>
      <c r="J1363" s="42">
        <v>10000</v>
      </c>
    </row>
    <row r="1364" spans="1:22">
      <c r="A1364" s="61" t="s">
        <v>1783</v>
      </c>
      <c r="C1364" s="64" t="s">
        <v>4</v>
      </c>
      <c r="D1364" s="64" t="s">
        <v>1760</v>
      </c>
      <c r="E1364" s="42" t="s">
        <v>1785</v>
      </c>
      <c r="F1364" s="42" t="s">
        <v>1783</v>
      </c>
      <c r="G1364" s="42">
        <v>175</v>
      </c>
      <c r="H1364" s="42" t="s">
        <v>135</v>
      </c>
      <c r="I1364" s="42" t="s">
        <v>37</v>
      </c>
      <c r="J1364" s="42">
        <v>10000</v>
      </c>
    </row>
    <row r="1365" spans="1:22">
      <c r="A1365" s="61" t="s">
        <v>1783</v>
      </c>
      <c r="C1365" s="64" t="s">
        <v>4</v>
      </c>
      <c r="D1365" s="64" t="s">
        <v>1760</v>
      </c>
      <c r="E1365" s="42" t="s">
        <v>1785</v>
      </c>
      <c r="F1365" s="42" t="s">
        <v>1783</v>
      </c>
      <c r="G1365" s="42">
        <v>176</v>
      </c>
      <c r="H1365" s="42" t="s">
        <v>136</v>
      </c>
      <c r="I1365" s="42" t="s">
        <v>37</v>
      </c>
      <c r="J1365" s="42">
        <v>10000</v>
      </c>
    </row>
    <row r="1366" spans="1:22">
      <c r="A1366" s="61" t="s">
        <v>1783</v>
      </c>
      <c r="C1366" s="64" t="s">
        <v>4</v>
      </c>
      <c r="D1366" s="64" t="s">
        <v>1760</v>
      </c>
      <c r="E1366" s="42" t="s">
        <v>1785</v>
      </c>
      <c r="F1366" s="42" t="s">
        <v>1783</v>
      </c>
      <c r="G1366" s="42">
        <v>177</v>
      </c>
      <c r="H1366" s="42" t="s">
        <v>437</v>
      </c>
      <c r="I1366" s="42" t="s">
        <v>37</v>
      </c>
      <c r="J1366" s="42">
        <v>30000</v>
      </c>
    </row>
    <row r="1367" spans="1:22">
      <c r="A1367" s="61" t="s">
        <v>1783</v>
      </c>
      <c r="C1367" s="64" t="s">
        <v>4</v>
      </c>
      <c r="D1367" s="64" t="s">
        <v>1760</v>
      </c>
      <c r="E1367" s="42" t="s">
        <v>1785</v>
      </c>
      <c r="F1367" s="42" t="s">
        <v>1783</v>
      </c>
      <c r="G1367" s="42">
        <v>178</v>
      </c>
      <c r="H1367" s="42" t="s">
        <v>249</v>
      </c>
      <c r="I1367" s="42" t="s">
        <v>37</v>
      </c>
      <c r="J1367" s="42">
        <v>60000</v>
      </c>
    </row>
    <row r="1368" spans="1:22">
      <c r="A1368" s="61" t="s">
        <v>1783</v>
      </c>
      <c r="C1368" s="64" t="s">
        <v>4</v>
      </c>
      <c r="D1368" s="64" t="s">
        <v>1760</v>
      </c>
      <c r="E1368" s="42" t="s">
        <v>1785</v>
      </c>
      <c r="F1368" s="42" t="s">
        <v>1783</v>
      </c>
      <c r="G1368" s="42">
        <v>179</v>
      </c>
      <c r="H1368" s="42" t="s">
        <v>299</v>
      </c>
      <c r="I1368" s="42" t="s">
        <v>37</v>
      </c>
      <c r="J1368" s="42">
        <v>20000</v>
      </c>
    </row>
    <row r="1369" spans="1:22">
      <c r="A1369" s="61" t="s">
        <v>1783</v>
      </c>
      <c r="C1369" s="64" t="s">
        <v>4</v>
      </c>
      <c r="D1369" s="64" t="s">
        <v>1760</v>
      </c>
      <c r="E1369" s="42" t="s">
        <v>1785</v>
      </c>
      <c r="F1369" s="42" t="s">
        <v>1783</v>
      </c>
      <c r="G1369" s="42">
        <v>180</v>
      </c>
      <c r="H1369" s="42" t="s">
        <v>261</v>
      </c>
      <c r="I1369" s="42" t="s">
        <v>37</v>
      </c>
      <c r="J1369" s="42">
        <v>5000</v>
      </c>
    </row>
    <row r="1370" spans="1:22">
      <c r="A1370" s="61" t="s">
        <v>1783</v>
      </c>
      <c r="C1370" s="64" t="s">
        <v>4</v>
      </c>
      <c r="D1370" s="64" t="s">
        <v>1760</v>
      </c>
      <c r="E1370" s="42" t="s">
        <v>1785</v>
      </c>
      <c r="F1370" s="42" t="s">
        <v>1783</v>
      </c>
      <c r="G1370" s="42">
        <v>181</v>
      </c>
      <c r="H1370" s="42" t="s">
        <v>323</v>
      </c>
      <c r="I1370" s="42" t="s">
        <v>37</v>
      </c>
      <c r="J1370" s="42">
        <v>120000</v>
      </c>
    </row>
    <row r="1371" spans="1:22">
      <c r="A1371" s="61" t="s">
        <v>1783</v>
      </c>
      <c r="C1371" s="64" t="s">
        <v>4</v>
      </c>
      <c r="D1371" s="64" t="s">
        <v>1760</v>
      </c>
      <c r="E1371" s="42" t="s">
        <v>1785</v>
      </c>
      <c r="F1371" s="42" t="s">
        <v>1783</v>
      </c>
      <c r="G1371" s="42">
        <v>182</v>
      </c>
      <c r="H1371" s="42" t="s">
        <v>495</v>
      </c>
      <c r="I1371" s="42" t="s">
        <v>37</v>
      </c>
      <c r="J1371" s="42">
        <v>240000</v>
      </c>
    </row>
    <row r="1372" spans="1:22">
      <c r="A1372" s="61" t="s">
        <v>1783</v>
      </c>
      <c r="C1372" s="64" t="s">
        <v>4</v>
      </c>
      <c r="D1372" s="64" t="s">
        <v>1760</v>
      </c>
      <c r="E1372" s="42" t="s">
        <v>1785</v>
      </c>
      <c r="F1372" s="42" t="s">
        <v>1783</v>
      </c>
      <c r="G1372" s="42">
        <v>183</v>
      </c>
      <c r="H1372" s="42" t="s">
        <v>263</v>
      </c>
      <c r="I1372" s="42" t="s">
        <v>37</v>
      </c>
      <c r="J1372" s="42">
        <v>5000</v>
      </c>
    </row>
    <row r="1373" spans="1:22">
      <c r="A1373" s="61" t="s">
        <v>1783</v>
      </c>
      <c r="C1373" s="64" t="s">
        <v>4</v>
      </c>
      <c r="D1373" s="64" t="s">
        <v>1760</v>
      </c>
      <c r="E1373" s="42" t="s">
        <v>1785</v>
      </c>
      <c r="F1373" s="42" t="s">
        <v>1783</v>
      </c>
      <c r="G1373" s="42">
        <v>184</v>
      </c>
      <c r="H1373" s="42" t="s">
        <v>533</v>
      </c>
      <c r="I1373" s="42" t="s">
        <v>37</v>
      </c>
      <c r="J1373" s="42">
        <v>10000</v>
      </c>
    </row>
    <row r="1374" spans="1:22">
      <c r="A1374" s="61" t="s">
        <v>1783</v>
      </c>
      <c r="C1374" s="64" t="s">
        <v>4</v>
      </c>
      <c r="D1374" s="64" t="s">
        <v>1760</v>
      </c>
      <c r="E1374" s="42" t="s">
        <v>1785</v>
      </c>
      <c r="F1374" s="42" t="s">
        <v>1783</v>
      </c>
      <c r="G1374" s="42">
        <v>185</v>
      </c>
      <c r="H1374" s="42" t="s">
        <v>377</v>
      </c>
      <c r="I1374" s="42" t="s">
        <v>37</v>
      </c>
      <c r="J1374" s="42">
        <v>30000</v>
      </c>
    </row>
    <row r="1375" spans="1:22">
      <c r="A1375" s="61" t="s">
        <v>1783</v>
      </c>
      <c r="C1375" s="64" t="s">
        <v>4</v>
      </c>
      <c r="D1375" s="64" t="s">
        <v>1760</v>
      </c>
      <c r="E1375" s="42" t="s">
        <v>1785</v>
      </c>
      <c r="F1375" s="42" t="s">
        <v>1783</v>
      </c>
      <c r="G1375" s="42">
        <v>186</v>
      </c>
      <c r="H1375" s="42" t="s">
        <v>313</v>
      </c>
      <c r="I1375" s="42" t="s">
        <v>37</v>
      </c>
      <c r="J1375" s="42">
        <v>5000</v>
      </c>
    </row>
    <row r="1376" spans="1:22">
      <c r="A1376" s="61" t="s">
        <v>1783</v>
      </c>
      <c r="C1376" s="64" t="s">
        <v>4</v>
      </c>
      <c r="D1376" s="64" t="s">
        <v>1760</v>
      </c>
      <c r="E1376" s="42" t="s">
        <v>1785</v>
      </c>
      <c r="F1376" s="42" t="s">
        <v>1783</v>
      </c>
      <c r="G1376" s="42">
        <v>187</v>
      </c>
      <c r="H1376" s="42" t="s">
        <v>983</v>
      </c>
      <c r="I1376" s="42" t="s">
        <v>37</v>
      </c>
      <c r="J1376" s="42">
        <v>10000</v>
      </c>
    </row>
    <row r="1377" spans="1:22">
      <c r="A1377" s="61" t="s">
        <v>1783</v>
      </c>
      <c r="C1377" s="64" t="s">
        <v>4</v>
      </c>
      <c r="D1377" s="64" t="s">
        <v>1760</v>
      </c>
      <c r="E1377" s="42" t="s">
        <v>1785</v>
      </c>
      <c r="F1377" s="42" t="s">
        <v>1783</v>
      </c>
      <c r="G1377" s="42">
        <v>188</v>
      </c>
      <c r="H1377" s="42" t="s">
        <v>307</v>
      </c>
      <c r="I1377" s="42" t="s">
        <v>37</v>
      </c>
      <c r="J1377" s="42">
        <v>15000</v>
      </c>
    </row>
    <row r="1378" spans="1:22">
      <c r="A1378" s="61" t="s">
        <v>1783</v>
      </c>
      <c r="C1378" s="64" t="s">
        <v>4</v>
      </c>
      <c r="D1378" s="64" t="s">
        <v>1760</v>
      </c>
      <c r="E1378" s="42" t="s">
        <v>1785</v>
      </c>
      <c r="F1378" s="42" t="s">
        <v>1783</v>
      </c>
      <c r="G1378" s="42">
        <v>189</v>
      </c>
      <c r="H1378" s="42" t="s">
        <v>903</v>
      </c>
      <c r="I1378" s="42" t="s">
        <v>37</v>
      </c>
      <c r="J1378" s="42">
        <v>30000</v>
      </c>
    </row>
    <row r="1379" spans="1:22">
      <c r="A1379" s="61" t="s">
        <v>1783</v>
      </c>
      <c r="C1379" s="64" t="s">
        <v>4</v>
      </c>
      <c r="D1379" s="64" t="s">
        <v>1760</v>
      </c>
      <c r="E1379" s="42" t="s">
        <v>1785</v>
      </c>
      <c r="F1379" s="42" t="s">
        <v>1783</v>
      </c>
      <c r="G1379" s="42">
        <v>190</v>
      </c>
      <c r="H1379" s="42" t="s">
        <v>505</v>
      </c>
      <c r="I1379" s="42" t="s">
        <v>37</v>
      </c>
      <c r="J1379" s="42">
        <v>30000</v>
      </c>
    </row>
    <row r="1380" spans="1:22">
      <c r="A1380" s="61" t="s">
        <v>1783</v>
      </c>
      <c r="C1380" s="64" t="s">
        <v>4</v>
      </c>
      <c r="D1380" s="64" t="s">
        <v>1760</v>
      </c>
      <c r="E1380" s="42" t="s">
        <v>1785</v>
      </c>
      <c r="F1380" s="42" t="s">
        <v>1783</v>
      </c>
      <c r="G1380" s="42">
        <v>191</v>
      </c>
      <c r="H1380" s="42" t="s">
        <v>507</v>
      </c>
      <c r="I1380" s="42" t="s">
        <v>37</v>
      </c>
      <c r="J1380" s="42">
        <v>40000</v>
      </c>
    </row>
    <row r="1381" spans="1:22">
      <c r="A1381" s="61" t="s">
        <v>1783</v>
      </c>
      <c r="C1381" s="64" t="s">
        <v>4</v>
      </c>
      <c r="D1381" s="64" t="s">
        <v>1760</v>
      </c>
      <c r="E1381" s="42" t="s">
        <v>1785</v>
      </c>
      <c r="F1381" s="42" t="s">
        <v>1783</v>
      </c>
      <c r="G1381" s="42">
        <v>192</v>
      </c>
      <c r="H1381" s="42" t="s">
        <v>245</v>
      </c>
      <c r="I1381" s="42" t="s">
        <v>37</v>
      </c>
      <c r="J1381" s="42">
        <v>5000</v>
      </c>
    </row>
    <row r="1382" spans="1:22">
      <c r="A1382" s="61" t="s">
        <v>1783</v>
      </c>
      <c r="C1382" s="64" t="s">
        <v>4</v>
      </c>
      <c r="D1382" s="64" t="s">
        <v>1760</v>
      </c>
      <c r="E1382" s="42" t="s">
        <v>1785</v>
      </c>
      <c r="F1382" s="42" t="s">
        <v>1783</v>
      </c>
      <c r="G1382" s="42">
        <v>193</v>
      </c>
      <c r="H1382" s="42" t="s">
        <v>243</v>
      </c>
      <c r="I1382" s="42" t="s">
        <v>37</v>
      </c>
      <c r="J1382" s="42">
        <v>5000</v>
      </c>
    </row>
    <row r="1383" spans="1:22">
      <c r="A1383" s="61" t="s">
        <v>1783</v>
      </c>
      <c r="C1383" s="64" t="s">
        <v>4</v>
      </c>
      <c r="D1383" s="64" t="s">
        <v>1760</v>
      </c>
      <c r="E1383" s="42" t="s">
        <v>1785</v>
      </c>
      <c r="F1383" s="42" t="s">
        <v>1783</v>
      </c>
      <c r="G1383" s="42">
        <v>194</v>
      </c>
      <c r="H1383" s="42" t="s">
        <v>265</v>
      </c>
      <c r="I1383" s="42" t="s">
        <v>37</v>
      </c>
      <c r="J1383" s="42">
        <v>5000</v>
      </c>
    </row>
    <row r="1384" spans="1:22">
      <c r="A1384" s="61" t="s">
        <v>1783</v>
      </c>
      <c r="C1384" s="64" t="s">
        <v>4</v>
      </c>
      <c r="D1384" s="64" t="s">
        <v>1760</v>
      </c>
      <c r="E1384" s="42" t="s">
        <v>1785</v>
      </c>
      <c r="F1384" s="42" t="s">
        <v>1783</v>
      </c>
      <c r="G1384" s="42">
        <v>195</v>
      </c>
      <c r="H1384" s="42" t="s">
        <v>247</v>
      </c>
      <c r="I1384" s="42" t="s">
        <v>37</v>
      </c>
      <c r="J1384" s="42">
        <v>5000</v>
      </c>
    </row>
    <row r="1385" spans="1:22">
      <c r="A1385" s="61" t="s">
        <v>1783</v>
      </c>
      <c r="C1385" s="64" t="s">
        <v>4</v>
      </c>
      <c r="D1385" s="64" t="s">
        <v>1760</v>
      </c>
      <c r="E1385" s="42" t="s">
        <v>1785</v>
      </c>
      <c r="F1385" s="42" t="s">
        <v>1783</v>
      </c>
      <c r="G1385" s="42">
        <v>196</v>
      </c>
      <c r="H1385" s="42" t="s">
        <v>251</v>
      </c>
      <c r="I1385" s="42" t="s">
        <v>37</v>
      </c>
      <c r="J1385" s="42">
        <v>5000</v>
      </c>
    </row>
    <row r="1386" spans="1:22">
      <c r="A1386" s="61" t="s">
        <v>1783</v>
      </c>
      <c r="C1386" s="64" t="s">
        <v>4</v>
      </c>
      <c r="D1386" s="64" t="s">
        <v>1760</v>
      </c>
      <c r="E1386" s="42" t="s">
        <v>1785</v>
      </c>
      <c r="F1386" s="42" t="s">
        <v>1783</v>
      </c>
      <c r="G1386" s="42">
        <v>197</v>
      </c>
      <c r="H1386" s="42" t="s">
        <v>525</v>
      </c>
      <c r="I1386" s="42" t="s">
        <v>37</v>
      </c>
      <c r="J1386" s="42">
        <v>16000</v>
      </c>
    </row>
    <row r="1387" spans="1:22">
      <c r="A1387" s="61" t="s">
        <v>1783</v>
      </c>
      <c r="C1387" s="64" t="s">
        <v>4</v>
      </c>
      <c r="D1387" s="64" t="s">
        <v>1760</v>
      </c>
      <c r="E1387" s="42" t="s">
        <v>1785</v>
      </c>
      <c r="F1387" s="42" t="s">
        <v>1783</v>
      </c>
      <c r="G1387" s="42">
        <v>198</v>
      </c>
      <c r="H1387" s="42" t="s">
        <v>148</v>
      </c>
      <c r="I1387" s="42" t="s">
        <v>37</v>
      </c>
      <c r="J1387" s="42">
        <v>55000</v>
      </c>
    </row>
    <row r="1388" spans="1:22">
      <c r="A1388" s="61" t="s">
        <v>1783</v>
      </c>
      <c r="C1388" s="64" t="s">
        <v>4</v>
      </c>
      <c r="D1388" s="64" t="s">
        <v>1760</v>
      </c>
      <c r="E1388" s="42" t="s">
        <v>1785</v>
      </c>
      <c r="F1388" s="42" t="s">
        <v>1783</v>
      </c>
      <c r="G1388" s="42">
        <v>199</v>
      </c>
      <c r="H1388" s="42" t="s">
        <v>221</v>
      </c>
      <c r="I1388" s="42" t="s">
        <v>37</v>
      </c>
      <c r="J1388" s="42">
        <v>110000</v>
      </c>
    </row>
    <row r="1389" spans="1:22">
      <c r="A1389" s="61" t="s">
        <v>1783</v>
      </c>
      <c r="C1389" s="64" t="s">
        <v>4</v>
      </c>
      <c r="D1389" s="64" t="s">
        <v>1760</v>
      </c>
      <c r="E1389" s="42" t="s">
        <v>1785</v>
      </c>
      <c r="F1389" s="42" t="s">
        <v>1783</v>
      </c>
      <c r="G1389" s="42">
        <v>200</v>
      </c>
      <c r="H1389" s="42" t="s">
        <v>301</v>
      </c>
      <c r="I1389" s="42" t="s">
        <v>37</v>
      </c>
      <c r="J1389" s="42">
        <v>20000</v>
      </c>
    </row>
    <row r="1390" spans="1:22">
      <c r="A1390" s="61" t="s">
        <v>1783</v>
      </c>
      <c r="C1390" s="64" t="s">
        <v>4</v>
      </c>
      <c r="D1390" s="64" t="s">
        <v>1760</v>
      </c>
      <c r="E1390" s="42" t="s">
        <v>1785</v>
      </c>
      <c r="F1390" s="42" t="s">
        <v>1783</v>
      </c>
      <c r="G1390" s="42">
        <v>201</v>
      </c>
      <c r="H1390" s="42" t="s">
        <v>153</v>
      </c>
      <c r="I1390" s="42" t="s">
        <v>37</v>
      </c>
      <c r="J1390" s="42">
        <v>40000</v>
      </c>
    </row>
    <row r="1391" spans="1:22">
      <c r="A1391" s="61" t="s">
        <v>1783</v>
      </c>
      <c r="C1391" s="64" t="s">
        <v>4</v>
      </c>
      <c r="D1391" s="64" t="s">
        <v>1760</v>
      </c>
      <c r="E1391" s="42" t="s">
        <v>1785</v>
      </c>
      <c r="F1391" s="42" t="s">
        <v>1783</v>
      </c>
      <c r="G1391" s="42">
        <v>202</v>
      </c>
      <c r="H1391" s="42" t="s">
        <v>235</v>
      </c>
      <c r="I1391" s="42" t="s">
        <v>37</v>
      </c>
      <c r="J1391" s="42">
        <v>20000</v>
      </c>
    </row>
    <row r="1392" spans="1:22">
      <c r="A1392" s="61" t="s">
        <v>1783</v>
      </c>
      <c r="C1392" s="64" t="s">
        <v>4</v>
      </c>
      <c r="D1392" s="64" t="s">
        <v>1760</v>
      </c>
      <c r="E1392" s="42" t="s">
        <v>1785</v>
      </c>
      <c r="F1392" s="42" t="s">
        <v>1783</v>
      </c>
      <c r="G1392" s="42">
        <v>203</v>
      </c>
      <c r="H1392" s="42" t="s">
        <v>297</v>
      </c>
      <c r="I1392" s="42" t="s">
        <v>37</v>
      </c>
      <c r="J1392" s="42">
        <v>5000</v>
      </c>
    </row>
    <row r="1393" spans="1:22">
      <c r="A1393" s="61" t="s">
        <v>1783</v>
      </c>
      <c r="C1393" s="64" t="s">
        <v>4</v>
      </c>
      <c r="D1393" s="64" t="s">
        <v>1760</v>
      </c>
      <c r="E1393" s="42" t="s">
        <v>1785</v>
      </c>
      <c r="F1393" s="42" t="s">
        <v>1783</v>
      </c>
      <c r="G1393" s="42">
        <v>204</v>
      </c>
      <c r="H1393" s="42" t="s">
        <v>617</v>
      </c>
      <c r="I1393" s="42" t="s">
        <v>37</v>
      </c>
      <c r="J1393" s="42">
        <v>40000</v>
      </c>
    </row>
    <row r="1394" spans="1:22">
      <c r="A1394" s="61" t="s">
        <v>1783</v>
      </c>
      <c r="C1394" s="64" t="s">
        <v>4</v>
      </c>
      <c r="D1394" s="64" t="s">
        <v>1760</v>
      </c>
      <c r="E1394" s="42" t="s">
        <v>1785</v>
      </c>
      <c r="F1394" s="42" t="s">
        <v>1783</v>
      </c>
      <c r="G1394" s="42">
        <v>205</v>
      </c>
      <c r="H1394" s="42" t="s">
        <v>497</v>
      </c>
      <c r="I1394" s="42" t="s">
        <v>37</v>
      </c>
      <c r="J1394" s="42">
        <v>40000</v>
      </c>
    </row>
    <row r="1395" spans="1:22">
      <c r="A1395" s="61" t="s">
        <v>1783</v>
      </c>
      <c r="C1395" s="64" t="s">
        <v>4</v>
      </c>
      <c r="D1395" s="64" t="s">
        <v>1760</v>
      </c>
      <c r="E1395" s="42" t="s">
        <v>1785</v>
      </c>
      <c r="F1395" s="42" t="s">
        <v>1783</v>
      </c>
      <c r="G1395" s="42">
        <v>206</v>
      </c>
      <c r="H1395" s="42" t="s">
        <v>93</v>
      </c>
      <c r="I1395" s="42" t="s">
        <v>92</v>
      </c>
      <c r="J1395" s="42">
        <v>190000</v>
      </c>
    </row>
    <row r="1396" spans="1:22">
      <c r="A1396" s="61" t="s">
        <v>1783</v>
      </c>
      <c r="C1396" s="64" t="s">
        <v>4</v>
      </c>
      <c r="D1396" s="64" t="s">
        <v>1760</v>
      </c>
      <c r="E1396" s="42" t="s">
        <v>1785</v>
      </c>
      <c r="F1396" s="42" t="s">
        <v>1783</v>
      </c>
      <c r="G1396" s="42">
        <v>207</v>
      </c>
      <c r="H1396" s="42" t="s">
        <v>97</v>
      </c>
      <c r="I1396" s="42" t="s">
        <v>92</v>
      </c>
      <c r="J1396" s="42">
        <v>5000</v>
      </c>
    </row>
    <row r="1397" spans="1:22">
      <c r="A1397" s="61" t="s">
        <v>1783</v>
      </c>
      <c r="C1397" s="64" t="s">
        <v>4</v>
      </c>
      <c r="D1397" s="64" t="s">
        <v>1760</v>
      </c>
      <c r="E1397" s="42" t="s">
        <v>1784</v>
      </c>
      <c r="F1397" s="42" t="s">
        <v>1783</v>
      </c>
      <c r="G1397" s="42">
        <v>1</v>
      </c>
      <c r="H1397" s="42" t="s">
        <v>114</v>
      </c>
      <c r="I1397" s="42" t="s">
        <v>106</v>
      </c>
      <c r="J1397" s="42">
        <v>88661</v>
      </c>
    </row>
    <row r="1398" spans="1:22">
      <c r="A1398" s="61" t="s">
        <v>1783</v>
      </c>
      <c r="C1398" s="64" t="s">
        <v>4</v>
      </c>
      <c r="D1398" s="64" t="s">
        <v>1760</v>
      </c>
      <c r="E1398" s="42" t="s">
        <v>1784</v>
      </c>
      <c r="F1398" s="42" t="s">
        <v>1783</v>
      </c>
      <c r="G1398" s="42">
        <v>2</v>
      </c>
      <c r="H1398" s="42" t="s">
        <v>175</v>
      </c>
      <c r="I1398" s="42" t="s">
        <v>106</v>
      </c>
      <c r="J1398" s="42">
        <v>40000</v>
      </c>
    </row>
    <row r="1399" spans="1:22">
      <c r="A1399" s="61" t="s">
        <v>1787</v>
      </c>
      <c r="C1399" s="64" t="s">
        <v>4</v>
      </c>
      <c r="D1399" s="64" t="s">
        <v>1760</v>
      </c>
      <c r="E1399" s="42" t="s">
        <v>1788</v>
      </c>
      <c r="F1399" s="42" t="s">
        <v>1787</v>
      </c>
      <c r="G1399" s="42">
        <v>61</v>
      </c>
      <c r="H1399" s="42" t="s">
        <v>1319</v>
      </c>
      <c r="I1399" s="42" t="s">
        <v>37</v>
      </c>
      <c r="J1399" s="42">
        <v>20000</v>
      </c>
    </row>
    <row r="1400" spans="1:22">
      <c r="A1400" s="61" t="s">
        <v>1787</v>
      </c>
      <c r="C1400" s="64" t="s">
        <v>4</v>
      </c>
      <c r="D1400" s="64" t="s">
        <v>1760</v>
      </c>
      <c r="E1400" s="42" t="s">
        <v>1788</v>
      </c>
      <c r="F1400" s="42" t="s">
        <v>1787</v>
      </c>
      <c r="G1400" s="42">
        <v>62</v>
      </c>
      <c r="H1400" s="42" t="s">
        <v>1359</v>
      </c>
      <c r="I1400" s="42" t="s">
        <v>37</v>
      </c>
      <c r="J1400" s="42">
        <v>10000</v>
      </c>
    </row>
    <row r="1401" spans="1:22">
      <c r="A1401" s="61" t="s">
        <v>1787</v>
      </c>
      <c r="C1401" s="64" t="s">
        <v>4</v>
      </c>
      <c r="D1401" s="64" t="s">
        <v>1760</v>
      </c>
      <c r="E1401" s="42" t="s">
        <v>1788</v>
      </c>
      <c r="F1401" s="42" t="s">
        <v>1787</v>
      </c>
      <c r="G1401" s="42">
        <v>63</v>
      </c>
      <c r="H1401" s="42" t="s">
        <v>1283</v>
      </c>
      <c r="I1401" s="42" t="s">
        <v>37</v>
      </c>
      <c r="J1401" s="42">
        <v>20000</v>
      </c>
    </row>
    <row r="1402" spans="1:22">
      <c r="A1402" s="61" t="s">
        <v>1787</v>
      </c>
      <c r="C1402" s="64" t="s">
        <v>4</v>
      </c>
      <c r="D1402" s="64" t="s">
        <v>1760</v>
      </c>
      <c r="E1402" s="42" t="s">
        <v>1788</v>
      </c>
      <c r="F1402" s="42" t="s">
        <v>1787</v>
      </c>
      <c r="G1402" s="42">
        <v>64</v>
      </c>
      <c r="H1402" s="42" t="s">
        <v>1339</v>
      </c>
      <c r="I1402" s="42" t="s">
        <v>37</v>
      </c>
      <c r="J1402" s="42">
        <v>5000</v>
      </c>
    </row>
    <row r="1403" spans="1:22">
      <c r="A1403" s="61" t="s">
        <v>1787</v>
      </c>
      <c r="C1403" s="64" t="s">
        <v>4</v>
      </c>
      <c r="D1403" s="64" t="s">
        <v>1760</v>
      </c>
      <c r="E1403" s="42" t="s">
        <v>1788</v>
      </c>
      <c r="F1403" s="42" t="s">
        <v>1787</v>
      </c>
      <c r="G1403" s="42">
        <v>65</v>
      </c>
      <c r="H1403" s="42" t="s">
        <v>415</v>
      </c>
      <c r="I1403" s="42" t="s">
        <v>37</v>
      </c>
      <c r="J1403" s="42">
        <v>5000</v>
      </c>
    </row>
    <row r="1404" spans="1:22">
      <c r="A1404" s="61" t="s">
        <v>1787</v>
      </c>
      <c r="C1404" s="64" t="s">
        <v>4</v>
      </c>
      <c r="D1404" s="64" t="s">
        <v>1760</v>
      </c>
      <c r="E1404" s="42" t="s">
        <v>1788</v>
      </c>
      <c r="F1404" s="42" t="s">
        <v>1787</v>
      </c>
      <c r="G1404" s="42">
        <v>66</v>
      </c>
      <c r="H1404" s="42" t="s">
        <v>950</v>
      </c>
      <c r="I1404" s="42" t="s">
        <v>37</v>
      </c>
      <c r="J1404" s="42">
        <v>10000</v>
      </c>
    </row>
    <row r="1405" spans="1:22">
      <c r="A1405" s="61" t="s">
        <v>1787</v>
      </c>
      <c r="C1405" s="64" t="s">
        <v>4</v>
      </c>
      <c r="D1405" s="64" t="s">
        <v>1760</v>
      </c>
      <c r="E1405" s="42" t="s">
        <v>1788</v>
      </c>
      <c r="F1405" s="42" t="s">
        <v>1787</v>
      </c>
      <c r="G1405" s="42">
        <v>67</v>
      </c>
      <c r="H1405" s="42" t="s">
        <v>1356</v>
      </c>
      <c r="I1405" s="42" t="s">
        <v>37</v>
      </c>
      <c r="J1405" s="42">
        <v>10000</v>
      </c>
    </row>
    <row r="1406" spans="1:22">
      <c r="A1406" s="61" t="s">
        <v>1787</v>
      </c>
      <c r="C1406" s="64" t="s">
        <v>4</v>
      </c>
      <c r="D1406" s="64" t="s">
        <v>1760</v>
      </c>
      <c r="E1406" s="42" t="s">
        <v>1788</v>
      </c>
      <c r="F1406" s="42" t="s">
        <v>1787</v>
      </c>
      <c r="G1406" s="42">
        <v>68</v>
      </c>
      <c r="H1406" s="42" t="s">
        <v>1343</v>
      </c>
      <c r="I1406" s="42" t="s">
        <v>37</v>
      </c>
      <c r="J1406" s="42">
        <v>70000</v>
      </c>
    </row>
    <row r="1407" spans="1:22">
      <c r="A1407" s="61" t="s">
        <v>1787</v>
      </c>
      <c r="C1407" s="64" t="s">
        <v>4</v>
      </c>
      <c r="D1407" s="64" t="s">
        <v>1760</v>
      </c>
      <c r="E1407" s="42" t="s">
        <v>1788</v>
      </c>
      <c r="F1407" s="42" t="s">
        <v>1787</v>
      </c>
      <c r="G1407" s="42">
        <v>69</v>
      </c>
      <c r="H1407" s="42" t="s">
        <v>52</v>
      </c>
      <c r="I1407" s="42" t="s">
        <v>37</v>
      </c>
      <c r="J1407" s="42">
        <v>10000</v>
      </c>
    </row>
    <row r="1408" spans="1:22">
      <c r="A1408" s="61" t="s">
        <v>1787</v>
      </c>
      <c r="C1408" s="64" t="s">
        <v>4</v>
      </c>
      <c r="D1408" s="64" t="s">
        <v>1760</v>
      </c>
      <c r="E1408" s="42" t="s">
        <v>1788</v>
      </c>
      <c r="F1408" s="42" t="s">
        <v>1787</v>
      </c>
      <c r="G1408" s="42">
        <v>70</v>
      </c>
      <c r="H1408" s="42" t="s">
        <v>56</v>
      </c>
      <c r="I1408" s="42" t="s">
        <v>37</v>
      </c>
      <c r="J1408" s="42">
        <v>85000</v>
      </c>
    </row>
    <row r="1409" spans="1:22">
      <c r="A1409" s="61" t="s">
        <v>1787</v>
      </c>
      <c r="C1409" s="64" t="s">
        <v>4</v>
      </c>
      <c r="D1409" s="64" t="s">
        <v>1760</v>
      </c>
      <c r="E1409" s="42" t="s">
        <v>1788</v>
      </c>
      <c r="F1409" s="42" t="s">
        <v>1787</v>
      </c>
      <c r="G1409" s="42">
        <v>71</v>
      </c>
      <c r="H1409" s="42" t="s">
        <v>61</v>
      </c>
      <c r="I1409" s="42" t="s">
        <v>37</v>
      </c>
      <c r="J1409" s="42">
        <v>5000</v>
      </c>
    </row>
    <row r="1410" spans="1:22">
      <c r="A1410" s="61" t="s">
        <v>1787</v>
      </c>
      <c r="C1410" s="64" t="s">
        <v>4</v>
      </c>
      <c r="D1410" s="64" t="s">
        <v>1760</v>
      </c>
      <c r="E1410" s="42" t="s">
        <v>1788</v>
      </c>
      <c r="F1410" s="42" t="s">
        <v>1787</v>
      </c>
      <c r="G1410" s="42">
        <v>72</v>
      </c>
      <c r="H1410" s="42" t="s">
        <v>579</v>
      </c>
      <c r="I1410" s="42" t="s">
        <v>37</v>
      </c>
      <c r="J1410" s="42">
        <v>20000</v>
      </c>
    </row>
    <row r="1411" spans="1:22">
      <c r="A1411" s="61" t="s">
        <v>1787</v>
      </c>
      <c r="C1411" s="64" t="s">
        <v>4</v>
      </c>
      <c r="D1411" s="64" t="s">
        <v>1760</v>
      </c>
      <c r="E1411" s="42" t="s">
        <v>1788</v>
      </c>
      <c r="F1411" s="42" t="s">
        <v>1787</v>
      </c>
      <c r="G1411" s="42">
        <v>73</v>
      </c>
      <c r="H1411" s="42" t="s">
        <v>609</v>
      </c>
      <c r="I1411" s="42" t="s">
        <v>37</v>
      </c>
      <c r="J1411" s="42">
        <v>5000</v>
      </c>
    </row>
    <row r="1412" spans="1:22">
      <c r="A1412" s="61" t="s">
        <v>1787</v>
      </c>
      <c r="C1412" s="64" t="s">
        <v>4</v>
      </c>
      <c r="D1412" s="64" t="s">
        <v>1760</v>
      </c>
      <c r="E1412" s="42" t="s">
        <v>1788</v>
      </c>
      <c r="F1412" s="42" t="s">
        <v>1787</v>
      </c>
      <c r="G1412" s="42">
        <v>74</v>
      </c>
      <c r="H1412" s="42" t="s">
        <v>189</v>
      </c>
      <c r="I1412" s="42" t="s">
        <v>37</v>
      </c>
      <c r="J1412" s="42">
        <v>5000</v>
      </c>
    </row>
    <row r="1413" spans="1:22">
      <c r="A1413" s="61" t="s">
        <v>1787</v>
      </c>
      <c r="C1413" s="64" t="s">
        <v>4</v>
      </c>
      <c r="D1413" s="64" t="s">
        <v>1760</v>
      </c>
      <c r="E1413" s="42" t="s">
        <v>1788</v>
      </c>
      <c r="F1413" s="42" t="s">
        <v>1787</v>
      </c>
      <c r="G1413" s="42">
        <v>75</v>
      </c>
      <c r="H1413" s="42" t="s">
        <v>403</v>
      </c>
      <c r="I1413" s="42" t="s">
        <v>37</v>
      </c>
      <c r="J1413" s="42">
        <v>5000</v>
      </c>
    </row>
    <row r="1414" spans="1:22">
      <c r="A1414" s="61" t="s">
        <v>1787</v>
      </c>
      <c r="C1414" s="64" t="s">
        <v>4</v>
      </c>
      <c r="D1414" s="64" t="s">
        <v>1760</v>
      </c>
      <c r="E1414" s="42" t="s">
        <v>1788</v>
      </c>
      <c r="F1414" s="42" t="s">
        <v>1787</v>
      </c>
      <c r="G1414" s="42">
        <v>76</v>
      </c>
      <c r="H1414" s="42" t="s">
        <v>72</v>
      </c>
      <c r="I1414" s="42" t="s">
        <v>37</v>
      </c>
      <c r="J1414" s="42">
        <v>15000</v>
      </c>
    </row>
    <row r="1415" spans="1:22">
      <c r="A1415" s="61" t="s">
        <v>1787</v>
      </c>
      <c r="C1415" s="64" t="s">
        <v>4</v>
      </c>
      <c r="D1415" s="64" t="s">
        <v>1760</v>
      </c>
      <c r="E1415" s="42" t="s">
        <v>1788</v>
      </c>
      <c r="F1415" s="42" t="s">
        <v>1787</v>
      </c>
      <c r="G1415" s="42">
        <v>77</v>
      </c>
      <c r="H1415" s="42" t="s">
        <v>75</v>
      </c>
      <c r="I1415" s="42" t="s">
        <v>37</v>
      </c>
      <c r="J1415" s="42">
        <v>5000</v>
      </c>
    </row>
    <row r="1416" spans="1:22">
      <c r="A1416" s="61" t="s">
        <v>1787</v>
      </c>
      <c r="C1416" s="64" t="s">
        <v>4</v>
      </c>
      <c r="D1416" s="64" t="s">
        <v>1760</v>
      </c>
      <c r="E1416" s="42" t="s">
        <v>1788</v>
      </c>
      <c r="F1416" s="42" t="s">
        <v>1787</v>
      </c>
      <c r="G1416" s="42">
        <v>78</v>
      </c>
      <c r="H1416" s="42" t="s">
        <v>709</v>
      </c>
      <c r="I1416" s="42" t="s">
        <v>37</v>
      </c>
      <c r="J1416" s="42">
        <v>50000</v>
      </c>
    </row>
    <row r="1417" spans="1:22">
      <c r="A1417" s="61" t="s">
        <v>1787</v>
      </c>
      <c r="C1417" s="64" t="s">
        <v>4</v>
      </c>
      <c r="D1417" s="64" t="s">
        <v>1760</v>
      </c>
      <c r="E1417" s="42" t="s">
        <v>1788</v>
      </c>
      <c r="F1417" s="42" t="s">
        <v>1787</v>
      </c>
      <c r="G1417" s="42">
        <v>79</v>
      </c>
      <c r="H1417" s="42" t="s">
        <v>76</v>
      </c>
      <c r="I1417" s="42" t="s">
        <v>37</v>
      </c>
      <c r="J1417" s="42">
        <v>25000</v>
      </c>
    </row>
    <row r="1418" spans="1:22">
      <c r="A1418" s="61" t="s">
        <v>1787</v>
      </c>
      <c r="C1418" s="64" t="s">
        <v>4</v>
      </c>
      <c r="D1418" s="64" t="s">
        <v>1760</v>
      </c>
      <c r="E1418" s="42" t="s">
        <v>1788</v>
      </c>
      <c r="F1418" s="42" t="s">
        <v>1787</v>
      </c>
      <c r="G1418" s="42">
        <v>80</v>
      </c>
      <c r="H1418" s="42" t="s">
        <v>805</v>
      </c>
      <c r="I1418" s="42" t="s">
        <v>37</v>
      </c>
      <c r="J1418" s="42">
        <v>10000</v>
      </c>
    </row>
    <row r="1419" spans="1:22">
      <c r="A1419" s="61" t="s">
        <v>1787</v>
      </c>
      <c r="C1419" s="64" t="s">
        <v>4</v>
      </c>
      <c r="D1419" s="64" t="s">
        <v>1760</v>
      </c>
      <c r="E1419" s="42" t="s">
        <v>1788</v>
      </c>
      <c r="F1419" s="42" t="s">
        <v>1787</v>
      </c>
      <c r="G1419" s="42">
        <v>81</v>
      </c>
      <c r="H1419" s="42" t="s">
        <v>641</v>
      </c>
      <c r="I1419" s="42" t="s">
        <v>37</v>
      </c>
      <c r="J1419" s="42">
        <v>10000</v>
      </c>
    </row>
    <row r="1420" spans="1:22">
      <c r="A1420" s="61" t="s">
        <v>1787</v>
      </c>
      <c r="C1420" s="64" t="s">
        <v>4</v>
      </c>
      <c r="D1420" s="64" t="s">
        <v>1760</v>
      </c>
      <c r="E1420" s="42" t="s">
        <v>1788</v>
      </c>
      <c r="F1420" s="42" t="s">
        <v>1787</v>
      </c>
      <c r="G1420" s="42">
        <v>82</v>
      </c>
      <c r="H1420" s="42" t="s">
        <v>529</v>
      </c>
      <c r="I1420" s="42" t="s">
        <v>37</v>
      </c>
      <c r="J1420" s="42">
        <v>5000</v>
      </c>
    </row>
    <row r="1421" spans="1:22">
      <c r="A1421" s="61" t="s">
        <v>1787</v>
      </c>
      <c r="C1421" s="64" t="s">
        <v>4</v>
      </c>
      <c r="D1421" s="64" t="s">
        <v>1760</v>
      </c>
      <c r="E1421" s="42" t="s">
        <v>1788</v>
      </c>
      <c r="F1421" s="42" t="s">
        <v>1787</v>
      </c>
      <c r="G1421" s="42">
        <v>83</v>
      </c>
      <c r="H1421" s="42" t="s">
        <v>643</v>
      </c>
      <c r="I1421" s="42" t="s">
        <v>37</v>
      </c>
      <c r="J1421" s="42">
        <v>10000</v>
      </c>
    </row>
    <row r="1422" spans="1:22">
      <c r="A1422" s="61" t="s">
        <v>1787</v>
      </c>
      <c r="C1422" s="64" t="s">
        <v>4</v>
      </c>
      <c r="D1422" s="64" t="s">
        <v>1760</v>
      </c>
      <c r="E1422" s="42" t="s">
        <v>1788</v>
      </c>
      <c r="F1422" s="42" t="s">
        <v>1787</v>
      </c>
      <c r="G1422" s="42">
        <v>84</v>
      </c>
      <c r="H1422" s="42" t="s">
        <v>359</v>
      </c>
      <c r="I1422" s="42" t="s">
        <v>37</v>
      </c>
      <c r="J1422" s="42">
        <v>10000</v>
      </c>
    </row>
    <row r="1423" spans="1:22">
      <c r="A1423" s="61" t="s">
        <v>1787</v>
      </c>
      <c r="C1423" s="64" t="s">
        <v>4</v>
      </c>
      <c r="D1423" s="64" t="s">
        <v>1760</v>
      </c>
      <c r="E1423" s="42" t="s">
        <v>1788</v>
      </c>
      <c r="F1423" s="42" t="s">
        <v>1787</v>
      </c>
      <c r="G1423" s="42">
        <v>85</v>
      </c>
      <c r="H1423" s="42" t="s">
        <v>127</v>
      </c>
      <c r="I1423" s="42" t="s">
        <v>37</v>
      </c>
      <c r="J1423" s="42">
        <v>10000</v>
      </c>
    </row>
    <row r="1424" spans="1:22">
      <c r="A1424" s="61" t="s">
        <v>1787</v>
      </c>
      <c r="C1424" s="64" t="s">
        <v>4</v>
      </c>
      <c r="D1424" s="64" t="s">
        <v>1760</v>
      </c>
      <c r="E1424" s="42" t="s">
        <v>1788</v>
      </c>
      <c r="F1424" s="42" t="s">
        <v>1787</v>
      </c>
      <c r="G1424" s="42">
        <v>86</v>
      </c>
      <c r="H1424" s="42" t="s">
        <v>577</v>
      </c>
      <c r="I1424" s="42" t="s">
        <v>37</v>
      </c>
      <c r="J1424" s="42">
        <v>10000</v>
      </c>
    </row>
    <row r="1425" spans="1:22">
      <c r="A1425" s="61" t="s">
        <v>1787</v>
      </c>
      <c r="C1425" s="64" t="s">
        <v>4</v>
      </c>
      <c r="D1425" s="64" t="s">
        <v>1760</v>
      </c>
      <c r="E1425" s="42" t="s">
        <v>1788</v>
      </c>
      <c r="F1425" s="42" t="s">
        <v>1787</v>
      </c>
      <c r="G1425" s="42">
        <v>87</v>
      </c>
      <c r="H1425" s="42" t="s">
        <v>585</v>
      </c>
      <c r="I1425" s="42" t="s">
        <v>37</v>
      </c>
      <c r="J1425" s="42">
        <v>30000</v>
      </c>
    </row>
    <row r="1426" spans="1:22">
      <c r="A1426" s="61" t="s">
        <v>1787</v>
      </c>
      <c r="C1426" s="64" t="s">
        <v>4</v>
      </c>
      <c r="D1426" s="64" t="s">
        <v>1760</v>
      </c>
      <c r="E1426" s="42" t="s">
        <v>1788</v>
      </c>
      <c r="F1426" s="42" t="s">
        <v>1787</v>
      </c>
      <c r="G1426" s="42">
        <v>88</v>
      </c>
      <c r="H1426" s="42" t="s">
        <v>757</v>
      </c>
      <c r="I1426" s="42" t="s">
        <v>37</v>
      </c>
      <c r="J1426" s="42">
        <v>210000</v>
      </c>
    </row>
    <row r="1427" spans="1:22">
      <c r="A1427" s="61" t="s">
        <v>1787</v>
      </c>
      <c r="C1427" s="64" t="s">
        <v>4</v>
      </c>
      <c r="D1427" s="64" t="s">
        <v>1760</v>
      </c>
      <c r="E1427" s="42" t="s">
        <v>1788</v>
      </c>
      <c r="F1427" s="42" t="s">
        <v>1787</v>
      </c>
      <c r="G1427" s="42">
        <v>89</v>
      </c>
      <c r="H1427" s="42" t="s">
        <v>655</v>
      </c>
      <c r="I1427" s="42" t="s">
        <v>37</v>
      </c>
      <c r="J1427" s="42">
        <v>10000</v>
      </c>
    </row>
    <row r="1428" spans="1:22">
      <c r="A1428" s="61" t="s">
        <v>1787</v>
      </c>
      <c r="C1428" s="64" t="s">
        <v>4</v>
      </c>
      <c r="D1428" s="64" t="s">
        <v>1760</v>
      </c>
      <c r="E1428" s="42" t="s">
        <v>1788</v>
      </c>
      <c r="F1428" s="42" t="s">
        <v>1787</v>
      </c>
      <c r="G1428" s="42">
        <v>90</v>
      </c>
      <c r="H1428" s="42" t="s">
        <v>341</v>
      </c>
      <c r="I1428" s="42" t="s">
        <v>37</v>
      </c>
      <c r="J1428" s="42">
        <v>5000</v>
      </c>
    </row>
    <row r="1429" spans="1:22">
      <c r="A1429" s="61" t="s">
        <v>1787</v>
      </c>
      <c r="C1429" s="64" t="s">
        <v>4</v>
      </c>
      <c r="D1429" s="64" t="s">
        <v>1760</v>
      </c>
      <c r="E1429" s="42" t="s">
        <v>1788</v>
      </c>
      <c r="F1429" s="42" t="s">
        <v>1787</v>
      </c>
      <c r="G1429" s="42">
        <v>91</v>
      </c>
      <c r="H1429" s="42" t="s">
        <v>343</v>
      </c>
      <c r="I1429" s="42" t="s">
        <v>37</v>
      </c>
      <c r="J1429" s="42">
        <v>10000</v>
      </c>
    </row>
    <row r="1430" spans="1:22">
      <c r="A1430" s="61" t="s">
        <v>1787</v>
      </c>
      <c r="C1430" s="64" t="s">
        <v>4</v>
      </c>
      <c r="D1430" s="64" t="s">
        <v>1760</v>
      </c>
      <c r="E1430" s="42" t="s">
        <v>1788</v>
      </c>
      <c r="F1430" s="42" t="s">
        <v>1787</v>
      </c>
      <c r="G1430" s="42">
        <v>92</v>
      </c>
      <c r="H1430" s="42" t="s">
        <v>583</v>
      </c>
      <c r="I1430" s="42" t="s">
        <v>37</v>
      </c>
      <c r="J1430" s="42">
        <v>15000</v>
      </c>
    </row>
    <row r="1431" spans="1:22">
      <c r="A1431" s="61" t="s">
        <v>1787</v>
      </c>
      <c r="C1431" s="64" t="s">
        <v>4</v>
      </c>
      <c r="D1431" s="64" t="s">
        <v>1760</v>
      </c>
      <c r="E1431" s="42" t="s">
        <v>1788</v>
      </c>
      <c r="F1431" s="42" t="s">
        <v>1787</v>
      </c>
      <c r="G1431" s="42">
        <v>1</v>
      </c>
      <c r="H1431" s="42" t="s">
        <v>940</v>
      </c>
      <c r="I1431" s="42" t="s">
        <v>106</v>
      </c>
      <c r="J1431" s="42">
        <v>10000</v>
      </c>
    </row>
    <row r="1432" spans="1:22">
      <c r="A1432" s="61" t="s">
        <v>1787</v>
      </c>
      <c r="C1432" s="64" t="s">
        <v>4</v>
      </c>
      <c r="D1432" s="64" t="s">
        <v>1760</v>
      </c>
      <c r="E1432" s="42" t="s">
        <v>1788</v>
      </c>
      <c r="F1432" s="42" t="s">
        <v>1787</v>
      </c>
      <c r="G1432" s="42">
        <v>2</v>
      </c>
      <c r="H1432" s="42" t="s">
        <v>899</v>
      </c>
      <c r="I1432" s="42" t="s">
        <v>106</v>
      </c>
      <c r="J1432" s="42">
        <v>10000</v>
      </c>
    </row>
    <row r="1433" spans="1:22">
      <c r="A1433" s="61" t="s">
        <v>1787</v>
      </c>
      <c r="C1433" s="64" t="s">
        <v>4</v>
      </c>
      <c r="D1433" s="64" t="s">
        <v>1760</v>
      </c>
      <c r="E1433" s="42" t="s">
        <v>1788</v>
      </c>
      <c r="F1433" s="42" t="s">
        <v>1787</v>
      </c>
      <c r="G1433" s="42">
        <v>3</v>
      </c>
      <c r="H1433" s="42" t="s">
        <v>107</v>
      </c>
      <c r="I1433" s="42" t="s">
        <v>106</v>
      </c>
      <c r="J1433" s="42">
        <v>40000</v>
      </c>
    </row>
    <row r="1434" spans="1:22">
      <c r="A1434" s="61" t="s">
        <v>1787</v>
      </c>
      <c r="C1434" s="64" t="s">
        <v>4</v>
      </c>
      <c r="D1434" s="64" t="s">
        <v>1760</v>
      </c>
      <c r="E1434" s="42" t="s">
        <v>1788</v>
      </c>
      <c r="F1434" s="42" t="s">
        <v>1787</v>
      </c>
      <c r="G1434" s="42">
        <v>4</v>
      </c>
      <c r="H1434" s="42" t="s">
        <v>635</v>
      </c>
      <c r="I1434" s="42" t="s">
        <v>106</v>
      </c>
      <c r="J1434" s="42">
        <v>100000</v>
      </c>
    </row>
    <row r="1435" spans="1:22">
      <c r="A1435" s="61" t="s">
        <v>1787</v>
      </c>
      <c r="C1435" s="64" t="s">
        <v>4</v>
      </c>
      <c r="D1435" s="64" t="s">
        <v>1760</v>
      </c>
      <c r="E1435" s="42" t="s">
        <v>1788</v>
      </c>
      <c r="F1435" s="42" t="s">
        <v>1787</v>
      </c>
      <c r="G1435" s="42">
        <v>5</v>
      </c>
      <c r="H1435" s="42" t="s">
        <v>807</v>
      </c>
      <c r="I1435" s="42" t="s">
        <v>106</v>
      </c>
      <c r="J1435" s="42">
        <v>364610</v>
      </c>
    </row>
    <row r="1436" spans="1:22">
      <c r="A1436" s="61" t="s">
        <v>1787</v>
      </c>
      <c r="C1436" s="64" t="s">
        <v>4</v>
      </c>
      <c r="D1436" s="64" t="s">
        <v>1760</v>
      </c>
      <c r="E1436" s="42" t="s">
        <v>1788</v>
      </c>
      <c r="F1436" s="42" t="s">
        <v>1787</v>
      </c>
      <c r="G1436" s="42">
        <v>6</v>
      </c>
      <c r="H1436" s="42" t="s">
        <v>1043</v>
      </c>
      <c r="I1436" s="42" t="s">
        <v>106</v>
      </c>
      <c r="J1436" s="42">
        <v>15410</v>
      </c>
    </row>
    <row r="1437" spans="1:22">
      <c r="A1437" s="61" t="s">
        <v>1787</v>
      </c>
      <c r="C1437" s="64" t="s">
        <v>4</v>
      </c>
      <c r="D1437" s="64" t="s">
        <v>1760</v>
      </c>
      <c r="E1437" s="42" t="s">
        <v>1788</v>
      </c>
      <c r="F1437" s="42" t="s">
        <v>1787</v>
      </c>
      <c r="G1437" s="42">
        <v>7</v>
      </c>
      <c r="H1437" s="42" t="s">
        <v>395</v>
      </c>
      <c r="I1437" s="42" t="s">
        <v>113</v>
      </c>
      <c r="J1437" s="42">
        <v>10000</v>
      </c>
    </row>
    <row r="1438" spans="1:22">
      <c r="A1438" s="61" t="s">
        <v>1787</v>
      </c>
      <c r="C1438" s="64" t="s">
        <v>4</v>
      </c>
      <c r="D1438" s="64" t="s">
        <v>1760</v>
      </c>
      <c r="E1438" s="42" t="s">
        <v>1788</v>
      </c>
      <c r="F1438" s="42" t="s">
        <v>1787</v>
      </c>
      <c r="G1438" s="42">
        <v>8</v>
      </c>
      <c r="H1438" s="42" t="s">
        <v>733</v>
      </c>
      <c r="I1438" s="42" t="s">
        <v>113</v>
      </c>
      <c r="J1438" s="42">
        <v>20000</v>
      </c>
    </row>
    <row r="1439" spans="1:22">
      <c r="A1439" s="61" t="s">
        <v>1787</v>
      </c>
      <c r="C1439" s="64" t="s">
        <v>4</v>
      </c>
      <c r="D1439" s="64" t="s">
        <v>1760</v>
      </c>
      <c r="E1439" s="42" t="s">
        <v>1788</v>
      </c>
      <c r="F1439" s="42" t="s">
        <v>1787</v>
      </c>
      <c r="G1439" s="42">
        <v>9</v>
      </c>
      <c r="H1439" s="42" t="s">
        <v>347</v>
      </c>
      <c r="I1439" s="42" t="s">
        <v>113</v>
      </c>
      <c r="J1439" s="42">
        <v>6000</v>
      </c>
    </row>
    <row r="1440" spans="1:22">
      <c r="A1440" s="61" t="s">
        <v>1787</v>
      </c>
      <c r="C1440" s="64" t="s">
        <v>4</v>
      </c>
      <c r="D1440" s="64" t="s">
        <v>1760</v>
      </c>
      <c r="E1440" s="42" t="s">
        <v>1788</v>
      </c>
      <c r="F1440" s="42" t="s">
        <v>1787</v>
      </c>
      <c r="G1440" s="42">
        <v>10</v>
      </c>
      <c r="H1440" s="42" t="s">
        <v>399</v>
      </c>
      <c r="I1440" s="42" t="s">
        <v>113</v>
      </c>
      <c r="J1440" s="42">
        <v>10000</v>
      </c>
    </row>
    <row r="1441" spans="1:22">
      <c r="A1441" s="61" t="s">
        <v>1787</v>
      </c>
      <c r="C1441" s="64" t="s">
        <v>4</v>
      </c>
      <c r="D1441" s="64" t="s">
        <v>1760</v>
      </c>
      <c r="E1441" s="42" t="s">
        <v>1788</v>
      </c>
      <c r="F1441" s="42" t="s">
        <v>1787</v>
      </c>
      <c r="G1441" s="42">
        <v>11</v>
      </c>
      <c r="H1441" s="42" t="s">
        <v>929</v>
      </c>
      <c r="I1441" s="42" t="s">
        <v>113</v>
      </c>
      <c r="J1441" s="42">
        <v>40000</v>
      </c>
    </row>
    <row r="1442" spans="1:22">
      <c r="A1442" s="61" t="s">
        <v>1787</v>
      </c>
      <c r="C1442" s="64" t="s">
        <v>4</v>
      </c>
      <c r="D1442" s="64" t="s">
        <v>1760</v>
      </c>
      <c r="E1442" s="42" t="s">
        <v>1788</v>
      </c>
      <c r="F1442" s="42" t="s">
        <v>1787</v>
      </c>
      <c r="G1442" s="42">
        <v>12</v>
      </c>
      <c r="H1442" s="42" t="s">
        <v>737</v>
      </c>
      <c r="I1442" s="42" t="s">
        <v>113</v>
      </c>
      <c r="J1442" s="42">
        <v>50000</v>
      </c>
    </row>
    <row r="1443" spans="1:22">
      <c r="A1443" s="61" t="s">
        <v>1787</v>
      </c>
      <c r="C1443" s="64" t="s">
        <v>4</v>
      </c>
      <c r="D1443" s="64" t="s">
        <v>1760</v>
      </c>
      <c r="E1443" s="42" t="s">
        <v>1788</v>
      </c>
      <c r="F1443" s="42" t="s">
        <v>1787</v>
      </c>
      <c r="G1443" s="42">
        <v>13</v>
      </c>
      <c r="H1443" s="42" t="s">
        <v>931</v>
      </c>
      <c r="I1443" s="42" t="s">
        <v>113</v>
      </c>
      <c r="J1443" s="42">
        <v>50000</v>
      </c>
    </row>
    <row r="1444" spans="1:22">
      <c r="A1444" s="61" t="s">
        <v>1787</v>
      </c>
      <c r="C1444" s="64" t="s">
        <v>4</v>
      </c>
      <c r="D1444" s="64" t="s">
        <v>1760</v>
      </c>
      <c r="E1444" s="42" t="s">
        <v>1788</v>
      </c>
      <c r="F1444" s="42" t="s">
        <v>1787</v>
      </c>
      <c r="G1444" s="42">
        <v>14</v>
      </c>
      <c r="H1444" s="42" t="s">
        <v>401</v>
      </c>
      <c r="I1444" s="42" t="s">
        <v>113</v>
      </c>
      <c r="J1444" s="42">
        <v>15000</v>
      </c>
    </row>
    <row r="1445" spans="1:22">
      <c r="A1445" s="61" t="s">
        <v>1787</v>
      </c>
      <c r="C1445" s="64" t="s">
        <v>4</v>
      </c>
      <c r="D1445" s="64" t="s">
        <v>1760</v>
      </c>
      <c r="E1445" s="42" t="s">
        <v>1788</v>
      </c>
      <c r="F1445" s="42" t="s">
        <v>1787</v>
      </c>
      <c r="G1445" s="42">
        <v>15</v>
      </c>
      <c r="H1445" s="42" t="s">
        <v>1287</v>
      </c>
      <c r="I1445" s="42" t="s">
        <v>113</v>
      </c>
      <c r="J1445" s="42">
        <v>14000</v>
      </c>
    </row>
    <row r="1446" spans="1:22">
      <c r="A1446" s="61" t="s">
        <v>1787</v>
      </c>
      <c r="C1446" s="64" t="s">
        <v>4</v>
      </c>
      <c r="D1446" s="64" t="s">
        <v>1760</v>
      </c>
      <c r="E1446" s="42" t="s">
        <v>1788</v>
      </c>
      <c r="F1446" s="42" t="s">
        <v>1787</v>
      </c>
      <c r="G1446" s="42">
        <v>16</v>
      </c>
      <c r="H1446" s="42" t="s">
        <v>103</v>
      </c>
      <c r="I1446" s="42" t="s">
        <v>102</v>
      </c>
      <c r="J1446" s="42">
        <v>10000</v>
      </c>
    </row>
    <row r="1447" spans="1:22">
      <c r="A1447" s="61" t="s">
        <v>1787</v>
      </c>
      <c r="C1447" s="64" t="s">
        <v>4</v>
      </c>
      <c r="D1447" s="64" t="s">
        <v>1760</v>
      </c>
      <c r="E1447" s="42" t="s">
        <v>1788</v>
      </c>
      <c r="F1447" s="42" t="s">
        <v>1787</v>
      </c>
      <c r="G1447" s="42">
        <v>17</v>
      </c>
      <c r="H1447" s="42" t="s">
        <v>197</v>
      </c>
      <c r="I1447" s="42" t="s">
        <v>102</v>
      </c>
      <c r="J1447" s="42">
        <v>20000</v>
      </c>
    </row>
    <row r="1448" spans="1:22">
      <c r="A1448" s="61" t="s">
        <v>1787</v>
      </c>
      <c r="C1448" s="64" t="s">
        <v>4</v>
      </c>
      <c r="D1448" s="64" t="s">
        <v>1760</v>
      </c>
      <c r="E1448" s="42" t="s">
        <v>1788</v>
      </c>
      <c r="F1448" s="42" t="s">
        <v>1787</v>
      </c>
      <c r="G1448" s="42">
        <v>18</v>
      </c>
      <c r="H1448" s="42" t="s">
        <v>172</v>
      </c>
      <c r="I1448" s="42" t="s">
        <v>102</v>
      </c>
      <c r="J1448" s="42">
        <v>318843</v>
      </c>
    </row>
    <row r="1449" spans="1:22">
      <c r="A1449" s="61" t="s">
        <v>1787</v>
      </c>
      <c r="C1449" s="64" t="s">
        <v>4</v>
      </c>
      <c r="D1449" s="64" t="s">
        <v>1760</v>
      </c>
      <c r="E1449" s="42" t="s">
        <v>1788</v>
      </c>
      <c r="F1449" s="42" t="s">
        <v>1787</v>
      </c>
      <c r="G1449" s="42">
        <v>19</v>
      </c>
      <c r="H1449" s="42" t="s">
        <v>895</v>
      </c>
      <c r="I1449" s="42" t="s">
        <v>37</v>
      </c>
      <c r="J1449" s="42">
        <v>10000</v>
      </c>
    </row>
    <row r="1450" spans="1:22">
      <c r="A1450" s="61" t="s">
        <v>1787</v>
      </c>
      <c r="C1450" s="64" t="s">
        <v>4</v>
      </c>
      <c r="D1450" s="64" t="s">
        <v>1760</v>
      </c>
      <c r="E1450" s="42" t="s">
        <v>1788</v>
      </c>
      <c r="F1450" s="42" t="s">
        <v>1787</v>
      </c>
      <c r="G1450" s="42">
        <v>20</v>
      </c>
      <c r="H1450" s="42" t="s">
        <v>353</v>
      </c>
      <c r="I1450" s="42" t="s">
        <v>37</v>
      </c>
      <c r="J1450" s="42">
        <v>5000</v>
      </c>
    </row>
    <row r="1451" spans="1:22">
      <c r="A1451" s="61" t="s">
        <v>1787</v>
      </c>
      <c r="C1451" s="64" t="s">
        <v>4</v>
      </c>
      <c r="D1451" s="64" t="s">
        <v>1760</v>
      </c>
      <c r="E1451" s="42" t="s">
        <v>1788</v>
      </c>
      <c r="F1451" s="42" t="s">
        <v>1787</v>
      </c>
      <c r="G1451" s="42">
        <v>21</v>
      </c>
      <c r="H1451" s="42" t="s">
        <v>355</v>
      </c>
      <c r="I1451" s="42" t="s">
        <v>37</v>
      </c>
      <c r="J1451" s="42">
        <v>4000</v>
      </c>
    </row>
    <row r="1452" spans="1:22">
      <c r="A1452" s="61" t="s">
        <v>1787</v>
      </c>
      <c r="C1452" s="64" t="s">
        <v>4</v>
      </c>
      <c r="D1452" s="64" t="s">
        <v>1760</v>
      </c>
      <c r="E1452" s="42" t="s">
        <v>1788</v>
      </c>
      <c r="F1452" s="42" t="s">
        <v>1787</v>
      </c>
      <c r="G1452" s="42">
        <v>22</v>
      </c>
      <c r="H1452" s="42" t="s">
        <v>941</v>
      </c>
      <c r="I1452" s="42" t="s">
        <v>37</v>
      </c>
      <c r="J1452" s="42">
        <v>10000</v>
      </c>
    </row>
    <row r="1453" spans="1:22">
      <c r="A1453" s="61" t="s">
        <v>1787</v>
      </c>
      <c r="C1453" s="64" t="s">
        <v>4</v>
      </c>
      <c r="D1453" s="64" t="s">
        <v>1760</v>
      </c>
      <c r="E1453" s="42" t="s">
        <v>1788</v>
      </c>
      <c r="F1453" s="42" t="s">
        <v>1787</v>
      </c>
      <c r="G1453" s="42">
        <v>23</v>
      </c>
      <c r="H1453" s="42" t="s">
        <v>48</v>
      </c>
      <c r="I1453" s="42" t="s">
        <v>37</v>
      </c>
      <c r="J1453" s="42">
        <v>10000</v>
      </c>
    </row>
    <row r="1454" spans="1:22">
      <c r="A1454" s="61" t="s">
        <v>1787</v>
      </c>
      <c r="C1454" s="64" t="s">
        <v>4</v>
      </c>
      <c r="D1454" s="64" t="s">
        <v>1760</v>
      </c>
      <c r="E1454" s="42" t="s">
        <v>1788</v>
      </c>
      <c r="F1454" s="42" t="s">
        <v>1787</v>
      </c>
      <c r="G1454" s="42">
        <v>24</v>
      </c>
      <c r="H1454" s="42" t="s">
        <v>211</v>
      </c>
      <c r="I1454" s="42" t="s">
        <v>37</v>
      </c>
      <c r="J1454" s="42">
        <v>10000</v>
      </c>
    </row>
    <row r="1455" spans="1:22">
      <c r="A1455" s="61" t="s">
        <v>1787</v>
      </c>
      <c r="C1455" s="64" t="s">
        <v>4</v>
      </c>
      <c r="D1455" s="64" t="s">
        <v>1760</v>
      </c>
      <c r="E1455" s="42" t="s">
        <v>1788</v>
      </c>
      <c r="F1455" s="42" t="s">
        <v>1787</v>
      </c>
      <c r="G1455" s="42">
        <v>25</v>
      </c>
      <c r="H1455" s="42" t="s">
        <v>407</v>
      </c>
      <c r="I1455" s="42" t="s">
        <v>37</v>
      </c>
      <c r="J1455" s="42">
        <v>20000</v>
      </c>
    </row>
    <row r="1456" spans="1:22">
      <c r="A1456" s="61" t="s">
        <v>1787</v>
      </c>
      <c r="C1456" s="64" t="s">
        <v>4</v>
      </c>
      <c r="D1456" s="64" t="s">
        <v>1760</v>
      </c>
      <c r="E1456" s="42" t="s">
        <v>1788</v>
      </c>
      <c r="F1456" s="42" t="s">
        <v>1787</v>
      </c>
      <c r="G1456" s="42">
        <v>26</v>
      </c>
      <c r="H1456" s="42" t="s">
        <v>367</v>
      </c>
      <c r="I1456" s="42" t="s">
        <v>37</v>
      </c>
      <c r="J1456" s="42">
        <v>10000</v>
      </c>
    </row>
    <row r="1457" spans="1:22">
      <c r="A1457" s="61" t="s">
        <v>1787</v>
      </c>
      <c r="C1457" s="64" t="s">
        <v>4</v>
      </c>
      <c r="D1457" s="64" t="s">
        <v>1760</v>
      </c>
      <c r="E1457" s="42" t="s">
        <v>1788</v>
      </c>
      <c r="F1457" s="42" t="s">
        <v>1787</v>
      </c>
      <c r="G1457" s="42">
        <v>27</v>
      </c>
      <c r="H1457" s="42" t="s">
        <v>413</v>
      </c>
      <c r="I1457" s="42" t="s">
        <v>37</v>
      </c>
      <c r="J1457" s="42">
        <v>10000</v>
      </c>
    </row>
    <row r="1458" spans="1:22">
      <c r="A1458" s="61" t="s">
        <v>1787</v>
      </c>
      <c r="C1458" s="64" t="s">
        <v>4</v>
      </c>
      <c r="D1458" s="64" t="s">
        <v>1760</v>
      </c>
      <c r="E1458" s="42" t="s">
        <v>1788</v>
      </c>
      <c r="F1458" s="42" t="s">
        <v>1787</v>
      </c>
      <c r="G1458" s="42">
        <v>28</v>
      </c>
      <c r="H1458" s="42" t="s">
        <v>375</v>
      </c>
      <c r="I1458" s="42" t="s">
        <v>37</v>
      </c>
      <c r="J1458" s="42">
        <v>10000</v>
      </c>
    </row>
    <row r="1459" spans="1:22">
      <c r="A1459" s="61" t="s">
        <v>1787</v>
      </c>
      <c r="C1459" s="64" t="s">
        <v>4</v>
      </c>
      <c r="D1459" s="64" t="s">
        <v>1760</v>
      </c>
      <c r="E1459" s="42" t="s">
        <v>1788</v>
      </c>
      <c r="F1459" s="42" t="s">
        <v>1787</v>
      </c>
      <c r="G1459" s="42">
        <v>29</v>
      </c>
      <c r="H1459" s="42" t="s">
        <v>365</v>
      </c>
      <c r="I1459" s="42" t="s">
        <v>37</v>
      </c>
      <c r="J1459" s="42">
        <v>2000</v>
      </c>
    </row>
    <row r="1460" spans="1:22">
      <c r="A1460" s="61" t="s">
        <v>1787</v>
      </c>
      <c r="C1460" s="64" t="s">
        <v>4</v>
      </c>
      <c r="D1460" s="64" t="s">
        <v>1760</v>
      </c>
      <c r="E1460" s="42" t="s">
        <v>1788</v>
      </c>
      <c r="F1460" s="42" t="s">
        <v>1787</v>
      </c>
      <c r="G1460" s="42">
        <v>30</v>
      </c>
      <c r="H1460" s="42" t="s">
        <v>339</v>
      </c>
      <c r="I1460" s="42" t="s">
        <v>37</v>
      </c>
      <c r="J1460" s="42">
        <v>5000</v>
      </c>
    </row>
    <row r="1461" spans="1:22">
      <c r="A1461" s="61" t="s">
        <v>1787</v>
      </c>
      <c r="C1461" s="64" t="s">
        <v>4</v>
      </c>
      <c r="D1461" s="64" t="s">
        <v>1760</v>
      </c>
      <c r="E1461" s="42" t="s">
        <v>1788</v>
      </c>
      <c r="F1461" s="42" t="s">
        <v>1787</v>
      </c>
      <c r="G1461" s="42">
        <v>31</v>
      </c>
      <c r="H1461" s="42" t="s">
        <v>345</v>
      </c>
      <c r="I1461" s="42" t="s">
        <v>37</v>
      </c>
      <c r="J1461" s="42">
        <v>10000</v>
      </c>
    </row>
    <row r="1462" spans="1:22">
      <c r="A1462" s="61" t="s">
        <v>1787</v>
      </c>
      <c r="C1462" s="64" t="s">
        <v>4</v>
      </c>
      <c r="D1462" s="64" t="s">
        <v>1760</v>
      </c>
      <c r="E1462" s="42" t="s">
        <v>1788</v>
      </c>
      <c r="F1462" s="42" t="s">
        <v>1787</v>
      </c>
      <c r="G1462" s="42">
        <v>32</v>
      </c>
      <c r="H1462" s="42" t="s">
        <v>393</v>
      </c>
      <c r="I1462" s="42" t="s">
        <v>37</v>
      </c>
      <c r="J1462" s="42">
        <v>25000</v>
      </c>
    </row>
    <row r="1463" spans="1:22">
      <c r="A1463" s="61" t="s">
        <v>1787</v>
      </c>
      <c r="C1463" s="64" t="s">
        <v>4</v>
      </c>
      <c r="D1463" s="64" t="s">
        <v>1760</v>
      </c>
      <c r="E1463" s="42" t="s">
        <v>1788</v>
      </c>
      <c r="F1463" s="42" t="s">
        <v>1787</v>
      </c>
      <c r="G1463" s="42">
        <v>33</v>
      </c>
      <c r="H1463" s="42" t="s">
        <v>573</v>
      </c>
      <c r="I1463" s="42" t="s">
        <v>37</v>
      </c>
      <c r="J1463" s="42">
        <v>10000</v>
      </c>
    </row>
    <row r="1464" spans="1:22">
      <c r="A1464" s="61" t="s">
        <v>1787</v>
      </c>
      <c r="C1464" s="64" t="s">
        <v>4</v>
      </c>
      <c r="D1464" s="64" t="s">
        <v>1760</v>
      </c>
      <c r="E1464" s="42" t="s">
        <v>1788</v>
      </c>
      <c r="F1464" s="42" t="s">
        <v>1787</v>
      </c>
      <c r="G1464" s="42">
        <v>34</v>
      </c>
      <c r="H1464" s="42" t="s">
        <v>1341</v>
      </c>
      <c r="I1464" s="42" t="s">
        <v>37</v>
      </c>
      <c r="J1464" s="42">
        <v>10000</v>
      </c>
    </row>
    <row r="1465" spans="1:22">
      <c r="A1465" s="61" t="s">
        <v>1787</v>
      </c>
      <c r="C1465" s="64" t="s">
        <v>4</v>
      </c>
      <c r="D1465" s="64" t="s">
        <v>1760</v>
      </c>
      <c r="E1465" s="42" t="s">
        <v>1788</v>
      </c>
      <c r="F1465" s="42" t="s">
        <v>1787</v>
      </c>
      <c r="G1465" s="42">
        <v>35</v>
      </c>
      <c r="H1465" s="42" t="s">
        <v>1344</v>
      </c>
      <c r="I1465" s="42" t="s">
        <v>37</v>
      </c>
      <c r="J1465" s="42">
        <v>30000</v>
      </c>
    </row>
    <row r="1466" spans="1:22">
      <c r="A1466" s="61" t="s">
        <v>1787</v>
      </c>
      <c r="C1466" s="64" t="s">
        <v>4</v>
      </c>
      <c r="D1466" s="64" t="s">
        <v>1760</v>
      </c>
      <c r="E1466" s="42" t="s">
        <v>1788</v>
      </c>
      <c r="F1466" s="42" t="s">
        <v>1787</v>
      </c>
      <c r="G1466" s="42">
        <v>36</v>
      </c>
      <c r="H1466" s="42" t="s">
        <v>739</v>
      </c>
      <c r="I1466" s="42" t="s">
        <v>37</v>
      </c>
      <c r="J1466" s="42">
        <v>70000</v>
      </c>
    </row>
    <row r="1467" spans="1:22">
      <c r="A1467" s="61" t="s">
        <v>1787</v>
      </c>
      <c r="C1467" s="64" t="s">
        <v>4</v>
      </c>
      <c r="D1467" s="64" t="s">
        <v>1760</v>
      </c>
      <c r="E1467" s="42" t="s">
        <v>1788</v>
      </c>
      <c r="F1467" s="42" t="s">
        <v>1787</v>
      </c>
      <c r="G1467" s="42">
        <v>37</v>
      </c>
      <c r="H1467" s="42" t="s">
        <v>589</v>
      </c>
      <c r="I1467" s="42" t="s">
        <v>37</v>
      </c>
      <c r="J1467" s="42">
        <v>20000</v>
      </c>
    </row>
    <row r="1468" spans="1:22">
      <c r="A1468" s="61" t="s">
        <v>1787</v>
      </c>
      <c r="C1468" s="64" t="s">
        <v>4</v>
      </c>
      <c r="D1468" s="64" t="s">
        <v>1760</v>
      </c>
      <c r="E1468" s="42" t="s">
        <v>1788</v>
      </c>
      <c r="F1468" s="42" t="s">
        <v>1787</v>
      </c>
      <c r="G1468" s="42">
        <v>38</v>
      </c>
      <c r="H1468" s="42" t="s">
        <v>587</v>
      </c>
      <c r="I1468" s="42" t="s">
        <v>37</v>
      </c>
      <c r="J1468" s="42">
        <v>10000</v>
      </c>
    </row>
    <row r="1469" spans="1:22">
      <c r="A1469" s="61" t="s">
        <v>1787</v>
      </c>
      <c r="C1469" s="64" t="s">
        <v>4</v>
      </c>
      <c r="D1469" s="64" t="s">
        <v>1760</v>
      </c>
      <c r="E1469" s="42" t="s">
        <v>1788</v>
      </c>
      <c r="F1469" s="42" t="s">
        <v>1787</v>
      </c>
      <c r="G1469" s="42">
        <v>39</v>
      </c>
      <c r="H1469" s="42" t="s">
        <v>581</v>
      </c>
      <c r="I1469" s="42" t="s">
        <v>37</v>
      </c>
      <c r="J1469" s="42">
        <v>20000</v>
      </c>
    </row>
    <row r="1470" spans="1:22">
      <c r="A1470" s="61" t="s">
        <v>1787</v>
      </c>
      <c r="C1470" s="64" t="s">
        <v>4</v>
      </c>
      <c r="D1470" s="64" t="s">
        <v>1760</v>
      </c>
      <c r="E1470" s="42" t="s">
        <v>1788</v>
      </c>
      <c r="F1470" s="42" t="s">
        <v>1787</v>
      </c>
      <c r="G1470" s="42">
        <v>40</v>
      </c>
      <c r="H1470" s="42" t="s">
        <v>575</v>
      </c>
      <c r="I1470" s="42" t="s">
        <v>37</v>
      </c>
      <c r="J1470" s="42">
        <v>10000</v>
      </c>
    </row>
    <row r="1471" spans="1:22">
      <c r="A1471" s="61" t="s">
        <v>1787</v>
      </c>
      <c r="C1471" s="64" t="s">
        <v>4</v>
      </c>
      <c r="D1471" s="64" t="s">
        <v>1760</v>
      </c>
      <c r="E1471" s="42" t="s">
        <v>1788</v>
      </c>
      <c r="F1471" s="42" t="s">
        <v>1787</v>
      </c>
      <c r="G1471" s="42">
        <v>41</v>
      </c>
      <c r="H1471" s="42" t="s">
        <v>629</v>
      </c>
      <c r="I1471" s="42" t="s">
        <v>37</v>
      </c>
      <c r="J1471" s="42">
        <v>30000</v>
      </c>
    </row>
    <row r="1472" spans="1:22">
      <c r="A1472" s="61" t="s">
        <v>1787</v>
      </c>
      <c r="C1472" s="64" t="s">
        <v>4</v>
      </c>
      <c r="D1472" s="64" t="s">
        <v>1760</v>
      </c>
      <c r="E1472" s="42" t="s">
        <v>1788</v>
      </c>
      <c r="F1472" s="42" t="s">
        <v>1787</v>
      </c>
      <c r="G1472" s="42">
        <v>42</v>
      </c>
      <c r="H1472" s="42" t="s">
        <v>735</v>
      </c>
      <c r="I1472" s="42" t="s">
        <v>37</v>
      </c>
      <c r="J1472" s="42">
        <v>68920</v>
      </c>
    </row>
    <row r="1473" spans="1:22">
      <c r="A1473" s="61" t="s">
        <v>1787</v>
      </c>
      <c r="C1473" s="64" t="s">
        <v>4</v>
      </c>
      <c r="D1473" s="64" t="s">
        <v>1760</v>
      </c>
      <c r="E1473" s="42" t="s">
        <v>1788</v>
      </c>
      <c r="F1473" s="42" t="s">
        <v>1787</v>
      </c>
      <c r="G1473" s="42">
        <v>43</v>
      </c>
      <c r="H1473" s="42" t="s">
        <v>741</v>
      </c>
      <c r="I1473" s="42" t="s">
        <v>37</v>
      </c>
      <c r="J1473" s="42">
        <v>40000</v>
      </c>
    </row>
    <row r="1474" spans="1:22">
      <c r="A1474" s="61" t="s">
        <v>1787</v>
      </c>
      <c r="C1474" s="64" t="s">
        <v>4</v>
      </c>
      <c r="D1474" s="64" t="s">
        <v>1760</v>
      </c>
      <c r="E1474" s="42" t="s">
        <v>1788</v>
      </c>
      <c r="F1474" s="42" t="s">
        <v>1787</v>
      </c>
      <c r="G1474" s="42">
        <v>44</v>
      </c>
      <c r="H1474" s="42" t="s">
        <v>627</v>
      </c>
      <c r="I1474" s="42" t="s">
        <v>37</v>
      </c>
      <c r="J1474" s="42">
        <v>10000</v>
      </c>
    </row>
    <row r="1475" spans="1:22">
      <c r="A1475" s="61" t="s">
        <v>1787</v>
      </c>
      <c r="C1475" s="64" t="s">
        <v>4</v>
      </c>
      <c r="D1475" s="64" t="s">
        <v>1760</v>
      </c>
      <c r="E1475" s="42" t="s">
        <v>1788</v>
      </c>
      <c r="F1475" s="42" t="s">
        <v>1787</v>
      </c>
      <c r="G1475" s="42">
        <v>45</v>
      </c>
      <c r="H1475" s="42" t="s">
        <v>705</v>
      </c>
      <c r="I1475" s="42" t="s">
        <v>37</v>
      </c>
      <c r="J1475" s="42">
        <v>110000</v>
      </c>
    </row>
    <row r="1476" spans="1:22">
      <c r="A1476" s="61" t="s">
        <v>1787</v>
      </c>
      <c r="C1476" s="64" t="s">
        <v>4</v>
      </c>
      <c r="D1476" s="64" t="s">
        <v>1760</v>
      </c>
      <c r="E1476" s="42" t="s">
        <v>1788</v>
      </c>
      <c r="F1476" s="42" t="s">
        <v>1787</v>
      </c>
      <c r="G1476" s="42">
        <v>46</v>
      </c>
      <c r="H1476" s="42" t="s">
        <v>647</v>
      </c>
      <c r="I1476" s="42" t="s">
        <v>37</v>
      </c>
      <c r="J1476" s="42">
        <v>10000</v>
      </c>
    </row>
    <row r="1477" spans="1:22">
      <c r="A1477" s="61" t="s">
        <v>1787</v>
      </c>
      <c r="C1477" s="64" t="s">
        <v>4</v>
      </c>
      <c r="D1477" s="64" t="s">
        <v>1760</v>
      </c>
      <c r="E1477" s="42" t="s">
        <v>1788</v>
      </c>
      <c r="F1477" s="42" t="s">
        <v>1787</v>
      </c>
      <c r="G1477" s="42">
        <v>47</v>
      </c>
      <c r="H1477" s="42" t="s">
        <v>649</v>
      </c>
      <c r="I1477" s="42" t="s">
        <v>37</v>
      </c>
      <c r="J1477" s="42">
        <v>20000</v>
      </c>
    </row>
    <row r="1478" spans="1:22">
      <c r="A1478" s="61" t="s">
        <v>1787</v>
      </c>
      <c r="C1478" s="64" t="s">
        <v>4</v>
      </c>
      <c r="D1478" s="64" t="s">
        <v>1760</v>
      </c>
      <c r="E1478" s="42" t="s">
        <v>1788</v>
      </c>
      <c r="F1478" s="42" t="s">
        <v>1787</v>
      </c>
      <c r="G1478" s="42">
        <v>48</v>
      </c>
      <c r="H1478" s="42" t="s">
        <v>651</v>
      </c>
      <c r="I1478" s="42" t="s">
        <v>37</v>
      </c>
      <c r="J1478" s="42">
        <v>10000</v>
      </c>
    </row>
    <row r="1479" spans="1:22">
      <c r="A1479" s="61" t="s">
        <v>1787</v>
      </c>
      <c r="C1479" s="64" t="s">
        <v>4</v>
      </c>
      <c r="D1479" s="64" t="s">
        <v>1760</v>
      </c>
      <c r="E1479" s="42" t="s">
        <v>1788</v>
      </c>
      <c r="F1479" s="42" t="s">
        <v>1787</v>
      </c>
      <c r="G1479" s="42">
        <v>49</v>
      </c>
      <c r="H1479" s="42" t="s">
        <v>921</v>
      </c>
      <c r="I1479" s="42" t="s">
        <v>37</v>
      </c>
      <c r="J1479" s="42">
        <v>35000</v>
      </c>
    </row>
    <row r="1480" spans="1:22">
      <c r="A1480" s="61" t="s">
        <v>1787</v>
      </c>
      <c r="C1480" s="64" t="s">
        <v>4</v>
      </c>
      <c r="D1480" s="64" t="s">
        <v>1760</v>
      </c>
      <c r="E1480" s="42" t="s">
        <v>1788</v>
      </c>
      <c r="F1480" s="42" t="s">
        <v>1787</v>
      </c>
      <c r="G1480" s="42">
        <v>50</v>
      </c>
      <c r="H1480" s="42" t="s">
        <v>631</v>
      </c>
      <c r="I1480" s="42" t="s">
        <v>37</v>
      </c>
      <c r="J1480" s="42">
        <v>45000</v>
      </c>
    </row>
    <row r="1481" spans="1:22">
      <c r="A1481" s="61" t="s">
        <v>1787</v>
      </c>
      <c r="C1481" s="64" t="s">
        <v>4</v>
      </c>
      <c r="D1481" s="64" t="s">
        <v>1760</v>
      </c>
      <c r="E1481" s="42" t="s">
        <v>1788</v>
      </c>
      <c r="F1481" s="42" t="s">
        <v>1787</v>
      </c>
      <c r="G1481" s="42">
        <v>51</v>
      </c>
      <c r="H1481" s="42" t="s">
        <v>707</v>
      </c>
      <c r="I1481" s="42" t="s">
        <v>37</v>
      </c>
      <c r="J1481" s="42">
        <v>40000</v>
      </c>
    </row>
    <row r="1482" spans="1:22">
      <c r="A1482" s="61" t="s">
        <v>1787</v>
      </c>
      <c r="C1482" s="64" t="s">
        <v>4</v>
      </c>
      <c r="D1482" s="64" t="s">
        <v>1760</v>
      </c>
      <c r="E1482" s="42" t="s">
        <v>1788</v>
      </c>
      <c r="F1482" s="42" t="s">
        <v>1787</v>
      </c>
      <c r="G1482" s="42">
        <v>52</v>
      </c>
      <c r="H1482" s="42" t="s">
        <v>633</v>
      </c>
      <c r="I1482" s="42" t="s">
        <v>37</v>
      </c>
      <c r="J1482" s="42">
        <v>20000</v>
      </c>
    </row>
    <row r="1483" spans="1:22">
      <c r="A1483" s="61" t="s">
        <v>1787</v>
      </c>
      <c r="C1483" s="64" t="s">
        <v>4</v>
      </c>
      <c r="D1483" s="64" t="s">
        <v>1760</v>
      </c>
      <c r="E1483" s="42" t="s">
        <v>1788</v>
      </c>
      <c r="F1483" s="42" t="s">
        <v>1787</v>
      </c>
      <c r="G1483" s="42">
        <v>53</v>
      </c>
      <c r="H1483" s="42" t="s">
        <v>625</v>
      </c>
      <c r="I1483" s="42" t="s">
        <v>37</v>
      </c>
      <c r="J1483" s="42">
        <v>10000</v>
      </c>
    </row>
    <row r="1484" spans="1:22">
      <c r="A1484" s="61" t="s">
        <v>1787</v>
      </c>
      <c r="C1484" s="64" t="s">
        <v>4</v>
      </c>
      <c r="D1484" s="64" t="s">
        <v>1760</v>
      </c>
      <c r="E1484" s="42" t="s">
        <v>1788</v>
      </c>
      <c r="F1484" s="42" t="s">
        <v>1787</v>
      </c>
      <c r="G1484" s="42">
        <v>54</v>
      </c>
      <c r="H1484" s="42" t="s">
        <v>759</v>
      </c>
      <c r="I1484" s="42" t="s">
        <v>37</v>
      </c>
      <c r="J1484" s="42">
        <v>30000</v>
      </c>
    </row>
    <row r="1485" spans="1:22">
      <c r="A1485" s="61" t="s">
        <v>1787</v>
      </c>
      <c r="C1485" s="64" t="s">
        <v>4</v>
      </c>
      <c r="D1485" s="64" t="s">
        <v>1760</v>
      </c>
      <c r="E1485" s="42" t="s">
        <v>1788</v>
      </c>
      <c r="F1485" s="42" t="s">
        <v>1787</v>
      </c>
      <c r="G1485" s="42">
        <v>55</v>
      </c>
      <c r="H1485" s="42" t="s">
        <v>539</v>
      </c>
      <c r="I1485" s="42" t="s">
        <v>37</v>
      </c>
      <c r="J1485" s="42">
        <v>20000</v>
      </c>
    </row>
    <row r="1486" spans="1:22">
      <c r="A1486" s="61" t="s">
        <v>1787</v>
      </c>
      <c r="C1486" s="64" t="s">
        <v>4</v>
      </c>
      <c r="D1486" s="64" t="s">
        <v>1760</v>
      </c>
      <c r="E1486" s="42" t="s">
        <v>1788</v>
      </c>
      <c r="F1486" s="42" t="s">
        <v>1787</v>
      </c>
      <c r="G1486" s="42">
        <v>56</v>
      </c>
      <c r="H1486" s="42" t="s">
        <v>801</v>
      </c>
      <c r="I1486" s="42" t="s">
        <v>37</v>
      </c>
      <c r="J1486" s="42">
        <v>50000</v>
      </c>
    </row>
    <row r="1487" spans="1:22">
      <c r="A1487" s="61" t="s">
        <v>1787</v>
      </c>
      <c r="C1487" s="64" t="s">
        <v>4</v>
      </c>
      <c r="D1487" s="64" t="s">
        <v>1760</v>
      </c>
      <c r="E1487" s="42" t="s">
        <v>1788</v>
      </c>
      <c r="F1487" s="42" t="s">
        <v>1787</v>
      </c>
      <c r="G1487" s="42">
        <v>57</v>
      </c>
      <c r="H1487" s="42" t="s">
        <v>947</v>
      </c>
      <c r="I1487" s="42" t="s">
        <v>37</v>
      </c>
      <c r="J1487" s="42">
        <v>10000</v>
      </c>
    </row>
    <row r="1488" spans="1:22">
      <c r="A1488" s="61" t="s">
        <v>1787</v>
      </c>
      <c r="C1488" s="64" t="s">
        <v>4</v>
      </c>
      <c r="D1488" s="64" t="s">
        <v>1760</v>
      </c>
      <c r="E1488" s="42" t="s">
        <v>1788</v>
      </c>
      <c r="F1488" s="42" t="s">
        <v>1787</v>
      </c>
      <c r="G1488" s="42">
        <v>58</v>
      </c>
      <c r="H1488" s="42" t="s">
        <v>923</v>
      </c>
      <c r="I1488" s="42" t="s">
        <v>37</v>
      </c>
      <c r="J1488" s="42">
        <v>60000</v>
      </c>
    </row>
    <row r="1489" spans="1:22">
      <c r="A1489" s="61" t="s">
        <v>1787</v>
      </c>
      <c r="C1489" s="64" t="s">
        <v>4</v>
      </c>
      <c r="D1489" s="64" t="s">
        <v>1760</v>
      </c>
      <c r="E1489" s="42" t="s">
        <v>1788</v>
      </c>
      <c r="F1489" s="42" t="s">
        <v>1787</v>
      </c>
      <c r="G1489" s="42">
        <v>59</v>
      </c>
      <c r="H1489" s="42" t="s">
        <v>925</v>
      </c>
      <c r="I1489" s="42" t="s">
        <v>37</v>
      </c>
      <c r="J1489" s="42">
        <v>20000</v>
      </c>
    </row>
    <row r="1490" spans="1:22">
      <c r="A1490" s="61" t="s">
        <v>1787</v>
      </c>
      <c r="C1490" s="64" t="s">
        <v>4</v>
      </c>
      <c r="D1490" s="64" t="s">
        <v>1760</v>
      </c>
      <c r="E1490" s="42" t="s">
        <v>1788</v>
      </c>
      <c r="F1490" s="42" t="s">
        <v>1787</v>
      </c>
      <c r="G1490" s="42">
        <v>60</v>
      </c>
      <c r="H1490" s="42" t="s">
        <v>927</v>
      </c>
      <c r="I1490" s="42" t="s">
        <v>37</v>
      </c>
      <c r="J1490" s="42">
        <v>20000</v>
      </c>
    </row>
    <row r="1491" spans="1:22">
      <c r="A1491" s="61" t="s">
        <v>1789</v>
      </c>
      <c r="C1491" s="64" t="s">
        <v>4</v>
      </c>
      <c r="D1491" s="64" t="s">
        <v>1760</v>
      </c>
      <c r="E1491" s="42" t="s">
        <v>1790</v>
      </c>
      <c r="F1491" s="42" t="s">
        <v>1789</v>
      </c>
      <c r="G1491" s="42">
        <v>32</v>
      </c>
      <c r="H1491" s="42" t="s">
        <v>499</v>
      </c>
      <c r="I1491" s="42" t="s">
        <v>37</v>
      </c>
      <c r="J1491" s="42">
        <v>360</v>
      </c>
    </row>
    <row r="1492" spans="1:22">
      <c r="A1492" s="61" t="s">
        <v>1789</v>
      </c>
      <c r="C1492" s="64" t="s">
        <v>4</v>
      </c>
      <c r="D1492" s="64" t="s">
        <v>1760</v>
      </c>
      <c r="E1492" s="42" t="s">
        <v>1790</v>
      </c>
      <c r="F1492" s="42" t="s">
        <v>1789</v>
      </c>
      <c r="G1492" s="42">
        <v>33</v>
      </c>
      <c r="H1492" s="42" t="s">
        <v>64</v>
      </c>
      <c r="I1492" s="42" t="s">
        <v>37</v>
      </c>
      <c r="J1492" s="42">
        <v>5000</v>
      </c>
    </row>
    <row r="1493" spans="1:22">
      <c r="A1493" s="61" t="s">
        <v>1789</v>
      </c>
      <c r="C1493" s="64" t="s">
        <v>4</v>
      </c>
      <c r="D1493" s="64" t="s">
        <v>1760</v>
      </c>
      <c r="E1493" s="42" t="s">
        <v>1790</v>
      </c>
      <c r="F1493" s="42" t="s">
        <v>1789</v>
      </c>
      <c r="G1493" s="42">
        <v>34</v>
      </c>
      <c r="H1493" s="42" t="s">
        <v>177</v>
      </c>
      <c r="I1493" s="42" t="s">
        <v>37</v>
      </c>
      <c r="J1493" s="42">
        <v>5000</v>
      </c>
    </row>
    <row r="1494" spans="1:22">
      <c r="A1494" s="61" t="s">
        <v>1789</v>
      </c>
      <c r="C1494" s="64" t="s">
        <v>4</v>
      </c>
      <c r="D1494" s="64" t="s">
        <v>1760</v>
      </c>
      <c r="E1494" s="42" t="s">
        <v>1790</v>
      </c>
      <c r="F1494" s="42" t="s">
        <v>1789</v>
      </c>
      <c r="G1494" s="42">
        <v>35</v>
      </c>
      <c r="H1494" s="42" t="s">
        <v>65</v>
      </c>
      <c r="I1494" s="42" t="s">
        <v>37</v>
      </c>
      <c r="J1494" s="42">
        <v>5000</v>
      </c>
    </row>
    <row r="1495" spans="1:22">
      <c r="A1495" s="61" t="s">
        <v>1789</v>
      </c>
      <c r="C1495" s="64" t="s">
        <v>4</v>
      </c>
      <c r="D1495" s="64" t="s">
        <v>1760</v>
      </c>
      <c r="E1495" s="42" t="s">
        <v>1790</v>
      </c>
      <c r="F1495" s="42" t="s">
        <v>1789</v>
      </c>
      <c r="G1495" s="42">
        <v>36</v>
      </c>
      <c r="H1495" s="42" t="s">
        <v>263</v>
      </c>
      <c r="I1495" s="42" t="s">
        <v>37</v>
      </c>
      <c r="J1495" s="42">
        <v>10000</v>
      </c>
    </row>
    <row r="1496" spans="1:22">
      <c r="A1496" s="61" t="s">
        <v>1789</v>
      </c>
      <c r="C1496" s="64" t="s">
        <v>4</v>
      </c>
      <c r="D1496" s="64" t="s">
        <v>1760</v>
      </c>
      <c r="E1496" s="42" t="s">
        <v>1790</v>
      </c>
      <c r="F1496" s="42" t="s">
        <v>1789</v>
      </c>
      <c r="G1496" s="42">
        <v>37</v>
      </c>
      <c r="H1496" s="42" t="s">
        <v>533</v>
      </c>
      <c r="I1496" s="42" t="s">
        <v>37</v>
      </c>
      <c r="J1496" s="42">
        <v>10000</v>
      </c>
    </row>
    <row r="1497" spans="1:22">
      <c r="A1497" s="61" t="s">
        <v>1789</v>
      </c>
      <c r="C1497" s="64" t="s">
        <v>4</v>
      </c>
      <c r="D1497" s="64" t="s">
        <v>1760</v>
      </c>
      <c r="E1497" s="42" t="s">
        <v>1790</v>
      </c>
      <c r="F1497" s="42" t="s">
        <v>1789</v>
      </c>
      <c r="G1497" s="42">
        <v>38</v>
      </c>
      <c r="H1497" s="42" t="s">
        <v>377</v>
      </c>
      <c r="I1497" s="42" t="s">
        <v>37</v>
      </c>
      <c r="J1497" s="42">
        <v>30000</v>
      </c>
    </row>
    <row r="1498" spans="1:22">
      <c r="A1498" s="61" t="s">
        <v>1789</v>
      </c>
      <c r="C1498" s="64" t="s">
        <v>4</v>
      </c>
      <c r="D1498" s="64" t="s">
        <v>1760</v>
      </c>
      <c r="E1498" s="42" t="s">
        <v>1790</v>
      </c>
      <c r="F1498" s="42" t="s">
        <v>1789</v>
      </c>
      <c r="G1498" s="42">
        <v>39</v>
      </c>
      <c r="H1498" s="42" t="s">
        <v>313</v>
      </c>
      <c r="I1498" s="42" t="s">
        <v>37</v>
      </c>
      <c r="J1498" s="42">
        <v>15000</v>
      </c>
    </row>
    <row r="1499" spans="1:22">
      <c r="A1499" s="61" t="s">
        <v>1789</v>
      </c>
      <c r="C1499" s="64" t="s">
        <v>4</v>
      </c>
      <c r="D1499" s="64" t="s">
        <v>1760</v>
      </c>
      <c r="E1499" s="42" t="s">
        <v>1790</v>
      </c>
      <c r="F1499" s="42" t="s">
        <v>1789</v>
      </c>
      <c r="G1499" s="42">
        <v>40</v>
      </c>
      <c r="H1499" s="42" t="s">
        <v>983</v>
      </c>
      <c r="I1499" s="42" t="s">
        <v>37</v>
      </c>
      <c r="J1499" s="42">
        <v>10000</v>
      </c>
    </row>
    <row r="1500" spans="1:22">
      <c r="A1500" s="61" t="s">
        <v>1789</v>
      </c>
      <c r="C1500" s="64" t="s">
        <v>4</v>
      </c>
      <c r="D1500" s="64" t="s">
        <v>1760</v>
      </c>
      <c r="E1500" s="42" t="s">
        <v>1790</v>
      </c>
      <c r="F1500" s="42" t="s">
        <v>1789</v>
      </c>
      <c r="G1500" s="42">
        <v>41</v>
      </c>
      <c r="H1500" s="42" t="s">
        <v>307</v>
      </c>
      <c r="I1500" s="42" t="s">
        <v>37</v>
      </c>
      <c r="J1500" s="42">
        <v>15000</v>
      </c>
    </row>
    <row r="1501" spans="1:22">
      <c r="A1501" s="61" t="s">
        <v>1789</v>
      </c>
      <c r="C1501" s="64" t="s">
        <v>4</v>
      </c>
      <c r="D1501" s="64" t="s">
        <v>1760</v>
      </c>
      <c r="E1501" s="42" t="s">
        <v>1790</v>
      </c>
      <c r="F1501" s="42" t="s">
        <v>1789</v>
      </c>
      <c r="G1501" s="42">
        <v>42</v>
      </c>
      <c r="H1501" s="42" t="s">
        <v>505</v>
      </c>
      <c r="I1501" s="42" t="s">
        <v>37</v>
      </c>
      <c r="J1501" s="42">
        <v>60000</v>
      </c>
    </row>
    <row r="1502" spans="1:22">
      <c r="A1502" s="61" t="s">
        <v>1789</v>
      </c>
      <c r="C1502" s="64" t="s">
        <v>4</v>
      </c>
      <c r="D1502" s="64" t="s">
        <v>1760</v>
      </c>
      <c r="E1502" s="42" t="s">
        <v>1790</v>
      </c>
      <c r="F1502" s="42" t="s">
        <v>1789</v>
      </c>
      <c r="G1502" s="42">
        <v>43</v>
      </c>
      <c r="H1502" s="42" t="s">
        <v>507</v>
      </c>
      <c r="I1502" s="42" t="s">
        <v>37</v>
      </c>
      <c r="J1502" s="42">
        <v>40000</v>
      </c>
    </row>
    <row r="1503" spans="1:22">
      <c r="A1503" s="61" t="s">
        <v>1789</v>
      </c>
      <c r="C1503" s="64" t="s">
        <v>4</v>
      </c>
      <c r="D1503" s="64" t="s">
        <v>1760</v>
      </c>
      <c r="E1503" s="42" t="s">
        <v>1790</v>
      </c>
      <c r="F1503" s="42" t="s">
        <v>1789</v>
      </c>
      <c r="G1503" s="42">
        <v>44</v>
      </c>
      <c r="H1503" s="42" t="s">
        <v>371</v>
      </c>
      <c r="I1503" s="42" t="s">
        <v>37</v>
      </c>
      <c r="J1503" s="42">
        <v>10000</v>
      </c>
    </row>
    <row r="1504" spans="1:22">
      <c r="A1504" s="61" t="s">
        <v>1789</v>
      </c>
      <c r="C1504" s="64" t="s">
        <v>4</v>
      </c>
      <c r="D1504" s="64" t="s">
        <v>1760</v>
      </c>
      <c r="E1504" s="42" t="s">
        <v>1790</v>
      </c>
      <c r="F1504" s="42" t="s">
        <v>1789</v>
      </c>
      <c r="G1504" s="42">
        <v>45</v>
      </c>
      <c r="H1504" s="42" t="s">
        <v>1403</v>
      </c>
      <c r="I1504" s="42" t="s">
        <v>37</v>
      </c>
      <c r="J1504" s="42">
        <v>500</v>
      </c>
    </row>
    <row r="1505" spans="1:22">
      <c r="A1505" s="61" t="s">
        <v>1789</v>
      </c>
      <c r="C1505" s="64" t="s">
        <v>4</v>
      </c>
      <c r="D1505" s="64" t="s">
        <v>1760</v>
      </c>
      <c r="E1505" s="42" t="s">
        <v>1790</v>
      </c>
      <c r="F1505" s="42" t="s">
        <v>1789</v>
      </c>
      <c r="G1505" s="42">
        <v>46</v>
      </c>
      <c r="H1505" s="42" t="s">
        <v>785</v>
      </c>
      <c r="I1505" s="42" t="s">
        <v>37</v>
      </c>
      <c r="J1505" s="42">
        <v>10000</v>
      </c>
    </row>
    <row r="1506" spans="1:22">
      <c r="A1506" s="61" t="s">
        <v>1789</v>
      </c>
      <c r="C1506" s="64" t="s">
        <v>4</v>
      </c>
      <c r="D1506" s="64" t="s">
        <v>1760</v>
      </c>
      <c r="E1506" s="42" t="s">
        <v>1790</v>
      </c>
      <c r="F1506" s="42" t="s">
        <v>1789</v>
      </c>
      <c r="G1506" s="42">
        <v>47</v>
      </c>
      <c r="H1506" s="42" t="s">
        <v>144</v>
      </c>
      <c r="I1506" s="42" t="s">
        <v>37</v>
      </c>
      <c r="J1506" s="42">
        <v>5000</v>
      </c>
    </row>
    <row r="1507" spans="1:22">
      <c r="A1507" s="61" t="s">
        <v>1789</v>
      </c>
      <c r="C1507" s="64" t="s">
        <v>4</v>
      </c>
      <c r="D1507" s="64" t="s">
        <v>1760</v>
      </c>
      <c r="E1507" s="42" t="s">
        <v>1790</v>
      </c>
      <c r="F1507" s="42" t="s">
        <v>1789</v>
      </c>
      <c r="G1507" s="42">
        <v>48</v>
      </c>
      <c r="H1507" s="42" t="s">
        <v>243</v>
      </c>
      <c r="I1507" s="42" t="s">
        <v>37</v>
      </c>
      <c r="J1507" s="42">
        <v>5000</v>
      </c>
    </row>
    <row r="1508" spans="1:22">
      <c r="A1508" s="61" t="s">
        <v>1789</v>
      </c>
      <c r="C1508" s="64" t="s">
        <v>4</v>
      </c>
      <c r="D1508" s="64" t="s">
        <v>1760</v>
      </c>
      <c r="E1508" s="42" t="s">
        <v>1790</v>
      </c>
      <c r="F1508" s="42" t="s">
        <v>1789</v>
      </c>
      <c r="G1508" s="42">
        <v>49</v>
      </c>
      <c r="H1508" s="42" t="s">
        <v>265</v>
      </c>
      <c r="I1508" s="42" t="s">
        <v>37</v>
      </c>
      <c r="J1508" s="42">
        <v>5000</v>
      </c>
    </row>
    <row r="1509" spans="1:22">
      <c r="A1509" s="61" t="s">
        <v>1789</v>
      </c>
      <c r="C1509" s="64" t="s">
        <v>4</v>
      </c>
      <c r="D1509" s="64" t="s">
        <v>1760</v>
      </c>
      <c r="E1509" s="42" t="s">
        <v>1790</v>
      </c>
      <c r="F1509" s="42" t="s">
        <v>1789</v>
      </c>
      <c r="G1509" s="42">
        <v>50</v>
      </c>
      <c r="H1509" s="42" t="s">
        <v>247</v>
      </c>
      <c r="I1509" s="42" t="s">
        <v>37</v>
      </c>
      <c r="J1509" s="42">
        <v>5000</v>
      </c>
    </row>
    <row r="1510" spans="1:22">
      <c r="A1510" s="61" t="s">
        <v>1789</v>
      </c>
      <c r="C1510" s="64" t="s">
        <v>4</v>
      </c>
      <c r="D1510" s="64" t="s">
        <v>1760</v>
      </c>
      <c r="E1510" s="42" t="s">
        <v>1790</v>
      </c>
      <c r="F1510" s="42" t="s">
        <v>1789</v>
      </c>
      <c r="G1510" s="42">
        <v>51</v>
      </c>
      <c r="H1510" s="42" t="s">
        <v>525</v>
      </c>
      <c r="I1510" s="42" t="s">
        <v>37</v>
      </c>
      <c r="J1510" s="42">
        <v>16000</v>
      </c>
    </row>
    <row r="1511" spans="1:22">
      <c r="A1511" s="61" t="s">
        <v>1789</v>
      </c>
      <c r="C1511" s="64" t="s">
        <v>4</v>
      </c>
      <c r="D1511" s="64" t="s">
        <v>1760</v>
      </c>
      <c r="E1511" s="42" t="s">
        <v>1790</v>
      </c>
      <c r="F1511" s="42" t="s">
        <v>1789</v>
      </c>
      <c r="G1511" s="42">
        <v>52</v>
      </c>
      <c r="H1511" s="42" t="s">
        <v>148</v>
      </c>
      <c r="I1511" s="42" t="s">
        <v>37</v>
      </c>
      <c r="J1511" s="42">
        <v>40000</v>
      </c>
    </row>
    <row r="1512" spans="1:22">
      <c r="A1512" s="61" t="s">
        <v>1789</v>
      </c>
      <c r="C1512" s="64" t="s">
        <v>4</v>
      </c>
      <c r="D1512" s="64" t="s">
        <v>1760</v>
      </c>
      <c r="E1512" s="42" t="s">
        <v>1790</v>
      </c>
      <c r="F1512" s="42" t="s">
        <v>1789</v>
      </c>
      <c r="G1512" s="42">
        <v>53</v>
      </c>
      <c r="H1512" s="42" t="s">
        <v>221</v>
      </c>
      <c r="I1512" s="42" t="s">
        <v>37</v>
      </c>
      <c r="J1512" s="42">
        <v>140000</v>
      </c>
    </row>
    <row r="1513" spans="1:22">
      <c r="A1513" s="61" t="s">
        <v>1789</v>
      </c>
      <c r="C1513" s="64" t="s">
        <v>4</v>
      </c>
      <c r="D1513" s="64" t="s">
        <v>1760</v>
      </c>
      <c r="E1513" s="42" t="s">
        <v>1790</v>
      </c>
      <c r="F1513" s="42" t="s">
        <v>1789</v>
      </c>
      <c r="G1513" s="42">
        <v>54</v>
      </c>
      <c r="H1513" s="42" t="s">
        <v>149</v>
      </c>
      <c r="I1513" s="42" t="s">
        <v>37</v>
      </c>
      <c r="J1513" s="42">
        <v>5000</v>
      </c>
    </row>
    <row r="1514" spans="1:22">
      <c r="A1514" s="61" t="s">
        <v>1789</v>
      </c>
      <c r="C1514" s="64" t="s">
        <v>4</v>
      </c>
      <c r="D1514" s="64" t="s">
        <v>1760</v>
      </c>
      <c r="E1514" s="42" t="s">
        <v>1790</v>
      </c>
      <c r="F1514" s="42" t="s">
        <v>1789</v>
      </c>
      <c r="G1514" s="42">
        <v>55</v>
      </c>
      <c r="H1514" s="42" t="s">
        <v>241</v>
      </c>
      <c r="I1514" s="42" t="s">
        <v>37</v>
      </c>
      <c r="J1514" s="42">
        <v>5000</v>
      </c>
    </row>
    <row r="1515" spans="1:22">
      <c r="A1515" s="61" t="s">
        <v>1789</v>
      </c>
      <c r="C1515" s="64" t="s">
        <v>4</v>
      </c>
      <c r="D1515" s="64" t="s">
        <v>1760</v>
      </c>
      <c r="E1515" s="42" t="s">
        <v>1790</v>
      </c>
      <c r="F1515" s="42" t="s">
        <v>1789</v>
      </c>
      <c r="G1515" s="42">
        <v>56</v>
      </c>
      <c r="H1515" s="42" t="s">
        <v>151</v>
      </c>
      <c r="I1515" s="42" t="s">
        <v>37</v>
      </c>
      <c r="J1515" s="42">
        <v>10000</v>
      </c>
    </row>
    <row r="1516" spans="1:22">
      <c r="A1516" s="61" t="s">
        <v>1789</v>
      </c>
      <c r="C1516" s="64" t="s">
        <v>4</v>
      </c>
      <c r="D1516" s="64" t="s">
        <v>1760</v>
      </c>
      <c r="E1516" s="42" t="s">
        <v>1790</v>
      </c>
      <c r="F1516" s="42" t="s">
        <v>1789</v>
      </c>
      <c r="G1516" s="42">
        <v>57</v>
      </c>
      <c r="H1516" s="42" t="s">
        <v>301</v>
      </c>
      <c r="I1516" s="42" t="s">
        <v>37</v>
      </c>
      <c r="J1516" s="42">
        <v>20000</v>
      </c>
    </row>
    <row r="1517" spans="1:22">
      <c r="A1517" s="61" t="s">
        <v>1789</v>
      </c>
      <c r="C1517" s="64" t="s">
        <v>4</v>
      </c>
      <c r="D1517" s="64" t="s">
        <v>1760</v>
      </c>
      <c r="E1517" s="42" t="s">
        <v>1790</v>
      </c>
      <c r="F1517" s="42" t="s">
        <v>1789</v>
      </c>
      <c r="G1517" s="42">
        <v>58</v>
      </c>
      <c r="H1517" s="42" t="s">
        <v>152</v>
      </c>
      <c r="I1517" s="42" t="s">
        <v>37</v>
      </c>
      <c r="J1517" s="42">
        <v>10000</v>
      </c>
    </row>
    <row r="1518" spans="1:22">
      <c r="A1518" s="61" t="s">
        <v>1789</v>
      </c>
      <c r="C1518" s="64" t="s">
        <v>4</v>
      </c>
      <c r="D1518" s="64" t="s">
        <v>1760</v>
      </c>
      <c r="E1518" s="42" t="s">
        <v>1790</v>
      </c>
      <c r="F1518" s="42" t="s">
        <v>1789</v>
      </c>
      <c r="G1518" s="42">
        <v>59</v>
      </c>
      <c r="H1518" s="42" t="s">
        <v>795</v>
      </c>
      <c r="I1518" s="42" t="s">
        <v>37</v>
      </c>
      <c r="J1518" s="42">
        <v>10000</v>
      </c>
    </row>
    <row r="1519" spans="1:22">
      <c r="A1519" s="61" t="s">
        <v>1789</v>
      </c>
      <c r="C1519" s="64" t="s">
        <v>4</v>
      </c>
      <c r="D1519" s="64" t="s">
        <v>1760</v>
      </c>
      <c r="E1519" s="42" t="s">
        <v>1790</v>
      </c>
      <c r="F1519" s="42" t="s">
        <v>1789</v>
      </c>
      <c r="G1519" s="42">
        <v>60</v>
      </c>
      <c r="H1519" s="42" t="s">
        <v>153</v>
      </c>
      <c r="I1519" s="42" t="s">
        <v>37</v>
      </c>
      <c r="J1519" s="42">
        <v>40000</v>
      </c>
    </row>
    <row r="1520" spans="1:22">
      <c r="A1520" s="61" t="s">
        <v>1789</v>
      </c>
      <c r="C1520" s="64" t="s">
        <v>4</v>
      </c>
      <c r="D1520" s="64" t="s">
        <v>1760</v>
      </c>
      <c r="E1520" s="42" t="s">
        <v>1790</v>
      </c>
      <c r="F1520" s="42" t="s">
        <v>1789</v>
      </c>
      <c r="G1520" s="42">
        <v>61</v>
      </c>
      <c r="H1520" s="42" t="s">
        <v>617</v>
      </c>
      <c r="I1520" s="42" t="s">
        <v>37</v>
      </c>
      <c r="J1520" s="42">
        <v>20000</v>
      </c>
    </row>
    <row r="1521" spans="1:22">
      <c r="A1521" s="61" t="s">
        <v>1789</v>
      </c>
      <c r="C1521" s="64" t="s">
        <v>4</v>
      </c>
      <c r="D1521" s="64" t="s">
        <v>1760</v>
      </c>
      <c r="E1521" s="42" t="s">
        <v>1790</v>
      </c>
      <c r="F1521" s="42" t="s">
        <v>1789</v>
      </c>
      <c r="G1521" s="42">
        <v>62</v>
      </c>
      <c r="H1521" s="42" t="s">
        <v>497</v>
      </c>
      <c r="I1521" s="42" t="s">
        <v>37</v>
      </c>
      <c r="J1521" s="42">
        <v>40000</v>
      </c>
    </row>
    <row r="1522" spans="1:22">
      <c r="A1522" s="61" t="s">
        <v>1789</v>
      </c>
      <c r="C1522" s="64" t="s">
        <v>4</v>
      </c>
      <c r="D1522" s="64" t="s">
        <v>1760</v>
      </c>
      <c r="E1522" s="42" t="s">
        <v>1790</v>
      </c>
      <c r="F1522" s="42" t="s">
        <v>1789</v>
      </c>
      <c r="G1522" s="42">
        <v>63</v>
      </c>
      <c r="H1522" s="42" t="s">
        <v>154</v>
      </c>
      <c r="I1522" s="42" t="s">
        <v>37</v>
      </c>
      <c r="J1522" s="42">
        <v>5000</v>
      </c>
    </row>
    <row r="1523" spans="1:22">
      <c r="A1523" s="61" t="s">
        <v>1789</v>
      </c>
      <c r="C1523" s="64" t="s">
        <v>4</v>
      </c>
      <c r="D1523" s="64" t="s">
        <v>1760</v>
      </c>
      <c r="E1523" s="42" t="s">
        <v>1790</v>
      </c>
      <c r="F1523" s="42" t="s">
        <v>1789</v>
      </c>
      <c r="G1523" s="42">
        <v>64</v>
      </c>
      <c r="H1523" s="42" t="s">
        <v>331</v>
      </c>
      <c r="I1523" s="42" t="s">
        <v>106</v>
      </c>
      <c r="J1523" s="42">
        <v>37561</v>
      </c>
    </row>
    <row r="1524" spans="1:22">
      <c r="A1524" s="61" t="s">
        <v>1789</v>
      </c>
      <c r="C1524" s="64" t="s">
        <v>4</v>
      </c>
      <c r="D1524" s="64" t="s">
        <v>1760</v>
      </c>
      <c r="E1524" s="42" t="s">
        <v>1790</v>
      </c>
      <c r="F1524" s="42" t="s">
        <v>1789</v>
      </c>
      <c r="G1524" s="42">
        <v>65</v>
      </c>
      <c r="H1524" s="42" t="s">
        <v>174</v>
      </c>
      <c r="I1524" s="42" t="s">
        <v>102</v>
      </c>
      <c r="J1524" s="42">
        <v>139903</v>
      </c>
    </row>
    <row r="1525" spans="1:22">
      <c r="A1525" s="61" t="s">
        <v>1789</v>
      </c>
      <c r="C1525" s="64" t="s">
        <v>4</v>
      </c>
      <c r="D1525" s="64" t="s">
        <v>1760</v>
      </c>
      <c r="E1525" s="42" t="s">
        <v>1791</v>
      </c>
      <c r="F1525" s="42" t="s">
        <v>1789</v>
      </c>
      <c r="G1525" s="42">
        <v>1</v>
      </c>
      <c r="H1525" s="42" t="s">
        <v>477</v>
      </c>
      <c r="I1525" s="42" t="s">
        <v>106</v>
      </c>
      <c r="J1525" s="42">
        <v>80000</v>
      </c>
    </row>
    <row r="1526" spans="1:22">
      <c r="A1526" s="61" t="s">
        <v>1789</v>
      </c>
      <c r="C1526" s="64" t="s">
        <v>4</v>
      </c>
      <c r="D1526" s="64" t="s">
        <v>1760</v>
      </c>
      <c r="E1526" s="42" t="s">
        <v>1791</v>
      </c>
      <c r="F1526" s="42" t="s">
        <v>1789</v>
      </c>
      <c r="G1526" s="42">
        <v>2</v>
      </c>
      <c r="H1526" s="42" t="s">
        <v>1366</v>
      </c>
      <c r="I1526" s="42" t="s">
        <v>106</v>
      </c>
      <c r="J1526" s="42">
        <v>40000</v>
      </c>
    </row>
    <row r="1527" spans="1:22">
      <c r="A1527" s="61" t="s">
        <v>1789</v>
      </c>
      <c r="C1527" s="64" t="s">
        <v>4</v>
      </c>
      <c r="D1527" s="64" t="s">
        <v>1760</v>
      </c>
      <c r="E1527" s="42" t="s">
        <v>1791</v>
      </c>
      <c r="F1527" s="42" t="s">
        <v>1789</v>
      </c>
      <c r="G1527" s="42">
        <v>3</v>
      </c>
      <c r="H1527" s="42" t="s">
        <v>1386</v>
      </c>
      <c r="I1527" s="42" t="s">
        <v>106</v>
      </c>
      <c r="J1527" s="42">
        <v>20000</v>
      </c>
    </row>
    <row r="1528" spans="1:22">
      <c r="A1528" s="61" t="s">
        <v>1789</v>
      </c>
      <c r="C1528" s="64" t="s">
        <v>4</v>
      </c>
      <c r="D1528" s="64" t="s">
        <v>1760</v>
      </c>
      <c r="E1528" s="42" t="s">
        <v>1791</v>
      </c>
      <c r="F1528" s="42" t="s">
        <v>1789</v>
      </c>
      <c r="G1528" s="42">
        <v>4</v>
      </c>
      <c r="H1528" s="42" t="s">
        <v>104</v>
      </c>
      <c r="I1528" s="42" t="s">
        <v>106</v>
      </c>
      <c r="J1528" s="42">
        <v>20000</v>
      </c>
    </row>
    <row r="1529" spans="1:22">
      <c r="A1529" s="61" t="s">
        <v>1789</v>
      </c>
      <c r="C1529" s="64" t="s">
        <v>4</v>
      </c>
      <c r="D1529" s="64" t="s">
        <v>1760</v>
      </c>
      <c r="E1529" s="42" t="s">
        <v>1791</v>
      </c>
      <c r="F1529" s="42" t="s">
        <v>1789</v>
      </c>
      <c r="G1529" s="42">
        <v>5</v>
      </c>
      <c r="H1529" s="42" t="s">
        <v>305</v>
      </c>
      <c r="I1529" s="42" t="s">
        <v>106</v>
      </c>
      <c r="J1529" s="42">
        <v>20000</v>
      </c>
    </row>
    <row r="1530" spans="1:22">
      <c r="A1530" s="61" t="s">
        <v>1789</v>
      </c>
      <c r="C1530" s="64" t="s">
        <v>4</v>
      </c>
      <c r="D1530" s="64" t="s">
        <v>1760</v>
      </c>
      <c r="E1530" s="42" t="s">
        <v>1791</v>
      </c>
      <c r="F1530" s="42" t="s">
        <v>1789</v>
      </c>
      <c r="G1530" s="42">
        <v>6</v>
      </c>
      <c r="H1530" s="42" t="s">
        <v>114</v>
      </c>
      <c r="I1530" s="42" t="s">
        <v>106</v>
      </c>
      <c r="J1530" s="42">
        <v>82756</v>
      </c>
    </row>
    <row r="1531" spans="1:22">
      <c r="A1531" s="61" t="s">
        <v>1789</v>
      </c>
      <c r="C1531" s="64" t="s">
        <v>4</v>
      </c>
      <c r="D1531" s="64" t="s">
        <v>1760</v>
      </c>
      <c r="E1531" s="42" t="s">
        <v>1791</v>
      </c>
      <c r="F1531" s="42" t="s">
        <v>1789</v>
      </c>
      <c r="G1531" s="42">
        <v>7</v>
      </c>
      <c r="H1531" s="42" t="s">
        <v>273</v>
      </c>
      <c r="I1531" s="42" t="s">
        <v>113</v>
      </c>
      <c r="J1531" s="42">
        <v>5000</v>
      </c>
    </row>
    <row r="1532" spans="1:22">
      <c r="A1532" s="61" t="s">
        <v>1789</v>
      </c>
      <c r="C1532" s="64" t="s">
        <v>4</v>
      </c>
      <c r="D1532" s="64" t="s">
        <v>1760</v>
      </c>
      <c r="E1532" s="42" t="s">
        <v>1791</v>
      </c>
      <c r="F1532" s="42" t="s">
        <v>1789</v>
      </c>
      <c r="G1532" s="42">
        <v>8</v>
      </c>
      <c r="H1532" s="42" t="s">
        <v>467</v>
      </c>
      <c r="I1532" s="42" t="s">
        <v>113</v>
      </c>
      <c r="J1532" s="42">
        <v>600</v>
      </c>
    </row>
    <row r="1533" spans="1:22">
      <c r="A1533" s="61" t="s">
        <v>1789</v>
      </c>
      <c r="C1533" s="64" t="s">
        <v>4</v>
      </c>
      <c r="D1533" s="64" t="s">
        <v>1760</v>
      </c>
      <c r="E1533" s="42" t="s">
        <v>1791</v>
      </c>
      <c r="F1533" s="42" t="s">
        <v>1789</v>
      </c>
      <c r="G1533" s="42">
        <v>9</v>
      </c>
      <c r="H1533" s="42" t="s">
        <v>289</v>
      </c>
      <c r="I1533" s="42" t="s">
        <v>113</v>
      </c>
      <c r="J1533" s="42">
        <v>2000</v>
      </c>
    </row>
    <row r="1534" spans="1:22">
      <c r="A1534" s="61" t="s">
        <v>1789</v>
      </c>
      <c r="C1534" s="64" t="s">
        <v>4</v>
      </c>
      <c r="D1534" s="64" t="s">
        <v>1760</v>
      </c>
      <c r="E1534" s="42" t="s">
        <v>1791</v>
      </c>
      <c r="F1534" s="42" t="s">
        <v>1789</v>
      </c>
      <c r="G1534" s="42">
        <v>10</v>
      </c>
      <c r="H1534" s="42" t="s">
        <v>545</v>
      </c>
      <c r="I1534" s="42" t="s">
        <v>113</v>
      </c>
      <c r="J1534" s="42">
        <v>10000</v>
      </c>
    </row>
    <row r="1535" spans="1:22">
      <c r="A1535" s="61" t="s">
        <v>1789</v>
      </c>
      <c r="C1535" s="64" t="s">
        <v>4</v>
      </c>
      <c r="D1535" s="64" t="s">
        <v>1760</v>
      </c>
      <c r="E1535" s="42" t="s">
        <v>1791</v>
      </c>
      <c r="F1535" s="42" t="s">
        <v>1789</v>
      </c>
      <c r="G1535" s="42">
        <v>11</v>
      </c>
      <c r="H1535" s="42" t="s">
        <v>1275</v>
      </c>
      <c r="I1535" s="42" t="s">
        <v>113</v>
      </c>
      <c r="J1535" s="42">
        <v>10000</v>
      </c>
    </row>
    <row r="1536" spans="1:22">
      <c r="A1536" s="61" t="s">
        <v>1789</v>
      </c>
      <c r="C1536" s="64" t="s">
        <v>4</v>
      </c>
      <c r="D1536" s="64" t="s">
        <v>1760</v>
      </c>
      <c r="E1536" s="42" t="s">
        <v>1791</v>
      </c>
      <c r="F1536" s="42" t="s">
        <v>1789</v>
      </c>
      <c r="G1536" s="42">
        <v>12</v>
      </c>
      <c r="H1536" s="42" t="s">
        <v>317</v>
      </c>
      <c r="I1536" s="42" t="s">
        <v>113</v>
      </c>
      <c r="J1536" s="42">
        <v>10000</v>
      </c>
    </row>
    <row r="1537" spans="1:22">
      <c r="A1537" s="61" t="s">
        <v>1789</v>
      </c>
      <c r="C1537" s="64" t="s">
        <v>4</v>
      </c>
      <c r="D1537" s="64" t="s">
        <v>1760</v>
      </c>
      <c r="E1537" s="42" t="s">
        <v>1791</v>
      </c>
      <c r="F1537" s="42" t="s">
        <v>1789</v>
      </c>
      <c r="G1537" s="42">
        <v>13</v>
      </c>
      <c r="H1537" s="42" t="s">
        <v>217</v>
      </c>
      <c r="I1537" s="42" t="s">
        <v>113</v>
      </c>
      <c r="J1537" s="42">
        <v>10000</v>
      </c>
    </row>
    <row r="1538" spans="1:22">
      <c r="A1538" s="61" t="s">
        <v>1789</v>
      </c>
      <c r="C1538" s="64" t="s">
        <v>4</v>
      </c>
      <c r="D1538" s="64" t="s">
        <v>1760</v>
      </c>
      <c r="E1538" s="42" t="s">
        <v>1791</v>
      </c>
      <c r="F1538" s="42" t="s">
        <v>1789</v>
      </c>
      <c r="G1538" s="42">
        <v>14</v>
      </c>
      <c r="H1538" s="42" t="s">
        <v>771</v>
      </c>
      <c r="I1538" s="42" t="s">
        <v>113</v>
      </c>
      <c r="J1538" s="42">
        <v>15000</v>
      </c>
    </row>
    <row r="1539" spans="1:22">
      <c r="A1539" s="61" t="s">
        <v>1789</v>
      </c>
      <c r="C1539" s="64" t="s">
        <v>4</v>
      </c>
      <c r="D1539" s="64" t="s">
        <v>1760</v>
      </c>
      <c r="E1539" s="42" t="s">
        <v>1791</v>
      </c>
      <c r="F1539" s="42" t="s">
        <v>1789</v>
      </c>
      <c r="G1539" s="42">
        <v>15</v>
      </c>
      <c r="H1539" s="42" t="s">
        <v>163</v>
      </c>
      <c r="I1539" s="42" t="s">
        <v>113</v>
      </c>
      <c r="J1539" s="42">
        <v>10000</v>
      </c>
    </row>
    <row r="1540" spans="1:22">
      <c r="A1540" s="61" t="s">
        <v>1789</v>
      </c>
      <c r="C1540" s="64" t="s">
        <v>4</v>
      </c>
      <c r="D1540" s="64" t="s">
        <v>1760</v>
      </c>
      <c r="E1540" s="42" t="s">
        <v>1791</v>
      </c>
      <c r="F1540" s="42" t="s">
        <v>1789</v>
      </c>
      <c r="G1540" s="42">
        <v>16</v>
      </c>
      <c r="H1540" s="42" t="s">
        <v>165</v>
      </c>
      <c r="I1540" s="42" t="s">
        <v>113</v>
      </c>
      <c r="J1540" s="42">
        <v>20000</v>
      </c>
    </row>
    <row r="1541" spans="1:22">
      <c r="A1541" s="61" t="s">
        <v>1789</v>
      </c>
      <c r="C1541" s="64" t="s">
        <v>4</v>
      </c>
      <c r="D1541" s="64" t="s">
        <v>1760</v>
      </c>
      <c r="E1541" s="42" t="s">
        <v>1791</v>
      </c>
      <c r="F1541" s="42" t="s">
        <v>1789</v>
      </c>
      <c r="G1541" s="42">
        <v>17</v>
      </c>
      <c r="H1541" s="42" t="s">
        <v>167</v>
      </c>
      <c r="I1541" s="42" t="s">
        <v>113</v>
      </c>
      <c r="J1541" s="42">
        <v>30000</v>
      </c>
    </row>
    <row r="1542" spans="1:22">
      <c r="A1542" s="61" t="s">
        <v>1789</v>
      </c>
      <c r="C1542" s="64" t="s">
        <v>4</v>
      </c>
      <c r="D1542" s="64" t="s">
        <v>1760</v>
      </c>
      <c r="E1542" s="42" t="s">
        <v>1791</v>
      </c>
      <c r="F1542" s="42" t="s">
        <v>1789</v>
      </c>
      <c r="G1542" s="42">
        <v>18</v>
      </c>
      <c r="H1542" s="42" t="s">
        <v>168</v>
      </c>
      <c r="I1542" s="42" t="s">
        <v>113</v>
      </c>
      <c r="J1542" s="42">
        <v>20000</v>
      </c>
    </row>
    <row r="1543" spans="1:22">
      <c r="A1543" s="61" t="s">
        <v>1789</v>
      </c>
      <c r="C1543" s="64" t="s">
        <v>4</v>
      </c>
      <c r="D1543" s="64" t="s">
        <v>1760</v>
      </c>
      <c r="E1543" s="42" t="s">
        <v>1791</v>
      </c>
      <c r="F1543" s="42" t="s">
        <v>1789</v>
      </c>
      <c r="G1543" s="42">
        <v>19</v>
      </c>
      <c r="H1543" s="42" t="s">
        <v>555</v>
      </c>
      <c r="I1543" s="42" t="s">
        <v>113</v>
      </c>
      <c r="J1543" s="42">
        <v>6000</v>
      </c>
    </row>
    <row r="1544" spans="1:22">
      <c r="A1544" s="61" t="s">
        <v>1789</v>
      </c>
      <c r="C1544" s="64" t="s">
        <v>4</v>
      </c>
      <c r="D1544" s="64" t="s">
        <v>1760</v>
      </c>
      <c r="E1544" s="42" t="s">
        <v>1791</v>
      </c>
      <c r="F1544" s="42" t="s">
        <v>1789</v>
      </c>
      <c r="G1544" s="42">
        <v>20</v>
      </c>
      <c r="H1544" s="42" t="s">
        <v>1123</v>
      </c>
      <c r="I1544" s="42" t="s">
        <v>113</v>
      </c>
      <c r="J1544" s="42">
        <v>26000</v>
      </c>
    </row>
    <row r="1545" spans="1:22">
      <c r="A1545" s="61" t="s">
        <v>1789</v>
      </c>
      <c r="C1545" s="64" t="s">
        <v>4</v>
      </c>
      <c r="D1545" s="64" t="s">
        <v>1760</v>
      </c>
      <c r="E1545" s="42" t="s">
        <v>1791</v>
      </c>
      <c r="F1545" s="42" t="s">
        <v>1789</v>
      </c>
      <c r="G1545" s="42">
        <v>21</v>
      </c>
      <c r="H1545" s="42" t="s">
        <v>463</v>
      </c>
      <c r="I1545" s="42" t="s">
        <v>102</v>
      </c>
      <c r="J1545" s="42">
        <v>61422</v>
      </c>
    </row>
    <row r="1546" spans="1:22">
      <c r="A1546" s="61" t="s">
        <v>1789</v>
      </c>
      <c r="C1546" s="64" t="s">
        <v>4</v>
      </c>
      <c r="D1546" s="64" t="s">
        <v>1760</v>
      </c>
      <c r="E1546" s="42" t="s">
        <v>1791</v>
      </c>
      <c r="F1546" s="42" t="s">
        <v>1789</v>
      </c>
      <c r="G1546" s="42">
        <v>22</v>
      </c>
      <c r="H1546" s="42" t="s">
        <v>187</v>
      </c>
      <c r="I1546" s="42" t="s">
        <v>102</v>
      </c>
      <c r="J1546" s="42">
        <v>10000</v>
      </c>
    </row>
    <row r="1547" spans="1:22">
      <c r="A1547" s="61" t="s">
        <v>1789</v>
      </c>
      <c r="C1547" s="64" t="s">
        <v>4</v>
      </c>
      <c r="D1547" s="64" t="s">
        <v>1760</v>
      </c>
      <c r="E1547" s="42" t="s">
        <v>1791</v>
      </c>
      <c r="F1547" s="42" t="s">
        <v>1789</v>
      </c>
      <c r="G1547" s="42">
        <v>23</v>
      </c>
      <c r="H1547" s="42" t="s">
        <v>143</v>
      </c>
      <c r="I1547" s="42" t="s">
        <v>102</v>
      </c>
      <c r="J1547" s="42">
        <v>1000</v>
      </c>
    </row>
    <row r="1548" spans="1:22">
      <c r="A1548" s="61" t="s">
        <v>1789</v>
      </c>
      <c r="C1548" s="64" t="s">
        <v>4</v>
      </c>
      <c r="D1548" s="64" t="s">
        <v>1760</v>
      </c>
      <c r="E1548" s="42" t="s">
        <v>1791</v>
      </c>
      <c r="F1548" s="42" t="s">
        <v>1789</v>
      </c>
      <c r="G1548" s="42">
        <v>24</v>
      </c>
      <c r="H1548" s="42" t="s">
        <v>169</v>
      </c>
      <c r="I1548" s="42" t="s">
        <v>102</v>
      </c>
      <c r="J1548" s="42">
        <v>30000</v>
      </c>
    </row>
    <row r="1549" spans="1:22">
      <c r="A1549" s="61" t="s">
        <v>1789</v>
      </c>
      <c r="C1549" s="64" t="s">
        <v>4</v>
      </c>
      <c r="D1549" s="64" t="s">
        <v>1760</v>
      </c>
      <c r="E1549" s="42" t="s">
        <v>1791</v>
      </c>
      <c r="F1549" s="42" t="s">
        <v>1789</v>
      </c>
      <c r="G1549" s="42">
        <v>25</v>
      </c>
      <c r="H1549" s="42" t="s">
        <v>973</v>
      </c>
      <c r="I1549" s="42" t="s">
        <v>102</v>
      </c>
      <c r="J1549" s="42">
        <v>4000</v>
      </c>
    </row>
    <row r="1550" spans="1:22">
      <c r="A1550" s="61" t="s">
        <v>1789</v>
      </c>
      <c r="C1550" s="64" t="s">
        <v>4</v>
      </c>
      <c r="D1550" s="64" t="s">
        <v>1760</v>
      </c>
      <c r="E1550" s="42" t="s">
        <v>1791</v>
      </c>
      <c r="F1550" s="42" t="s">
        <v>1789</v>
      </c>
      <c r="G1550" s="42">
        <v>26</v>
      </c>
      <c r="H1550" s="42" t="s">
        <v>171</v>
      </c>
      <c r="I1550" s="42" t="s">
        <v>102</v>
      </c>
      <c r="J1550" s="42">
        <v>30000</v>
      </c>
    </row>
    <row r="1551" spans="1:22">
      <c r="A1551" s="61" t="s">
        <v>1789</v>
      </c>
      <c r="C1551" s="64" t="s">
        <v>4</v>
      </c>
      <c r="D1551" s="64" t="s">
        <v>1760</v>
      </c>
      <c r="E1551" s="42" t="s">
        <v>1791</v>
      </c>
      <c r="F1551" s="42" t="s">
        <v>1789</v>
      </c>
      <c r="G1551" s="42">
        <v>27</v>
      </c>
      <c r="H1551" s="42" t="s">
        <v>35</v>
      </c>
      <c r="I1551" s="42" t="s">
        <v>37</v>
      </c>
      <c r="J1551" s="42">
        <v>5000</v>
      </c>
    </row>
    <row r="1552" spans="1:22">
      <c r="A1552" s="61" t="s">
        <v>1789</v>
      </c>
      <c r="C1552" s="64" t="s">
        <v>4</v>
      </c>
      <c r="D1552" s="64" t="s">
        <v>1760</v>
      </c>
      <c r="E1552" s="42" t="s">
        <v>1791</v>
      </c>
      <c r="F1552" s="42" t="s">
        <v>1789</v>
      </c>
      <c r="G1552" s="42">
        <v>28</v>
      </c>
      <c r="H1552" s="42" t="s">
        <v>43</v>
      </c>
      <c r="I1552" s="42" t="s">
        <v>37</v>
      </c>
      <c r="J1552" s="42">
        <v>10000</v>
      </c>
    </row>
    <row r="1553" spans="1:22">
      <c r="A1553" s="61" t="s">
        <v>1789</v>
      </c>
      <c r="C1553" s="64" t="s">
        <v>4</v>
      </c>
      <c r="D1553" s="64" t="s">
        <v>1760</v>
      </c>
      <c r="E1553" s="42" t="s">
        <v>1791</v>
      </c>
      <c r="F1553" s="42" t="s">
        <v>1789</v>
      </c>
      <c r="G1553" s="42">
        <v>29</v>
      </c>
      <c r="H1553" s="42" t="s">
        <v>47</v>
      </c>
      <c r="I1553" s="42" t="s">
        <v>37</v>
      </c>
      <c r="J1553" s="42">
        <v>10000</v>
      </c>
    </row>
    <row r="1554" spans="1:22">
      <c r="A1554" s="61" t="s">
        <v>1789</v>
      </c>
      <c r="C1554" s="64" t="s">
        <v>4</v>
      </c>
      <c r="D1554" s="64" t="s">
        <v>1760</v>
      </c>
      <c r="E1554" s="42" t="s">
        <v>1791</v>
      </c>
      <c r="F1554" s="42" t="s">
        <v>1789</v>
      </c>
      <c r="G1554" s="42">
        <v>30</v>
      </c>
      <c r="H1554" s="42" t="s">
        <v>50</v>
      </c>
      <c r="I1554" s="42" t="s">
        <v>37</v>
      </c>
      <c r="J1554" s="42">
        <v>5000</v>
      </c>
    </row>
    <row r="1555" spans="1:22">
      <c r="A1555" s="61" t="s">
        <v>1789</v>
      </c>
      <c r="C1555" s="64" t="s">
        <v>4</v>
      </c>
      <c r="D1555" s="64" t="s">
        <v>1760</v>
      </c>
      <c r="E1555" s="42" t="s">
        <v>1791</v>
      </c>
      <c r="F1555" s="42" t="s">
        <v>1789</v>
      </c>
      <c r="G1555" s="42">
        <v>31</v>
      </c>
      <c r="H1555" s="42" t="s">
        <v>215</v>
      </c>
      <c r="I1555" s="42" t="s">
        <v>37</v>
      </c>
      <c r="J1555" s="42">
        <v>10000</v>
      </c>
    </row>
    <row r="1556" spans="1:22">
      <c r="A1556" s="61" t="s">
        <v>1789</v>
      </c>
      <c r="C1556" s="64" t="s">
        <v>4</v>
      </c>
      <c r="D1556" s="64" t="s">
        <v>1760</v>
      </c>
      <c r="E1556" s="42" t="s">
        <v>1791</v>
      </c>
      <c r="F1556" s="42" t="s">
        <v>1789</v>
      </c>
      <c r="G1556" s="42">
        <v>32</v>
      </c>
      <c r="H1556" s="42" t="s">
        <v>51</v>
      </c>
      <c r="I1556" s="42" t="s">
        <v>37</v>
      </c>
      <c r="J1556" s="42">
        <v>10000</v>
      </c>
    </row>
    <row r="1557" spans="1:22">
      <c r="A1557" s="61" t="s">
        <v>1789</v>
      </c>
      <c r="C1557" s="64" t="s">
        <v>4</v>
      </c>
      <c r="D1557" s="64" t="s">
        <v>1760</v>
      </c>
      <c r="E1557" s="42" t="s">
        <v>1791</v>
      </c>
      <c r="F1557" s="42" t="s">
        <v>1789</v>
      </c>
      <c r="G1557" s="42">
        <v>33</v>
      </c>
      <c r="H1557" s="42" t="s">
        <v>225</v>
      </c>
      <c r="I1557" s="42" t="s">
        <v>37</v>
      </c>
      <c r="J1557" s="42">
        <v>5000</v>
      </c>
    </row>
    <row r="1558" spans="1:22">
      <c r="A1558" s="61" t="s">
        <v>1789</v>
      </c>
      <c r="C1558" s="64" t="s">
        <v>4</v>
      </c>
      <c r="D1558" s="64" t="s">
        <v>1760</v>
      </c>
      <c r="E1558" s="42" t="s">
        <v>1791</v>
      </c>
      <c r="F1558" s="42" t="s">
        <v>1789</v>
      </c>
      <c r="G1558" s="42">
        <v>34</v>
      </c>
      <c r="H1558" s="42" t="s">
        <v>183</v>
      </c>
      <c r="I1558" s="42" t="s">
        <v>37</v>
      </c>
      <c r="J1558" s="42">
        <v>30000</v>
      </c>
    </row>
    <row r="1559" spans="1:22">
      <c r="A1559" s="61" t="s">
        <v>1789</v>
      </c>
      <c r="C1559" s="64" t="s">
        <v>4</v>
      </c>
      <c r="D1559" s="64" t="s">
        <v>1760</v>
      </c>
      <c r="E1559" s="42" t="s">
        <v>1791</v>
      </c>
      <c r="F1559" s="42" t="s">
        <v>1789</v>
      </c>
      <c r="G1559" s="42">
        <v>35</v>
      </c>
      <c r="H1559" s="42" t="s">
        <v>185</v>
      </c>
      <c r="I1559" s="42" t="s">
        <v>37</v>
      </c>
      <c r="J1559" s="42">
        <v>10000</v>
      </c>
    </row>
    <row r="1560" spans="1:22">
      <c r="A1560" s="61" t="s">
        <v>1789</v>
      </c>
      <c r="C1560" s="64" t="s">
        <v>4</v>
      </c>
      <c r="D1560" s="64" t="s">
        <v>1760</v>
      </c>
      <c r="E1560" s="42" t="s">
        <v>1791</v>
      </c>
      <c r="F1560" s="42" t="s">
        <v>1789</v>
      </c>
      <c r="G1560" s="42">
        <v>36</v>
      </c>
      <c r="H1560" s="42" t="s">
        <v>337</v>
      </c>
      <c r="I1560" s="42" t="s">
        <v>37</v>
      </c>
      <c r="J1560" s="42">
        <v>30000</v>
      </c>
    </row>
    <row r="1561" spans="1:22">
      <c r="A1561" s="61" t="s">
        <v>1789</v>
      </c>
      <c r="C1561" s="64" t="s">
        <v>4</v>
      </c>
      <c r="D1561" s="64" t="s">
        <v>1760</v>
      </c>
      <c r="E1561" s="42" t="s">
        <v>1791</v>
      </c>
      <c r="F1561" s="42" t="s">
        <v>1789</v>
      </c>
      <c r="G1561" s="42">
        <v>37</v>
      </c>
      <c r="H1561" s="42" t="s">
        <v>333</v>
      </c>
      <c r="I1561" s="42" t="s">
        <v>37</v>
      </c>
      <c r="J1561" s="42">
        <v>20000</v>
      </c>
    </row>
    <row r="1562" spans="1:22">
      <c r="A1562" s="61" t="s">
        <v>1789</v>
      </c>
      <c r="C1562" s="64" t="s">
        <v>4</v>
      </c>
      <c r="D1562" s="64" t="s">
        <v>1760</v>
      </c>
      <c r="E1562" s="42" t="s">
        <v>1791</v>
      </c>
      <c r="F1562" s="42" t="s">
        <v>1789</v>
      </c>
      <c r="G1562" s="42">
        <v>38</v>
      </c>
      <c r="H1562" s="42" t="s">
        <v>207</v>
      </c>
      <c r="I1562" s="42" t="s">
        <v>37</v>
      </c>
      <c r="J1562" s="42">
        <v>10000</v>
      </c>
    </row>
    <row r="1563" spans="1:22">
      <c r="A1563" s="61" t="s">
        <v>1789</v>
      </c>
      <c r="C1563" s="64" t="s">
        <v>4</v>
      </c>
      <c r="D1563" s="64" t="s">
        <v>1760</v>
      </c>
      <c r="E1563" s="42" t="s">
        <v>1791</v>
      </c>
      <c r="F1563" s="42" t="s">
        <v>1789</v>
      </c>
      <c r="G1563" s="42">
        <v>39</v>
      </c>
      <c r="H1563" s="42" t="s">
        <v>213</v>
      </c>
      <c r="I1563" s="42" t="s">
        <v>37</v>
      </c>
      <c r="J1563" s="42">
        <v>10000</v>
      </c>
    </row>
    <row r="1564" spans="1:22">
      <c r="A1564" s="61" t="s">
        <v>1789</v>
      </c>
      <c r="C1564" s="64" t="s">
        <v>4</v>
      </c>
      <c r="D1564" s="64" t="s">
        <v>1760</v>
      </c>
      <c r="E1564" s="42" t="s">
        <v>1791</v>
      </c>
      <c r="F1564" s="42" t="s">
        <v>1789</v>
      </c>
      <c r="G1564" s="42">
        <v>40</v>
      </c>
      <c r="H1564" s="42" t="s">
        <v>303</v>
      </c>
      <c r="I1564" s="42" t="s">
        <v>37</v>
      </c>
      <c r="J1564" s="42">
        <v>5000</v>
      </c>
    </row>
    <row r="1565" spans="1:22">
      <c r="A1565" s="61" t="s">
        <v>1789</v>
      </c>
      <c r="C1565" s="64" t="s">
        <v>4</v>
      </c>
      <c r="D1565" s="64" t="s">
        <v>1760</v>
      </c>
      <c r="E1565" s="42" t="s">
        <v>1791</v>
      </c>
      <c r="F1565" s="42" t="s">
        <v>1789</v>
      </c>
      <c r="G1565" s="42">
        <v>41</v>
      </c>
      <c r="H1565" s="42" t="s">
        <v>231</v>
      </c>
      <c r="I1565" s="42" t="s">
        <v>37</v>
      </c>
      <c r="J1565" s="42">
        <v>15000</v>
      </c>
    </row>
    <row r="1566" spans="1:22">
      <c r="A1566" s="61" t="s">
        <v>1789</v>
      </c>
      <c r="C1566" s="64" t="s">
        <v>4</v>
      </c>
      <c r="D1566" s="64" t="s">
        <v>1760</v>
      </c>
      <c r="E1566" s="42" t="s">
        <v>1791</v>
      </c>
      <c r="F1566" s="42" t="s">
        <v>1789</v>
      </c>
      <c r="G1566" s="42">
        <v>42</v>
      </c>
      <c r="H1566" s="42" t="s">
        <v>229</v>
      </c>
      <c r="I1566" s="42" t="s">
        <v>37</v>
      </c>
      <c r="J1566" s="42">
        <v>20000</v>
      </c>
    </row>
    <row r="1567" spans="1:22">
      <c r="A1567" s="61" t="s">
        <v>1789</v>
      </c>
      <c r="C1567" s="64" t="s">
        <v>4</v>
      </c>
      <c r="D1567" s="64" t="s">
        <v>1760</v>
      </c>
      <c r="E1567" s="42" t="s">
        <v>1791</v>
      </c>
      <c r="F1567" s="42" t="s">
        <v>1789</v>
      </c>
      <c r="G1567" s="42">
        <v>43</v>
      </c>
      <c r="H1567" s="42" t="s">
        <v>233</v>
      </c>
      <c r="I1567" s="42" t="s">
        <v>37</v>
      </c>
      <c r="J1567" s="42">
        <v>10000</v>
      </c>
    </row>
    <row r="1568" spans="1:22">
      <c r="A1568" s="61" t="s">
        <v>1789</v>
      </c>
      <c r="C1568" s="64" t="s">
        <v>4</v>
      </c>
      <c r="D1568" s="64" t="s">
        <v>1760</v>
      </c>
      <c r="E1568" s="42" t="s">
        <v>1791</v>
      </c>
      <c r="F1568" s="42" t="s">
        <v>1789</v>
      </c>
      <c r="G1568" s="42">
        <v>44</v>
      </c>
      <c r="H1568" s="42" t="s">
        <v>451</v>
      </c>
      <c r="I1568" s="42" t="s">
        <v>37</v>
      </c>
      <c r="J1568" s="42">
        <v>40000</v>
      </c>
    </row>
    <row r="1569" spans="1:22">
      <c r="A1569" s="61" t="s">
        <v>1789</v>
      </c>
      <c r="C1569" s="64" t="s">
        <v>4</v>
      </c>
      <c r="D1569" s="64" t="s">
        <v>1760</v>
      </c>
      <c r="E1569" s="42" t="s">
        <v>1791</v>
      </c>
      <c r="F1569" s="42" t="s">
        <v>1789</v>
      </c>
      <c r="G1569" s="42">
        <v>45</v>
      </c>
      <c r="H1569" s="42" t="s">
        <v>449</v>
      </c>
      <c r="I1569" s="42" t="s">
        <v>37</v>
      </c>
      <c r="J1569" s="42">
        <v>90000</v>
      </c>
    </row>
    <row r="1570" spans="1:22">
      <c r="A1570" s="61" t="s">
        <v>1789</v>
      </c>
      <c r="C1570" s="64" t="s">
        <v>4</v>
      </c>
      <c r="D1570" s="64" t="s">
        <v>1760</v>
      </c>
      <c r="E1570" s="42" t="s">
        <v>1791</v>
      </c>
      <c r="F1570" s="42" t="s">
        <v>1789</v>
      </c>
      <c r="G1570" s="42">
        <v>46</v>
      </c>
      <c r="H1570" s="42" t="s">
        <v>457</v>
      </c>
      <c r="I1570" s="42" t="s">
        <v>37</v>
      </c>
      <c r="J1570" s="42">
        <v>40000</v>
      </c>
    </row>
    <row r="1571" spans="1:22">
      <c r="A1571" s="61" t="s">
        <v>1789</v>
      </c>
      <c r="C1571" s="64" t="s">
        <v>4</v>
      </c>
      <c r="D1571" s="64" t="s">
        <v>1760</v>
      </c>
      <c r="E1571" s="42" t="s">
        <v>1791</v>
      </c>
      <c r="F1571" s="42" t="s">
        <v>1789</v>
      </c>
      <c r="G1571" s="42">
        <v>47</v>
      </c>
      <c r="H1571" s="42" t="s">
        <v>325</v>
      </c>
      <c r="I1571" s="42" t="s">
        <v>37</v>
      </c>
      <c r="J1571" s="42">
        <v>60000</v>
      </c>
    </row>
    <row r="1572" spans="1:22">
      <c r="A1572" s="61" t="s">
        <v>1789</v>
      </c>
      <c r="C1572" s="64" t="s">
        <v>4</v>
      </c>
      <c r="D1572" s="64" t="s">
        <v>1760</v>
      </c>
      <c r="E1572" s="42" t="s">
        <v>1791</v>
      </c>
      <c r="F1572" s="42" t="s">
        <v>1789</v>
      </c>
      <c r="G1572" s="42">
        <v>48</v>
      </c>
      <c r="H1572" s="42" t="s">
        <v>327</v>
      </c>
      <c r="I1572" s="42" t="s">
        <v>37</v>
      </c>
      <c r="J1572" s="42">
        <v>30000</v>
      </c>
    </row>
    <row r="1573" spans="1:22">
      <c r="A1573" s="61" t="s">
        <v>1789</v>
      </c>
      <c r="C1573" s="64" t="s">
        <v>4</v>
      </c>
      <c r="D1573" s="64" t="s">
        <v>1760</v>
      </c>
      <c r="E1573" s="42" t="s">
        <v>1791</v>
      </c>
      <c r="F1573" s="42" t="s">
        <v>1789</v>
      </c>
      <c r="G1573" s="42">
        <v>49</v>
      </c>
      <c r="H1573" s="42" t="s">
        <v>383</v>
      </c>
      <c r="I1573" s="42" t="s">
        <v>37</v>
      </c>
      <c r="J1573" s="42">
        <v>10000</v>
      </c>
    </row>
    <row r="1574" spans="1:22">
      <c r="A1574" s="61" t="s">
        <v>1789</v>
      </c>
      <c r="C1574" s="64" t="s">
        <v>4</v>
      </c>
      <c r="D1574" s="64" t="s">
        <v>1760</v>
      </c>
      <c r="E1574" s="42" t="s">
        <v>1791</v>
      </c>
      <c r="F1574" s="42" t="s">
        <v>1789</v>
      </c>
      <c r="G1574" s="42">
        <v>50</v>
      </c>
      <c r="H1574" s="42" t="s">
        <v>379</v>
      </c>
      <c r="I1574" s="42" t="s">
        <v>37</v>
      </c>
      <c r="J1574" s="42">
        <v>5000</v>
      </c>
    </row>
    <row r="1575" spans="1:22">
      <c r="A1575" s="61" t="s">
        <v>1789</v>
      </c>
      <c r="C1575" s="64" t="s">
        <v>4</v>
      </c>
      <c r="D1575" s="64" t="s">
        <v>1760</v>
      </c>
      <c r="E1575" s="42" t="s">
        <v>1791</v>
      </c>
      <c r="F1575" s="42" t="s">
        <v>1789</v>
      </c>
      <c r="G1575" s="42">
        <v>51</v>
      </c>
      <c r="H1575" s="42" t="s">
        <v>1391</v>
      </c>
      <c r="I1575" s="42" t="s">
        <v>37</v>
      </c>
      <c r="J1575" s="42">
        <v>900</v>
      </c>
    </row>
    <row r="1576" spans="1:22">
      <c r="A1576" s="61" t="s">
        <v>1789</v>
      </c>
      <c r="C1576" s="64" t="s">
        <v>4</v>
      </c>
      <c r="D1576" s="64" t="s">
        <v>1760</v>
      </c>
      <c r="E1576" s="42" t="s">
        <v>1791</v>
      </c>
      <c r="F1576" s="42" t="s">
        <v>1789</v>
      </c>
      <c r="G1576" s="42">
        <v>52</v>
      </c>
      <c r="H1576" s="42" t="s">
        <v>475</v>
      </c>
      <c r="I1576" s="42" t="s">
        <v>37</v>
      </c>
      <c r="J1576" s="42">
        <v>60000</v>
      </c>
    </row>
    <row r="1577" spans="1:22">
      <c r="A1577" s="61" t="s">
        <v>1789</v>
      </c>
      <c r="C1577" s="64" t="s">
        <v>4</v>
      </c>
      <c r="D1577" s="64" t="s">
        <v>1760</v>
      </c>
      <c r="E1577" s="42" t="s">
        <v>1791</v>
      </c>
      <c r="F1577" s="42" t="s">
        <v>1789</v>
      </c>
      <c r="G1577" s="42">
        <v>53</v>
      </c>
      <c r="H1577" s="42" t="s">
        <v>603</v>
      </c>
      <c r="I1577" s="42" t="s">
        <v>37</v>
      </c>
      <c r="J1577" s="42">
        <v>40000</v>
      </c>
    </row>
    <row r="1578" spans="1:22">
      <c r="A1578" s="61" t="s">
        <v>1789</v>
      </c>
      <c r="C1578" s="64" t="s">
        <v>4</v>
      </c>
      <c r="D1578" s="64" t="s">
        <v>1760</v>
      </c>
      <c r="E1578" s="42" t="s">
        <v>1791</v>
      </c>
      <c r="F1578" s="42" t="s">
        <v>1789</v>
      </c>
      <c r="G1578" s="42">
        <v>54</v>
      </c>
      <c r="H1578" s="42" t="s">
        <v>385</v>
      </c>
      <c r="I1578" s="42" t="s">
        <v>37</v>
      </c>
      <c r="J1578" s="42">
        <v>12000</v>
      </c>
    </row>
    <row r="1579" spans="1:22">
      <c r="A1579" s="61" t="s">
        <v>1789</v>
      </c>
      <c r="C1579" s="64" t="s">
        <v>4</v>
      </c>
      <c r="D1579" s="64" t="s">
        <v>1760</v>
      </c>
      <c r="E1579" s="42" t="s">
        <v>1791</v>
      </c>
      <c r="F1579" s="42" t="s">
        <v>1789</v>
      </c>
      <c r="G1579" s="42">
        <v>55</v>
      </c>
      <c r="H1579" s="42" t="s">
        <v>481</v>
      </c>
      <c r="I1579" s="42" t="s">
        <v>37</v>
      </c>
      <c r="J1579" s="42">
        <v>10000</v>
      </c>
    </row>
    <row r="1580" spans="1:22">
      <c r="A1580" s="61" t="s">
        <v>1789</v>
      </c>
      <c r="C1580" s="64" t="s">
        <v>4</v>
      </c>
      <c r="D1580" s="64" t="s">
        <v>1760</v>
      </c>
      <c r="E1580" s="42" t="s">
        <v>1791</v>
      </c>
      <c r="F1580" s="42" t="s">
        <v>1789</v>
      </c>
      <c r="G1580" s="42">
        <v>56</v>
      </c>
      <c r="H1580" s="42" t="s">
        <v>319</v>
      </c>
      <c r="I1580" s="42" t="s">
        <v>37</v>
      </c>
      <c r="J1580" s="42">
        <v>10000</v>
      </c>
    </row>
    <row r="1581" spans="1:22">
      <c r="A1581" s="61" t="s">
        <v>1789</v>
      </c>
      <c r="C1581" s="64" t="s">
        <v>4</v>
      </c>
      <c r="D1581" s="64" t="s">
        <v>1760</v>
      </c>
      <c r="E1581" s="42" t="s">
        <v>1791</v>
      </c>
      <c r="F1581" s="42" t="s">
        <v>1789</v>
      </c>
      <c r="G1581" s="42">
        <v>57</v>
      </c>
      <c r="H1581" s="42" t="s">
        <v>321</v>
      </c>
      <c r="I1581" s="42" t="s">
        <v>37</v>
      </c>
      <c r="J1581" s="42">
        <v>5000</v>
      </c>
    </row>
    <row r="1582" spans="1:22">
      <c r="A1582" s="61" t="s">
        <v>1789</v>
      </c>
      <c r="C1582" s="64" t="s">
        <v>4</v>
      </c>
      <c r="D1582" s="64" t="s">
        <v>1760</v>
      </c>
      <c r="E1582" s="42" t="s">
        <v>1791</v>
      </c>
      <c r="F1582" s="42" t="s">
        <v>1789</v>
      </c>
      <c r="G1582" s="42">
        <v>58</v>
      </c>
      <c r="H1582" s="42" t="s">
        <v>561</v>
      </c>
      <c r="I1582" s="42" t="s">
        <v>37</v>
      </c>
      <c r="J1582" s="42">
        <v>150000</v>
      </c>
    </row>
    <row r="1583" spans="1:22">
      <c r="A1583" s="61" t="s">
        <v>1789</v>
      </c>
      <c r="C1583" s="64" t="s">
        <v>4</v>
      </c>
      <c r="D1583" s="64" t="s">
        <v>1760</v>
      </c>
      <c r="E1583" s="42" t="s">
        <v>1791</v>
      </c>
      <c r="F1583" s="42" t="s">
        <v>1789</v>
      </c>
      <c r="G1583" s="42">
        <v>59</v>
      </c>
      <c r="H1583" s="42" t="s">
        <v>483</v>
      </c>
      <c r="I1583" s="42" t="s">
        <v>37</v>
      </c>
      <c r="J1583" s="42">
        <v>59000</v>
      </c>
    </row>
    <row r="1584" spans="1:22">
      <c r="A1584" s="61" t="s">
        <v>1789</v>
      </c>
      <c r="C1584" s="64" t="s">
        <v>4</v>
      </c>
      <c r="D1584" s="64" t="s">
        <v>1760</v>
      </c>
      <c r="E1584" s="42" t="s">
        <v>1791</v>
      </c>
      <c r="F1584" s="42" t="s">
        <v>1789</v>
      </c>
      <c r="G1584" s="42">
        <v>60</v>
      </c>
      <c r="H1584" s="42" t="s">
        <v>485</v>
      </c>
      <c r="I1584" s="42" t="s">
        <v>37</v>
      </c>
      <c r="J1584" s="42">
        <v>100000</v>
      </c>
    </row>
    <row r="1585" spans="1:22">
      <c r="A1585" s="61" t="s">
        <v>1789</v>
      </c>
      <c r="C1585" s="64" t="s">
        <v>4</v>
      </c>
      <c r="D1585" s="64" t="s">
        <v>1760</v>
      </c>
      <c r="E1585" s="42" t="s">
        <v>1791</v>
      </c>
      <c r="F1585" s="42" t="s">
        <v>1789</v>
      </c>
      <c r="G1585" s="42">
        <v>61</v>
      </c>
      <c r="H1585" s="42" t="s">
        <v>567</v>
      </c>
      <c r="I1585" s="42" t="s">
        <v>37</v>
      </c>
      <c r="J1585" s="42">
        <v>40000</v>
      </c>
    </row>
    <row r="1586" spans="1:22">
      <c r="A1586" s="61" t="s">
        <v>1789</v>
      </c>
      <c r="C1586" s="64" t="s">
        <v>4</v>
      </c>
      <c r="D1586" s="64" t="s">
        <v>1760</v>
      </c>
      <c r="E1586" s="42" t="s">
        <v>1791</v>
      </c>
      <c r="F1586" s="42" t="s">
        <v>1789</v>
      </c>
      <c r="G1586" s="42">
        <v>62</v>
      </c>
      <c r="H1586" s="42" t="s">
        <v>487</v>
      </c>
      <c r="I1586" s="42" t="s">
        <v>37</v>
      </c>
      <c r="J1586" s="42">
        <v>1080</v>
      </c>
    </row>
    <row r="1587" spans="1:22">
      <c r="A1587" s="61" t="s">
        <v>1789</v>
      </c>
      <c r="C1587" s="64" t="s">
        <v>4</v>
      </c>
      <c r="D1587" s="64" t="s">
        <v>1760</v>
      </c>
      <c r="E1587" s="42" t="s">
        <v>1791</v>
      </c>
      <c r="F1587" s="42" t="s">
        <v>1789</v>
      </c>
      <c r="G1587" s="42">
        <v>63</v>
      </c>
      <c r="H1587" s="42" t="s">
        <v>461</v>
      </c>
      <c r="I1587" s="42" t="s">
        <v>37</v>
      </c>
      <c r="J1587" s="42">
        <v>160000</v>
      </c>
    </row>
    <row r="1588" spans="1:22">
      <c r="A1588" s="61" t="s">
        <v>1789</v>
      </c>
      <c r="C1588" s="64" t="s">
        <v>4</v>
      </c>
      <c r="D1588" s="64" t="s">
        <v>1760</v>
      </c>
      <c r="E1588" s="42" t="s">
        <v>1791</v>
      </c>
      <c r="F1588" s="42" t="s">
        <v>1789</v>
      </c>
      <c r="G1588" s="42">
        <v>64</v>
      </c>
      <c r="H1588" s="42" t="s">
        <v>565</v>
      </c>
      <c r="I1588" s="42" t="s">
        <v>37</v>
      </c>
      <c r="J1588" s="42">
        <v>100000</v>
      </c>
    </row>
    <row r="1589" spans="1:22">
      <c r="A1589" s="61" t="s">
        <v>1789</v>
      </c>
      <c r="C1589" s="64" t="s">
        <v>4</v>
      </c>
      <c r="D1589" s="64" t="s">
        <v>1760</v>
      </c>
      <c r="E1589" s="42" t="s">
        <v>1791</v>
      </c>
      <c r="F1589" s="42" t="s">
        <v>1789</v>
      </c>
      <c r="G1589" s="42">
        <v>65</v>
      </c>
      <c r="H1589" s="42" t="s">
        <v>423</v>
      </c>
      <c r="I1589" s="42" t="s">
        <v>37</v>
      </c>
      <c r="J1589" s="42">
        <v>30000</v>
      </c>
    </row>
    <row r="1590" spans="1:22">
      <c r="A1590" s="61" t="s">
        <v>1789</v>
      </c>
      <c r="C1590" s="64" t="s">
        <v>4</v>
      </c>
      <c r="D1590" s="64" t="s">
        <v>1760</v>
      </c>
      <c r="E1590" s="42" t="s">
        <v>1791</v>
      </c>
      <c r="F1590" s="42" t="s">
        <v>1789</v>
      </c>
      <c r="G1590" s="42">
        <v>66</v>
      </c>
      <c r="H1590" s="42" t="s">
        <v>425</v>
      </c>
      <c r="I1590" s="42" t="s">
        <v>37</v>
      </c>
      <c r="J1590" s="42">
        <v>30000</v>
      </c>
    </row>
    <row r="1591" spans="1:22">
      <c r="A1591" s="61" t="s">
        <v>1789</v>
      </c>
      <c r="C1591" s="64" t="s">
        <v>4</v>
      </c>
      <c r="D1591" s="64" t="s">
        <v>1760</v>
      </c>
      <c r="E1591" s="42" t="s">
        <v>1791</v>
      </c>
      <c r="F1591" s="42" t="s">
        <v>1789</v>
      </c>
      <c r="G1591" s="42">
        <v>67</v>
      </c>
      <c r="H1591" s="42" t="s">
        <v>427</v>
      </c>
      <c r="I1591" s="42" t="s">
        <v>37</v>
      </c>
      <c r="J1591" s="42">
        <v>30000</v>
      </c>
    </row>
    <row r="1592" spans="1:22">
      <c r="A1592" s="61" t="s">
        <v>1789</v>
      </c>
      <c r="C1592" s="64" t="s">
        <v>4</v>
      </c>
      <c r="D1592" s="64" t="s">
        <v>1760</v>
      </c>
      <c r="E1592" s="42" t="s">
        <v>1791</v>
      </c>
      <c r="F1592" s="42" t="s">
        <v>1789</v>
      </c>
      <c r="G1592" s="42">
        <v>68</v>
      </c>
      <c r="H1592" s="42" t="s">
        <v>429</v>
      </c>
      <c r="I1592" s="42" t="s">
        <v>37</v>
      </c>
      <c r="J1592" s="42">
        <v>30000</v>
      </c>
    </row>
    <row r="1593" spans="1:22">
      <c r="A1593" s="61" t="s">
        <v>1789</v>
      </c>
      <c r="C1593" s="64" t="s">
        <v>4</v>
      </c>
      <c r="D1593" s="64" t="s">
        <v>1760</v>
      </c>
      <c r="E1593" s="42" t="s">
        <v>1791</v>
      </c>
      <c r="F1593" s="42" t="s">
        <v>1789</v>
      </c>
      <c r="G1593" s="42">
        <v>69</v>
      </c>
      <c r="H1593" s="42" t="s">
        <v>435</v>
      </c>
      <c r="I1593" s="42" t="s">
        <v>37</v>
      </c>
      <c r="J1593" s="42">
        <v>70000</v>
      </c>
    </row>
    <row r="1594" spans="1:22">
      <c r="A1594" s="61" t="s">
        <v>1789</v>
      </c>
      <c r="C1594" s="64" t="s">
        <v>4</v>
      </c>
      <c r="D1594" s="64" t="s">
        <v>1760</v>
      </c>
      <c r="E1594" s="42" t="s">
        <v>1791</v>
      </c>
      <c r="F1594" s="42" t="s">
        <v>1789</v>
      </c>
      <c r="G1594" s="42">
        <v>70</v>
      </c>
      <c r="H1594" s="42" t="s">
        <v>445</v>
      </c>
      <c r="I1594" s="42" t="s">
        <v>37</v>
      </c>
      <c r="J1594" s="42">
        <v>30000</v>
      </c>
    </row>
    <row r="1595" spans="1:22">
      <c r="A1595" s="61" t="s">
        <v>1789</v>
      </c>
      <c r="C1595" s="64" t="s">
        <v>4</v>
      </c>
      <c r="D1595" s="64" t="s">
        <v>1760</v>
      </c>
      <c r="E1595" s="42" t="s">
        <v>1791</v>
      </c>
      <c r="F1595" s="42" t="s">
        <v>1789</v>
      </c>
      <c r="G1595" s="42">
        <v>71</v>
      </c>
      <c r="H1595" s="42" t="s">
        <v>431</v>
      </c>
      <c r="I1595" s="42" t="s">
        <v>37</v>
      </c>
      <c r="J1595" s="42">
        <v>20000</v>
      </c>
    </row>
    <row r="1596" spans="1:22">
      <c r="A1596" s="61" t="s">
        <v>1789</v>
      </c>
      <c r="C1596" s="64" t="s">
        <v>4</v>
      </c>
      <c r="D1596" s="64" t="s">
        <v>1760</v>
      </c>
      <c r="E1596" s="42" t="s">
        <v>1791</v>
      </c>
      <c r="F1596" s="42" t="s">
        <v>1789</v>
      </c>
      <c r="G1596" s="42">
        <v>72</v>
      </c>
      <c r="H1596" s="42" t="s">
        <v>433</v>
      </c>
      <c r="I1596" s="42" t="s">
        <v>37</v>
      </c>
      <c r="J1596" s="42">
        <v>80000</v>
      </c>
    </row>
    <row r="1597" spans="1:22">
      <c r="A1597" s="61" t="s">
        <v>1789</v>
      </c>
      <c r="C1597" s="64" t="s">
        <v>4</v>
      </c>
      <c r="D1597" s="64" t="s">
        <v>1760</v>
      </c>
      <c r="E1597" s="42" t="s">
        <v>1791</v>
      </c>
      <c r="F1597" s="42" t="s">
        <v>1789</v>
      </c>
      <c r="G1597" s="42">
        <v>73</v>
      </c>
      <c r="H1597" s="42" t="s">
        <v>657</v>
      </c>
      <c r="I1597" s="42" t="s">
        <v>37</v>
      </c>
      <c r="J1597" s="42">
        <v>10000</v>
      </c>
    </row>
    <row r="1598" spans="1:22">
      <c r="A1598" s="61" t="s">
        <v>1789</v>
      </c>
      <c r="C1598" s="64" t="s">
        <v>4</v>
      </c>
      <c r="D1598" s="64" t="s">
        <v>1760</v>
      </c>
      <c r="E1598" s="42" t="s">
        <v>1791</v>
      </c>
      <c r="F1598" s="42" t="s">
        <v>1789</v>
      </c>
      <c r="G1598" s="42">
        <v>74</v>
      </c>
      <c r="H1598" s="42" t="s">
        <v>491</v>
      </c>
      <c r="I1598" s="42" t="s">
        <v>37</v>
      </c>
      <c r="J1598" s="42">
        <v>60000</v>
      </c>
    </row>
    <row r="1599" spans="1:22">
      <c r="A1599" s="61" t="s">
        <v>1789</v>
      </c>
      <c r="C1599" s="64" t="s">
        <v>4</v>
      </c>
      <c r="D1599" s="64" t="s">
        <v>1760</v>
      </c>
      <c r="E1599" s="42" t="s">
        <v>1791</v>
      </c>
      <c r="F1599" s="42" t="s">
        <v>1789</v>
      </c>
      <c r="G1599" s="42">
        <v>75</v>
      </c>
      <c r="H1599" s="42" t="s">
        <v>569</v>
      </c>
      <c r="I1599" s="42" t="s">
        <v>37</v>
      </c>
      <c r="J1599" s="42">
        <v>5000</v>
      </c>
    </row>
    <row r="1600" spans="1:22">
      <c r="A1600" s="61" t="s">
        <v>1789</v>
      </c>
      <c r="C1600" s="64" t="s">
        <v>4</v>
      </c>
      <c r="D1600" s="64" t="s">
        <v>1760</v>
      </c>
      <c r="E1600" s="42" t="s">
        <v>1791</v>
      </c>
      <c r="F1600" s="42" t="s">
        <v>1789</v>
      </c>
      <c r="G1600" s="42">
        <v>76</v>
      </c>
      <c r="H1600" s="42" t="s">
        <v>519</v>
      </c>
      <c r="I1600" s="42" t="s">
        <v>37</v>
      </c>
      <c r="J1600" s="42">
        <v>160000</v>
      </c>
    </row>
    <row r="1601" spans="1:22">
      <c r="A1601" s="61" t="s">
        <v>1789</v>
      </c>
      <c r="C1601" s="64" t="s">
        <v>4</v>
      </c>
      <c r="D1601" s="64" t="s">
        <v>1760</v>
      </c>
      <c r="E1601" s="42" t="s">
        <v>1791</v>
      </c>
      <c r="F1601" s="42" t="s">
        <v>1789</v>
      </c>
      <c r="G1601" s="42">
        <v>77</v>
      </c>
      <c r="H1601" s="42" t="s">
        <v>515</v>
      </c>
      <c r="I1601" s="42" t="s">
        <v>37</v>
      </c>
      <c r="J1601" s="42">
        <v>40000</v>
      </c>
    </row>
    <row r="1602" spans="1:22">
      <c r="A1602" s="61" t="s">
        <v>1789</v>
      </c>
      <c r="C1602" s="64" t="s">
        <v>4</v>
      </c>
      <c r="D1602" s="64" t="s">
        <v>1760</v>
      </c>
      <c r="E1602" s="42" t="s">
        <v>1791</v>
      </c>
      <c r="F1602" s="42" t="s">
        <v>1789</v>
      </c>
      <c r="G1602" s="42">
        <v>78</v>
      </c>
      <c r="H1602" s="42" t="s">
        <v>513</v>
      </c>
      <c r="I1602" s="42" t="s">
        <v>37</v>
      </c>
      <c r="J1602" s="42">
        <v>10000</v>
      </c>
    </row>
    <row r="1603" spans="1:22">
      <c r="A1603" s="61" t="s">
        <v>1789</v>
      </c>
      <c r="C1603" s="64" t="s">
        <v>4</v>
      </c>
      <c r="D1603" s="64" t="s">
        <v>1760</v>
      </c>
      <c r="E1603" s="42" t="s">
        <v>1791</v>
      </c>
      <c r="F1603" s="42" t="s">
        <v>1789</v>
      </c>
      <c r="G1603" s="42">
        <v>79</v>
      </c>
      <c r="H1603" s="42" t="s">
        <v>527</v>
      </c>
      <c r="I1603" s="42" t="s">
        <v>37</v>
      </c>
      <c r="J1603" s="42">
        <v>75000</v>
      </c>
    </row>
    <row r="1604" spans="1:22">
      <c r="A1604" s="61" t="s">
        <v>1789</v>
      </c>
      <c r="C1604" s="64" t="s">
        <v>4</v>
      </c>
      <c r="D1604" s="64" t="s">
        <v>1760</v>
      </c>
      <c r="E1604" s="42" t="s">
        <v>1791</v>
      </c>
      <c r="F1604" s="42" t="s">
        <v>1789</v>
      </c>
      <c r="G1604" s="42">
        <v>80</v>
      </c>
      <c r="H1604" s="42" t="s">
        <v>511</v>
      </c>
      <c r="I1604" s="42" t="s">
        <v>37</v>
      </c>
      <c r="J1604" s="42">
        <v>10000</v>
      </c>
    </row>
    <row r="1605" spans="1:22">
      <c r="A1605" s="61" t="s">
        <v>1789</v>
      </c>
      <c r="C1605" s="64" t="s">
        <v>4</v>
      </c>
      <c r="D1605" s="64" t="s">
        <v>1760</v>
      </c>
      <c r="E1605" s="42" t="s">
        <v>1791</v>
      </c>
      <c r="F1605" s="42" t="s">
        <v>1789</v>
      </c>
      <c r="G1605" s="42">
        <v>81</v>
      </c>
      <c r="H1605" s="42" t="s">
        <v>597</v>
      </c>
      <c r="I1605" s="42" t="s">
        <v>37</v>
      </c>
      <c r="J1605" s="42">
        <v>40000</v>
      </c>
    </row>
    <row r="1606" spans="1:22">
      <c r="A1606" s="61" t="s">
        <v>1789</v>
      </c>
      <c r="C1606" s="64" t="s">
        <v>4</v>
      </c>
      <c r="D1606" s="64" t="s">
        <v>1760</v>
      </c>
      <c r="E1606" s="42" t="s">
        <v>1791</v>
      </c>
      <c r="F1606" s="42" t="s">
        <v>1789</v>
      </c>
      <c r="G1606" s="42">
        <v>82</v>
      </c>
      <c r="H1606" s="42" t="s">
        <v>599</v>
      </c>
      <c r="I1606" s="42" t="s">
        <v>37</v>
      </c>
      <c r="J1606" s="42">
        <v>330000</v>
      </c>
    </row>
    <row r="1607" spans="1:22">
      <c r="A1607" s="61" t="s">
        <v>1789</v>
      </c>
      <c r="C1607" s="64" t="s">
        <v>4</v>
      </c>
      <c r="D1607" s="64" t="s">
        <v>1760</v>
      </c>
      <c r="E1607" s="42" t="s">
        <v>1791</v>
      </c>
      <c r="F1607" s="42" t="s">
        <v>1789</v>
      </c>
      <c r="G1607" s="42">
        <v>83</v>
      </c>
      <c r="H1607" s="42" t="s">
        <v>601</v>
      </c>
      <c r="I1607" s="42" t="s">
        <v>37</v>
      </c>
      <c r="J1607" s="42">
        <v>40000</v>
      </c>
    </row>
    <row r="1608" spans="1:22">
      <c r="A1608" s="61" t="s">
        <v>1789</v>
      </c>
      <c r="C1608" s="64" t="s">
        <v>4</v>
      </c>
      <c r="D1608" s="64" t="s">
        <v>1760</v>
      </c>
      <c r="E1608" s="42" t="s">
        <v>1791</v>
      </c>
      <c r="F1608" s="42" t="s">
        <v>1789</v>
      </c>
      <c r="G1608" s="42">
        <v>84</v>
      </c>
      <c r="H1608" s="42" t="s">
        <v>673</v>
      </c>
      <c r="I1608" s="42" t="s">
        <v>37</v>
      </c>
      <c r="J1608" s="42">
        <v>30000</v>
      </c>
    </row>
    <row r="1609" spans="1:22">
      <c r="A1609" s="61" t="s">
        <v>1789</v>
      </c>
      <c r="C1609" s="64" t="s">
        <v>4</v>
      </c>
      <c r="D1609" s="64" t="s">
        <v>1760</v>
      </c>
      <c r="E1609" s="42" t="s">
        <v>1791</v>
      </c>
      <c r="F1609" s="42" t="s">
        <v>1789</v>
      </c>
      <c r="G1609" s="42">
        <v>85</v>
      </c>
      <c r="H1609" s="42" t="s">
        <v>543</v>
      </c>
      <c r="I1609" s="42" t="s">
        <v>37</v>
      </c>
      <c r="J1609" s="42">
        <v>10000</v>
      </c>
    </row>
    <row r="1610" spans="1:22">
      <c r="A1610" s="61" t="s">
        <v>1789</v>
      </c>
      <c r="C1610" s="64" t="s">
        <v>4</v>
      </c>
      <c r="D1610" s="64" t="s">
        <v>1760</v>
      </c>
      <c r="E1610" s="42" t="s">
        <v>1791</v>
      </c>
      <c r="F1610" s="42" t="s">
        <v>1789</v>
      </c>
      <c r="G1610" s="42">
        <v>86</v>
      </c>
      <c r="H1610" s="42" t="s">
        <v>447</v>
      </c>
      <c r="I1610" s="42" t="s">
        <v>37</v>
      </c>
      <c r="J1610" s="42">
        <v>30000</v>
      </c>
    </row>
    <row r="1611" spans="1:22">
      <c r="A1611" s="61" t="s">
        <v>1789</v>
      </c>
      <c r="C1611" s="64" t="s">
        <v>4</v>
      </c>
      <c r="D1611" s="64" t="s">
        <v>1760</v>
      </c>
      <c r="E1611" s="42" t="s">
        <v>1791</v>
      </c>
      <c r="F1611" s="42" t="s">
        <v>1789</v>
      </c>
      <c r="G1611" s="42">
        <v>87</v>
      </c>
      <c r="H1611" s="42" t="s">
        <v>541</v>
      </c>
      <c r="I1611" s="42" t="s">
        <v>37</v>
      </c>
      <c r="J1611" s="42">
        <v>10000</v>
      </c>
    </row>
    <row r="1612" spans="1:22">
      <c r="A1612" s="61" t="s">
        <v>1789</v>
      </c>
      <c r="C1612" s="64" t="s">
        <v>4</v>
      </c>
      <c r="D1612" s="64" t="s">
        <v>1760</v>
      </c>
      <c r="E1612" s="42" t="s">
        <v>1791</v>
      </c>
      <c r="F1612" s="42" t="s">
        <v>1789</v>
      </c>
      <c r="G1612" s="42">
        <v>88</v>
      </c>
      <c r="H1612" s="42" t="s">
        <v>557</v>
      </c>
      <c r="I1612" s="42" t="s">
        <v>37</v>
      </c>
      <c r="J1612" s="42">
        <v>10000</v>
      </c>
    </row>
    <row r="1613" spans="1:22">
      <c r="A1613" s="61" t="s">
        <v>1789</v>
      </c>
      <c r="C1613" s="64" t="s">
        <v>4</v>
      </c>
      <c r="D1613" s="64" t="s">
        <v>1760</v>
      </c>
      <c r="E1613" s="42" t="s">
        <v>1791</v>
      </c>
      <c r="F1613" s="42" t="s">
        <v>1789</v>
      </c>
      <c r="G1613" s="42">
        <v>89</v>
      </c>
      <c r="H1613" s="42" t="s">
        <v>563</v>
      </c>
      <c r="I1613" s="42" t="s">
        <v>37</v>
      </c>
      <c r="J1613" s="42">
        <v>15000</v>
      </c>
    </row>
    <row r="1614" spans="1:22">
      <c r="A1614" s="61" t="s">
        <v>1789</v>
      </c>
      <c r="C1614" s="64" t="s">
        <v>4</v>
      </c>
      <c r="D1614" s="64" t="s">
        <v>1760</v>
      </c>
      <c r="E1614" s="42" t="s">
        <v>1791</v>
      </c>
      <c r="F1614" s="42" t="s">
        <v>1789</v>
      </c>
      <c r="G1614" s="42">
        <v>90</v>
      </c>
      <c r="H1614" s="42" t="s">
        <v>615</v>
      </c>
      <c r="I1614" s="42" t="s">
        <v>37</v>
      </c>
      <c r="J1614" s="42">
        <v>40000</v>
      </c>
    </row>
    <row r="1615" spans="1:22">
      <c r="A1615" s="61" t="s">
        <v>1789</v>
      </c>
      <c r="C1615" s="64" t="s">
        <v>4</v>
      </c>
      <c r="D1615" s="64" t="s">
        <v>1760</v>
      </c>
      <c r="E1615" s="42" t="s">
        <v>1791</v>
      </c>
      <c r="F1615" s="42" t="s">
        <v>1789</v>
      </c>
      <c r="G1615" s="42">
        <v>91</v>
      </c>
      <c r="H1615" s="42" t="s">
        <v>677</v>
      </c>
      <c r="I1615" s="42" t="s">
        <v>37</v>
      </c>
      <c r="J1615" s="42">
        <v>39000</v>
      </c>
    </row>
    <row r="1616" spans="1:22">
      <c r="A1616" s="61" t="s">
        <v>1789</v>
      </c>
      <c r="C1616" s="64" t="s">
        <v>4</v>
      </c>
      <c r="D1616" s="64" t="s">
        <v>1760</v>
      </c>
      <c r="E1616" s="42" t="s">
        <v>1791</v>
      </c>
      <c r="F1616" s="42" t="s">
        <v>1789</v>
      </c>
      <c r="G1616" s="42">
        <v>92</v>
      </c>
      <c r="H1616" s="42" t="s">
        <v>679</v>
      </c>
      <c r="I1616" s="42" t="s">
        <v>37</v>
      </c>
      <c r="J1616" s="42">
        <v>10000</v>
      </c>
    </row>
    <row r="1617" spans="1:22">
      <c r="A1617" s="61" t="s">
        <v>1789</v>
      </c>
      <c r="C1617" s="64" t="s">
        <v>4</v>
      </c>
      <c r="D1617" s="64" t="s">
        <v>1760</v>
      </c>
      <c r="E1617" s="42" t="s">
        <v>1791</v>
      </c>
      <c r="F1617" s="42" t="s">
        <v>1789</v>
      </c>
      <c r="G1617" s="42">
        <v>93</v>
      </c>
      <c r="H1617" s="42" t="s">
        <v>665</v>
      </c>
      <c r="I1617" s="42" t="s">
        <v>37</v>
      </c>
      <c r="J1617" s="42">
        <v>5000</v>
      </c>
    </row>
    <row r="1618" spans="1:22">
      <c r="A1618" s="61" t="s">
        <v>1789</v>
      </c>
      <c r="C1618" s="64" t="s">
        <v>4</v>
      </c>
      <c r="D1618" s="64" t="s">
        <v>1760</v>
      </c>
      <c r="E1618" s="42" t="s">
        <v>1791</v>
      </c>
      <c r="F1618" s="42" t="s">
        <v>1789</v>
      </c>
      <c r="G1618" s="42">
        <v>94</v>
      </c>
      <c r="H1618" s="42" t="s">
        <v>663</v>
      </c>
      <c r="I1618" s="42" t="s">
        <v>37</v>
      </c>
      <c r="J1618" s="42">
        <v>10000</v>
      </c>
    </row>
    <row r="1619" spans="1:22">
      <c r="A1619" s="61" t="s">
        <v>1789</v>
      </c>
      <c r="C1619" s="64" t="s">
        <v>4</v>
      </c>
      <c r="D1619" s="64" t="s">
        <v>1760</v>
      </c>
      <c r="E1619" s="42" t="s">
        <v>1791</v>
      </c>
      <c r="F1619" s="42" t="s">
        <v>1789</v>
      </c>
      <c r="G1619" s="42">
        <v>95</v>
      </c>
      <c r="H1619" s="42" t="s">
        <v>661</v>
      </c>
      <c r="I1619" s="42" t="s">
        <v>37</v>
      </c>
      <c r="J1619" s="42">
        <v>14000</v>
      </c>
    </row>
    <row r="1620" spans="1:22">
      <c r="A1620" s="61" t="s">
        <v>1789</v>
      </c>
      <c r="C1620" s="64" t="s">
        <v>4</v>
      </c>
      <c r="D1620" s="64" t="s">
        <v>1760</v>
      </c>
      <c r="E1620" s="42" t="s">
        <v>1791</v>
      </c>
      <c r="F1620" s="42" t="s">
        <v>1789</v>
      </c>
      <c r="G1620" s="42">
        <v>96</v>
      </c>
      <c r="H1620" s="42" t="s">
        <v>537</v>
      </c>
      <c r="I1620" s="42" t="s">
        <v>37</v>
      </c>
      <c r="J1620" s="42">
        <v>10000</v>
      </c>
    </row>
    <row r="1621" spans="1:22">
      <c r="A1621" s="61" t="s">
        <v>1789</v>
      </c>
      <c r="C1621" s="64" t="s">
        <v>4</v>
      </c>
      <c r="D1621" s="64" t="s">
        <v>1760</v>
      </c>
      <c r="E1621" s="42" t="s">
        <v>1791</v>
      </c>
      <c r="F1621" s="42" t="s">
        <v>1789</v>
      </c>
      <c r="G1621" s="42">
        <v>97</v>
      </c>
      <c r="H1621" s="42" t="s">
        <v>1121</v>
      </c>
      <c r="I1621" s="42" t="s">
        <v>37</v>
      </c>
      <c r="J1621" s="42">
        <v>15000</v>
      </c>
    </row>
    <row r="1622" spans="1:22">
      <c r="A1622" s="61" t="s">
        <v>1789</v>
      </c>
      <c r="C1622" s="64" t="s">
        <v>4</v>
      </c>
      <c r="D1622" s="64" t="s">
        <v>1760</v>
      </c>
      <c r="E1622" s="42" t="s">
        <v>1791</v>
      </c>
      <c r="F1622" s="42" t="s">
        <v>1789</v>
      </c>
      <c r="G1622" s="42">
        <v>98</v>
      </c>
      <c r="H1622" s="42" t="s">
        <v>659</v>
      </c>
      <c r="I1622" s="42" t="s">
        <v>37</v>
      </c>
      <c r="J1622" s="42">
        <v>25000</v>
      </c>
    </row>
    <row r="1623" spans="1:22">
      <c r="A1623" s="61" t="s">
        <v>1789</v>
      </c>
      <c r="C1623" s="64" t="s">
        <v>4</v>
      </c>
      <c r="D1623" s="64" t="s">
        <v>1760</v>
      </c>
      <c r="E1623" s="42" t="s">
        <v>1791</v>
      </c>
      <c r="F1623" s="42" t="s">
        <v>1789</v>
      </c>
      <c r="G1623" s="42">
        <v>99</v>
      </c>
      <c r="H1623" s="42" t="s">
        <v>675</v>
      </c>
      <c r="I1623" s="42" t="s">
        <v>37</v>
      </c>
      <c r="J1623" s="42">
        <v>90000</v>
      </c>
    </row>
    <row r="1624" spans="1:22">
      <c r="A1624" s="61" t="s">
        <v>1789</v>
      </c>
      <c r="C1624" s="64" t="s">
        <v>4</v>
      </c>
      <c r="D1624" s="64" t="s">
        <v>1760</v>
      </c>
      <c r="E1624" s="42" t="s">
        <v>1791</v>
      </c>
      <c r="F1624" s="42" t="s">
        <v>1789</v>
      </c>
      <c r="G1624" s="42">
        <v>100</v>
      </c>
      <c r="H1624" s="42" t="s">
        <v>797</v>
      </c>
      <c r="I1624" s="42" t="s">
        <v>37</v>
      </c>
      <c r="J1624" s="42">
        <v>15000</v>
      </c>
    </row>
    <row r="1625" spans="1:22">
      <c r="A1625" s="61" t="s">
        <v>1789</v>
      </c>
      <c r="C1625" s="64" t="s">
        <v>4</v>
      </c>
      <c r="D1625" s="64" t="s">
        <v>1760</v>
      </c>
      <c r="E1625" s="42" t="s">
        <v>1791</v>
      </c>
      <c r="F1625" s="42" t="s">
        <v>1789</v>
      </c>
      <c r="G1625" s="42">
        <v>101</v>
      </c>
      <c r="H1625" s="42" t="s">
        <v>799</v>
      </c>
      <c r="I1625" s="42" t="s">
        <v>37</v>
      </c>
      <c r="J1625" s="42">
        <v>5000</v>
      </c>
    </row>
    <row r="1626" spans="1:22">
      <c r="A1626" s="61" t="s">
        <v>1789</v>
      </c>
      <c r="C1626" s="64" t="s">
        <v>4</v>
      </c>
      <c r="D1626" s="64" t="s">
        <v>1760</v>
      </c>
      <c r="E1626" s="42" t="s">
        <v>1791</v>
      </c>
      <c r="F1626" s="42" t="s">
        <v>1789</v>
      </c>
      <c r="G1626" s="42">
        <v>102</v>
      </c>
      <c r="H1626" s="42" t="s">
        <v>809</v>
      </c>
      <c r="I1626" s="42" t="s">
        <v>37</v>
      </c>
      <c r="J1626" s="42">
        <v>30000</v>
      </c>
    </row>
    <row r="1627" spans="1:22">
      <c r="A1627" s="61" t="s">
        <v>1789</v>
      </c>
      <c r="C1627" s="64" t="s">
        <v>4</v>
      </c>
      <c r="D1627" s="64" t="s">
        <v>1760</v>
      </c>
      <c r="E1627" s="42" t="s">
        <v>1791</v>
      </c>
      <c r="F1627" s="42" t="s">
        <v>1789</v>
      </c>
      <c r="G1627" s="42">
        <v>103</v>
      </c>
      <c r="H1627" s="42" t="s">
        <v>893</v>
      </c>
      <c r="I1627" s="42" t="s">
        <v>37</v>
      </c>
      <c r="J1627" s="42">
        <v>10000</v>
      </c>
    </row>
    <row r="1628" spans="1:22">
      <c r="A1628" s="61" t="s">
        <v>1789</v>
      </c>
      <c r="C1628" s="64" t="s">
        <v>4</v>
      </c>
      <c r="D1628" s="64" t="s">
        <v>1760</v>
      </c>
      <c r="E1628" s="42" t="s">
        <v>1791</v>
      </c>
      <c r="F1628" s="42" t="s">
        <v>1789</v>
      </c>
      <c r="G1628" s="42">
        <v>104</v>
      </c>
      <c r="H1628" s="42" t="s">
        <v>717</v>
      </c>
      <c r="I1628" s="42" t="s">
        <v>37</v>
      </c>
      <c r="J1628" s="42">
        <v>30000</v>
      </c>
    </row>
    <row r="1629" spans="1:22">
      <c r="A1629" s="61" t="s">
        <v>1789</v>
      </c>
      <c r="C1629" s="64" t="s">
        <v>4</v>
      </c>
      <c r="D1629" s="64" t="s">
        <v>1760</v>
      </c>
      <c r="E1629" s="42" t="s">
        <v>1791</v>
      </c>
      <c r="F1629" s="42" t="s">
        <v>1789</v>
      </c>
      <c r="G1629" s="42">
        <v>105</v>
      </c>
      <c r="H1629" s="42" t="s">
        <v>743</v>
      </c>
      <c r="I1629" s="42" t="s">
        <v>37</v>
      </c>
      <c r="J1629" s="42">
        <v>2218</v>
      </c>
    </row>
    <row r="1630" spans="1:22">
      <c r="A1630" s="61" t="s">
        <v>1789</v>
      </c>
      <c r="C1630" s="64" t="s">
        <v>4</v>
      </c>
      <c r="D1630" s="64" t="s">
        <v>1760</v>
      </c>
      <c r="E1630" s="42" t="s">
        <v>1791</v>
      </c>
      <c r="F1630" s="42" t="s">
        <v>1789</v>
      </c>
      <c r="G1630" s="42">
        <v>106</v>
      </c>
      <c r="H1630" s="42" t="s">
        <v>747</v>
      </c>
      <c r="I1630" s="42" t="s">
        <v>37</v>
      </c>
      <c r="J1630" s="42">
        <v>10000</v>
      </c>
    </row>
    <row r="1631" spans="1:22">
      <c r="A1631" s="61" t="s">
        <v>1789</v>
      </c>
      <c r="C1631" s="64" t="s">
        <v>4</v>
      </c>
      <c r="D1631" s="64" t="s">
        <v>1760</v>
      </c>
      <c r="E1631" s="42" t="s">
        <v>1791</v>
      </c>
      <c r="F1631" s="42" t="s">
        <v>1789</v>
      </c>
      <c r="G1631" s="42">
        <v>107</v>
      </c>
      <c r="H1631" s="42" t="s">
        <v>749</v>
      </c>
      <c r="I1631" s="42" t="s">
        <v>37</v>
      </c>
      <c r="J1631" s="42">
        <v>105000</v>
      </c>
    </row>
    <row r="1632" spans="1:22">
      <c r="A1632" s="61" t="s">
        <v>1789</v>
      </c>
      <c r="C1632" s="64" t="s">
        <v>4</v>
      </c>
      <c r="D1632" s="64" t="s">
        <v>1760</v>
      </c>
      <c r="E1632" s="42" t="s">
        <v>1791</v>
      </c>
      <c r="F1632" s="42" t="s">
        <v>1789</v>
      </c>
      <c r="G1632" s="42">
        <v>108</v>
      </c>
      <c r="H1632" s="42" t="s">
        <v>751</v>
      </c>
      <c r="I1632" s="42" t="s">
        <v>37</v>
      </c>
      <c r="J1632" s="42">
        <v>30000</v>
      </c>
    </row>
    <row r="1633" spans="1:22">
      <c r="A1633" s="61" t="s">
        <v>1789</v>
      </c>
      <c r="C1633" s="64" t="s">
        <v>4</v>
      </c>
      <c r="D1633" s="64" t="s">
        <v>1760</v>
      </c>
      <c r="E1633" s="42" t="s">
        <v>1791</v>
      </c>
      <c r="F1633" s="42" t="s">
        <v>1789</v>
      </c>
      <c r="G1633" s="42">
        <v>109</v>
      </c>
      <c r="H1633" s="42" t="s">
        <v>753</v>
      </c>
      <c r="I1633" s="42" t="s">
        <v>37</v>
      </c>
      <c r="J1633" s="42">
        <v>15000</v>
      </c>
    </row>
    <row r="1634" spans="1:22">
      <c r="A1634" s="61" t="s">
        <v>1789</v>
      </c>
      <c r="C1634" s="64" t="s">
        <v>4</v>
      </c>
      <c r="D1634" s="64" t="s">
        <v>1760</v>
      </c>
      <c r="E1634" s="42" t="s">
        <v>1791</v>
      </c>
      <c r="F1634" s="42" t="s">
        <v>1789</v>
      </c>
      <c r="G1634" s="42">
        <v>110</v>
      </c>
      <c r="H1634" s="42" t="s">
        <v>721</v>
      </c>
      <c r="I1634" s="42" t="s">
        <v>37</v>
      </c>
      <c r="J1634" s="42">
        <v>10000</v>
      </c>
    </row>
    <row r="1635" spans="1:22">
      <c r="A1635" s="61" t="s">
        <v>1789</v>
      </c>
      <c r="C1635" s="64" t="s">
        <v>4</v>
      </c>
      <c r="D1635" s="64" t="s">
        <v>1760</v>
      </c>
      <c r="E1635" s="42" t="s">
        <v>1791</v>
      </c>
      <c r="F1635" s="42" t="s">
        <v>1789</v>
      </c>
      <c r="G1635" s="42">
        <v>111</v>
      </c>
      <c r="H1635" s="42" t="s">
        <v>683</v>
      </c>
      <c r="I1635" s="42" t="s">
        <v>37</v>
      </c>
      <c r="J1635" s="42">
        <v>180000</v>
      </c>
    </row>
    <row r="1636" spans="1:22">
      <c r="A1636" s="61" t="s">
        <v>1789</v>
      </c>
      <c r="C1636" s="64" t="s">
        <v>4</v>
      </c>
      <c r="D1636" s="64" t="s">
        <v>1760</v>
      </c>
      <c r="E1636" s="42" t="s">
        <v>1791</v>
      </c>
      <c r="F1636" s="42" t="s">
        <v>1789</v>
      </c>
      <c r="G1636" s="42">
        <v>112</v>
      </c>
      <c r="H1636" s="42" t="s">
        <v>719</v>
      </c>
      <c r="I1636" s="42" t="s">
        <v>37</v>
      </c>
      <c r="J1636" s="42">
        <v>10000</v>
      </c>
    </row>
    <row r="1637" spans="1:22">
      <c r="A1637" s="61" t="s">
        <v>1789</v>
      </c>
      <c r="C1637" s="64" t="s">
        <v>4</v>
      </c>
      <c r="D1637" s="64" t="s">
        <v>1760</v>
      </c>
      <c r="E1637" s="42" t="s">
        <v>1791</v>
      </c>
      <c r="F1637" s="42" t="s">
        <v>1789</v>
      </c>
      <c r="G1637" s="42">
        <v>113</v>
      </c>
      <c r="H1637" s="42" t="s">
        <v>967</v>
      </c>
      <c r="I1637" s="42" t="s">
        <v>37</v>
      </c>
      <c r="J1637" s="42">
        <v>10000</v>
      </c>
    </row>
    <row r="1638" spans="1:22">
      <c r="A1638" s="61" t="s">
        <v>1789</v>
      </c>
      <c r="C1638" s="64" t="s">
        <v>4</v>
      </c>
      <c r="D1638" s="64" t="s">
        <v>1760</v>
      </c>
      <c r="E1638" s="42" t="s">
        <v>1791</v>
      </c>
      <c r="F1638" s="42" t="s">
        <v>1789</v>
      </c>
      <c r="G1638" s="42">
        <v>114</v>
      </c>
      <c r="H1638" s="42" t="s">
        <v>907</v>
      </c>
      <c r="I1638" s="42" t="s">
        <v>37</v>
      </c>
      <c r="J1638" s="42">
        <v>20000</v>
      </c>
    </row>
    <row r="1639" spans="1:22">
      <c r="A1639" s="61" t="s">
        <v>1789</v>
      </c>
      <c r="C1639" s="64" t="s">
        <v>4</v>
      </c>
      <c r="D1639" s="64" t="s">
        <v>1760</v>
      </c>
      <c r="E1639" s="42" t="s">
        <v>1791</v>
      </c>
      <c r="F1639" s="42" t="s">
        <v>1789</v>
      </c>
      <c r="G1639" s="42">
        <v>115</v>
      </c>
      <c r="H1639" s="42" t="s">
        <v>909</v>
      </c>
      <c r="I1639" s="42" t="s">
        <v>37</v>
      </c>
      <c r="J1639" s="42">
        <v>20000</v>
      </c>
    </row>
    <row r="1640" spans="1:22">
      <c r="A1640" s="61" t="s">
        <v>1789</v>
      </c>
      <c r="C1640" s="64" t="s">
        <v>4</v>
      </c>
      <c r="D1640" s="64" t="s">
        <v>1760</v>
      </c>
      <c r="E1640" s="42" t="s">
        <v>1791</v>
      </c>
      <c r="F1640" s="42" t="s">
        <v>1789</v>
      </c>
      <c r="G1640" s="42">
        <v>116</v>
      </c>
      <c r="H1640" s="42" t="s">
        <v>911</v>
      </c>
      <c r="I1640" s="42" t="s">
        <v>37</v>
      </c>
      <c r="J1640" s="42">
        <v>20000</v>
      </c>
    </row>
    <row r="1641" spans="1:22">
      <c r="A1641" s="61" t="s">
        <v>1789</v>
      </c>
      <c r="C1641" s="64" t="s">
        <v>4</v>
      </c>
      <c r="D1641" s="64" t="s">
        <v>1760</v>
      </c>
      <c r="E1641" s="42" t="s">
        <v>1791</v>
      </c>
      <c r="F1641" s="42" t="s">
        <v>1789</v>
      </c>
      <c r="G1641" s="42">
        <v>117</v>
      </c>
      <c r="H1641" s="42" t="s">
        <v>913</v>
      </c>
      <c r="I1641" s="42" t="s">
        <v>37</v>
      </c>
      <c r="J1641" s="42">
        <v>45000</v>
      </c>
    </row>
    <row r="1642" spans="1:22">
      <c r="A1642" s="61" t="s">
        <v>1789</v>
      </c>
      <c r="C1642" s="64" t="s">
        <v>4</v>
      </c>
      <c r="D1642" s="64" t="s">
        <v>1760</v>
      </c>
      <c r="E1642" s="42" t="s">
        <v>1791</v>
      </c>
      <c r="F1642" s="42" t="s">
        <v>1789</v>
      </c>
      <c r="G1642" s="42">
        <v>118</v>
      </c>
      <c r="H1642" s="42" t="s">
        <v>915</v>
      </c>
      <c r="I1642" s="42" t="s">
        <v>37</v>
      </c>
      <c r="J1642" s="42">
        <v>40000</v>
      </c>
    </row>
    <row r="1643" spans="1:22">
      <c r="A1643" s="61" t="s">
        <v>1789</v>
      </c>
      <c r="C1643" s="64" t="s">
        <v>4</v>
      </c>
      <c r="D1643" s="64" t="s">
        <v>1760</v>
      </c>
      <c r="E1643" s="42" t="s">
        <v>1791</v>
      </c>
      <c r="F1643" s="42" t="s">
        <v>1789</v>
      </c>
      <c r="G1643" s="42">
        <v>119</v>
      </c>
      <c r="H1643" s="42" t="s">
        <v>917</v>
      </c>
      <c r="I1643" s="42" t="s">
        <v>37</v>
      </c>
      <c r="J1643" s="42">
        <v>10000</v>
      </c>
    </row>
    <row r="1644" spans="1:22">
      <c r="A1644" s="61" t="s">
        <v>1789</v>
      </c>
      <c r="C1644" s="64" t="s">
        <v>4</v>
      </c>
      <c r="D1644" s="64" t="s">
        <v>1760</v>
      </c>
      <c r="E1644" s="42" t="s">
        <v>1791</v>
      </c>
      <c r="F1644" s="42" t="s">
        <v>1789</v>
      </c>
      <c r="G1644" s="42">
        <v>120</v>
      </c>
      <c r="H1644" s="42" t="s">
        <v>971</v>
      </c>
      <c r="I1644" s="42" t="s">
        <v>37</v>
      </c>
      <c r="J1644" s="42">
        <v>9000</v>
      </c>
    </row>
    <row r="1645" spans="1:22">
      <c r="A1645" s="61" t="s">
        <v>1789</v>
      </c>
      <c r="C1645" s="64" t="s">
        <v>4</v>
      </c>
      <c r="D1645" s="64" t="s">
        <v>1760</v>
      </c>
      <c r="E1645" s="42" t="s">
        <v>1791</v>
      </c>
      <c r="F1645" s="42" t="s">
        <v>1789</v>
      </c>
      <c r="G1645" s="42">
        <v>121</v>
      </c>
      <c r="H1645" s="42" t="s">
        <v>763</v>
      </c>
      <c r="I1645" s="42" t="s">
        <v>37</v>
      </c>
      <c r="J1645" s="42">
        <v>10000</v>
      </c>
    </row>
    <row r="1646" spans="1:22">
      <c r="A1646" s="61" t="s">
        <v>1789</v>
      </c>
      <c r="C1646" s="64" t="s">
        <v>4</v>
      </c>
      <c r="D1646" s="64" t="s">
        <v>1760</v>
      </c>
      <c r="E1646" s="42" t="s">
        <v>1791</v>
      </c>
      <c r="F1646" s="42" t="s">
        <v>1789</v>
      </c>
      <c r="G1646" s="42">
        <v>122</v>
      </c>
      <c r="H1646" s="42" t="s">
        <v>769</v>
      </c>
      <c r="I1646" s="42" t="s">
        <v>37</v>
      </c>
      <c r="J1646" s="42">
        <v>20000</v>
      </c>
    </row>
    <row r="1647" spans="1:22">
      <c r="A1647" s="61" t="s">
        <v>1789</v>
      </c>
      <c r="C1647" s="64" t="s">
        <v>4</v>
      </c>
      <c r="D1647" s="64" t="s">
        <v>1760</v>
      </c>
      <c r="E1647" s="42" t="s">
        <v>1791</v>
      </c>
      <c r="F1647" s="42" t="s">
        <v>1789</v>
      </c>
      <c r="G1647" s="42">
        <v>123</v>
      </c>
      <c r="H1647" s="42" t="s">
        <v>961</v>
      </c>
      <c r="I1647" s="42" t="s">
        <v>37</v>
      </c>
      <c r="J1647" s="42">
        <v>40000</v>
      </c>
    </row>
    <row r="1648" spans="1:22">
      <c r="A1648" s="61" t="s">
        <v>1789</v>
      </c>
      <c r="C1648" s="64" t="s">
        <v>4</v>
      </c>
      <c r="D1648" s="64" t="s">
        <v>1760</v>
      </c>
      <c r="E1648" s="42" t="s">
        <v>1791</v>
      </c>
      <c r="F1648" s="42" t="s">
        <v>1789</v>
      </c>
      <c r="G1648" s="42">
        <v>124</v>
      </c>
      <c r="H1648" s="42" t="s">
        <v>919</v>
      </c>
      <c r="I1648" s="42" t="s">
        <v>37</v>
      </c>
      <c r="J1648" s="42">
        <v>50000</v>
      </c>
    </row>
    <row r="1649" spans="1:22">
      <c r="A1649" s="61" t="s">
        <v>1789</v>
      </c>
      <c r="C1649" s="64" t="s">
        <v>4</v>
      </c>
      <c r="D1649" s="64" t="s">
        <v>1760</v>
      </c>
      <c r="E1649" s="42" t="s">
        <v>1791</v>
      </c>
      <c r="F1649" s="42" t="s">
        <v>1789</v>
      </c>
      <c r="G1649" s="42">
        <v>125</v>
      </c>
      <c r="H1649" s="42" t="s">
        <v>1331</v>
      </c>
      <c r="I1649" s="42" t="s">
        <v>37</v>
      </c>
      <c r="J1649" s="42">
        <v>125000</v>
      </c>
    </row>
    <row r="1650" spans="1:22">
      <c r="A1650" s="61" t="s">
        <v>1789</v>
      </c>
      <c r="C1650" s="64" t="s">
        <v>4</v>
      </c>
      <c r="D1650" s="64" t="s">
        <v>1760</v>
      </c>
      <c r="E1650" s="42" t="s">
        <v>1791</v>
      </c>
      <c r="F1650" s="42" t="s">
        <v>1789</v>
      </c>
      <c r="G1650" s="42">
        <v>126</v>
      </c>
      <c r="H1650" s="42" t="s">
        <v>1318</v>
      </c>
      <c r="I1650" s="42" t="s">
        <v>37</v>
      </c>
      <c r="J1650" s="42">
        <v>50000</v>
      </c>
    </row>
    <row r="1651" spans="1:22">
      <c r="A1651" s="61" t="s">
        <v>1789</v>
      </c>
      <c r="C1651" s="64" t="s">
        <v>4</v>
      </c>
      <c r="D1651" s="64" t="s">
        <v>1760</v>
      </c>
      <c r="E1651" s="42" t="s">
        <v>1791</v>
      </c>
      <c r="F1651" s="42" t="s">
        <v>1789</v>
      </c>
      <c r="G1651" s="42">
        <v>127</v>
      </c>
      <c r="H1651" s="42" t="s">
        <v>1273</v>
      </c>
      <c r="I1651" s="42" t="s">
        <v>37</v>
      </c>
      <c r="J1651" s="42">
        <v>20000</v>
      </c>
    </row>
    <row r="1652" spans="1:22">
      <c r="A1652" s="61" t="s">
        <v>1789</v>
      </c>
      <c r="C1652" s="64" t="s">
        <v>4</v>
      </c>
      <c r="D1652" s="64" t="s">
        <v>1760</v>
      </c>
      <c r="E1652" s="42" t="s">
        <v>1791</v>
      </c>
      <c r="F1652" s="42" t="s">
        <v>1789</v>
      </c>
      <c r="G1652" s="42">
        <v>128</v>
      </c>
      <c r="H1652" s="42" t="s">
        <v>1274</v>
      </c>
      <c r="I1652" s="42" t="s">
        <v>37</v>
      </c>
      <c r="J1652" s="42">
        <v>6000</v>
      </c>
    </row>
    <row r="1653" spans="1:22">
      <c r="A1653" s="61" t="s">
        <v>1789</v>
      </c>
      <c r="C1653" s="64" t="s">
        <v>4</v>
      </c>
      <c r="D1653" s="64" t="s">
        <v>1760</v>
      </c>
      <c r="E1653" s="42" t="s">
        <v>1791</v>
      </c>
      <c r="F1653" s="42" t="s">
        <v>1789</v>
      </c>
      <c r="G1653" s="42">
        <v>129</v>
      </c>
      <c r="H1653" s="42" t="s">
        <v>1284</v>
      </c>
      <c r="I1653" s="42" t="s">
        <v>37</v>
      </c>
      <c r="J1653" s="42">
        <v>10000</v>
      </c>
    </row>
    <row r="1654" spans="1:22">
      <c r="A1654" s="61" t="s">
        <v>1789</v>
      </c>
      <c r="C1654" s="64" t="s">
        <v>4</v>
      </c>
      <c r="D1654" s="64" t="s">
        <v>1760</v>
      </c>
      <c r="E1654" s="42" t="s">
        <v>1791</v>
      </c>
      <c r="F1654" s="42" t="s">
        <v>1789</v>
      </c>
      <c r="G1654" s="42">
        <v>130</v>
      </c>
      <c r="H1654" s="42" t="s">
        <v>959</v>
      </c>
      <c r="I1654" s="42" t="s">
        <v>37</v>
      </c>
      <c r="J1654" s="42">
        <v>100000</v>
      </c>
    </row>
    <row r="1655" spans="1:22">
      <c r="A1655" s="61" t="s">
        <v>1789</v>
      </c>
      <c r="C1655" s="64" t="s">
        <v>4</v>
      </c>
      <c r="D1655" s="64" t="s">
        <v>1760</v>
      </c>
      <c r="E1655" s="42" t="s">
        <v>1791</v>
      </c>
      <c r="F1655" s="42" t="s">
        <v>1789</v>
      </c>
      <c r="G1655" s="42">
        <v>131</v>
      </c>
      <c r="H1655" s="42" t="s">
        <v>1367</v>
      </c>
      <c r="I1655" s="42" t="s">
        <v>37</v>
      </c>
      <c r="J1655" s="42">
        <v>30000</v>
      </c>
    </row>
    <row r="1656" spans="1:22">
      <c r="A1656" s="61" t="s">
        <v>1789</v>
      </c>
      <c r="C1656" s="64" t="s">
        <v>4</v>
      </c>
      <c r="D1656" s="64" t="s">
        <v>1760</v>
      </c>
      <c r="E1656" s="42" t="s">
        <v>1791</v>
      </c>
      <c r="F1656" s="42" t="s">
        <v>1789</v>
      </c>
      <c r="G1656" s="42">
        <v>132</v>
      </c>
      <c r="H1656" s="42" t="s">
        <v>1290</v>
      </c>
      <c r="I1656" s="42" t="s">
        <v>37</v>
      </c>
      <c r="J1656" s="42">
        <v>20000</v>
      </c>
    </row>
    <row r="1657" spans="1:22">
      <c r="A1657" s="61" t="s">
        <v>1789</v>
      </c>
      <c r="C1657" s="64" t="s">
        <v>4</v>
      </c>
      <c r="D1657" s="64" t="s">
        <v>1760</v>
      </c>
      <c r="E1657" s="42" t="s">
        <v>1791</v>
      </c>
      <c r="F1657" s="42" t="s">
        <v>1789</v>
      </c>
      <c r="G1657" s="42">
        <v>133</v>
      </c>
      <c r="H1657" s="42" t="s">
        <v>1262</v>
      </c>
      <c r="I1657" s="42" t="s">
        <v>37</v>
      </c>
      <c r="J1657" s="42">
        <v>20000</v>
      </c>
    </row>
    <row r="1658" spans="1:22">
      <c r="A1658" s="61" t="s">
        <v>1789</v>
      </c>
      <c r="C1658" s="64" t="s">
        <v>4</v>
      </c>
      <c r="D1658" s="64" t="s">
        <v>1760</v>
      </c>
      <c r="E1658" s="42" t="s">
        <v>1791</v>
      </c>
      <c r="F1658" s="42" t="s">
        <v>1789</v>
      </c>
      <c r="G1658" s="42">
        <v>134</v>
      </c>
      <c r="H1658" s="42" t="s">
        <v>1285</v>
      </c>
      <c r="I1658" s="42" t="s">
        <v>37</v>
      </c>
      <c r="J1658" s="42">
        <v>15000</v>
      </c>
    </row>
    <row r="1659" spans="1:22">
      <c r="A1659" s="61" t="s">
        <v>1789</v>
      </c>
      <c r="C1659" s="64" t="s">
        <v>4</v>
      </c>
      <c r="D1659" s="64" t="s">
        <v>1760</v>
      </c>
      <c r="E1659" s="42" t="s">
        <v>1791</v>
      </c>
      <c r="F1659" s="42" t="s">
        <v>1789</v>
      </c>
      <c r="G1659" s="42">
        <v>135</v>
      </c>
      <c r="H1659" s="42" t="s">
        <v>619</v>
      </c>
      <c r="I1659" s="42" t="s">
        <v>37</v>
      </c>
      <c r="J1659" s="42">
        <v>5000</v>
      </c>
    </row>
    <row r="1660" spans="1:22">
      <c r="A1660" s="61" t="s">
        <v>1789</v>
      </c>
      <c r="C1660" s="64" t="s">
        <v>4</v>
      </c>
      <c r="D1660" s="64" t="s">
        <v>1760</v>
      </c>
      <c r="E1660" s="42" t="s">
        <v>1791</v>
      </c>
      <c r="F1660" s="42" t="s">
        <v>1789</v>
      </c>
      <c r="G1660" s="42">
        <v>136</v>
      </c>
      <c r="H1660" s="42" t="s">
        <v>593</v>
      </c>
      <c r="I1660" s="42" t="s">
        <v>37</v>
      </c>
      <c r="J1660" s="42">
        <v>90000</v>
      </c>
    </row>
    <row r="1661" spans="1:22">
      <c r="A1661" s="61" t="s">
        <v>1789</v>
      </c>
      <c r="C1661" s="64" t="s">
        <v>4</v>
      </c>
      <c r="D1661" s="64" t="s">
        <v>1760</v>
      </c>
      <c r="E1661" s="42" t="s">
        <v>1791</v>
      </c>
      <c r="F1661" s="42" t="s">
        <v>1789</v>
      </c>
      <c r="G1661" s="42">
        <v>137</v>
      </c>
      <c r="H1661" s="42" t="s">
        <v>1124</v>
      </c>
      <c r="I1661" s="42" t="s">
        <v>37</v>
      </c>
      <c r="J1661" s="42">
        <v>10000</v>
      </c>
    </row>
    <row r="1662" spans="1:22">
      <c r="A1662" s="61" t="s">
        <v>1789</v>
      </c>
      <c r="C1662" s="64" t="s">
        <v>4</v>
      </c>
      <c r="D1662" s="64" t="s">
        <v>1760</v>
      </c>
      <c r="E1662" s="42" t="s">
        <v>1791</v>
      </c>
      <c r="F1662" s="42" t="s">
        <v>1789</v>
      </c>
      <c r="G1662" s="42">
        <v>138</v>
      </c>
      <c r="H1662" s="42" t="s">
        <v>67</v>
      </c>
      <c r="I1662" s="42" t="s">
        <v>37</v>
      </c>
      <c r="J1662" s="42">
        <v>50000</v>
      </c>
    </row>
    <row r="1663" spans="1:22">
      <c r="A1663" s="61" t="s">
        <v>1789</v>
      </c>
      <c r="C1663" s="64" t="s">
        <v>4</v>
      </c>
      <c r="D1663" s="64" t="s">
        <v>1760</v>
      </c>
      <c r="E1663" s="42" t="s">
        <v>1791</v>
      </c>
      <c r="F1663" s="42" t="s">
        <v>1789</v>
      </c>
      <c r="G1663" s="42">
        <v>139</v>
      </c>
      <c r="H1663" s="42" t="s">
        <v>70</v>
      </c>
      <c r="I1663" s="42" t="s">
        <v>37</v>
      </c>
      <c r="J1663" s="42">
        <v>10000</v>
      </c>
    </row>
    <row r="1664" spans="1:22">
      <c r="A1664" s="61" t="s">
        <v>1789</v>
      </c>
      <c r="C1664" s="64" t="s">
        <v>4</v>
      </c>
      <c r="D1664" s="64" t="s">
        <v>1760</v>
      </c>
      <c r="E1664" s="42" t="s">
        <v>1791</v>
      </c>
      <c r="F1664" s="42" t="s">
        <v>1789</v>
      </c>
      <c r="G1664" s="42">
        <v>140</v>
      </c>
      <c r="H1664" s="42" t="s">
        <v>71</v>
      </c>
      <c r="I1664" s="42" t="s">
        <v>37</v>
      </c>
      <c r="J1664" s="42">
        <v>10000</v>
      </c>
    </row>
    <row r="1665" spans="1:22">
      <c r="A1665" s="61" t="s">
        <v>1789</v>
      </c>
      <c r="C1665" s="64" t="s">
        <v>4</v>
      </c>
      <c r="D1665" s="64" t="s">
        <v>1760</v>
      </c>
      <c r="E1665" s="42" t="s">
        <v>1791</v>
      </c>
      <c r="F1665" s="42" t="s">
        <v>1789</v>
      </c>
      <c r="G1665" s="42">
        <v>141</v>
      </c>
      <c r="H1665" s="42" t="s">
        <v>73</v>
      </c>
      <c r="I1665" s="42" t="s">
        <v>37</v>
      </c>
      <c r="J1665" s="42">
        <v>8000</v>
      </c>
    </row>
    <row r="1666" spans="1:22">
      <c r="A1666" s="61" t="s">
        <v>1789</v>
      </c>
      <c r="C1666" s="64" t="s">
        <v>4</v>
      </c>
      <c r="D1666" s="64" t="s">
        <v>1760</v>
      </c>
      <c r="E1666" s="42" t="s">
        <v>1791</v>
      </c>
      <c r="F1666" s="42" t="s">
        <v>1789</v>
      </c>
      <c r="G1666" s="42">
        <v>142</v>
      </c>
      <c r="H1666" s="42" t="s">
        <v>469</v>
      </c>
      <c r="I1666" s="42" t="s">
        <v>37</v>
      </c>
      <c r="J1666" s="42">
        <v>50000</v>
      </c>
    </row>
    <row r="1667" spans="1:22">
      <c r="A1667" s="61" t="s">
        <v>1789</v>
      </c>
      <c r="C1667" s="64" t="s">
        <v>4</v>
      </c>
      <c r="D1667" s="64" t="s">
        <v>1760</v>
      </c>
      <c r="E1667" s="42" t="s">
        <v>1791</v>
      </c>
      <c r="F1667" s="42" t="s">
        <v>1789</v>
      </c>
      <c r="G1667" s="42">
        <v>143</v>
      </c>
      <c r="H1667" s="42" t="s">
        <v>471</v>
      </c>
      <c r="I1667" s="42" t="s">
        <v>37</v>
      </c>
      <c r="J1667" s="42">
        <v>10000</v>
      </c>
    </row>
    <row r="1668" spans="1:22">
      <c r="A1668" s="61" t="s">
        <v>1789</v>
      </c>
      <c r="C1668" s="64" t="s">
        <v>4</v>
      </c>
      <c r="D1668" s="64" t="s">
        <v>1760</v>
      </c>
      <c r="E1668" s="42" t="s">
        <v>1791</v>
      </c>
      <c r="F1668" s="42" t="s">
        <v>1789</v>
      </c>
      <c r="G1668" s="42">
        <v>144</v>
      </c>
      <c r="H1668" s="42" t="s">
        <v>501</v>
      </c>
      <c r="I1668" s="42" t="s">
        <v>37</v>
      </c>
      <c r="J1668" s="42">
        <v>10000</v>
      </c>
    </row>
    <row r="1669" spans="1:22">
      <c r="A1669" s="61" t="s">
        <v>1789</v>
      </c>
      <c r="C1669" s="64" t="s">
        <v>4</v>
      </c>
      <c r="D1669" s="64" t="s">
        <v>1760</v>
      </c>
      <c r="E1669" s="42" t="s">
        <v>1791</v>
      </c>
      <c r="F1669" s="42" t="s">
        <v>1789</v>
      </c>
      <c r="G1669" s="42">
        <v>145</v>
      </c>
      <c r="H1669" s="42" t="s">
        <v>78</v>
      </c>
      <c r="I1669" s="42" t="s">
        <v>37</v>
      </c>
      <c r="J1669" s="42">
        <v>10000</v>
      </c>
    </row>
    <row r="1670" spans="1:22">
      <c r="A1670" s="61" t="s">
        <v>1789</v>
      </c>
      <c r="C1670" s="64" t="s">
        <v>4</v>
      </c>
      <c r="D1670" s="64" t="s">
        <v>1760</v>
      </c>
      <c r="E1670" s="42" t="s">
        <v>1791</v>
      </c>
      <c r="F1670" s="42" t="s">
        <v>1789</v>
      </c>
      <c r="G1670" s="42">
        <v>146</v>
      </c>
      <c r="H1670" s="42" t="s">
        <v>79</v>
      </c>
      <c r="I1670" s="42" t="s">
        <v>37</v>
      </c>
      <c r="J1670" s="42">
        <v>30000</v>
      </c>
    </row>
    <row r="1671" spans="1:22">
      <c r="A1671" s="61" t="s">
        <v>1789</v>
      </c>
      <c r="C1671" s="64" t="s">
        <v>4</v>
      </c>
      <c r="D1671" s="64" t="s">
        <v>1760</v>
      </c>
      <c r="E1671" s="42" t="s">
        <v>1791</v>
      </c>
      <c r="F1671" s="42" t="s">
        <v>1789</v>
      </c>
      <c r="G1671" s="42">
        <v>147</v>
      </c>
      <c r="H1671" s="42" t="s">
        <v>80</v>
      </c>
      <c r="I1671" s="42" t="s">
        <v>37</v>
      </c>
      <c r="J1671" s="42">
        <v>10000</v>
      </c>
    </row>
    <row r="1672" spans="1:22">
      <c r="A1672" s="61" t="s">
        <v>1789</v>
      </c>
      <c r="C1672" s="64" t="s">
        <v>4</v>
      </c>
      <c r="D1672" s="64" t="s">
        <v>1760</v>
      </c>
      <c r="E1672" s="42" t="s">
        <v>1791</v>
      </c>
      <c r="F1672" s="42" t="s">
        <v>1789</v>
      </c>
      <c r="G1672" s="42">
        <v>148</v>
      </c>
      <c r="H1672" s="42" t="s">
        <v>81</v>
      </c>
      <c r="I1672" s="42" t="s">
        <v>37</v>
      </c>
      <c r="J1672" s="42">
        <v>5000</v>
      </c>
    </row>
    <row r="1673" spans="1:22">
      <c r="A1673" s="61" t="s">
        <v>1789</v>
      </c>
      <c r="C1673" s="64" t="s">
        <v>4</v>
      </c>
      <c r="D1673" s="64" t="s">
        <v>1760</v>
      </c>
      <c r="E1673" s="42" t="s">
        <v>1791</v>
      </c>
      <c r="F1673" s="42" t="s">
        <v>1789</v>
      </c>
      <c r="G1673" s="42">
        <v>149</v>
      </c>
      <c r="H1673" s="42" t="s">
        <v>82</v>
      </c>
      <c r="I1673" s="42" t="s">
        <v>37</v>
      </c>
      <c r="J1673" s="42">
        <v>5000</v>
      </c>
    </row>
    <row r="1674" spans="1:22">
      <c r="A1674" s="61" t="s">
        <v>1789</v>
      </c>
      <c r="C1674" s="64" t="s">
        <v>4</v>
      </c>
      <c r="D1674" s="64" t="s">
        <v>1760</v>
      </c>
      <c r="E1674" s="42" t="s">
        <v>1791</v>
      </c>
      <c r="F1674" s="42" t="s">
        <v>1789</v>
      </c>
      <c r="G1674" s="42">
        <v>150</v>
      </c>
      <c r="H1674" s="42" t="s">
        <v>969</v>
      </c>
      <c r="I1674" s="42" t="s">
        <v>37</v>
      </c>
      <c r="J1674" s="42">
        <v>10000</v>
      </c>
    </row>
    <row r="1675" spans="1:22">
      <c r="A1675" s="61" t="s">
        <v>1789</v>
      </c>
      <c r="C1675" s="64" t="s">
        <v>4</v>
      </c>
      <c r="D1675" s="64" t="s">
        <v>1760</v>
      </c>
      <c r="E1675" s="42" t="s">
        <v>1791</v>
      </c>
      <c r="F1675" s="42" t="s">
        <v>1789</v>
      </c>
      <c r="G1675" s="42">
        <v>151</v>
      </c>
      <c r="H1675" s="42" t="s">
        <v>86</v>
      </c>
      <c r="I1675" s="42" t="s">
        <v>37</v>
      </c>
      <c r="J1675" s="42">
        <v>5000</v>
      </c>
    </row>
    <row r="1676" spans="1:22">
      <c r="A1676" s="61" t="s">
        <v>1789</v>
      </c>
      <c r="C1676" s="64" t="s">
        <v>4</v>
      </c>
      <c r="D1676" s="64" t="s">
        <v>1760</v>
      </c>
      <c r="E1676" s="42" t="s">
        <v>1791</v>
      </c>
      <c r="F1676" s="42" t="s">
        <v>1789</v>
      </c>
      <c r="G1676" s="42">
        <v>152</v>
      </c>
      <c r="H1676" s="42" t="s">
        <v>89</v>
      </c>
      <c r="I1676" s="42" t="s">
        <v>37</v>
      </c>
      <c r="J1676" s="42">
        <v>8000</v>
      </c>
    </row>
    <row r="1677" spans="1:22">
      <c r="A1677" s="61" t="s">
        <v>1789</v>
      </c>
      <c r="C1677" s="64" t="s">
        <v>4</v>
      </c>
      <c r="D1677" s="64" t="s">
        <v>1760</v>
      </c>
      <c r="E1677" s="42" t="s">
        <v>1791</v>
      </c>
      <c r="F1677" s="42" t="s">
        <v>1789</v>
      </c>
      <c r="G1677" s="42">
        <v>153</v>
      </c>
      <c r="H1677" s="42" t="s">
        <v>116</v>
      </c>
      <c r="I1677" s="42" t="s">
        <v>37</v>
      </c>
      <c r="J1677" s="42">
        <v>30000</v>
      </c>
    </row>
    <row r="1678" spans="1:22">
      <c r="A1678" s="61" t="s">
        <v>1789</v>
      </c>
      <c r="C1678" s="64" t="s">
        <v>4</v>
      </c>
      <c r="D1678" s="64" t="s">
        <v>1760</v>
      </c>
      <c r="E1678" s="42" t="s">
        <v>1791</v>
      </c>
      <c r="F1678" s="42" t="s">
        <v>1789</v>
      </c>
      <c r="G1678" s="42">
        <v>154</v>
      </c>
      <c r="H1678" s="42" t="s">
        <v>117</v>
      </c>
      <c r="I1678" s="42" t="s">
        <v>37</v>
      </c>
      <c r="J1678" s="42">
        <v>5000</v>
      </c>
    </row>
    <row r="1679" spans="1:22">
      <c r="A1679" s="61" t="s">
        <v>1789</v>
      </c>
      <c r="C1679" s="64" t="s">
        <v>4</v>
      </c>
      <c r="D1679" s="64" t="s">
        <v>1760</v>
      </c>
      <c r="E1679" s="42" t="s">
        <v>1791</v>
      </c>
      <c r="F1679" s="42" t="s">
        <v>1789</v>
      </c>
      <c r="G1679" s="42">
        <v>155</v>
      </c>
      <c r="H1679" s="42" t="s">
        <v>120</v>
      </c>
      <c r="I1679" s="42" t="s">
        <v>37</v>
      </c>
      <c r="J1679" s="42">
        <v>20000</v>
      </c>
    </row>
    <row r="1680" spans="1:22">
      <c r="A1680" s="61" t="s">
        <v>1789</v>
      </c>
      <c r="C1680" s="64" t="s">
        <v>4</v>
      </c>
      <c r="D1680" s="64" t="s">
        <v>1760</v>
      </c>
      <c r="E1680" s="42" t="s">
        <v>1791</v>
      </c>
      <c r="F1680" s="42" t="s">
        <v>1789</v>
      </c>
      <c r="G1680" s="42">
        <v>156</v>
      </c>
      <c r="H1680" s="42" t="s">
        <v>123</v>
      </c>
      <c r="I1680" s="42" t="s">
        <v>37</v>
      </c>
      <c r="J1680" s="42">
        <v>5000</v>
      </c>
    </row>
    <row r="1681" spans="1:22">
      <c r="A1681" s="61" t="s">
        <v>1789</v>
      </c>
      <c r="C1681" s="64" t="s">
        <v>4</v>
      </c>
      <c r="D1681" s="64" t="s">
        <v>1760</v>
      </c>
      <c r="E1681" s="42" t="s">
        <v>1791</v>
      </c>
      <c r="F1681" s="42" t="s">
        <v>1789</v>
      </c>
      <c r="G1681" s="42">
        <v>157</v>
      </c>
      <c r="H1681" s="42" t="s">
        <v>125</v>
      </c>
      <c r="I1681" s="42" t="s">
        <v>37</v>
      </c>
      <c r="J1681" s="42">
        <v>5000</v>
      </c>
    </row>
    <row r="1682" spans="1:22">
      <c r="A1682" s="61" t="s">
        <v>1789</v>
      </c>
      <c r="C1682" s="64" t="s">
        <v>4</v>
      </c>
      <c r="D1682" s="64" t="s">
        <v>1760</v>
      </c>
      <c r="E1682" s="42" t="s">
        <v>1791</v>
      </c>
      <c r="F1682" s="42" t="s">
        <v>1789</v>
      </c>
      <c r="G1682" s="42">
        <v>158</v>
      </c>
      <c r="H1682" s="42" t="s">
        <v>259</v>
      </c>
      <c r="I1682" s="42" t="s">
        <v>37</v>
      </c>
      <c r="J1682" s="42">
        <v>8000</v>
      </c>
    </row>
    <row r="1683" spans="1:22">
      <c r="A1683" s="61" t="s">
        <v>1789</v>
      </c>
      <c r="C1683" s="64" t="s">
        <v>4</v>
      </c>
      <c r="D1683" s="64" t="s">
        <v>1760</v>
      </c>
      <c r="E1683" s="42" t="s">
        <v>1791</v>
      </c>
      <c r="F1683" s="42" t="s">
        <v>1789</v>
      </c>
      <c r="G1683" s="42">
        <v>159</v>
      </c>
      <c r="H1683" s="42" t="s">
        <v>437</v>
      </c>
      <c r="I1683" s="42" t="s">
        <v>37</v>
      </c>
      <c r="J1683" s="42">
        <v>20000</v>
      </c>
    </row>
    <row r="1684" spans="1:22">
      <c r="A1684" s="61" t="s">
        <v>1789</v>
      </c>
      <c r="C1684" s="64" t="s">
        <v>4</v>
      </c>
      <c r="D1684" s="64" t="s">
        <v>1760</v>
      </c>
      <c r="E1684" s="42" t="s">
        <v>1791</v>
      </c>
      <c r="F1684" s="42" t="s">
        <v>1789</v>
      </c>
      <c r="G1684" s="42">
        <v>160</v>
      </c>
      <c r="H1684" s="42" t="s">
        <v>249</v>
      </c>
      <c r="I1684" s="42" t="s">
        <v>37</v>
      </c>
      <c r="J1684" s="42">
        <v>50000</v>
      </c>
    </row>
    <row r="1685" spans="1:22">
      <c r="A1685" s="61" t="s">
        <v>1789</v>
      </c>
      <c r="C1685" s="64" t="s">
        <v>4</v>
      </c>
      <c r="D1685" s="64" t="s">
        <v>1760</v>
      </c>
      <c r="E1685" s="42" t="s">
        <v>1791</v>
      </c>
      <c r="F1685" s="42" t="s">
        <v>1789</v>
      </c>
      <c r="G1685" s="42">
        <v>161</v>
      </c>
      <c r="H1685" s="42" t="s">
        <v>299</v>
      </c>
      <c r="I1685" s="42" t="s">
        <v>37</v>
      </c>
      <c r="J1685" s="42">
        <v>20000</v>
      </c>
    </row>
    <row r="1686" spans="1:22">
      <c r="A1686" s="61" t="s">
        <v>1789</v>
      </c>
      <c r="C1686" s="64" t="s">
        <v>4</v>
      </c>
      <c r="D1686" s="64" t="s">
        <v>1760</v>
      </c>
      <c r="E1686" s="42" t="s">
        <v>1791</v>
      </c>
      <c r="F1686" s="42" t="s">
        <v>1789</v>
      </c>
      <c r="G1686" s="42">
        <v>162</v>
      </c>
      <c r="H1686" s="42" t="s">
        <v>261</v>
      </c>
      <c r="I1686" s="42" t="s">
        <v>37</v>
      </c>
      <c r="J1686" s="42">
        <v>5000</v>
      </c>
    </row>
    <row r="1687" spans="1:22">
      <c r="A1687" s="61" t="s">
        <v>1789</v>
      </c>
      <c r="C1687" s="64" t="s">
        <v>4</v>
      </c>
      <c r="D1687" s="64" t="s">
        <v>1760</v>
      </c>
      <c r="E1687" s="42" t="s">
        <v>1791</v>
      </c>
      <c r="F1687" s="42" t="s">
        <v>1789</v>
      </c>
      <c r="G1687" s="42">
        <v>163</v>
      </c>
      <c r="H1687" s="42" t="s">
        <v>323</v>
      </c>
      <c r="I1687" s="42" t="s">
        <v>37</v>
      </c>
      <c r="J1687" s="42">
        <v>120000</v>
      </c>
    </row>
    <row r="1688" spans="1:22">
      <c r="A1688" s="61" t="s">
        <v>1789</v>
      </c>
      <c r="C1688" s="64" t="s">
        <v>4</v>
      </c>
      <c r="D1688" s="64" t="s">
        <v>1760</v>
      </c>
      <c r="E1688" s="42" t="s">
        <v>1791</v>
      </c>
      <c r="F1688" s="42" t="s">
        <v>1789</v>
      </c>
      <c r="G1688" s="42">
        <v>164</v>
      </c>
      <c r="H1688" s="42" t="s">
        <v>495</v>
      </c>
      <c r="I1688" s="42" t="s">
        <v>37</v>
      </c>
      <c r="J1688" s="42">
        <v>240000</v>
      </c>
    </row>
    <row r="1689" spans="1:22">
      <c r="A1689" s="61" t="s">
        <v>1789</v>
      </c>
      <c r="C1689" s="64" t="s">
        <v>4</v>
      </c>
      <c r="D1689" s="64" t="s">
        <v>1760</v>
      </c>
      <c r="E1689" s="42" t="s">
        <v>1791</v>
      </c>
      <c r="F1689" s="42" t="s">
        <v>1789</v>
      </c>
      <c r="G1689" s="42">
        <v>165</v>
      </c>
      <c r="H1689" s="42" t="s">
        <v>691</v>
      </c>
      <c r="I1689" s="42" t="s">
        <v>1763</v>
      </c>
      <c r="J1689" s="42">
        <v>1500</v>
      </c>
    </row>
    <row r="1690" spans="1:22">
      <c r="A1690" s="61" t="s">
        <v>1789</v>
      </c>
      <c r="C1690" s="64" t="s">
        <v>4</v>
      </c>
      <c r="D1690" s="64" t="s">
        <v>1760</v>
      </c>
      <c r="E1690" s="42" t="s">
        <v>1791</v>
      </c>
      <c r="F1690" s="42" t="s">
        <v>1789</v>
      </c>
      <c r="G1690" s="42">
        <v>166</v>
      </c>
      <c r="H1690" s="42" t="s">
        <v>108</v>
      </c>
      <c r="I1690" s="42" t="s">
        <v>1763</v>
      </c>
      <c r="J1690" s="42">
        <v>260216</v>
      </c>
    </row>
    <row r="1691" spans="1:22">
      <c r="A1691" s="61" t="s">
        <v>1789</v>
      </c>
      <c r="C1691" s="64" t="s">
        <v>4</v>
      </c>
      <c r="D1691" s="64" t="s">
        <v>1760</v>
      </c>
      <c r="E1691" s="42" t="s">
        <v>1791</v>
      </c>
      <c r="F1691" s="42" t="s">
        <v>1789</v>
      </c>
      <c r="G1691" s="42">
        <v>167</v>
      </c>
      <c r="H1691" s="42" t="s">
        <v>93</v>
      </c>
      <c r="I1691" s="42" t="s">
        <v>92</v>
      </c>
      <c r="J1691" s="42">
        <v>190000</v>
      </c>
    </row>
    <row r="1692" spans="1:22">
      <c r="A1692" s="61" t="s">
        <v>1789</v>
      </c>
      <c r="C1692" s="64" t="s">
        <v>4</v>
      </c>
      <c r="D1692" s="64" t="s">
        <v>1760</v>
      </c>
      <c r="E1692" s="42" t="s">
        <v>1791</v>
      </c>
      <c r="F1692" s="42" t="s">
        <v>1789</v>
      </c>
      <c r="G1692" s="42">
        <v>168</v>
      </c>
      <c r="H1692" s="42" t="s">
        <v>98</v>
      </c>
      <c r="I1692" s="42" t="s">
        <v>92</v>
      </c>
      <c r="J1692" s="42">
        <v>20000</v>
      </c>
    </row>
    <row r="1693" spans="1:22">
      <c r="A1693" s="61" t="s">
        <v>1789</v>
      </c>
      <c r="C1693" s="64" t="s">
        <v>4</v>
      </c>
      <c r="D1693" s="64" t="s">
        <v>1760</v>
      </c>
      <c r="E1693" s="42" t="s">
        <v>1791</v>
      </c>
      <c r="F1693" s="42" t="s">
        <v>1789</v>
      </c>
      <c r="G1693" s="42">
        <v>169</v>
      </c>
      <c r="H1693" s="42" t="s">
        <v>172</v>
      </c>
      <c r="I1693" s="42" t="s">
        <v>102</v>
      </c>
      <c r="J1693" s="42">
        <v>3940</v>
      </c>
    </row>
    <row r="1694" spans="1:22">
      <c r="A1694" s="61" t="s">
        <v>1789</v>
      </c>
      <c r="C1694" s="64" t="s">
        <v>4</v>
      </c>
      <c r="D1694" s="64" t="s">
        <v>1760</v>
      </c>
      <c r="E1694" s="42" t="s">
        <v>1791</v>
      </c>
      <c r="F1694" s="42" t="s">
        <v>1789</v>
      </c>
      <c r="G1694" s="42">
        <v>170</v>
      </c>
      <c r="H1694" s="42" t="s">
        <v>381</v>
      </c>
      <c r="I1694" s="42" t="s">
        <v>133</v>
      </c>
      <c r="J1694" s="42">
        <v>10000</v>
      </c>
    </row>
    <row r="1695" spans="1:22">
      <c r="A1695" s="61" t="s">
        <v>1789</v>
      </c>
      <c r="C1695" s="64" t="s">
        <v>4</v>
      </c>
      <c r="D1695" s="64" t="s">
        <v>1760</v>
      </c>
      <c r="E1695" s="42" t="s">
        <v>1791</v>
      </c>
      <c r="F1695" s="42" t="s">
        <v>1789</v>
      </c>
      <c r="G1695" s="42">
        <v>171</v>
      </c>
      <c r="H1695" s="42" t="s">
        <v>419</v>
      </c>
      <c r="I1695" s="42" t="s">
        <v>133</v>
      </c>
      <c r="J1695" s="42">
        <v>15000</v>
      </c>
    </row>
    <row r="1696" spans="1:22">
      <c r="A1696" s="61" t="s">
        <v>1789</v>
      </c>
      <c r="C1696" s="64" t="s">
        <v>4</v>
      </c>
      <c r="D1696" s="64" t="s">
        <v>1760</v>
      </c>
      <c r="E1696" s="42" t="s">
        <v>1791</v>
      </c>
      <c r="F1696" s="42" t="s">
        <v>1789</v>
      </c>
      <c r="G1696" s="42">
        <v>172</v>
      </c>
      <c r="H1696" s="42" t="s">
        <v>421</v>
      </c>
      <c r="I1696" s="42" t="s">
        <v>133</v>
      </c>
      <c r="J1696" s="42">
        <v>15000</v>
      </c>
    </row>
    <row r="1697" spans="1:22">
      <c r="A1697" s="61" t="s">
        <v>1789</v>
      </c>
      <c r="C1697" s="64" t="s">
        <v>4</v>
      </c>
      <c r="D1697" s="64" t="s">
        <v>1760</v>
      </c>
      <c r="E1697" s="42" t="s">
        <v>1791</v>
      </c>
      <c r="F1697" s="42" t="s">
        <v>1789</v>
      </c>
      <c r="G1697" s="42">
        <v>173</v>
      </c>
      <c r="H1697" s="42" t="s">
        <v>441</v>
      </c>
      <c r="I1697" s="42" t="s">
        <v>133</v>
      </c>
      <c r="J1697" s="42">
        <v>18000</v>
      </c>
    </row>
    <row r="1698" spans="1:22">
      <c r="A1698" s="61" t="s">
        <v>1789</v>
      </c>
      <c r="C1698" s="64" t="s">
        <v>4</v>
      </c>
      <c r="D1698" s="64" t="s">
        <v>1760</v>
      </c>
      <c r="E1698" s="42" t="s">
        <v>1791</v>
      </c>
      <c r="F1698" s="42" t="s">
        <v>1789</v>
      </c>
      <c r="G1698" s="42">
        <v>174</v>
      </c>
      <c r="H1698" s="42" t="s">
        <v>443</v>
      </c>
      <c r="I1698" s="42" t="s">
        <v>133</v>
      </c>
      <c r="J1698" s="42">
        <v>24000</v>
      </c>
    </row>
    <row r="1699" spans="1:22">
      <c r="A1699" s="61" t="s">
        <v>1789</v>
      </c>
      <c r="C1699" s="64" t="s">
        <v>4</v>
      </c>
      <c r="D1699" s="64" t="s">
        <v>1760</v>
      </c>
      <c r="E1699" s="42" t="s">
        <v>1791</v>
      </c>
      <c r="F1699" s="42" t="s">
        <v>1789</v>
      </c>
      <c r="G1699" s="42">
        <v>175</v>
      </c>
      <c r="H1699" s="42" t="s">
        <v>553</v>
      </c>
      <c r="I1699" s="42" t="s">
        <v>133</v>
      </c>
      <c r="J1699" s="42">
        <v>10000</v>
      </c>
    </row>
    <row r="1700" spans="1:22">
      <c r="A1700" s="61" t="s">
        <v>1789</v>
      </c>
      <c r="C1700" s="64" t="s">
        <v>4</v>
      </c>
      <c r="D1700" s="64" t="s">
        <v>1760</v>
      </c>
      <c r="E1700" s="42" t="s">
        <v>1791</v>
      </c>
      <c r="F1700" s="42" t="s">
        <v>1789</v>
      </c>
      <c r="G1700" s="42">
        <v>176</v>
      </c>
      <c r="H1700" s="42" t="s">
        <v>551</v>
      </c>
      <c r="I1700" s="42" t="s">
        <v>133</v>
      </c>
      <c r="J1700" s="42">
        <v>10000</v>
      </c>
    </row>
    <row r="1701" spans="1:22">
      <c r="A1701" s="61" t="s">
        <v>1789</v>
      </c>
      <c r="C1701" s="64" t="s">
        <v>4</v>
      </c>
      <c r="D1701" s="64" t="s">
        <v>1760</v>
      </c>
      <c r="E1701" s="42" t="s">
        <v>1791</v>
      </c>
      <c r="F1701" s="42" t="s">
        <v>1789</v>
      </c>
      <c r="G1701" s="42">
        <v>177</v>
      </c>
      <c r="H1701" s="42" t="s">
        <v>549</v>
      </c>
      <c r="I1701" s="42" t="s">
        <v>133</v>
      </c>
      <c r="J1701" s="42">
        <v>20000</v>
      </c>
    </row>
    <row r="1702" spans="1:22">
      <c r="A1702" s="61" t="s">
        <v>1789</v>
      </c>
      <c r="C1702" s="64" t="s">
        <v>4</v>
      </c>
      <c r="D1702" s="64" t="s">
        <v>1760</v>
      </c>
      <c r="E1702" s="42" t="s">
        <v>1791</v>
      </c>
      <c r="F1702" s="42" t="s">
        <v>1789</v>
      </c>
      <c r="G1702" s="42">
        <v>178</v>
      </c>
      <c r="H1702" s="42" t="s">
        <v>547</v>
      </c>
      <c r="I1702" s="42" t="s">
        <v>133</v>
      </c>
      <c r="J1702" s="42">
        <v>8000</v>
      </c>
    </row>
    <row r="1703" spans="1:22">
      <c r="A1703" s="61" t="s">
        <v>1789</v>
      </c>
      <c r="C1703" s="64" t="s">
        <v>4</v>
      </c>
      <c r="D1703" s="64" t="s">
        <v>1760</v>
      </c>
      <c r="E1703" s="42" t="s">
        <v>1791</v>
      </c>
      <c r="F1703" s="42" t="s">
        <v>1789</v>
      </c>
      <c r="G1703" s="42">
        <v>179</v>
      </c>
      <c r="H1703" s="42" t="s">
        <v>611</v>
      </c>
      <c r="I1703" s="42" t="s">
        <v>133</v>
      </c>
      <c r="J1703" s="42">
        <v>12000</v>
      </c>
    </row>
    <row r="1704" spans="1:22">
      <c r="A1704" s="61" t="s">
        <v>1789</v>
      </c>
      <c r="C1704" s="64" t="s">
        <v>4</v>
      </c>
      <c r="D1704" s="64" t="s">
        <v>1760</v>
      </c>
      <c r="E1704" s="42" t="s">
        <v>1791</v>
      </c>
      <c r="F1704" s="42" t="s">
        <v>1789</v>
      </c>
      <c r="G1704" s="42">
        <v>180</v>
      </c>
      <c r="H1704" s="42" t="s">
        <v>613</v>
      </c>
      <c r="I1704" s="42" t="s">
        <v>133</v>
      </c>
      <c r="J1704" s="42">
        <v>5000</v>
      </c>
    </row>
    <row r="1705" spans="1:22">
      <c r="A1705" s="61" t="s">
        <v>1789</v>
      </c>
      <c r="C1705" s="64" t="s">
        <v>4</v>
      </c>
      <c r="D1705" s="64" t="s">
        <v>1760</v>
      </c>
      <c r="E1705" s="42" t="s">
        <v>1791</v>
      </c>
      <c r="F1705" s="42" t="s">
        <v>1789</v>
      </c>
      <c r="G1705" s="42">
        <v>181</v>
      </c>
      <c r="H1705" s="42" t="s">
        <v>731</v>
      </c>
      <c r="I1705" s="42" t="s">
        <v>133</v>
      </c>
      <c r="J1705" s="42">
        <v>7000</v>
      </c>
    </row>
    <row r="1706" spans="1:22">
      <c r="A1706" s="61" t="s">
        <v>1789</v>
      </c>
      <c r="C1706" s="64" t="s">
        <v>4</v>
      </c>
      <c r="D1706" s="64" t="s">
        <v>1760</v>
      </c>
      <c r="E1706" s="42" t="s">
        <v>1791</v>
      </c>
      <c r="F1706" s="42" t="s">
        <v>1789</v>
      </c>
      <c r="G1706" s="42">
        <v>182</v>
      </c>
      <c r="H1706" s="42" t="s">
        <v>729</v>
      </c>
      <c r="I1706" s="42" t="s">
        <v>133</v>
      </c>
      <c r="J1706" s="42">
        <v>5000</v>
      </c>
    </row>
    <row r="1707" spans="1:22">
      <c r="A1707" s="61" t="s">
        <v>1789</v>
      </c>
      <c r="C1707" s="64" t="s">
        <v>4</v>
      </c>
      <c r="D1707" s="64" t="s">
        <v>1760</v>
      </c>
      <c r="E1707" s="42" t="s">
        <v>1791</v>
      </c>
      <c r="F1707" s="42" t="s">
        <v>1789</v>
      </c>
      <c r="G1707" s="42">
        <v>183</v>
      </c>
      <c r="H1707" s="42" t="s">
        <v>765</v>
      </c>
      <c r="I1707" s="42" t="s">
        <v>133</v>
      </c>
      <c r="J1707" s="42">
        <v>4000</v>
      </c>
    </row>
    <row r="1708" spans="1:22">
      <c r="A1708" s="61" t="s">
        <v>1789</v>
      </c>
      <c r="C1708" s="64" t="s">
        <v>4</v>
      </c>
      <c r="D1708" s="64" t="s">
        <v>1760</v>
      </c>
      <c r="E1708" s="42" t="s">
        <v>1791</v>
      </c>
      <c r="F1708" s="42" t="s">
        <v>1789</v>
      </c>
      <c r="G1708" s="42">
        <v>184</v>
      </c>
      <c r="H1708" s="42" t="s">
        <v>767</v>
      </c>
      <c r="I1708" s="42" t="s">
        <v>133</v>
      </c>
      <c r="J1708" s="42">
        <v>5000</v>
      </c>
    </row>
    <row r="1709" spans="1:22">
      <c r="A1709" s="61" t="s">
        <v>1789</v>
      </c>
      <c r="C1709" s="64" t="s">
        <v>4</v>
      </c>
      <c r="D1709" s="64" t="s">
        <v>1760</v>
      </c>
      <c r="E1709" s="42" t="s">
        <v>1791</v>
      </c>
      <c r="F1709" s="42" t="s">
        <v>1789</v>
      </c>
      <c r="G1709" s="42">
        <v>185</v>
      </c>
      <c r="H1709" s="42" t="s">
        <v>131</v>
      </c>
      <c r="I1709" s="42" t="s">
        <v>133</v>
      </c>
      <c r="J1709" s="42">
        <v>60000</v>
      </c>
    </row>
    <row r="1710" spans="1:22">
      <c r="A1710" s="61" t="s">
        <v>1789</v>
      </c>
      <c r="C1710" s="64" t="s">
        <v>4</v>
      </c>
      <c r="D1710" s="64" t="s">
        <v>1760</v>
      </c>
      <c r="E1710" s="42" t="s">
        <v>1790</v>
      </c>
      <c r="F1710" s="42" t="s">
        <v>1789</v>
      </c>
      <c r="G1710" s="42">
        <v>1</v>
      </c>
      <c r="H1710" s="42" t="s">
        <v>114</v>
      </c>
      <c r="I1710" s="42" t="s">
        <v>106</v>
      </c>
      <c r="J1710" s="42">
        <v>37244</v>
      </c>
    </row>
    <row r="1711" spans="1:22">
      <c r="A1711" s="61" t="s">
        <v>1789</v>
      </c>
      <c r="C1711" s="64" t="s">
        <v>4</v>
      </c>
      <c r="D1711" s="64" t="s">
        <v>1760</v>
      </c>
      <c r="E1711" s="42" t="s">
        <v>1790</v>
      </c>
      <c r="F1711" s="42" t="s">
        <v>1789</v>
      </c>
      <c r="G1711" s="42">
        <v>2</v>
      </c>
      <c r="H1711" s="42" t="s">
        <v>455</v>
      </c>
      <c r="I1711" s="42" t="s">
        <v>106</v>
      </c>
      <c r="J1711" s="42">
        <v>20000</v>
      </c>
    </row>
    <row r="1712" spans="1:22">
      <c r="A1712" s="61" t="s">
        <v>1789</v>
      </c>
      <c r="C1712" s="64" t="s">
        <v>4</v>
      </c>
      <c r="D1712" s="64" t="s">
        <v>1760</v>
      </c>
      <c r="E1712" s="42" t="s">
        <v>1790</v>
      </c>
      <c r="F1712" s="42" t="s">
        <v>1789</v>
      </c>
      <c r="G1712" s="42">
        <v>3</v>
      </c>
      <c r="H1712" s="42" t="s">
        <v>453</v>
      </c>
      <c r="I1712" s="42" t="s">
        <v>106</v>
      </c>
      <c r="J1712" s="42">
        <v>60000</v>
      </c>
    </row>
    <row r="1713" spans="1:22">
      <c r="A1713" s="61" t="s">
        <v>1789</v>
      </c>
      <c r="C1713" s="64" t="s">
        <v>4</v>
      </c>
      <c r="D1713" s="64" t="s">
        <v>1760</v>
      </c>
      <c r="E1713" s="42" t="s">
        <v>1790</v>
      </c>
      <c r="F1713" s="42" t="s">
        <v>1789</v>
      </c>
      <c r="G1713" s="42">
        <v>4</v>
      </c>
      <c r="H1713" s="42" t="s">
        <v>195</v>
      </c>
      <c r="I1713" s="42" t="s">
        <v>106</v>
      </c>
      <c r="J1713" s="42">
        <v>60000</v>
      </c>
    </row>
    <row r="1714" spans="1:22">
      <c r="A1714" s="61" t="s">
        <v>1789</v>
      </c>
      <c r="C1714" s="64" t="s">
        <v>4</v>
      </c>
      <c r="D1714" s="64" t="s">
        <v>1760</v>
      </c>
      <c r="E1714" s="42" t="s">
        <v>1790</v>
      </c>
      <c r="F1714" s="42" t="s">
        <v>1789</v>
      </c>
      <c r="G1714" s="42">
        <v>5</v>
      </c>
      <c r="H1714" s="42" t="s">
        <v>743</v>
      </c>
      <c r="I1714" s="42" t="s">
        <v>37</v>
      </c>
      <c r="J1714" s="42">
        <v>27782</v>
      </c>
    </row>
    <row r="1715" spans="1:22">
      <c r="A1715" s="61" t="s">
        <v>1789</v>
      </c>
      <c r="C1715" s="64" t="s">
        <v>4</v>
      </c>
      <c r="D1715" s="64" t="s">
        <v>1760</v>
      </c>
      <c r="E1715" s="42" t="s">
        <v>1790</v>
      </c>
      <c r="F1715" s="42" t="s">
        <v>1789</v>
      </c>
      <c r="G1715" s="42">
        <v>6</v>
      </c>
      <c r="H1715" s="42" t="s">
        <v>745</v>
      </c>
      <c r="I1715" s="42" t="s">
        <v>37</v>
      </c>
      <c r="J1715" s="42">
        <v>20000</v>
      </c>
    </row>
    <row r="1716" spans="1:22">
      <c r="A1716" s="61" t="s">
        <v>1789</v>
      </c>
      <c r="C1716" s="64" t="s">
        <v>4</v>
      </c>
      <c r="D1716" s="64" t="s">
        <v>1760</v>
      </c>
      <c r="E1716" s="42" t="s">
        <v>1790</v>
      </c>
      <c r="F1716" s="42" t="s">
        <v>1789</v>
      </c>
      <c r="G1716" s="42">
        <v>7</v>
      </c>
      <c r="H1716" s="42" t="s">
        <v>1325</v>
      </c>
      <c r="I1716" s="42" t="s">
        <v>37</v>
      </c>
      <c r="J1716" s="42">
        <v>15000</v>
      </c>
    </row>
    <row r="1717" spans="1:22">
      <c r="A1717" s="61" t="s">
        <v>1789</v>
      </c>
      <c r="C1717" s="64" t="s">
        <v>4</v>
      </c>
      <c r="D1717" s="64" t="s">
        <v>1760</v>
      </c>
      <c r="E1717" s="42" t="s">
        <v>1790</v>
      </c>
      <c r="F1717" s="42" t="s">
        <v>1789</v>
      </c>
      <c r="G1717" s="42">
        <v>8</v>
      </c>
      <c r="H1717" s="42" t="s">
        <v>1326</v>
      </c>
      <c r="I1717" s="42" t="s">
        <v>37</v>
      </c>
      <c r="J1717" s="42">
        <v>20000</v>
      </c>
    </row>
    <row r="1718" spans="1:22">
      <c r="A1718" s="61" t="s">
        <v>1789</v>
      </c>
      <c r="C1718" s="64" t="s">
        <v>4</v>
      </c>
      <c r="D1718" s="64" t="s">
        <v>1760</v>
      </c>
      <c r="E1718" s="42" t="s">
        <v>1790</v>
      </c>
      <c r="F1718" s="42" t="s">
        <v>1789</v>
      </c>
      <c r="G1718" s="42">
        <v>9</v>
      </c>
      <c r="H1718" s="42" t="s">
        <v>1333</v>
      </c>
      <c r="I1718" s="42" t="s">
        <v>37</v>
      </c>
      <c r="J1718" s="42">
        <v>10000</v>
      </c>
    </row>
    <row r="1719" spans="1:22">
      <c r="A1719" s="61" t="s">
        <v>1789</v>
      </c>
      <c r="C1719" s="64" t="s">
        <v>4</v>
      </c>
      <c r="D1719" s="64" t="s">
        <v>1760</v>
      </c>
      <c r="E1719" s="42" t="s">
        <v>1790</v>
      </c>
      <c r="F1719" s="42" t="s">
        <v>1789</v>
      </c>
      <c r="G1719" s="42">
        <v>10</v>
      </c>
      <c r="H1719" s="42" t="s">
        <v>1384</v>
      </c>
      <c r="I1719" s="42" t="s">
        <v>37</v>
      </c>
      <c r="J1719" s="42">
        <v>80</v>
      </c>
    </row>
    <row r="1720" spans="1:22">
      <c r="A1720" s="61" t="s">
        <v>1789</v>
      </c>
      <c r="C1720" s="64" t="s">
        <v>4</v>
      </c>
      <c r="D1720" s="64" t="s">
        <v>1760</v>
      </c>
      <c r="E1720" s="42" t="s">
        <v>1790</v>
      </c>
      <c r="F1720" s="42" t="s">
        <v>1789</v>
      </c>
      <c r="G1720" s="42">
        <v>11</v>
      </c>
      <c r="H1720" s="42" t="s">
        <v>1368</v>
      </c>
      <c r="I1720" s="42" t="s">
        <v>37</v>
      </c>
      <c r="J1720" s="42">
        <v>30000</v>
      </c>
    </row>
    <row r="1721" spans="1:22">
      <c r="A1721" s="61" t="s">
        <v>1789</v>
      </c>
      <c r="C1721" s="64" t="s">
        <v>4</v>
      </c>
      <c r="D1721" s="64" t="s">
        <v>1760</v>
      </c>
      <c r="E1721" s="42" t="s">
        <v>1790</v>
      </c>
      <c r="F1721" s="42" t="s">
        <v>1789</v>
      </c>
      <c r="G1721" s="42">
        <v>12</v>
      </c>
      <c r="H1721" s="42" t="s">
        <v>1383</v>
      </c>
      <c r="I1721" s="42" t="s">
        <v>37</v>
      </c>
      <c r="J1721" s="42">
        <v>80</v>
      </c>
    </row>
    <row r="1722" spans="1:22">
      <c r="A1722" s="61" t="s">
        <v>1789</v>
      </c>
      <c r="C1722" s="64" t="s">
        <v>4</v>
      </c>
      <c r="D1722" s="64" t="s">
        <v>1760</v>
      </c>
      <c r="E1722" s="42" t="s">
        <v>1790</v>
      </c>
      <c r="F1722" s="42" t="s">
        <v>1789</v>
      </c>
      <c r="G1722" s="42">
        <v>13</v>
      </c>
      <c r="H1722" s="42" t="s">
        <v>1388</v>
      </c>
      <c r="I1722" s="42" t="s">
        <v>37</v>
      </c>
      <c r="J1722" s="42">
        <v>30000</v>
      </c>
    </row>
    <row r="1723" spans="1:22">
      <c r="A1723" s="61" t="s">
        <v>1789</v>
      </c>
      <c r="C1723" s="64" t="s">
        <v>4</v>
      </c>
      <c r="D1723" s="64" t="s">
        <v>1760</v>
      </c>
      <c r="E1723" s="42" t="s">
        <v>1790</v>
      </c>
      <c r="F1723" s="42" t="s">
        <v>1789</v>
      </c>
      <c r="G1723" s="42">
        <v>14</v>
      </c>
      <c r="H1723" s="42" t="s">
        <v>267</v>
      </c>
      <c r="I1723" s="42" t="s">
        <v>37</v>
      </c>
      <c r="J1723" s="42">
        <v>5000</v>
      </c>
    </row>
    <row r="1724" spans="1:22">
      <c r="A1724" s="61" t="s">
        <v>1789</v>
      </c>
      <c r="C1724" s="64" t="s">
        <v>4</v>
      </c>
      <c r="D1724" s="64" t="s">
        <v>1760</v>
      </c>
      <c r="E1724" s="42" t="s">
        <v>1790</v>
      </c>
      <c r="F1724" s="42" t="s">
        <v>1789</v>
      </c>
      <c r="G1724" s="42">
        <v>15</v>
      </c>
      <c r="H1724" s="42" t="s">
        <v>361</v>
      </c>
      <c r="I1724" s="42" t="s">
        <v>37</v>
      </c>
      <c r="J1724" s="42">
        <v>10000</v>
      </c>
    </row>
    <row r="1725" spans="1:22">
      <c r="A1725" s="61" t="s">
        <v>1789</v>
      </c>
      <c r="C1725" s="64" t="s">
        <v>4</v>
      </c>
      <c r="D1725" s="64" t="s">
        <v>1760</v>
      </c>
      <c r="E1725" s="42" t="s">
        <v>1790</v>
      </c>
      <c r="F1725" s="42" t="s">
        <v>1789</v>
      </c>
      <c r="G1725" s="42">
        <v>16</v>
      </c>
      <c r="H1725" s="42" t="s">
        <v>315</v>
      </c>
      <c r="I1725" s="42" t="s">
        <v>37</v>
      </c>
      <c r="J1725" s="42">
        <v>30000</v>
      </c>
    </row>
    <row r="1726" spans="1:22">
      <c r="A1726" s="61" t="s">
        <v>1789</v>
      </c>
      <c r="C1726" s="64" t="s">
        <v>4</v>
      </c>
      <c r="D1726" s="64" t="s">
        <v>1760</v>
      </c>
      <c r="E1726" s="42" t="s">
        <v>1790</v>
      </c>
      <c r="F1726" s="42" t="s">
        <v>1789</v>
      </c>
      <c r="G1726" s="42">
        <v>17</v>
      </c>
      <c r="H1726" s="42" t="s">
        <v>309</v>
      </c>
      <c r="I1726" s="42" t="s">
        <v>37</v>
      </c>
      <c r="J1726" s="42">
        <v>5000</v>
      </c>
    </row>
    <row r="1727" spans="1:22">
      <c r="A1727" s="61" t="s">
        <v>1789</v>
      </c>
      <c r="C1727" s="64" t="s">
        <v>4</v>
      </c>
      <c r="D1727" s="64" t="s">
        <v>1760</v>
      </c>
      <c r="E1727" s="42" t="s">
        <v>1790</v>
      </c>
      <c r="F1727" s="42" t="s">
        <v>1789</v>
      </c>
      <c r="G1727" s="42">
        <v>18</v>
      </c>
      <c r="H1727" s="42" t="s">
        <v>531</v>
      </c>
      <c r="I1727" s="42" t="s">
        <v>37</v>
      </c>
      <c r="J1727" s="42">
        <v>5000</v>
      </c>
    </row>
    <row r="1728" spans="1:22">
      <c r="A1728" s="61" t="s">
        <v>1789</v>
      </c>
      <c r="C1728" s="64" t="s">
        <v>4</v>
      </c>
      <c r="D1728" s="64" t="s">
        <v>1760</v>
      </c>
      <c r="E1728" s="42" t="s">
        <v>1790</v>
      </c>
      <c r="F1728" s="42" t="s">
        <v>1789</v>
      </c>
      <c r="G1728" s="42">
        <v>19</v>
      </c>
      <c r="H1728" s="42" t="s">
        <v>473</v>
      </c>
      <c r="I1728" s="42" t="s">
        <v>37</v>
      </c>
      <c r="J1728" s="42">
        <v>30000</v>
      </c>
    </row>
    <row r="1729" spans="1:22">
      <c r="A1729" s="61" t="s">
        <v>1789</v>
      </c>
      <c r="C1729" s="64" t="s">
        <v>4</v>
      </c>
      <c r="D1729" s="64" t="s">
        <v>1760</v>
      </c>
      <c r="E1729" s="42" t="s">
        <v>1790</v>
      </c>
      <c r="F1729" s="42" t="s">
        <v>1789</v>
      </c>
      <c r="G1729" s="42">
        <v>20</v>
      </c>
      <c r="H1729" s="42" t="s">
        <v>697</v>
      </c>
      <c r="I1729" s="42" t="s">
        <v>37</v>
      </c>
      <c r="J1729" s="42">
        <v>20000</v>
      </c>
    </row>
    <row r="1730" spans="1:22">
      <c r="A1730" s="61" t="s">
        <v>1789</v>
      </c>
      <c r="C1730" s="64" t="s">
        <v>4</v>
      </c>
      <c r="D1730" s="64" t="s">
        <v>1760</v>
      </c>
      <c r="E1730" s="42" t="s">
        <v>1790</v>
      </c>
      <c r="F1730" s="42" t="s">
        <v>1789</v>
      </c>
      <c r="G1730" s="42">
        <v>21</v>
      </c>
      <c r="H1730" s="42" t="s">
        <v>459</v>
      </c>
      <c r="I1730" s="42" t="s">
        <v>37</v>
      </c>
      <c r="J1730" s="42">
        <v>30000</v>
      </c>
    </row>
    <row r="1731" spans="1:22">
      <c r="A1731" s="61" t="s">
        <v>1789</v>
      </c>
      <c r="C1731" s="64" t="s">
        <v>4</v>
      </c>
      <c r="D1731" s="64" t="s">
        <v>1760</v>
      </c>
      <c r="E1731" s="42" t="s">
        <v>1790</v>
      </c>
      <c r="F1731" s="42" t="s">
        <v>1789</v>
      </c>
      <c r="G1731" s="42">
        <v>22</v>
      </c>
      <c r="H1731" s="42" t="s">
        <v>493</v>
      </c>
      <c r="I1731" s="42" t="s">
        <v>37</v>
      </c>
      <c r="J1731" s="42">
        <v>30000</v>
      </c>
    </row>
    <row r="1732" spans="1:22">
      <c r="A1732" s="61" t="s">
        <v>1789</v>
      </c>
      <c r="C1732" s="64" t="s">
        <v>4</v>
      </c>
      <c r="D1732" s="64" t="s">
        <v>1760</v>
      </c>
      <c r="E1732" s="42" t="s">
        <v>1790</v>
      </c>
      <c r="F1732" s="42" t="s">
        <v>1789</v>
      </c>
      <c r="G1732" s="42">
        <v>23</v>
      </c>
      <c r="H1732" s="42" t="s">
        <v>861</v>
      </c>
      <c r="I1732" s="42" t="s">
        <v>37</v>
      </c>
      <c r="J1732" s="42">
        <v>4000</v>
      </c>
    </row>
    <row r="1733" spans="1:22">
      <c r="A1733" s="61" t="s">
        <v>1789</v>
      </c>
      <c r="C1733" s="64" t="s">
        <v>4</v>
      </c>
      <c r="D1733" s="64" t="s">
        <v>1760</v>
      </c>
      <c r="E1733" s="42" t="s">
        <v>1790</v>
      </c>
      <c r="F1733" s="42" t="s">
        <v>1789</v>
      </c>
      <c r="G1733" s="42">
        <v>24</v>
      </c>
      <c r="H1733" s="42" t="s">
        <v>1349</v>
      </c>
      <c r="I1733" s="42" t="s">
        <v>37</v>
      </c>
      <c r="J1733" s="42">
        <v>40000</v>
      </c>
    </row>
    <row r="1734" spans="1:22">
      <c r="A1734" s="61" t="s">
        <v>1789</v>
      </c>
      <c r="C1734" s="64" t="s">
        <v>4</v>
      </c>
      <c r="D1734" s="64" t="s">
        <v>1760</v>
      </c>
      <c r="E1734" s="42" t="s">
        <v>1790</v>
      </c>
      <c r="F1734" s="42" t="s">
        <v>1789</v>
      </c>
      <c r="G1734" s="42">
        <v>25</v>
      </c>
      <c r="H1734" s="42" t="s">
        <v>1328</v>
      </c>
      <c r="I1734" s="42" t="s">
        <v>37</v>
      </c>
      <c r="J1734" s="42">
        <v>5000</v>
      </c>
    </row>
    <row r="1735" spans="1:22">
      <c r="A1735" s="61" t="s">
        <v>1789</v>
      </c>
      <c r="C1735" s="64" t="s">
        <v>4</v>
      </c>
      <c r="D1735" s="64" t="s">
        <v>1760</v>
      </c>
      <c r="E1735" s="42" t="s">
        <v>1790</v>
      </c>
      <c r="F1735" s="42" t="s">
        <v>1789</v>
      </c>
      <c r="G1735" s="42">
        <v>26</v>
      </c>
      <c r="H1735" s="42" t="s">
        <v>255</v>
      </c>
      <c r="I1735" s="42" t="s">
        <v>37</v>
      </c>
      <c r="J1735" s="42">
        <v>5000</v>
      </c>
    </row>
    <row r="1736" spans="1:22">
      <c r="A1736" s="61" t="s">
        <v>1789</v>
      </c>
      <c r="C1736" s="64" t="s">
        <v>4</v>
      </c>
      <c r="D1736" s="64" t="s">
        <v>1760</v>
      </c>
      <c r="E1736" s="42" t="s">
        <v>1790</v>
      </c>
      <c r="F1736" s="42" t="s">
        <v>1789</v>
      </c>
      <c r="G1736" s="42">
        <v>27</v>
      </c>
      <c r="H1736" s="42" t="s">
        <v>179</v>
      </c>
      <c r="I1736" s="42" t="s">
        <v>37</v>
      </c>
      <c r="J1736" s="42">
        <v>10000</v>
      </c>
    </row>
    <row r="1737" spans="1:22">
      <c r="A1737" s="61" t="s">
        <v>1789</v>
      </c>
      <c r="C1737" s="64" t="s">
        <v>4</v>
      </c>
      <c r="D1737" s="64" t="s">
        <v>1760</v>
      </c>
      <c r="E1737" s="42" t="s">
        <v>1790</v>
      </c>
      <c r="F1737" s="42" t="s">
        <v>1789</v>
      </c>
      <c r="G1737" s="42">
        <v>28</v>
      </c>
      <c r="H1737" s="42" t="s">
        <v>55</v>
      </c>
      <c r="I1737" s="42" t="s">
        <v>37</v>
      </c>
      <c r="J1737" s="42">
        <v>15000</v>
      </c>
    </row>
    <row r="1738" spans="1:22">
      <c r="A1738" s="61" t="s">
        <v>1789</v>
      </c>
      <c r="C1738" s="64" t="s">
        <v>4</v>
      </c>
      <c r="D1738" s="64" t="s">
        <v>1760</v>
      </c>
      <c r="E1738" s="42" t="s">
        <v>1790</v>
      </c>
      <c r="F1738" s="42" t="s">
        <v>1789</v>
      </c>
      <c r="G1738" s="42">
        <v>29</v>
      </c>
      <c r="H1738" s="42" t="s">
        <v>58</v>
      </c>
      <c r="I1738" s="42" t="s">
        <v>37</v>
      </c>
      <c r="J1738" s="42">
        <v>10000</v>
      </c>
    </row>
    <row r="1739" spans="1:22">
      <c r="A1739" s="61" t="s">
        <v>1789</v>
      </c>
      <c r="C1739" s="64" t="s">
        <v>4</v>
      </c>
      <c r="D1739" s="64" t="s">
        <v>1760</v>
      </c>
      <c r="E1739" s="42" t="s">
        <v>1790</v>
      </c>
      <c r="F1739" s="42" t="s">
        <v>1789</v>
      </c>
      <c r="G1739" s="42">
        <v>30</v>
      </c>
      <c r="H1739" s="42" t="s">
        <v>59</v>
      </c>
      <c r="I1739" s="42" t="s">
        <v>37</v>
      </c>
      <c r="J1739" s="42">
        <v>10000</v>
      </c>
    </row>
    <row r="1740" spans="1:22">
      <c r="A1740" s="61" t="s">
        <v>1789</v>
      </c>
      <c r="C1740" s="64" t="s">
        <v>4</v>
      </c>
      <c r="D1740" s="64" t="s">
        <v>1760</v>
      </c>
      <c r="E1740" s="42" t="s">
        <v>1790</v>
      </c>
      <c r="F1740" s="42" t="s">
        <v>1789</v>
      </c>
      <c r="G1740" s="42">
        <v>31</v>
      </c>
      <c r="H1740" s="42" t="s">
        <v>60</v>
      </c>
      <c r="I1740" s="42" t="s">
        <v>37</v>
      </c>
      <c r="J1740" s="42">
        <v>50000</v>
      </c>
    </row>
    <row r="1741" spans="1:22">
      <c r="A1741" s="61" t="s">
        <v>1792</v>
      </c>
      <c r="C1741" s="64" t="s">
        <v>4</v>
      </c>
      <c r="D1741" s="64" t="s">
        <v>1760</v>
      </c>
      <c r="E1741" s="42" t="s">
        <v>1793</v>
      </c>
      <c r="F1741" s="42" t="s">
        <v>1792</v>
      </c>
      <c r="G1741" s="42">
        <v>1</v>
      </c>
      <c r="H1741" s="42" t="s">
        <v>940</v>
      </c>
      <c r="I1741" s="42" t="s">
        <v>106</v>
      </c>
      <c r="J1741" s="42">
        <v>10000</v>
      </c>
    </row>
    <row r="1742" spans="1:22">
      <c r="A1742" s="61" t="s">
        <v>1792</v>
      </c>
      <c r="C1742" s="64" t="s">
        <v>4</v>
      </c>
      <c r="D1742" s="64" t="s">
        <v>1760</v>
      </c>
      <c r="E1742" s="42" t="s">
        <v>1793</v>
      </c>
      <c r="F1742" s="42" t="s">
        <v>1792</v>
      </c>
      <c r="G1742" s="42">
        <v>2</v>
      </c>
      <c r="H1742" s="42" t="s">
        <v>115</v>
      </c>
      <c r="I1742" s="42" t="s">
        <v>106</v>
      </c>
      <c r="J1742" s="42">
        <v>20000</v>
      </c>
    </row>
    <row r="1743" spans="1:22">
      <c r="A1743" s="61" t="s">
        <v>1792</v>
      </c>
      <c r="C1743" s="64" t="s">
        <v>4</v>
      </c>
      <c r="D1743" s="64" t="s">
        <v>1760</v>
      </c>
      <c r="E1743" s="42" t="s">
        <v>1793</v>
      </c>
      <c r="F1743" s="42" t="s">
        <v>1792</v>
      </c>
      <c r="G1743" s="42">
        <v>3</v>
      </c>
      <c r="H1743" s="42" t="s">
        <v>635</v>
      </c>
      <c r="I1743" s="42" t="s">
        <v>106</v>
      </c>
      <c r="J1743" s="42">
        <v>60000</v>
      </c>
    </row>
    <row r="1744" spans="1:22">
      <c r="A1744" s="61" t="s">
        <v>1792</v>
      </c>
      <c r="C1744" s="64" t="s">
        <v>4</v>
      </c>
      <c r="D1744" s="64" t="s">
        <v>1760</v>
      </c>
      <c r="E1744" s="42" t="s">
        <v>1793</v>
      </c>
      <c r="F1744" s="42" t="s">
        <v>1792</v>
      </c>
      <c r="G1744" s="42">
        <v>4</v>
      </c>
      <c r="H1744" s="42" t="s">
        <v>807</v>
      </c>
      <c r="I1744" s="42" t="s">
        <v>106</v>
      </c>
      <c r="J1744" s="42">
        <v>40000</v>
      </c>
    </row>
    <row r="1745" spans="1:22">
      <c r="A1745" s="61" t="s">
        <v>1792</v>
      </c>
      <c r="C1745" s="64" t="s">
        <v>4</v>
      </c>
      <c r="D1745" s="64" t="s">
        <v>1760</v>
      </c>
      <c r="E1745" s="42" t="s">
        <v>1793</v>
      </c>
      <c r="F1745" s="42" t="s">
        <v>1792</v>
      </c>
      <c r="G1745" s="42">
        <v>5</v>
      </c>
      <c r="H1745" s="42" t="s">
        <v>1043</v>
      </c>
      <c r="I1745" s="42" t="s">
        <v>106</v>
      </c>
      <c r="J1745" s="42">
        <v>4590</v>
      </c>
    </row>
    <row r="1746" spans="1:22">
      <c r="A1746" s="61" t="s">
        <v>1792</v>
      </c>
      <c r="C1746" s="64" t="s">
        <v>4</v>
      </c>
      <c r="D1746" s="64" t="s">
        <v>1760</v>
      </c>
      <c r="E1746" s="42" t="s">
        <v>1793</v>
      </c>
      <c r="F1746" s="42" t="s">
        <v>1792</v>
      </c>
      <c r="G1746" s="42">
        <v>6</v>
      </c>
      <c r="H1746" s="42" t="s">
        <v>331</v>
      </c>
      <c r="I1746" s="42" t="s">
        <v>106</v>
      </c>
      <c r="J1746" s="42">
        <v>435512</v>
      </c>
    </row>
    <row r="1747" spans="1:22">
      <c r="A1747" s="61" t="s">
        <v>1792</v>
      </c>
      <c r="C1747" s="64" t="s">
        <v>4</v>
      </c>
      <c r="D1747" s="64" t="s">
        <v>1760</v>
      </c>
      <c r="E1747" s="42" t="s">
        <v>1793</v>
      </c>
      <c r="F1747" s="42" t="s">
        <v>1792</v>
      </c>
      <c r="G1747" s="42">
        <v>7</v>
      </c>
      <c r="H1747" s="42" t="s">
        <v>1412</v>
      </c>
      <c r="I1747" s="42" t="s">
        <v>1168</v>
      </c>
      <c r="J1747" s="42">
        <v>25</v>
      </c>
    </row>
    <row r="1748" spans="1:22">
      <c r="A1748" s="61" t="s">
        <v>1792</v>
      </c>
      <c r="C1748" s="64" t="s">
        <v>4</v>
      </c>
      <c r="D1748" s="64" t="s">
        <v>1760</v>
      </c>
      <c r="E1748" s="42" t="s">
        <v>1793</v>
      </c>
      <c r="F1748" s="42" t="s">
        <v>1792</v>
      </c>
      <c r="G1748" s="42">
        <v>8</v>
      </c>
      <c r="H1748" s="42" t="s">
        <v>395</v>
      </c>
      <c r="I1748" s="42" t="s">
        <v>113</v>
      </c>
      <c r="J1748" s="42">
        <v>10000</v>
      </c>
    </row>
    <row r="1749" spans="1:22">
      <c r="A1749" s="61" t="s">
        <v>1792</v>
      </c>
      <c r="C1749" s="64" t="s">
        <v>4</v>
      </c>
      <c r="D1749" s="64" t="s">
        <v>1760</v>
      </c>
      <c r="E1749" s="42" t="s">
        <v>1793</v>
      </c>
      <c r="F1749" s="42" t="s">
        <v>1792</v>
      </c>
      <c r="G1749" s="42">
        <v>9</v>
      </c>
      <c r="H1749" s="42" t="s">
        <v>733</v>
      </c>
      <c r="I1749" s="42" t="s">
        <v>113</v>
      </c>
      <c r="J1749" s="42">
        <v>30000</v>
      </c>
    </row>
    <row r="1750" spans="1:22">
      <c r="A1750" s="61" t="s">
        <v>1792</v>
      </c>
      <c r="C1750" s="64" t="s">
        <v>4</v>
      </c>
      <c r="D1750" s="64" t="s">
        <v>1760</v>
      </c>
      <c r="E1750" s="42" t="s">
        <v>1793</v>
      </c>
      <c r="F1750" s="42" t="s">
        <v>1792</v>
      </c>
      <c r="G1750" s="42">
        <v>10</v>
      </c>
      <c r="H1750" s="42" t="s">
        <v>347</v>
      </c>
      <c r="I1750" s="42" t="s">
        <v>113</v>
      </c>
      <c r="J1750" s="42">
        <v>12000</v>
      </c>
    </row>
    <row r="1751" spans="1:22">
      <c r="A1751" s="61" t="s">
        <v>1792</v>
      </c>
      <c r="C1751" s="64" t="s">
        <v>4</v>
      </c>
      <c r="D1751" s="64" t="s">
        <v>1760</v>
      </c>
      <c r="E1751" s="42" t="s">
        <v>1793</v>
      </c>
      <c r="F1751" s="42" t="s">
        <v>1792</v>
      </c>
      <c r="G1751" s="42">
        <v>11</v>
      </c>
      <c r="H1751" s="42" t="s">
        <v>409</v>
      </c>
      <c r="I1751" s="42" t="s">
        <v>113</v>
      </c>
      <c r="J1751" s="42">
        <v>10000</v>
      </c>
    </row>
    <row r="1752" spans="1:22">
      <c r="A1752" s="61" t="s">
        <v>1792</v>
      </c>
      <c r="C1752" s="64" t="s">
        <v>4</v>
      </c>
      <c r="D1752" s="64" t="s">
        <v>1760</v>
      </c>
      <c r="E1752" s="42" t="s">
        <v>1793</v>
      </c>
      <c r="F1752" s="42" t="s">
        <v>1792</v>
      </c>
      <c r="G1752" s="42">
        <v>12</v>
      </c>
      <c r="H1752" s="42" t="s">
        <v>399</v>
      </c>
      <c r="I1752" s="42" t="s">
        <v>113</v>
      </c>
      <c r="J1752" s="42">
        <v>10000</v>
      </c>
    </row>
    <row r="1753" spans="1:22">
      <c r="A1753" s="61" t="s">
        <v>1792</v>
      </c>
      <c r="C1753" s="64" t="s">
        <v>4</v>
      </c>
      <c r="D1753" s="64" t="s">
        <v>1760</v>
      </c>
      <c r="E1753" s="42" t="s">
        <v>1793</v>
      </c>
      <c r="F1753" s="42" t="s">
        <v>1792</v>
      </c>
      <c r="G1753" s="42">
        <v>13</v>
      </c>
      <c r="H1753" s="42" t="s">
        <v>929</v>
      </c>
      <c r="I1753" s="42" t="s">
        <v>113</v>
      </c>
      <c r="J1753" s="42">
        <v>40000</v>
      </c>
    </row>
    <row r="1754" spans="1:22">
      <c r="A1754" s="61" t="s">
        <v>1792</v>
      </c>
      <c r="C1754" s="64" t="s">
        <v>4</v>
      </c>
      <c r="D1754" s="64" t="s">
        <v>1760</v>
      </c>
      <c r="E1754" s="42" t="s">
        <v>1793</v>
      </c>
      <c r="F1754" s="42" t="s">
        <v>1792</v>
      </c>
      <c r="G1754" s="42">
        <v>14</v>
      </c>
      <c r="H1754" s="42" t="s">
        <v>737</v>
      </c>
      <c r="I1754" s="42" t="s">
        <v>113</v>
      </c>
      <c r="J1754" s="42">
        <v>40000</v>
      </c>
    </row>
    <row r="1755" spans="1:22">
      <c r="A1755" s="61" t="s">
        <v>1792</v>
      </c>
      <c r="C1755" s="64" t="s">
        <v>4</v>
      </c>
      <c r="D1755" s="64" t="s">
        <v>1760</v>
      </c>
      <c r="E1755" s="42" t="s">
        <v>1793</v>
      </c>
      <c r="F1755" s="42" t="s">
        <v>1792</v>
      </c>
      <c r="G1755" s="42">
        <v>15</v>
      </c>
      <c r="H1755" s="42" t="s">
        <v>931</v>
      </c>
      <c r="I1755" s="42" t="s">
        <v>113</v>
      </c>
      <c r="J1755" s="42">
        <v>30000</v>
      </c>
    </row>
    <row r="1756" spans="1:22">
      <c r="A1756" s="61" t="s">
        <v>1792</v>
      </c>
      <c r="C1756" s="64" t="s">
        <v>4</v>
      </c>
      <c r="D1756" s="64" t="s">
        <v>1760</v>
      </c>
      <c r="E1756" s="42" t="s">
        <v>1793</v>
      </c>
      <c r="F1756" s="42" t="s">
        <v>1792</v>
      </c>
      <c r="G1756" s="42">
        <v>16</v>
      </c>
      <c r="H1756" s="42" t="s">
        <v>401</v>
      </c>
      <c r="I1756" s="42" t="s">
        <v>113</v>
      </c>
      <c r="J1756" s="42">
        <v>10000</v>
      </c>
    </row>
    <row r="1757" spans="1:22">
      <c r="A1757" s="61" t="s">
        <v>1792</v>
      </c>
      <c r="C1757" s="64" t="s">
        <v>4</v>
      </c>
      <c r="D1757" s="64" t="s">
        <v>1760</v>
      </c>
      <c r="E1757" s="42" t="s">
        <v>1793</v>
      </c>
      <c r="F1757" s="42" t="s">
        <v>1792</v>
      </c>
      <c r="G1757" s="42">
        <v>17</v>
      </c>
      <c r="H1757" s="42" t="s">
        <v>1287</v>
      </c>
      <c r="I1757" s="42" t="s">
        <v>113</v>
      </c>
      <c r="J1757" s="42">
        <v>22000</v>
      </c>
    </row>
    <row r="1758" spans="1:22">
      <c r="A1758" s="61" t="s">
        <v>1792</v>
      </c>
      <c r="C1758" s="64" t="s">
        <v>4</v>
      </c>
      <c r="D1758" s="64" t="s">
        <v>1760</v>
      </c>
      <c r="E1758" s="42" t="s">
        <v>1793</v>
      </c>
      <c r="F1758" s="42" t="s">
        <v>1792</v>
      </c>
      <c r="G1758" s="42">
        <v>18</v>
      </c>
      <c r="H1758" s="42" t="s">
        <v>103</v>
      </c>
      <c r="I1758" s="42" t="s">
        <v>102</v>
      </c>
      <c r="J1758" s="42">
        <v>20000</v>
      </c>
    </row>
    <row r="1759" spans="1:22">
      <c r="A1759" s="61" t="s">
        <v>1792</v>
      </c>
      <c r="C1759" s="64" t="s">
        <v>4</v>
      </c>
      <c r="D1759" s="64" t="s">
        <v>1760</v>
      </c>
      <c r="E1759" s="42" t="s">
        <v>1793</v>
      </c>
      <c r="F1759" s="42" t="s">
        <v>1792</v>
      </c>
      <c r="G1759" s="42">
        <v>19</v>
      </c>
      <c r="H1759" s="42" t="s">
        <v>197</v>
      </c>
      <c r="I1759" s="42" t="s">
        <v>102</v>
      </c>
      <c r="J1759" s="42">
        <v>30000</v>
      </c>
    </row>
    <row r="1760" spans="1:22">
      <c r="A1760" s="61" t="s">
        <v>1792</v>
      </c>
      <c r="C1760" s="64" t="s">
        <v>4</v>
      </c>
      <c r="D1760" s="64" t="s">
        <v>1760</v>
      </c>
      <c r="E1760" s="42" t="s">
        <v>1793</v>
      </c>
      <c r="F1760" s="42" t="s">
        <v>1792</v>
      </c>
      <c r="G1760" s="42">
        <v>20</v>
      </c>
      <c r="H1760" s="42" t="s">
        <v>172</v>
      </c>
      <c r="I1760" s="42" t="s">
        <v>102</v>
      </c>
      <c r="J1760" s="42">
        <v>315000</v>
      </c>
    </row>
    <row r="1761" spans="1:22">
      <c r="A1761" s="61" t="s">
        <v>1792</v>
      </c>
      <c r="C1761" s="64" t="s">
        <v>4</v>
      </c>
      <c r="D1761" s="64" t="s">
        <v>1760</v>
      </c>
      <c r="E1761" s="42" t="s">
        <v>1793</v>
      </c>
      <c r="F1761" s="42" t="s">
        <v>1792</v>
      </c>
      <c r="G1761" s="42">
        <v>21</v>
      </c>
      <c r="H1761" s="42" t="s">
        <v>895</v>
      </c>
      <c r="I1761" s="42" t="s">
        <v>37</v>
      </c>
      <c r="J1761" s="42">
        <v>10000</v>
      </c>
    </row>
    <row r="1762" spans="1:22">
      <c r="A1762" s="61" t="s">
        <v>1792</v>
      </c>
      <c r="C1762" s="64" t="s">
        <v>4</v>
      </c>
      <c r="D1762" s="64" t="s">
        <v>1760</v>
      </c>
      <c r="E1762" s="42" t="s">
        <v>1793</v>
      </c>
      <c r="F1762" s="42" t="s">
        <v>1792</v>
      </c>
      <c r="G1762" s="42">
        <v>22</v>
      </c>
      <c r="H1762" s="42" t="s">
        <v>353</v>
      </c>
      <c r="I1762" s="42" t="s">
        <v>37</v>
      </c>
      <c r="J1762" s="42">
        <v>15000</v>
      </c>
    </row>
    <row r="1763" spans="1:22">
      <c r="A1763" s="61" t="s">
        <v>1792</v>
      </c>
      <c r="C1763" s="64" t="s">
        <v>4</v>
      </c>
      <c r="D1763" s="64" t="s">
        <v>1760</v>
      </c>
      <c r="E1763" s="42" t="s">
        <v>1793</v>
      </c>
      <c r="F1763" s="42" t="s">
        <v>1792</v>
      </c>
      <c r="G1763" s="42">
        <v>23</v>
      </c>
      <c r="H1763" s="42" t="s">
        <v>355</v>
      </c>
      <c r="I1763" s="42" t="s">
        <v>37</v>
      </c>
      <c r="J1763" s="42">
        <v>8000</v>
      </c>
    </row>
    <row r="1764" spans="1:22">
      <c r="A1764" s="61" t="s">
        <v>1792</v>
      </c>
      <c r="C1764" s="64" t="s">
        <v>4</v>
      </c>
      <c r="D1764" s="64" t="s">
        <v>1760</v>
      </c>
      <c r="E1764" s="42" t="s">
        <v>1793</v>
      </c>
      <c r="F1764" s="42" t="s">
        <v>1792</v>
      </c>
      <c r="G1764" s="42">
        <v>24</v>
      </c>
      <c r="H1764" s="42" t="s">
        <v>357</v>
      </c>
      <c r="I1764" s="42" t="s">
        <v>37</v>
      </c>
      <c r="J1764" s="42">
        <v>5000</v>
      </c>
    </row>
    <row r="1765" spans="1:22">
      <c r="A1765" s="61" t="s">
        <v>1792</v>
      </c>
      <c r="C1765" s="64" t="s">
        <v>4</v>
      </c>
      <c r="D1765" s="64" t="s">
        <v>1760</v>
      </c>
      <c r="E1765" s="42" t="s">
        <v>1793</v>
      </c>
      <c r="F1765" s="42" t="s">
        <v>1792</v>
      </c>
      <c r="G1765" s="42">
        <v>25</v>
      </c>
      <c r="H1765" s="42" t="s">
        <v>411</v>
      </c>
      <c r="I1765" s="42" t="s">
        <v>37</v>
      </c>
      <c r="J1765" s="42">
        <v>20000</v>
      </c>
    </row>
    <row r="1766" spans="1:22">
      <c r="A1766" s="61" t="s">
        <v>1792</v>
      </c>
      <c r="C1766" s="64" t="s">
        <v>4</v>
      </c>
      <c r="D1766" s="64" t="s">
        <v>1760</v>
      </c>
      <c r="E1766" s="42" t="s">
        <v>1793</v>
      </c>
      <c r="F1766" s="42" t="s">
        <v>1792</v>
      </c>
      <c r="G1766" s="42">
        <v>26</v>
      </c>
      <c r="H1766" s="42" t="s">
        <v>897</v>
      </c>
      <c r="I1766" s="42" t="s">
        <v>37</v>
      </c>
      <c r="J1766" s="42">
        <v>4000</v>
      </c>
    </row>
    <row r="1767" spans="1:22">
      <c r="A1767" s="61" t="s">
        <v>1792</v>
      </c>
      <c r="C1767" s="64" t="s">
        <v>4</v>
      </c>
      <c r="D1767" s="64" t="s">
        <v>1760</v>
      </c>
      <c r="E1767" s="42" t="s">
        <v>1793</v>
      </c>
      <c r="F1767" s="42" t="s">
        <v>1792</v>
      </c>
      <c r="G1767" s="42">
        <v>27</v>
      </c>
      <c r="H1767" s="42" t="s">
        <v>407</v>
      </c>
      <c r="I1767" s="42" t="s">
        <v>37</v>
      </c>
      <c r="J1767" s="42">
        <v>15000</v>
      </c>
    </row>
    <row r="1768" spans="1:22">
      <c r="A1768" s="61" t="s">
        <v>1792</v>
      </c>
      <c r="C1768" s="64" t="s">
        <v>4</v>
      </c>
      <c r="D1768" s="64" t="s">
        <v>1760</v>
      </c>
      <c r="E1768" s="42" t="s">
        <v>1793</v>
      </c>
      <c r="F1768" s="42" t="s">
        <v>1792</v>
      </c>
      <c r="G1768" s="42">
        <v>28</v>
      </c>
      <c r="H1768" s="42" t="s">
        <v>367</v>
      </c>
      <c r="I1768" s="42" t="s">
        <v>37</v>
      </c>
      <c r="J1768" s="42">
        <v>10000</v>
      </c>
    </row>
    <row r="1769" spans="1:22">
      <c r="A1769" s="61" t="s">
        <v>1792</v>
      </c>
      <c r="C1769" s="64" t="s">
        <v>4</v>
      </c>
      <c r="D1769" s="64" t="s">
        <v>1760</v>
      </c>
      <c r="E1769" s="42" t="s">
        <v>1793</v>
      </c>
      <c r="F1769" s="42" t="s">
        <v>1792</v>
      </c>
      <c r="G1769" s="42">
        <v>29</v>
      </c>
      <c r="H1769" s="42" t="s">
        <v>373</v>
      </c>
      <c r="I1769" s="42" t="s">
        <v>37</v>
      </c>
      <c r="J1769" s="42">
        <v>10000</v>
      </c>
    </row>
    <row r="1770" spans="1:22">
      <c r="A1770" s="61" t="s">
        <v>1792</v>
      </c>
      <c r="C1770" s="64" t="s">
        <v>4</v>
      </c>
      <c r="D1770" s="64" t="s">
        <v>1760</v>
      </c>
      <c r="E1770" s="42" t="s">
        <v>1793</v>
      </c>
      <c r="F1770" s="42" t="s">
        <v>1792</v>
      </c>
      <c r="G1770" s="42">
        <v>30</v>
      </c>
      <c r="H1770" s="42" t="s">
        <v>375</v>
      </c>
      <c r="I1770" s="42" t="s">
        <v>37</v>
      </c>
      <c r="J1770" s="42">
        <v>10000</v>
      </c>
    </row>
    <row r="1771" spans="1:22">
      <c r="A1771" s="61" t="s">
        <v>1792</v>
      </c>
      <c r="C1771" s="64" t="s">
        <v>4</v>
      </c>
      <c r="D1771" s="64" t="s">
        <v>1760</v>
      </c>
      <c r="E1771" s="42" t="s">
        <v>1793</v>
      </c>
      <c r="F1771" s="42" t="s">
        <v>1792</v>
      </c>
      <c r="G1771" s="42">
        <v>31</v>
      </c>
      <c r="H1771" s="42" t="s">
        <v>365</v>
      </c>
      <c r="I1771" s="42" t="s">
        <v>37</v>
      </c>
      <c r="J1771" s="42">
        <v>6000</v>
      </c>
    </row>
    <row r="1772" spans="1:22">
      <c r="A1772" s="61" t="s">
        <v>1792</v>
      </c>
      <c r="C1772" s="64" t="s">
        <v>4</v>
      </c>
      <c r="D1772" s="64" t="s">
        <v>1760</v>
      </c>
      <c r="E1772" s="42" t="s">
        <v>1793</v>
      </c>
      <c r="F1772" s="42" t="s">
        <v>1792</v>
      </c>
      <c r="G1772" s="42">
        <v>32</v>
      </c>
      <c r="H1772" s="42" t="s">
        <v>339</v>
      </c>
      <c r="I1772" s="42" t="s">
        <v>37</v>
      </c>
      <c r="J1772" s="42">
        <v>10000</v>
      </c>
    </row>
    <row r="1773" spans="1:22">
      <c r="A1773" s="61" t="s">
        <v>1792</v>
      </c>
      <c r="C1773" s="64" t="s">
        <v>4</v>
      </c>
      <c r="D1773" s="64" t="s">
        <v>1760</v>
      </c>
      <c r="E1773" s="42" t="s">
        <v>1793</v>
      </c>
      <c r="F1773" s="42" t="s">
        <v>1792</v>
      </c>
      <c r="G1773" s="42">
        <v>33</v>
      </c>
      <c r="H1773" s="42" t="s">
        <v>345</v>
      </c>
      <c r="I1773" s="42" t="s">
        <v>37</v>
      </c>
      <c r="J1773" s="42">
        <v>10000</v>
      </c>
    </row>
    <row r="1774" spans="1:22">
      <c r="A1774" s="61" t="s">
        <v>1792</v>
      </c>
      <c r="C1774" s="64" t="s">
        <v>4</v>
      </c>
      <c r="D1774" s="64" t="s">
        <v>1760</v>
      </c>
      <c r="E1774" s="42" t="s">
        <v>1793</v>
      </c>
      <c r="F1774" s="42" t="s">
        <v>1792</v>
      </c>
      <c r="G1774" s="42">
        <v>34</v>
      </c>
      <c r="H1774" s="42" t="s">
        <v>393</v>
      </c>
      <c r="I1774" s="42" t="s">
        <v>37</v>
      </c>
      <c r="J1774" s="42">
        <v>15000</v>
      </c>
    </row>
    <row r="1775" spans="1:22">
      <c r="A1775" s="61" t="s">
        <v>1792</v>
      </c>
      <c r="C1775" s="64" t="s">
        <v>4</v>
      </c>
      <c r="D1775" s="64" t="s">
        <v>1760</v>
      </c>
      <c r="E1775" s="42" t="s">
        <v>1793</v>
      </c>
      <c r="F1775" s="42" t="s">
        <v>1792</v>
      </c>
      <c r="G1775" s="42">
        <v>35</v>
      </c>
      <c r="H1775" s="42" t="s">
        <v>573</v>
      </c>
      <c r="I1775" s="42" t="s">
        <v>37</v>
      </c>
      <c r="J1775" s="42">
        <v>40000</v>
      </c>
    </row>
    <row r="1776" spans="1:22">
      <c r="A1776" s="61" t="s">
        <v>1792</v>
      </c>
      <c r="C1776" s="64" t="s">
        <v>4</v>
      </c>
      <c r="D1776" s="64" t="s">
        <v>1760</v>
      </c>
      <c r="E1776" s="42" t="s">
        <v>1793</v>
      </c>
      <c r="F1776" s="42" t="s">
        <v>1792</v>
      </c>
      <c r="G1776" s="42">
        <v>36</v>
      </c>
      <c r="H1776" s="42" t="s">
        <v>942</v>
      </c>
      <c r="I1776" s="42" t="s">
        <v>37</v>
      </c>
      <c r="J1776" s="42">
        <v>5000</v>
      </c>
    </row>
    <row r="1777" spans="1:22">
      <c r="A1777" s="61" t="s">
        <v>1792</v>
      </c>
      <c r="C1777" s="64" t="s">
        <v>4</v>
      </c>
      <c r="D1777" s="64" t="s">
        <v>1760</v>
      </c>
      <c r="E1777" s="42" t="s">
        <v>1793</v>
      </c>
      <c r="F1777" s="42" t="s">
        <v>1792</v>
      </c>
      <c r="G1777" s="42">
        <v>37</v>
      </c>
      <c r="H1777" s="42" t="s">
        <v>944</v>
      </c>
      <c r="I1777" s="42" t="s">
        <v>37</v>
      </c>
      <c r="J1777" s="42">
        <v>10000</v>
      </c>
    </row>
    <row r="1778" spans="1:22">
      <c r="A1778" s="61" t="s">
        <v>1792</v>
      </c>
      <c r="C1778" s="64" t="s">
        <v>4</v>
      </c>
      <c r="D1778" s="64" t="s">
        <v>1760</v>
      </c>
      <c r="E1778" s="42" t="s">
        <v>1793</v>
      </c>
      <c r="F1778" s="42" t="s">
        <v>1792</v>
      </c>
      <c r="G1778" s="42">
        <v>38</v>
      </c>
      <c r="H1778" s="42" t="s">
        <v>739</v>
      </c>
      <c r="I1778" s="42" t="s">
        <v>37</v>
      </c>
      <c r="J1778" s="42">
        <v>70000</v>
      </c>
    </row>
    <row r="1779" spans="1:22">
      <c r="A1779" s="61" t="s">
        <v>1792</v>
      </c>
      <c r="C1779" s="64" t="s">
        <v>4</v>
      </c>
      <c r="D1779" s="64" t="s">
        <v>1760</v>
      </c>
      <c r="E1779" s="42" t="s">
        <v>1793</v>
      </c>
      <c r="F1779" s="42" t="s">
        <v>1792</v>
      </c>
      <c r="G1779" s="42">
        <v>39</v>
      </c>
      <c r="H1779" s="42" t="s">
        <v>589</v>
      </c>
      <c r="I1779" s="42" t="s">
        <v>37</v>
      </c>
      <c r="J1779" s="42">
        <v>20000</v>
      </c>
    </row>
    <row r="1780" spans="1:22">
      <c r="A1780" s="61" t="s">
        <v>1792</v>
      </c>
      <c r="C1780" s="64" t="s">
        <v>4</v>
      </c>
      <c r="D1780" s="64" t="s">
        <v>1760</v>
      </c>
      <c r="E1780" s="42" t="s">
        <v>1793</v>
      </c>
      <c r="F1780" s="42" t="s">
        <v>1792</v>
      </c>
      <c r="G1780" s="42">
        <v>40</v>
      </c>
      <c r="H1780" s="42" t="s">
        <v>587</v>
      </c>
      <c r="I1780" s="42" t="s">
        <v>37</v>
      </c>
      <c r="J1780" s="42">
        <v>10000</v>
      </c>
    </row>
    <row r="1781" spans="1:22">
      <c r="A1781" s="61" t="s">
        <v>1792</v>
      </c>
      <c r="C1781" s="64" t="s">
        <v>4</v>
      </c>
      <c r="D1781" s="64" t="s">
        <v>1760</v>
      </c>
      <c r="E1781" s="42" t="s">
        <v>1793</v>
      </c>
      <c r="F1781" s="42" t="s">
        <v>1792</v>
      </c>
      <c r="G1781" s="42">
        <v>41</v>
      </c>
      <c r="H1781" s="42" t="s">
        <v>581</v>
      </c>
      <c r="I1781" s="42" t="s">
        <v>37</v>
      </c>
      <c r="J1781" s="42">
        <v>20000</v>
      </c>
    </row>
    <row r="1782" spans="1:22">
      <c r="A1782" s="61" t="s">
        <v>1792</v>
      </c>
      <c r="C1782" s="64" t="s">
        <v>4</v>
      </c>
      <c r="D1782" s="64" t="s">
        <v>1760</v>
      </c>
      <c r="E1782" s="42" t="s">
        <v>1793</v>
      </c>
      <c r="F1782" s="42" t="s">
        <v>1792</v>
      </c>
      <c r="G1782" s="42">
        <v>42</v>
      </c>
      <c r="H1782" s="42" t="s">
        <v>575</v>
      </c>
      <c r="I1782" s="42" t="s">
        <v>37</v>
      </c>
      <c r="J1782" s="42">
        <v>20000</v>
      </c>
    </row>
    <row r="1783" spans="1:22">
      <c r="A1783" s="61" t="s">
        <v>1792</v>
      </c>
      <c r="C1783" s="64" t="s">
        <v>4</v>
      </c>
      <c r="D1783" s="64" t="s">
        <v>1760</v>
      </c>
      <c r="E1783" s="42" t="s">
        <v>1793</v>
      </c>
      <c r="F1783" s="42" t="s">
        <v>1792</v>
      </c>
      <c r="G1783" s="42">
        <v>43</v>
      </c>
      <c r="H1783" s="42" t="s">
        <v>629</v>
      </c>
      <c r="I1783" s="42" t="s">
        <v>37</v>
      </c>
      <c r="J1783" s="42">
        <v>50000</v>
      </c>
    </row>
    <row r="1784" spans="1:22">
      <c r="A1784" s="61" t="s">
        <v>1792</v>
      </c>
      <c r="C1784" s="64" t="s">
        <v>4</v>
      </c>
      <c r="D1784" s="64" t="s">
        <v>1760</v>
      </c>
      <c r="E1784" s="42" t="s">
        <v>1793</v>
      </c>
      <c r="F1784" s="42" t="s">
        <v>1792</v>
      </c>
      <c r="G1784" s="42">
        <v>44</v>
      </c>
      <c r="H1784" s="42" t="s">
        <v>735</v>
      </c>
      <c r="I1784" s="42" t="s">
        <v>37</v>
      </c>
      <c r="J1784" s="42">
        <v>90000</v>
      </c>
    </row>
    <row r="1785" spans="1:22">
      <c r="A1785" s="61" t="s">
        <v>1792</v>
      </c>
      <c r="C1785" s="64" t="s">
        <v>4</v>
      </c>
      <c r="D1785" s="64" t="s">
        <v>1760</v>
      </c>
      <c r="E1785" s="42" t="s">
        <v>1793</v>
      </c>
      <c r="F1785" s="42" t="s">
        <v>1792</v>
      </c>
      <c r="G1785" s="42">
        <v>45</v>
      </c>
      <c r="H1785" s="42" t="s">
        <v>741</v>
      </c>
      <c r="I1785" s="42" t="s">
        <v>37</v>
      </c>
      <c r="J1785" s="42">
        <v>30000</v>
      </c>
    </row>
    <row r="1786" spans="1:22">
      <c r="A1786" s="61" t="s">
        <v>1792</v>
      </c>
      <c r="C1786" s="64" t="s">
        <v>4</v>
      </c>
      <c r="D1786" s="64" t="s">
        <v>1760</v>
      </c>
      <c r="E1786" s="42" t="s">
        <v>1793</v>
      </c>
      <c r="F1786" s="42" t="s">
        <v>1792</v>
      </c>
      <c r="G1786" s="42">
        <v>46</v>
      </c>
      <c r="H1786" s="42" t="s">
        <v>627</v>
      </c>
      <c r="I1786" s="42" t="s">
        <v>37</v>
      </c>
      <c r="J1786" s="42">
        <v>35000</v>
      </c>
    </row>
    <row r="1787" spans="1:22">
      <c r="A1787" s="61" t="s">
        <v>1792</v>
      </c>
      <c r="C1787" s="64" t="s">
        <v>4</v>
      </c>
      <c r="D1787" s="64" t="s">
        <v>1760</v>
      </c>
      <c r="E1787" s="42" t="s">
        <v>1793</v>
      </c>
      <c r="F1787" s="42" t="s">
        <v>1792</v>
      </c>
      <c r="G1787" s="42">
        <v>47</v>
      </c>
      <c r="H1787" s="42" t="s">
        <v>705</v>
      </c>
      <c r="I1787" s="42" t="s">
        <v>37</v>
      </c>
      <c r="J1787" s="42">
        <v>90000</v>
      </c>
    </row>
    <row r="1788" spans="1:22">
      <c r="A1788" s="61" t="s">
        <v>1792</v>
      </c>
      <c r="C1788" s="64" t="s">
        <v>4</v>
      </c>
      <c r="D1788" s="64" t="s">
        <v>1760</v>
      </c>
      <c r="E1788" s="42" t="s">
        <v>1793</v>
      </c>
      <c r="F1788" s="42" t="s">
        <v>1792</v>
      </c>
      <c r="G1788" s="42">
        <v>48</v>
      </c>
      <c r="H1788" s="42" t="s">
        <v>649</v>
      </c>
      <c r="I1788" s="42" t="s">
        <v>37</v>
      </c>
      <c r="J1788" s="42">
        <v>10000</v>
      </c>
    </row>
    <row r="1789" spans="1:22">
      <c r="A1789" s="61" t="s">
        <v>1792</v>
      </c>
      <c r="C1789" s="64" t="s">
        <v>4</v>
      </c>
      <c r="D1789" s="64" t="s">
        <v>1760</v>
      </c>
      <c r="E1789" s="42" t="s">
        <v>1793</v>
      </c>
      <c r="F1789" s="42" t="s">
        <v>1792</v>
      </c>
      <c r="G1789" s="42">
        <v>49</v>
      </c>
      <c r="H1789" s="42" t="s">
        <v>651</v>
      </c>
      <c r="I1789" s="42" t="s">
        <v>37</v>
      </c>
      <c r="J1789" s="42">
        <v>10000</v>
      </c>
    </row>
    <row r="1790" spans="1:22">
      <c r="A1790" s="61" t="s">
        <v>1792</v>
      </c>
      <c r="C1790" s="64" t="s">
        <v>4</v>
      </c>
      <c r="D1790" s="64" t="s">
        <v>1760</v>
      </c>
      <c r="E1790" s="42" t="s">
        <v>1793</v>
      </c>
      <c r="F1790" s="42" t="s">
        <v>1792</v>
      </c>
      <c r="G1790" s="42">
        <v>50</v>
      </c>
      <c r="H1790" s="42" t="s">
        <v>1279</v>
      </c>
      <c r="I1790" s="42" t="s">
        <v>37</v>
      </c>
      <c r="J1790" s="42">
        <v>10000</v>
      </c>
    </row>
    <row r="1791" spans="1:22">
      <c r="A1791" s="61" t="s">
        <v>1792</v>
      </c>
      <c r="C1791" s="64" t="s">
        <v>4</v>
      </c>
      <c r="D1791" s="64" t="s">
        <v>1760</v>
      </c>
      <c r="E1791" s="42" t="s">
        <v>1793</v>
      </c>
      <c r="F1791" s="42" t="s">
        <v>1792</v>
      </c>
      <c r="G1791" s="42">
        <v>51</v>
      </c>
      <c r="H1791" s="42" t="s">
        <v>921</v>
      </c>
      <c r="I1791" s="42" t="s">
        <v>37</v>
      </c>
      <c r="J1791" s="42">
        <v>50000</v>
      </c>
    </row>
    <row r="1792" spans="1:22">
      <c r="A1792" s="61" t="s">
        <v>1792</v>
      </c>
      <c r="C1792" s="64" t="s">
        <v>4</v>
      </c>
      <c r="D1792" s="64" t="s">
        <v>1760</v>
      </c>
      <c r="E1792" s="42" t="s">
        <v>1793</v>
      </c>
      <c r="F1792" s="42" t="s">
        <v>1792</v>
      </c>
      <c r="G1792" s="42">
        <v>52</v>
      </c>
      <c r="H1792" s="42" t="s">
        <v>631</v>
      </c>
      <c r="I1792" s="42" t="s">
        <v>37</v>
      </c>
      <c r="J1792" s="42">
        <v>55000</v>
      </c>
    </row>
    <row r="1793" spans="1:22">
      <c r="A1793" s="61" t="s">
        <v>1792</v>
      </c>
      <c r="C1793" s="64" t="s">
        <v>4</v>
      </c>
      <c r="D1793" s="64" t="s">
        <v>1760</v>
      </c>
      <c r="E1793" s="42" t="s">
        <v>1793</v>
      </c>
      <c r="F1793" s="42" t="s">
        <v>1792</v>
      </c>
      <c r="G1793" s="42">
        <v>53</v>
      </c>
      <c r="H1793" s="42" t="s">
        <v>707</v>
      </c>
      <c r="I1793" s="42" t="s">
        <v>37</v>
      </c>
      <c r="J1793" s="42">
        <v>50000</v>
      </c>
    </row>
    <row r="1794" spans="1:22">
      <c r="A1794" s="61" t="s">
        <v>1792</v>
      </c>
      <c r="C1794" s="64" t="s">
        <v>4</v>
      </c>
      <c r="D1794" s="64" t="s">
        <v>1760</v>
      </c>
      <c r="E1794" s="42" t="s">
        <v>1793</v>
      </c>
      <c r="F1794" s="42" t="s">
        <v>1792</v>
      </c>
      <c r="G1794" s="42">
        <v>54</v>
      </c>
      <c r="H1794" s="42" t="s">
        <v>633</v>
      </c>
      <c r="I1794" s="42" t="s">
        <v>37</v>
      </c>
      <c r="J1794" s="42">
        <v>60000</v>
      </c>
    </row>
    <row r="1795" spans="1:22">
      <c r="A1795" s="61" t="s">
        <v>1792</v>
      </c>
      <c r="C1795" s="64" t="s">
        <v>4</v>
      </c>
      <c r="D1795" s="64" t="s">
        <v>1760</v>
      </c>
      <c r="E1795" s="42" t="s">
        <v>1793</v>
      </c>
      <c r="F1795" s="42" t="s">
        <v>1792</v>
      </c>
      <c r="G1795" s="42">
        <v>55</v>
      </c>
      <c r="H1795" s="42" t="s">
        <v>625</v>
      </c>
      <c r="I1795" s="42" t="s">
        <v>37</v>
      </c>
      <c r="J1795" s="42">
        <v>5000</v>
      </c>
    </row>
    <row r="1796" spans="1:22">
      <c r="A1796" s="61" t="s">
        <v>1792</v>
      </c>
      <c r="C1796" s="64" t="s">
        <v>4</v>
      </c>
      <c r="D1796" s="64" t="s">
        <v>1760</v>
      </c>
      <c r="E1796" s="42" t="s">
        <v>1793</v>
      </c>
      <c r="F1796" s="42" t="s">
        <v>1792</v>
      </c>
      <c r="G1796" s="42">
        <v>56</v>
      </c>
      <c r="H1796" s="42" t="s">
        <v>759</v>
      </c>
      <c r="I1796" s="42" t="s">
        <v>37</v>
      </c>
      <c r="J1796" s="42">
        <v>40000</v>
      </c>
    </row>
    <row r="1797" spans="1:22">
      <c r="A1797" s="61" t="s">
        <v>1792</v>
      </c>
      <c r="C1797" s="64" t="s">
        <v>4</v>
      </c>
      <c r="D1797" s="64" t="s">
        <v>1760</v>
      </c>
      <c r="E1797" s="42" t="s">
        <v>1793</v>
      </c>
      <c r="F1797" s="42" t="s">
        <v>1792</v>
      </c>
      <c r="G1797" s="42">
        <v>57</v>
      </c>
      <c r="H1797" s="42" t="s">
        <v>539</v>
      </c>
      <c r="I1797" s="42" t="s">
        <v>37</v>
      </c>
      <c r="J1797" s="42">
        <v>30000</v>
      </c>
    </row>
    <row r="1798" spans="1:22">
      <c r="A1798" s="61" t="s">
        <v>1792</v>
      </c>
      <c r="C1798" s="64" t="s">
        <v>4</v>
      </c>
      <c r="D1798" s="64" t="s">
        <v>1760</v>
      </c>
      <c r="E1798" s="42" t="s">
        <v>1793</v>
      </c>
      <c r="F1798" s="42" t="s">
        <v>1792</v>
      </c>
      <c r="G1798" s="42">
        <v>58</v>
      </c>
      <c r="H1798" s="42" t="s">
        <v>801</v>
      </c>
      <c r="I1798" s="42" t="s">
        <v>37</v>
      </c>
      <c r="J1798" s="42">
        <v>70000</v>
      </c>
    </row>
    <row r="1799" spans="1:22">
      <c r="A1799" s="61" t="s">
        <v>1792</v>
      </c>
      <c r="C1799" s="64" t="s">
        <v>4</v>
      </c>
      <c r="D1799" s="64" t="s">
        <v>1760</v>
      </c>
      <c r="E1799" s="42" t="s">
        <v>1793</v>
      </c>
      <c r="F1799" s="42" t="s">
        <v>1792</v>
      </c>
      <c r="G1799" s="42">
        <v>59</v>
      </c>
      <c r="H1799" s="42" t="s">
        <v>947</v>
      </c>
      <c r="I1799" s="42" t="s">
        <v>37</v>
      </c>
      <c r="J1799" s="42">
        <v>5000</v>
      </c>
    </row>
    <row r="1800" spans="1:22">
      <c r="A1800" s="61" t="s">
        <v>1792</v>
      </c>
      <c r="C1800" s="64" t="s">
        <v>4</v>
      </c>
      <c r="D1800" s="64" t="s">
        <v>1760</v>
      </c>
      <c r="E1800" s="42" t="s">
        <v>1793</v>
      </c>
      <c r="F1800" s="42" t="s">
        <v>1792</v>
      </c>
      <c r="G1800" s="42">
        <v>60</v>
      </c>
      <c r="H1800" s="42" t="s">
        <v>923</v>
      </c>
      <c r="I1800" s="42" t="s">
        <v>37</v>
      </c>
      <c r="J1800" s="42">
        <v>100000</v>
      </c>
    </row>
    <row r="1801" spans="1:22">
      <c r="A1801" s="61" t="s">
        <v>1792</v>
      </c>
      <c r="C1801" s="64" t="s">
        <v>4</v>
      </c>
      <c r="D1801" s="64" t="s">
        <v>1760</v>
      </c>
      <c r="E1801" s="42" t="s">
        <v>1793</v>
      </c>
      <c r="F1801" s="42" t="s">
        <v>1792</v>
      </c>
      <c r="G1801" s="42">
        <v>61</v>
      </c>
      <c r="H1801" s="42" t="s">
        <v>925</v>
      </c>
      <c r="I1801" s="42" t="s">
        <v>37</v>
      </c>
      <c r="J1801" s="42">
        <v>40000</v>
      </c>
    </row>
    <row r="1802" spans="1:22">
      <c r="A1802" s="61" t="s">
        <v>1792</v>
      </c>
      <c r="C1802" s="64" t="s">
        <v>4</v>
      </c>
      <c r="D1802" s="64" t="s">
        <v>1760</v>
      </c>
      <c r="E1802" s="42" t="s">
        <v>1793</v>
      </c>
      <c r="F1802" s="42" t="s">
        <v>1792</v>
      </c>
      <c r="G1802" s="42">
        <v>62</v>
      </c>
      <c r="H1802" s="42" t="s">
        <v>927</v>
      </c>
      <c r="I1802" s="42" t="s">
        <v>37</v>
      </c>
      <c r="J1802" s="42">
        <v>40000</v>
      </c>
    </row>
    <row r="1803" spans="1:22">
      <c r="A1803" s="61" t="s">
        <v>1792</v>
      </c>
      <c r="C1803" s="64" t="s">
        <v>4</v>
      </c>
      <c r="D1803" s="64" t="s">
        <v>1760</v>
      </c>
      <c r="E1803" s="42" t="s">
        <v>1793</v>
      </c>
      <c r="F1803" s="42" t="s">
        <v>1792</v>
      </c>
      <c r="G1803" s="42">
        <v>63</v>
      </c>
      <c r="H1803" s="42" t="s">
        <v>1319</v>
      </c>
      <c r="I1803" s="42" t="s">
        <v>37</v>
      </c>
      <c r="J1803" s="42">
        <v>70000</v>
      </c>
    </row>
    <row r="1804" spans="1:22">
      <c r="A1804" s="61" t="s">
        <v>1792</v>
      </c>
      <c r="C1804" s="64" t="s">
        <v>4</v>
      </c>
      <c r="D1804" s="64" t="s">
        <v>1760</v>
      </c>
      <c r="E1804" s="42" t="s">
        <v>1793</v>
      </c>
      <c r="F1804" s="42" t="s">
        <v>1792</v>
      </c>
      <c r="G1804" s="42">
        <v>64</v>
      </c>
      <c r="H1804" s="42" t="s">
        <v>1374</v>
      </c>
      <c r="I1804" s="42" t="s">
        <v>37</v>
      </c>
      <c r="J1804" s="42">
        <v>10000</v>
      </c>
    </row>
    <row r="1805" spans="1:22">
      <c r="A1805" s="61" t="s">
        <v>1792</v>
      </c>
      <c r="C1805" s="64" t="s">
        <v>4</v>
      </c>
      <c r="D1805" s="64" t="s">
        <v>1760</v>
      </c>
      <c r="E1805" s="42" t="s">
        <v>1793</v>
      </c>
      <c r="F1805" s="42" t="s">
        <v>1792</v>
      </c>
      <c r="G1805" s="42">
        <v>65</v>
      </c>
      <c r="H1805" s="42" t="s">
        <v>1359</v>
      </c>
      <c r="I1805" s="42" t="s">
        <v>37</v>
      </c>
      <c r="J1805" s="42">
        <v>5000</v>
      </c>
    </row>
    <row r="1806" spans="1:22">
      <c r="A1806" s="61" t="s">
        <v>1792</v>
      </c>
      <c r="C1806" s="64" t="s">
        <v>4</v>
      </c>
      <c r="D1806" s="64" t="s">
        <v>1760</v>
      </c>
      <c r="E1806" s="42" t="s">
        <v>1793</v>
      </c>
      <c r="F1806" s="42" t="s">
        <v>1792</v>
      </c>
      <c r="G1806" s="42">
        <v>66</v>
      </c>
      <c r="H1806" s="42" t="s">
        <v>1283</v>
      </c>
      <c r="I1806" s="42" t="s">
        <v>37</v>
      </c>
      <c r="J1806" s="42">
        <v>20000</v>
      </c>
    </row>
    <row r="1807" spans="1:22">
      <c r="A1807" s="61" t="s">
        <v>1792</v>
      </c>
      <c r="C1807" s="64" t="s">
        <v>4</v>
      </c>
      <c r="D1807" s="64" t="s">
        <v>1760</v>
      </c>
      <c r="E1807" s="42" t="s">
        <v>1793</v>
      </c>
      <c r="F1807" s="42" t="s">
        <v>1792</v>
      </c>
      <c r="G1807" s="42">
        <v>67</v>
      </c>
      <c r="H1807" s="42" t="s">
        <v>1295</v>
      </c>
      <c r="I1807" s="42" t="s">
        <v>37</v>
      </c>
      <c r="J1807" s="42">
        <v>20000</v>
      </c>
    </row>
    <row r="1808" spans="1:22">
      <c r="A1808" s="61" t="s">
        <v>1792</v>
      </c>
      <c r="C1808" s="64" t="s">
        <v>4</v>
      </c>
      <c r="D1808" s="64" t="s">
        <v>1760</v>
      </c>
      <c r="E1808" s="42" t="s">
        <v>1793</v>
      </c>
      <c r="F1808" s="42" t="s">
        <v>1792</v>
      </c>
      <c r="G1808" s="42">
        <v>68</v>
      </c>
      <c r="H1808" s="42" t="s">
        <v>415</v>
      </c>
      <c r="I1808" s="42" t="s">
        <v>37</v>
      </c>
      <c r="J1808" s="42">
        <v>5000</v>
      </c>
    </row>
    <row r="1809" spans="1:22">
      <c r="A1809" s="61" t="s">
        <v>1792</v>
      </c>
      <c r="C1809" s="64" t="s">
        <v>4</v>
      </c>
      <c r="D1809" s="64" t="s">
        <v>1760</v>
      </c>
      <c r="E1809" s="42" t="s">
        <v>1793</v>
      </c>
      <c r="F1809" s="42" t="s">
        <v>1792</v>
      </c>
      <c r="G1809" s="42">
        <v>69</v>
      </c>
      <c r="H1809" s="42" t="s">
        <v>951</v>
      </c>
      <c r="I1809" s="42" t="s">
        <v>37</v>
      </c>
      <c r="J1809" s="42">
        <v>20000</v>
      </c>
    </row>
    <row r="1810" spans="1:22">
      <c r="A1810" s="61" t="s">
        <v>1792</v>
      </c>
      <c r="C1810" s="64" t="s">
        <v>4</v>
      </c>
      <c r="D1810" s="64" t="s">
        <v>1760</v>
      </c>
      <c r="E1810" s="42" t="s">
        <v>1793</v>
      </c>
      <c r="F1810" s="42" t="s">
        <v>1792</v>
      </c>
      <c r="G1810" s="42">
        <v>70</v>
      </c>
      <c r="H1810" s="42" t="s">
        <v>1356</v>
      </c>
      <c r="I1810" s="42" t="s">
        <v>37</v>
      </c>
      <c r="J1810" s="42">
        <v>20000</v>
      </c>
    </row>
    <row r="1811" spans="1:22">
      <c r="A1811" s="61" t="s">
        <v>1792</v>
      </c>
      <c r="C1811" s="64" t="s">
        <v>4</v>
      </c>
      <c r="D1811" s="64" t="s">
        <v>1760</v>
      </c>
      <c r="E1811" s="42" t="s">
        <v>1793</v>
      </c>
      <c r="F1811" s="42" t="s">
        <v>1792</v>
      </c>
      <c r="G1811" s="42">
        <v>71</v>
      </c>
      <c r="H1811" s="42" t="s">
        <v>1343</v>
      </c>
      <c r="I1811" s="42" t="s">
        <v>37</v>
      </c>
      <c r="J1811" s="42">
        <v>70000</v>
      </c>
    </row>
    <row r="1812" spans="1:22">
      <c r="A1812" s="61" t="s">
        <v>1792</v>
      </c>
      <c r="C1812" s="64" t="s">
        <v>4</v>
      </c>
      <c r="D1812" s="64" t="s">
        <v>1760</v>
      </c>
      <c r="E1812" s="42" t="s">
        <v>1793</v>
      </c>
      <c r="F1812" s="42" t="s">
        <v>1792</v>
      </c>
      <c r="G1812" s="42">
        <v>72</v>
      </c>
      <c r="H1812" s="42" t="s">
        <v>52</v>
      </c>
      <c r="I1812" s="42" t="s">
        <v>37</v>
      </c>
      <c r="J1812" s="42">
        <v>10000</v>
      </c>
    </row>
    <row r="1813" spans="1:22">
      <c r="A1813" s="61" t="s">
        <v>1792</v>
      </c>
      <c r="C1813" s="64" t="s">
        <v>4</v>
      </c>
      <c r="D1813" s="64" t="s">
        <v>1760</v>
      </c>
      <c r="E1813" s="42" t="s">
        <v>1793</v>
      </c>
      <c r="F1813" s="42" t="s">
        <v>1792</v>
      </c>
      <c r="G1813" s="42">
        <v>73</v>
      </c>
      <c r="H1813" s="42" t="s">
        <v>56</v>
      </c>
      <c r="I1813" s="42" t="s">
        <v>37</v>
      </c>
      <c r="J1813" s="42">
        <v>110000</v>
      </c>
    </row>
    <row r="1814" spans="1:22">
      <c r="A1814" s="61" t="s">
        <v>1792</v>
      </c>
      <c r="C1814" s="64" t="s">
        <v>4</v>
      </c>
      <c r="D1814" s="64" t="s">
        <v>1760</v>
      </c>
      <c r="E1814" s="42" t="s">
        <v>1793</v>
      </c>
      <c r="F1814" s="42" t="s">
        <v>1792</v>
      </c>
      <c r="G1814" s="42">
        <v>74</v>
      </c>
      <c r="H1814" s="42" t="s">
        <v>61</v>
      </c>
      <c r="I1814" s="42" t="s">
        <v>37</v>
      </c>
      <c r="J1814" s="42">
        <v>5000</v>
      </c>
    </row>
    <row r="1815" spans="1:22">
      <c r="A1815" s="61" t="s">
        <v>1792</v>
      </c>
      <c r="C1815" s="64" t="s">
        <v>4</v>
      </c>
      <c r="D1815" s="64" t="s">
        <v>1760</v>
      </c>
      <c r="E1815" s="42" t="s">
        <v>1793</v>
      </c>
      <c r="F1815" s="42" t="s">
        <v>1792</v>
      </c>
      <c r="G1815" s="42">
        <v>75</v>
      </c>
      <c r="H1815" s="42" t="s">
        <v>639</v>
      </c>
      <c r="I1815" s="42" t="s">
        <v>37</v>
      </c>
      <c r="J1815" s="42">
        <v>10000</v>
      </c>
    </row>
    <row r="1816" spans="1:22">
      <c r="A1816" s="61" t="s">
        <v>1792</v>
      </c>
      <c r="C1816" s="64" t="s">
        <v>4</v>
      </c>
      <c r="D1816" s="64" t="s">
        <v>1760</v>
      </c>
      <c r="E1816" s="42" t="s">
        <v>1793</v>
      </c>
      <c r="F1816" s="42" t="s">
        <v>1792</v>
      </c>
      <c r="G1816" s="42">
        <v>76</v>
      </c>
      <c r="H1816" s="42" t="s">
        <v>579</v>
      </c>
      <c r="I1816" s="42" t="s">
        <v>37</v>
      </c>
      <c r="J1816" s="42">
        <v>20000</v>
      </c>
    </row>
    <row r="1817" spans="1:22">
      <c r="A1817" s="61" t="s">
        <v>1792</v>
      </c>
      <c r="C1817" s="64" t="s">
        <v>4</v>
      </c>
      <c r="D1817" s="64" t="s">
        <v>1760</v>
      </c>
      <c r="E1817" s="42" t="s">
        <v>1793</v>
      </c>
      <c r="F1817" s="42" t="s">
        <v>1792</v>
      </c>
      <c r="G1817" s="42">
        <v>77</v>
      </c>
      <c r="H1817" s="42" t="s">
        <v>609</v>
      </c>
      <c r="I1817" s="42" t="s">
        <v>37</v>
      </c>
      <c r="J1817" s="42">
        <v>5000</v>
      </c>
    </row>
    <row r="1818" spans="1:22">
      <c r="A1818" s="61" t="s">
        <v>1792</v>
      </c>
      <c r="C1818" s="64" t="s">
        <v>4</v>
      </c>
      <c r="D1818" s="64" t="s">
        <v>1760</v>
      </c>
      <c r="E1818" s="42" t="s">
        <v>1793</v>
      </c>
      <c r="F1818" s="42" t="s">
        <v>1792</v>
      </c>
      <c r="G1818" s="42">
        <v>78</v>
      </c>
      <c r="H1818" s="42" t="s">
        <v>189</v>
      </c>
      <c r="I1818" s="42" t="s">
        <v>37</v>
      </c>
      <c r="J1818" s="42">
        <v>5000</v>
      </c>
    </row>
    <row r="1819" spans="1:22">
      <c r="A1819" s="61" t="s">
        <v>1792</v>
      </c>
      <c r="C1819" s="64" t="s">
        <v>4</v>
      </c>
      <c r="D1819" s="64" t="s">
        <v>1760</v>
      </c>
      <c r="E1819" s="42" t="s">
        <v>1793</v>
      </c>
      <c r="F1819" s="42" t="s">
        <v>1792</v>
      </c>
      <c r="G1819" s="42">
        <v>79</v>
      </c>
      <c r="H1819" s="42" t="s">
        <v>403</v>
      </c>
      <c r="I1819" s="42" t="s">
        <v>37</v>
      </c>
      <c r="J1819" s="42">
        <v>15000</v>
      </c>
    </row>
    <row r="1820" spans="1:22">
      <c r="A1820" s="61" t="s">
        <v>1792</v>
      </c>
      <c r="C1820" s="64" t="s">
        <v>4</v>
      </c>
      <c r="D1820" s="64" t="s">
        <v>1760</v>
      </c>
      <c r="E1820" s="42" t="s">
        <v>1793</v>
      </c>
      <c r="F1820" s="42" t="s">
        <v>1792</v>
      </c>
      <c r="G1820" s="42">
        <v>80</v>
      </c>
      <c r="H1820" s="42" t="s">
        <v>72</v>
      </c>
      <c r="I1820" s="42" t="s">
        <v>37</v>
      </c>
      <c r="J1820" s="42">
        <v>25000</v>
      </c>
    </row>
    <row r="1821" spans="1:22">
      <c r="A1821" s="61" t="s">
        <v>1792</v>
      </c>
      <c r="C1821" s="64" t="s">
        <v>4</v>
      </c>
      <c r="D1821" s="64" t="s">
        <v>1760</v>
      </c>
      <c r="E1821" s="42" t="s">
        <v>1793</v>
      </c>
      <c r="F1821" s="42" t="s">
        <v>1792</v>
      </c>
      <c r="G1821" s="42">
        <v>81</v>
      </c>
      <c r="H1821" s="42" t="s">
        <v>75</v>
      </c>
      <c r="I1821" s="42" t="s">
        <v>37</v>
      </c>
      <c r="J1821" s="42">
        <v>5000</v>
      </c>
    </row>
    <row r="1822" spans="1:22">
      <c r="A1822" s="61" t="s">
        <v>1792</v>
      </c>
      <c r="C1822" s="64" t="s">
        <v>4</v>
      </c>
      <c r="D1822" s="64" t="s">
        <v>1760</v>
      </c>
      <c r="E1822" s="42" t="s">
        <v>1793</v>
      </c>
      <c r="F1822" s="42" t="s">
        <v>1792</v>
      </c>
      <c r="G1822" s="42">
        <v>82</v>
      </c>
      <c r="H1822" s="42" t="s">
        <v>335</v>
      </c>
      <c r="I1822" s="42" t="s">
        <v>37</v>
      </c>
      <c r="J1822" s="42">
        <v>10000</v>
      </c>
    </row>
    <row r="1823" spans="1:22">
      <c r="A1823" s="61" t="s">
        <v>1792</v>
      </c>
      <c r="C1823" s="64" t="s">
        <v>4</v>
      </c>
      <c r="D1823" s="64" t="s">
        <v>1760</v>
      </c>
      <c r="E1823" s="42" t="s">
        <v>1793</v>
      </c>
      <c r="F1823" s="42" t="s">
        <v>1792</v>
      </c>
      <c r="G1823" s="42">
        <v>83</v>
      </c>
      <c r="H1823" s="42" t="s">
        <v>709</v>
      </c>
      <c r="I1823" s="42" t="s">
        <v>37</v>
      </c>
      <c r="J1823" s="42">
        <v>80000</v>
      </c>
    </row>
    <row r="1824" spans="1:22">
      <c r="A1824" s="61" t="s">
        <v>1792</v>
      </c>
      <c r="C1824" s="64" t="s">
        <v>4</v>
      </c>
      <c r="D1824" s="64" t="s">
        <v>1760</v>
      </c>
      <c r="E1824" s="42" t="s">
        <v>1793</v>
      </c>
      <c r="F1824" s="42" t="s">
        <v>1792</v>
      </c>
      <c r="G1824" s="42">
        <v>84</v>
      </c>
      <c r="H1824" s="42" t="s">
        <v>76</v>
      </c>
      <c r="I1824" s="42" t="s">
        <v>37</v>
      </c>
      <c r="J1824" s="42">
        <v>10000</v>
      </c>
    </row>
    <row r="1825" spans="1:22">
      <c r="A1825" s="61" t="s">
        <v>1792</v>
      </c>
      <c r="C1825" s="64" t="s">
        <v>4</v>
      </c>
      <c r="D1825" s="64" t="s">
        <v>1760</v>
      </c>
      <c r="E1825" s="42" t="s">
        <v>1793</v>
      </c>
      <c r="F1825" s="42" t="s">
        <v>1792</v>
      </c>
      <c r="G1825" s="42">
        <v>85</v>
      </c>
      <c r="H1825" s="42" t="s">
        <v>805</v>
      </c>
      <c r="I1825" s="42" t="s">
        <v>37</v>
      </c>
      <c r="J1825" s="42">
        <v>30000</v>
      </c>
    </row>
    <row r="1826" spans="1:22">
      <c r="A1826" s="61" t="s">
        <v>1792</v>
      </c>
      <c r="C1826" s="64" t="s">
        <v>4</v>
      </c>
      <c r="D1826" s="64" t="s">
        <v>1760</v>
      </c>
      <c r="E1826" s="42" t="s">
        <v>1793</v>
      </c>
      <c r="F1826" s="42" t="s">
        <v>1792</v>
      </c>
      <c r="G1826" s="42">
        <v>86</v>
      </c>
      <c r="H1826" s="42" t="s">
        <v>397</v>
      </c>
      <c r="I1826" s="42" t="s">
        <v>37</v>
      </c>
      <c r="J1826" s="42">
        <v>20000</v>
      </c>
    </row>
    <row r="1827" spans="1:22">
      <c r="A1827" s="61" t="s">
        <v>1792</v>
      </c>
      <c r="C1827" s="64" t="s">
        <v>4</v>
      </c>
      <c r="D1827" s="64" t="s">
        <v>1760</v>
      </c>
      <c r="E1827" s="42" t="s">
        <v>1793</v>
      </c>
      <c r="F1827" s="42" t="s">
        <v>1792</v>
      </c>
      <c r="G1827" s="42">
        <v>87</v>
      </c>
      <c r="H1827" s="42" t="s">
        <v>529</v>
      </c>
      <c r="I1827" s="42" t="s">
        <v>37</v>
      </c>
      <c r="J1827" s="42">
        <v>10000</v>
      </c>
    </row>
    <row r="1828" spans="1:22">
      <c r="A1828" s="61" t="s">
        <v>1792</v>
      </c>
      <c r="C1828" s="64" t="s">
        <v>4</v>
      </c>
      <c r="D1828" s="64" t="s">
        <v>1760</v>
      </c>
      <c r="E1828" s="42" t="s">
        <v>1793</v>
      </c>
      <c r="F1828" s="42" t="s">
        <v>1792</v>
      </c>
      <c r="G1828" s="42">
        <v>88</v>
      </c>
      <c r="H1828" s="42" t="s">
        <v>359</v>
      </c>
      <c r="I1828" s="42" t="s">
        <v>37</v>
      </c>
      <c r="J1828" s="42">
        <v>10000</v>
      </c>
    </row>
    <row r="1829" spans="1:22">
      <c r="A1829" s="61" t="s">
        <v>1792</v>
      </c>
      <c r="C1829" s="64" t="s">
        <v>4</v>
      </c>
      <c r="D1829" s="64" t="s">
        <v>1760</v>
      </c>
      <c r="E1829" s="42" t="s">
        <v>1793</v>
      </c>
      <c r="F1829" s="42" t="s">
        <v>1792</v>
      </c>
      <c r="G1829" s="42">
        <v>89</v>
      </c>
      <c r="H1829" s="42" t="s">
        <v>405</v>
      </c>
      <c r="I1829" s="42" t="s">
        <v>37</v>
      </c>
      <c r="J1829" s="42">
        <v>10000</v>
      </c>
    </row>
    <row r="1830" spans="1:22">
      <c r="A1830" s="61" t="s">
        <v>1792</v>
      </c>
      <c r="C1830" s="64" t="s">
        <v>4</v>
      </c>
      <c r="D1830" s="64" t="s">
        <v>1760</v>
      </c>
      <c r="E1830" s="42" t="s">
        <v>1793</v>
      </c>
      <c r="F1830" s="42" t="s">
        <v>1792</v>
      </c>
      <c r="G1830" s="42">
        <v>90</v>
      </c>
      <c r="H1830" s="42" t="s">
        <v>577</v>
      </c>
      <c r="I1830" s="42" t="s">
        <v>37</v>
      </c>
      <c r="J1830" s="42">
        <v>20000</v>
      </c>
    </row>
    <row r="1831" spans="1:22">
      <c r="A1831" s="61" t="s">
        <v>1792</v>
      </c>
      <c r="C1831" s="64" t="s">
        <v>4</v>
      </c>
      <c r="D1831" s="64" t="s">
        <v>1760</v>
      </c>
      <c r="E1831" s="42" t="s">
        <v>1793</v>
      </c>
      <c r="F1831" s="42" t="s">
        <v>1792</v>
      </c>
      <c r="G1831" s="42">
        <v>91</v>
      </c>
      <c r="H1831" s="42" t="s">
        <v>585</v>
      </c>
      <c r="I1831" s="42" t="s">
        <v>37</v>
      </c>
      <c r="J1831" s="42">
        <v>20000</v>
      </c>
    </row>
    <row r="1832" spans="1:22">
      <c r="A1832" s="61" t="s">
        <v>1792</v>
      </c>
      <c r="C1832" s="64" t="s">
        <v>4</v>
      </c>
      <c r="D1832" s="64" t="s">
        <v>1760</v>
      </c>
      <c r="E1832" s="42" t="s">
        <v>1793</v>
      </c>
      <c r="F1832" s="42" t="s">
        <v>1792</v>
      </c>
      <c r="G1832" s="42">
        <v>92</v>
      </c>
      <c r="H1832" s="42" t="s">
        <v>757</v>
      </c>
      <c r="I1832" s="42" t="s">
        <v>37</v>
      </c>
      <c r="J1832" s="42">
        <v>370000</v>
      </c>
    </row>
    <row r="1833" spans="1:22">
      <c r="A1833" s="61" t="s">
        <v>1792</v>
      </c>
      <c r="C1833" s="64" t="s">
        <v>4</v>
      </c>
      <c r="D1833" s="64" t="s">
        <v>1760</v>
      </c>
      <c r="E1833" s="42" t="s">
        <v>1793</v>
      </c>
      <c r="F1833" s="42" t="s">
        <v>1792</v>
      </c>
      <c r="G1833" s="42">
        <v>93</v>
      </c>
      <c r="H1833" s="42" t="s">
        <v>952</v>
      </c>
      <c r="I1833" s="42" t="s">
        <v>37</v>
      </c>
      <c r="J1833" s="42">
        <v>25000</v>
      </c>
    </row>
    <row r="1834" spans="1:22">
      <c r="A1834" s="61" t="s">
        <v>1792</v>
      </c>
      <c r="C1834" s="64" t="s">
        <v>4</v>
      </c>
      <c r="D1834" s="64" t="s">
        <v>1760</v>
      </c>
      <c r="E1834" s="42" t="s">
        <v>1793</v>
      </c>
      <c r="F1834" s="42" t="s">
        <v>1792</v>
      </c>
      <c r="G1834" s="42">
        <v>94</v>
      </c>
      <c r="H1834" s="42" t="s">
        <v>341</v>
      </c>
      <c r="I1834" s="42" t="s">
        <v>37</v>
      </c>
      <c r="J1834" s="42">
        <v>5000</v>
      </c>
    </row>
    <row r="1835" spans="1:22">
      <c r="A1835" s="61" t="s">
        <v>1792</v>
      </c>
      <c r="C1835" s="64" t="s">
        <v>4</v>
      </c>
      <c r="D1835" s="64" t="s">
        <v>1760</v>
      </c>
      <c r="E1835" s="42" t="s">
        <v>1793</v>
      </c>
      <c r="F1835" s="42" t="s">
        <v>1792</v>
      </c>
      <c r="G1835" s="42">
        <v>95</v>
      </c>
      <c r="H1835" s="42" t="s">
        <v>369</v>
      </c>
      <c r="I1835" s="42" t="s">
        <v>37</v>
      </c>
      <c r="J1835" s="42">
        <v>5000</v>
      </c>
    </row>
    <row r="1836" spans="1:22">
      <c r="A1836" s="61" t="s">
        <v>1792</v>
      </c>
      <c r="C1836" s="64" t="s">
        <v>4</v>
      </c>
      <c r="D1836" s="64" t="s">
        <v>1760</v>
      </c>
      <c r="E1836" s="42" t="s">
        <v>1793</v>
      </c>
      <c r="F1836" s="42" t="s">
        <v>1792</v>
      </c>
      <c r="G1836" s="42">
        <v>96</v>
      </c>
      <c r="H1836" s="42" t="s">
        <v>343</v>
      </c>
      <c r="I1836" s="42" t="s">
        <v>37</v>
      </c>
      <c r="J1836" s="42">
        <v>40000</v>
      </c>
    </row>
    <row r="1837" spans="1:22">
      <c r="A1837" s="61" t="s">
        <v>1792</v>
      </c>
      <c r="C1837" s="64" t="s">
        <v>4</v>
      </c>
      <c r="D1837" s="64" t="s">
        <v>1760</v>
      </c>
      <c r="E1837" s="42" t="s">
        <v>1793</v>
      </c>
      <c r="F1837" s="42" t="s">
        <v>1792</v>
      </c>
      <c r="G1837" s="42">
        <v>97</v>
      </c>
      <c r="H1837" s="42" t="s">
        <v>583</v>
      </c>
      <c r="I1837" s="42" t="s">
        <v>37</v>
      </c>
      <c r="J1837" s="42">
        <v>20000</v>
      </c>
    </row>
    <row r="1838" spans="1:22">
      <c r="A1838" s="61" t="s">
        <v>1792</v>
      </c>
      <c r="C1838" s="64" t="s">
        <v>4</v>
      </c>
      <c r="D1838" s="64" t="s">
        <v>1760</v>
      </c>
      <c r="E1838" s="42" t="s">
        <v>1793</v>
      </c>
      <c r="F1838" s="42" t="s">
        <v>1792</v>
      </c>
      <c r="G1838" s="42">
        <v>98</v>
      </c>
      <c r="H1838" s="42" t="s">
        <v>945</v>
      </c>
      <c r="I1838" s="42" t="s">
        <v>1763</v>
      </c>
      <c r="J1838" s="42">
        <v>2000</v>
      </c>
    </row>
    <row r="1839" spans="1:22">
      <c r="A1839" s="61" t="s">
        <v>1794</v>
      </c>
      <c r="C1839" s="64" t="s">
        <v>4</v>
      </c>
      <c r="D1839" s="64" t="s">
        <v>1760</v>
      </c>
      <c r="E1839" s="42" t="s">
        <v>1795</v>
      </c>
      <c r="F1839" s="42" t="s">
        <v>1794</v>
      </c>
      <c r="G1839" s="42">
        <v>2</v>
      </c>
      <c r="H1839" s="42" t="s">
        <v>175</v>
      </c>
      <c r="I1839" s="42" t="s">
        <v>106</v>
      </c>
      <c r="J1839" s="42">
        <v>20000</v>
      </c>
    </row>
    <row r="1840" spans="1:22">
      <c r="A1840" s="61" t="s">
        <v>1794</v>
      </c>
      <c r="C1840" s="64" t="s">
        <v>4</v>
      </c>
      <c r="D1840" s="64" t="s">
        <v>1760</v>
      </c>
      <c r="E1840" s="42" t="s">
        <v>1795</v>
      </c>
      <c r="F1840" s="42" t="s">
        <v>1794</v>
      </c>
      <c r="G1840" s="42">
        <v>3</v>
      </c>
      <c r="H1840" s="42" t="s">
        <v>455</v>
      </c>
      <c r="I1840" s="42" t="s">
        <v>106</v>
      </c>
      <c r="J1840" s="42">
        <v>60000</v>
      </c>
    </row>
    <row r="1841" spans="1:22">
      <c r="A1841" s="61" t="s">
        <v>1794</v>
      </c>
      <c r="C1841" s="64" t="s">
        <v>4</v>
      </c>
      <c r="D1841" s="64" t="s">
        <v>1760</v>
      </c>
      <c r="E1841" s="42" t="s">
        <v>1795</v>
      </c>
      <c r="F1841" s="42" t="s">
        <v>1794</v>
      </c>
      <c r="G1841" s="42">
        <v>4</v>
      </c>
      <c r="H1841" s="42" t="s">
        <v>453</v>
      </c>
      <c r="I1841" s="42" t="s">
        <v>106</v>
      </c>
      <c r="J1841" s="42">
        <v>60000</v>
      </c>
    </row>
    <row r="1842" spans="1:22">
      <c r="A1842" s="61" t="s">
        <v>1794</v>
      </c>
      <c r="C1842" s="64" t="s">
        <v>4</v>
      </c>
      <c r="D1842" s="64" t="s">
        <v>1760</v>
      </c>
      <c r="E1842" s="42" t="s">
        <v>1795</v>
      </c>
      <c r="F1842" s="42" t="s">
        <v>1794</v>
      </c>
      <c r="G1842" s="42">
        <v>5</v>
      </c>
      <c r="H1842" s="42" t="s">
        <v>195</v>
      </c>
      <c r="I1842" s="42" t="s">
        <v>106</v>
      </c>
      <c r="J1842" s="42">
        <v>60000</v>
      </c>
    </row>
    <row r="1843" spans="1:22">
      <c r="A1843" s="61" t="s">
        <v>1794</v>
      </c>
      <c r="C1843" s="64" t="s">
        <v>4</v>
      </c>
      <c r="D1843" s="64" t="s">
        <v>1760</v>
      </c>
      <c r="E1843" s="42" t="s">
        <v>1795</v>
      </c>
      <c r="F1843" s="42" t="s">
        <v>1794</v>
      </c>
      <c r="G1843" s="42">
        <v>6</v>
      </c>
      <c r="H1843" s="42" t="s">
        <v>227</v>
      </c>
      <c r="I1843" s="42" t="s">
        <v>113</v>
      </c>
      <c r="J1843" s="42">
        <v>10000</v>
      </c>
    </row>
    <row r="1844" spans="1:22">
      <c r="A1844" s="61" t="s">
        <v>1794</v>
      </c>
      <c r="C1844" s="64" t="s">
        <v>4</v>
      </c>
      <c r="D1844" s="64" t="s">
        <v>1760</v>
      </c>
      <c r="E1844" s="42" t="s">
        <v>1795</v>
      </c>
      <c r="F1844" s="42" t="s">
        <v>1794</v>
      </c>
      <c r="G1844" s="42">
        <v>7</v>
      </c>
      <c r="H1844" s="42" t="s">
        <v>289</v>
      </c>
      <c r="I1844" s="42" t="s">
        <v>113</v>
      </c>
      <c r="J1844" s="42">
        <v>2000</v>
      </c>
    </row>
    <row r="1845" spans="1:22">
      <c r="A1845" s="61" t="s">
        <v>1794</v>
      </c>
      <c r="C1845" s="64" t="s">
        <v>4</v>
      </c>
      <c r="D1845" s="64" t="s">
        <v>1760</v>
      </c>
      <c r="E1845" s="42" t="s">
        <v>1795</v>
      </c>
      <c r="F1845" s="42" t="s">
        <v>1794</v>
      </c>
      <c r="G1845" s="42">
        <v>8</v>
      </c>
      <c r="H1845" s="42" t="s">
        <v>545</v>
      </c>
      <c r="I1845" s="42" t="s">
        <v>113</v>
      </c>
      <c r="J1845" s="42">
        <v>10000</v>
      </c>
    </row>
    <row r="1846" spans="1:22">
      <c r="A1846" s="61" t="s">
        <v>1794</v>
      </c>
      <c r="C1846" s="64" t="s">
        <v>4</v>
      </c>
      <c r="D1846" s="64" t="s">
        <v>1760</v>
      </c>
      <c r="E1846" s="42" t="s">
        <v>1795</v>
      </c>
      <c r="F1846" s="42" t="s">
        <v>1794</v>
      </c>
      <c r="G1846" s="42">
        <v>9</v>
      </c>
      <c r="H1846" s="42" t="s">
        <v>1275</v>
      </c>
      <c r="I1846" s="42" t="s">
        <v>113</v>
      </c>
      <c r="J1846" s="42">
        <v>15000</v>
      </c>
    </row>
    <row r="1847" spans="1:22">
      <c r="A1847" s="61" t="s">
        <v>1794</v>
      </c>
      <c r="C1847" s="64" t="s">
        <v>4</v>
      </c>
      <c r="D1847" s="64" t="s">
        <v>1760</v>
      </c>
      <c r="E1847" s="42" t="s">
        <v>1795</v>
      </c>
      <c r="F1847" s="42" t="s">
        <v>1794</v>
      </c>
      <c r="G1847" s="42">
        <v>10</v>
      </c>
      <c r="H1847" s="42" t="s">
        <v>1379</v>
      </c>
      <c r="I1847" s="42" t="s">
        <v>113</v>
      </c>
      <c r="J1847" s="42">
        <v>50</v>
      </c>
    </row>
    <row r="1848" spans="1:22">
      <c r="A1848" s="61" t="s">
        <v>1794</v>
      </c>
      <c r="C1848" s="64" t="s">
        <v>4</v>
      </c>
      <c r="D1848" s="64" t="s">
        <v>1760</v>
      </c>
      <c r="E1848" s="42" t="s">
        <v>1795</v>
      </c>
      <c r="F1848" s="42" t="s">
        <v>1794</v>
      </c>
      <c r="G1848" s="42">
        <v>11</v>
      </c>
      <c r="H1848" s="42" t="s">
        <v>771</v>
      </c>
      <c r="I1848" s="42" t="s">
        <v>113</v>
      </c>
      <c r="J1848" s="42">
        <v>15000</v>
      </c>
    </row>
    <row r="1849" spans="1:22">
      <c r="A1849" s="61" t="s">
        <v>1794</v>
      </c>
      <c r="C1849" s="64" t="s">
        <v>4</v>
      </c>
      <c r="D1849" s="64" t="s">
        <v>1760</v>
      </c>
      <c r="E1849" s="42" t="s">
        <v>1795</v>
      </c>
      <c r="F1849" s="42" t="s">
        <v>1794</v>
      </c>
      <c r="G1849" s="42">
        <v>12</v>
      </c>
      <c r="H1849" s="42" t="s">
        <v>163</v>
      </c>
      <c r="I1849" s="42" t="s">
        <v>113</v>
      </c>
      <c r="J1849" s="42">
        <v>10000</v>
      </c>
    </row>
    <row r="1850" spans="1:22">
      <c r="A1850" s="61" t="s">
        <v>1794</v>
      </c>
      <c r="C1850" s="64" t="s">
        <v>4</v>
      </c>
      <c r="D1850" s="64" t="s">
        <v>1760</v>
      </c>
      <c r="E1850" s="42" t="s">
        <v>1795</v>
      </c>
      <c r="F1850" s="42" t="s">
        <v>1794</v>
      </c>
      <c r="G1850" s="42">
        <v>13</v>
      </c>
      <c r="H1850" s="42" t="s">
        <v>165</v>
      </c>
      <c r="I1850" s="42" t="s">
        <v>113</v>
      </c>
      <c r="J1850" s="42">
        <v>30000</v>
      </c>
    </row>
    <row r="1851" spans="1:22">
      <c r="A1851" s="61" t="s">
        <v>1794</v>
      </c>
      <c r="C1851" s="64" t="s">
        <v>4</v>
      </c>
      <c r="D1851" s="64" t="s">
        <v>1760</v>
      </c>
      <c r="E1851" s="42" t="s">
        <v>1795</v>
      </c>
      <c r="F1851" s="42" t="s">
        <v>1794</v>
      </c>
      <c r="G1851" s="42">
        <v>14</v>
      </c>
      <c r="H1851" s="42" t="s">
        <v>167</v>
      </c>
      <c r="I1851" s="42" t="s">
        <v>113</v>
      </c>
      <c r="J1851" s="42">
        <v>20000</v>
      </c>
    </row>
    <row r="1852" spans="1:22">
      <c r="A1852" s="61" t="s">
        <v>1794</v>
      </c>
      <c r="C1852" s="64" t="s">
        <v>4</v>
      </c>
      <c r="D1852" s="64" t="s">
        <v>1760</v>
      </c>
      <c r="E1852" s="42" t="s">
        <v>1795</v>
      </c>
      <c r="F1852" s="42" t="s">
        <v>1794</v>
      </c>
      <c r="G1852" s="42">
        <v>15</v>
      </c>
      <c r="H1852" s="42" t="s">
        <v>168</v>
      </c>
      <c r="I1852" s="42" t="s">
        <v>113</v>
      </c>
      <c r="J1852" s="42">
        <v>40000</v>
      </c>
    </row>
    <row r="1853" spans="1:22">
      <c r="A1853" s="61" t="s">
        <v>1794</v>
      </c>
      <c r="C1853" s="64" t="s">
        <v>4</v>
      </c>
      <c r="D1853" s="64" t="s">
        <v>1760</v>
      </c>
      <c r="E1853" s="42" t="s">
        <v>1795</v>
      </c>
      <c r="F1853" s="42" t="s">
        <v>1794</v>
      </c>
      <c r="G1853" s="42">
        <v>16</v>
      </c>
      <c r="H1853" s="42" t="s">
        <v>555</v>
      </c>
      <c r="I1853" s="42" t="s">
        <v>113</v>
      </c>
      <c r="J1853" s="42">
        <v>8000</v>
      </c>
    </row>
    <row r="1854" spans="1:22">
      <c r="A1854" s="61" t="s">
        <v>1794</v>
      </c>
      <c r="C1854" s="64" t="s">
        <v>4</v>
      </c>
      <c r="D1854" s="64" t="s">
        <v>1760</v>
      </c>
      <c r="E1854" s="42" t="s">
        <v>1795</v>
      </c>
      <c r="F1854" s="42" t="s">
        <v>1794</v>
      </c>
      <c r="G1854" s="42">
        <v>17</v>
      </c>
      <c r="H1854" s="42" t="s">
        <v>1123</v>
      </c>
      <c r="I1854" s="42" t="s">
        <v>113</v>
      </c>
      <c r="J1854" s="42">
        <v>22000</v>
      </c>
    </row>
    <row r="1855" spans="1:22">
      <c r="A1855" s="61" t="s">
        <v>1794</v>
      </c>
      <c r="C1855" s="64" t="s">
        <v>4</v>
      </c>
      <c r="D1855" s="64" t="s">
        <v>1760</v>
      </c>
      <c r="E1855" s="42" t="s">
        <v>1795</v>
      </c>
      <c r="F1855" s="42" t="s">
        <v>1794</v>
      </c>
      <c r="G1855" s="42">
        <v>18</v>
      </c>
      <c r="H1855" s="42" t="s">
        <v>93</v>
      </c>
      <c r="I1855" s="42" t="s">
        <v>92</v>
      </c>
      <c r="J1855" s="42">
        <v>150000</v>
      </c>
    </row>
    <row r="1856" spans="1:22">
      <c r="A1856" s="61" t="s">
        <v>1794</v>
      </c>
      <c r="C1856" s="64" t="s">
        <v>4</v>
      </c>
      <c r="D1856" s="64" t="s">
        <v>1760</v>
      </c>
      <c r="E1856" s="42" t="s">
        <v>1795</v>
      </c>
      <c r="F1856" s="42" t="s">
        <v>1794</v>
      </c>
      <c r="G1856" s="42">
        <v>19</v>
      </c>
      <c r="H1856" s="42" t="s">
        <v>99</v>
      </c>
      <c r="I1856" s="42" t="s">
        <v>92</v>
      </c>
      <c r="J1856" s="42">
        <v>30000</v>
      </c>
    </row>
    <row r="1857" spans="1:22">
      <c r="A1857" s="61" t="s">
        <v>1794</v>
      </c>
      <c r="C1857" s="64" t="s">
        <v>4</v>
      </c>
      <c r="D1857" s="64" t="s">
        <v>1760</v>
      </c>
      <c r="E1857" s="42" t="s">
        <v>1795</v>
      </c>
      <c r="F1857" s="42" t="s">
        <v>1794</v>
      </c>
      <c r="G1857" s="42">
        <v>20</v>
      </c>
      <c r="H1857" s="42" t="s">
        <v>271</v>
      </c>
      <c r="I1857" s="42" t="s">
        <v>92</v>
      </c>
      <c r="J1857" s="42">
        <v>5000</v>
      </c>
    </row>
    <row r="1858" spans="1:22">
      <c r="A1858" s="61" t="s">
        <v>1794</v>
      </c>
      <c r="C1858" s="64" t="s">
        <v>4</v>
      </c>
      <c r="D1858" s="64" t="s">
        <v>1760</v>
      </c>
      <c r="E1858" s="42" t="s">
        <v>1795</v>
      </c>
      <c r="F1858" s="42" t="s">
        <v>1794</v>
      </c>
      <c r="G1858" s="42">
        <v>21</v>
      </c>
      <c r="H1858" s="42" t="s">
        <v>1211</v>
      </c>
      <c r="I1858" s="42" t="s">
        <v>92</v>
      </c>
      <c r="J1858" s="42">
        <v>300</v>
      </c>
    </row>
    <row r="1859" spans="1:22">
      <c r="A1859" s="61" t="s">
        <v>1794</v>
      </c>
      <c r="C1859" s="64" t="s">
        <v>4</v>
      </c>
      <c r="D1859" s="64" t="s">
        <v>1760</v>
      </c>
      <c r="E1859" s="42" t="s">
        <v>1795</v>
      </c>
      <c r="F1859" s="42" t="s">
        <v>1794</v>
      </c>
      <c r="G1859" s="42">
        <v>22</v>
      </c>
      <c r="H1859" s="42" t="s">
        <v>331</v>
      </c>
      <c r="I1859" s="42" t="s">
        <v>106</v>
      </c>
      <c r="J1859" s="42">
        <v>15250</v>
      </c>
    </row>
    <row r="1860" spans="1:22">
      <c r="A1860" s="61" t="s">
        <v>1794</v>
      </c>
      <c r="C1860" s="64" t="s">
        <v>4</v>
      </c>
      <c r="D1860" s="64" t="s">
        <v>1760</v>
      </c>
      <c r="E1860" s="42" t="s">
        <v>1795</v>
      </c>
      <c r="F1860" s="42" t="s">
        <v>1794</v>
      </c>
      <c r="G1860" s="42">
        <v>23</v>
      </c>
      <c r="H1860" s="42" t="s">
        <v>174</v>
      </c>
      <c r="I1860" s="42" t="s">
        <v>102</v>
      </c>
      <c r="J1860" s="42">
        <v>139152</v>
      </c>
    </row>
    <row r="1861" spans="1:22">
      <c r="A1861" s="61" t="s">
        <v>1794</v>
      </c>
      <c r="C1861" s="64" t="s">
        <v>4</v>
      </c>
      <c r="D1861" s="64" t="s">
        <v>1760</v>
      </c>
      <c r="E1861" s="42" t="s">
        <v>1796</v>
      </c>
      <c r="F1861" s="42" t="s">
        <v>1794</v>
      </c>
      <c r="G1861" s="42">
        <v>1</v>
      </c>
      <c r="H1861" s="42" t="s">
        <v>477</v>
      </c>
      <c r="I1861" s="42" t="s">
        <v>106</v>
      </c>
      <c r="J1861" s="42">
        <v>100000</v>
      </c>
    </row>
    <row r="1862" spans="1:22">
      <c r="A1862" s="61" t="s">
        <v>1794</v>
      </c>
      <c r="C1862" s="64" t="s">
        <v>4</v>
      </c>
      <c r="D1862" s="64" t="s">
        <v>1760</v>
      </c>
      <c r="E1862" s="42" t="s">
        <v>1796</v>
      </c>
      <c r="F1862" s="42" t="s">
        <v>1794</v>
      </c>
      <c r="G1862" s="42">
        <v>2</v>
      </c>
      <c r="H1862" s="42" t="s">
        <v>1366</v>
      </c>
      <c r="I1862" s="42" t="s">
        <v>106</v>
      </c>
      <c r="J1862" s="42">
        <v>20000</v>
      </c>
    </row>
    <row r="1863" spans="1:22">
      <c r="A1863" s="61" t="s">
        <v>1794</v>
      </c>
      <c r="C1863" s="64" t="s">
        <v>4</v>
      </c>
      <c r="D1863" s="64" t="s">
        <v>1760</v>
      </c>
      <c r="E1863" s="42" t="s">
        <v>1796</v>
      </c>
      <c r="F1863" s="42" t="s">
        <v>1794</v>
      </c>
      <c r="G1863" s="42">
        <v>3</v>
      </c>
      <c r="H1863" s="42" t="s">
        <v>713</v>
      </c>
      <c r="I1863" s="42" t="s">
        <v>106</v>
      </c>
      <c r="J1863" s="42">
        <v>20000</v>
      </c>
    </row>
    <row r="1864" spans="1:22">
      <c r="A1864" s="61" t="s">
        <v>1794</v>
      </c>
      <c r="C1864" s="64" t="s">
        <v>4</v>
      </c>
      <c r="D1864" s="64" t="s">
        <v>1760</v>
      </c>
      <c r="E1864" s="42" t="s">
        <v>1796</v>
      </c>
      <c r="F1864" s="42" t="s">
        <v>1794</v>
      </c>
      <c r="G1864" s="42">
        <v>4</v>
      </c>
      <c r="H1864" s="42" t="s">
        <v>114</v>
      </c>
      <c r="I1864" s="42" t="s">
        <v>106</v>
      </c>
      <c r="J1864" s="42">
        <v>123574</v>
      </c>
    </row>
    <row r="1865" spans="1:22">
      <c r="A1865" s="61" t="s">
        <v>1794</v>
      </c>
      <c r="C1865" s="64" t="s">
        <v>4</v>
      </c>
      <c r="D1865" s="64" t="s">
        <v>1760</v>
      </c>
      <c r="E1865" s="42" t="s">
        <v>1796</v>
      </c>
      <c r="F1865" s="42" t="s">
        <v>1794</v>
      </c>
      <c r="G1865" s="42">
        <v>5</v>
      </c>
      <c r="H1865" s="42" t="s">
        <v>463</v>
      </c>
      <c r="I1865" s="42" t="s">
        <v>102</v>
      </c>
      <c r="J1865" s="42">
        <v>55000</v>
      </c>
    </row>
    <row r="1866" spans="1:22">
      <c r="A1866" s="61" t="s">
        <v>1794</v>
      </c>
      <c r="C1866" s="64" t="s">
        <v>4</v>
      </c>
      <c r="D1866" s="64" t="s">
        <v>1760</v>
      </c>
      <c r="E1866" s="42" t="s">
        <v>1796</v>
      </c>
      <c r="F1866" s="42" t="s">
        <v>1794</v>
      </c>
      <c r="G1866" s="42">
        <v>6</v>
      </c>
      <c r="H1866" s="42" t="s">
        <v>191</v>
      </c>
      <c r="I1866" s="42" t="s">
        <v>102</v>
      </c>
      <c r="J1866" s="42">
        <v>10000</v>
      </c>
    </row>
    <row r="1867" spans="1:22">
      <c r="A1867" s="61" t="s">
        <v>1794</v>
      </c>
      <c r="C1867" s="64" t="s">
        <v>4</v>
      </c>
      <c r="D1867" s="64" t="s">
        <v>1760</v>
      </c>
      <c r="E1867" s="42" t="s">
        <v>1796</v>
      </c>
      <c r="F1867" s="42" t="s">
        <v>1794</v>
      </c>
      <c r="G1867" s="42">
        <v>7</v>
      </c>
      <c r="H1867" s="42" t="s">
        <v>187</v>
      </c>
      <c r="I1867" s="42" t="s">
        <v>102</v>
      </c>
      <c r="J1867" s="42">
        <v>10000</v>
      </c>
    </row>
    <row r="1868" spans="1:22">
      <c r="A1868" s="61" t="s">
        <v>1794</v>
      </c>
      <c r="C1868" s="64" t="s">
        <v>4</v>
      </c>
      <c r="D1868" s="64" t="s">
        <v>1760</v>
      </c>
      <c r="E1868" s="42" t="s">
        <v>1796</v>
      </c>
      <c r="F1868" s="42" t="s">
        <v>1794</v>
      </c>
      <c r="G1868" s="42">
        <v>8</v>
      </c>
      <c r="H1868" s="42" t="s">
        <v>169</v>
      </c>
      <c r="I1868" s="42" t="s">
        <v>102</v>
      </c>
      <c r="J1868" s="42">
        <v>30000</v>
      </c>
    </row>
    <row r="1869" spans="1:22">
      <c r="A1869" s="61" t="s">
        <v>1794</v>
      </c>
      <c r="C1869" s="64" t="s">
        <v>4</v>
      </c>
      <c r="D1869" s="64" t="s">
        <v>1760</v>
      </c>
      <c r="E1869" s="42" t="s">
        <v>1796</v>
      </c>
      <c r="F1869" s="42" t="s">
        <v>1794</v>
      </c>
      <c r="G1869" s="42">
        <v>9</v>
      </c>
      <c r="H1869" s="42" t="s">
        <v>973</v>
      </c>
      <c r="I1869" s="42" t="s">
        <v>102</v>
      </c>
      <c r="J1869" s="42">
        <v>4000</v>
      </c>
    </row>
    <row r="1870" spans="1:22">
      <c r="A1870" s="61" t="s">
        <v>1794</v>
      </c>
      <c r="C1870" s="64" t="s">
        <v>4</v>
      </c>
      <c r="D1870" s="64" t="s">
        <v>1760</v>
      </c>
      <c r="E1870" s="42" t="s">
        <v>1796</v>
      </c>
      <c r="F1870" s="42" t="s">
        <v>1794</v>
      </c>
      <c r="G1870" s="42">
        <v>10</v>
      </c>
      <c r="H1870" s="42" t="s">
        <v>171</v>
      </c>
      <c r="I1870" s="42" t="s">
        <v>102</v>
      </c>
      <c r="J1870" s="42">
        <v>50000</v>
      </c>
    </row>
    <row r="1871" spans="1:22">
      <c r="A1871" s="61" t="s">
        <v>1794</v>
      </c>
      <c r="C1871" s="64" t="s">
        <v>4</v>
      </c>
      <c r="D1871" s="64" t="s">
        <v>1760</v>
      </c>
      <c r="E1871" s="42" t="s">
        <v>1796</v>
      </c>
      <c r="F1871" s="42" t="s">
        <v>1794</v>
      </c>
      <c r="G1871" s="42">
        <v>11</v>
      </c>
      <c r="H1871" s="42" t="s">
        <v>35</v>
      </c>
      <c r="I1871" s="42" t="s">
        <v>37</v>
      </c>
      <c r="J1871" s="42">
        <v>15000</v>
      </c>
    </row>
    <row r="1872" spans="1:22">
      <c r="A1872" s="61" t="s">
        <v>1794</v>
      </c>
      <c r="C1872" s="64" t="s">
        <v>4</v>
      </c>
      <c r="D1872" s="64" t="s">
        <v>1760</v>
      </c>
      <c r="E1872" s="42" t="s">
        <v>1796</v>
      </c>
      <c r="F1872" s="42" t="s">
        <v>1794</v>
      </c>
      <c r="G1872" s="42">
        <v>12</v>
      </c>
      <c r="H1872" s="42" t="s">
        <v>39</v>
      </c>
      <c r="I1872" s="42" t="s">
        <v>37</v>
      </c>
      <c r="J1872" s="42">
        <v>10000</v>
      </c>
    </row>
    <row r="1873" spans="1:22">
      <c r="A1873" s="61" t="s">
        <v>1794</v>
      </c>
      <c r="C1873" s="64" t="s">
        <v>4</v>
      </c>
      <c r="D1873" s="64" t="s">
        <v>1760</v>
      </c>
      <c r="E1873" s="42" t="s">
        <v>1796</v>
      </c>
      <c r="F1873" s="42" t="s">
        <v>1794</v>
      </c>
      <c r="G1873" s="42">
        <v>13</v>
      </c>
      <c r="H1873" s="42" t="s">
        <v>50</v>
      </c>
      <c r="I1873" s="42" t="s">
        <v>37</v>
      </c>
      <c r="J1873" s="42">
        <v>5000</v>
      </c>
    </row>
    <row r="1874" spans="1:22">
      <c r="A1874" s="61" t="s">
        <v>1794</v>
      </c>
      <c r="C1874" s="64" t="s">
        <v>4</v>
      </c>
      <c r="D1874" s="64" t="s">
        <v>1760</v>
      </c>
      <c r="E1874" s="42" t="s">
        <v>1796</v>
      </c>
      <c r="F1874" s="42" t="s">
        <v>1794</v>
      </c>
      <c r="G1874" s="42">
        <v>14</v>
      </c>
      <c r="H1874" s="42" t="s">
        <v>215</v>
      </c>
      <c r="I1874" s="42" t="s">
        <v>37</v>
      </c>
      <c r="J1874" s="42">
        <v>20000</v>
      </c>
    </row>
    <row r="1875" spans="1:22">
      <c r="A1875" s="61" t="s">
        <v>1794</v>
      </c>
      <c r="C1875" s="64" t="s">
        <v>4</v>
      </c>
      <c r="D1875" s="64" t="s">
        <v>1760</v>
      </c>
      <c r="E1875" s="42" t="s">
        <v>1796</v>
      </c>
      <c r="F1875" s="42" t="s">
        <v>1794</v>
      </c>
      <c r="G1875" s="42">
        <v>15</v>
      </c>
      <c r="H1875" s="42" t="s">
        <v>51</v>
      </c>
      <c r="I1875" s="42" t="s">
        <v>37</v>
      </c>
      <c r="J1875" s="42">
        <v>10000</v>
      </c>
    </row>
    <row r="1876" spans="1:22">
      <c r="A1876" s="61" t="s">
        <v>1794</v>
      </c>
      <c r="C1876" s="64" t="s">
        <v>4</v>
      </c>
      <c r="D1876" s="64" t="s">
        <v>1760</v>
      </c>
      <c r="E1876" s="42" t="s">
        <v>1796</v>
      </c>
      <c r="F1876" s="42" t="s">
        <v>1794</v>
      </c>
      <c r="G1876" s="42">
        <v>16</v>
      </c>
      <c r="H1876" s="42" t="s">
        <v>183</v>
      </c>
      <c r="I1876" s="42" t="s">
        <v>37</v>
      </c>
      <c r="J1876" s="42">
        <v>30000</v>
      </c>
    </row>
    <row r="1877" spans="1:22">
      <c r="A1877" s="61" t="s">
        <v>1794</v>
      </c>
      <c r="C1877" s="64" t="s">
        <v>4</v>
      </c>
      <c r="D1877" s="64" t="s">
        <v>1760</v>
      </c>
      <c r="E1877" s="42" t="s">
        <v>1796</v>
      </c>
      <c r="F1877" s="42" t="s">
        <v>1794</v>
      </c>
      <c r="G1877" s="42">
        <v>17</v>
      </c>
      <c r="H1877" s="42" t="s">
        <v>185</v>
      </c>
      <c r="I1877" s="42" t="s">
        <v>37</v>
      </c>
      <c r="J1877" s="42">
        <v>10000</v>
      </c>
    </row>
    <row r="1878" spans="1:22">
      <c r="A1878" s="61" t="s">
        <v>1794</v>
      </c>
      <c r="C1878" s="64" t="s">
        <v>4</v>
      </c>
      <c r="D1878" s="64" t="s">
        <v>1760</v>
      </c>
      <c r="E1878" s="42" t="s">
        <v>1796</v>
      </c>
      <c r="F1878" s="42" t="s">
        <v>1794</v>
      </c>
      <c r="G1878" s="42">
        <v>18</v>
      </c>
      <c r="H1878" s="42" t="s">
        <v>337</v>
      </c>
      <c r="I1878" s="42" t="s">
        <v>37</v>
      </c>
      <c r="J1878" s="42">
        <v>20000</v>
      </c>
    </row>
    <row r="1879" spans="1:22">
      <c r="A1879" s="61" t="s">
        <v>1794</v>
      </c>
      <c r="C1879" s="64" t="s">
        <v>4</v>
      </c>
      <c r="D1879" s="64" t="s">
        <v>1760</v>
      </c>
      <c r="E1879" s="42" t="s">
        <v>1796</v>
      </c>
      <c r="F1879" s="42" t="s">
        <v>1794</v>
      </c>
      <c r="G1879" s="42">
        <v>19</v>
      </c>
      <c r="H1879" s="42" t="s">
        <v>193</v>
      </c>
      <c r="I1879" s="42" t="s">
        <v>37</v>
      </c>
      <c r="J1879" s="42">
        <v>5000</v>
      </c>
    </row>
    <row r="1880" spans="1:22">
      <c r="A1880" s="61" t="s">
        <v>1794</v>
      </c>
      <c r="C1880" s="64" t="s">
        <v>4</v>
      </c>
      <c r="D1880" s="64" t="s">
        <v>1760</v>
      </c>
      <c r="E1880" s="42" t="s">
        <v>1796</v>
      </c>
      <c r="F1880" s="42" t="s">
        <v>1794</v>
      </c>
      <c r="G1880" s="42">
        <v>20</v>
      </c>
      <c r="H1880" s="42" t="s">
        <v>333</v>
      </c>
      <c r="I1880" s="42" t="s">
        <v>37</v>
      </c>
      <c r="J1880" s="42">
        <v>15000</v>
      </c>
    </row>
    <row r="1881" spans="1:22">
      <c r="A1881" s="61" t="s">
        <v>1794</v>
      </c>
      <c r="C1881" s="64" t="s">
        <v>4</v>
      </c>
      <c r="D1881" s="64" t="s">
        <v>1760</v>
      </c>
      <c r="E1881" s="42" t="s">
        <v>1796</v>
      </c>
      <c r="F1881" s="42" t="s">
        <v>1794</v>
      </c>
      <c r="G1881" s="42">
        <v>21</v>
      </c>
      <c r="H1881" s="42" t="s">
        <v>207</v>
      </c>
      <c r="I1881" s="42" t="s">
        <v>37</v>
      </c>
      <c r="J1881" s="42">
        <v>30000</v>
      </c>
    </row>
    <row r="1882" spans="1:22">
      <c r="A1882" s="61" t="s">
        <v>1794</v>
      </c>
      <c r="C1882" s="64" t="s">
        <v>4</v>
      </c>
      <c r="D1882" s="64" t="s">
        <v>1760</v>
      </c>
      <c r="E1882" s="42" t="s">
        <v>1796</v>
      </c>
      <c r="F1882" s="42" t="s">
        <v>1794</v>
      </c>
      <c r="G1882" s="42">
        <v>22</v>
      </c>
      <c r="H1882" s="42" t="s">
        <v>213</v>
      </c>
      <c r="I1882" s="42" t="s">
        <v>37</v>
      </c>
      <c r="J1882" s="42">
        <v>10000</v>
      </c>
    </row>
    <row r="1883" spans="1:22">
      <c r="A1883" s="61" t="s">
        <v>1794</v>
      </c>
      <c r="C1883" s="64" t="s">
        <v>4</v>
      </c>
      <c r="D1883" s="64" t="s">
        <v>1760</v>
      </c>
      <c r="E1883" s="42" t="s">
        <v>1796</v>
      </c>
      <c r="F1883" s="42" t="s">
        <v>1794</v>
      </c>
      <c r="G1883" s="42">
        <v>23</v>
      </c>
      <c r="H1883" s="42" t="s">
        <v>303</v>
      </c>
      <c r="I1883" s="42" t="s">
        <v>37</v>
      </c>
      <c r="J1883" s="42">
        <v>5000</v>
      </c>
    </row>
    <row r="1884" spans="1:22">
      <c r="A1884" s="61" t="s">
        <v>1794</v>
      </c>
      <c r="C1884" s="64" t="s">
        <v>4</v>
      </c>
      <c r="D1884" s="64" t="s">
        <v>1760</v>
      </c>
      <c r="E1884" s="42" t="s">
        <v>1796</v>
      </c>
      <c r="F1884" s="42" t="s">
        <v>1794</v>
      </c>
      <c r="G1884" s="42">
        <v>24</v>
      </c>
      <c r="H1884" s="42" t="s">
        <v>231</v>
      </c>
      <c r="I1884" s="42" t="s">
        <v>37</v>
      </c>
      <c r="J1884" s="42">
        <v>25000</v>
      </c>
    </row>
    <row r="1885" spans="1:22">
      <c r="A1885" s="61" t="s">
        <v>1794</v>
      </c>
      <c r="C1885" s="64" t="s">
        <v>4</v>
      </c>
      <c r="D1885" s="64" t="s">
        <v>1760</v>
      </c>
      <c r="E1885" s="42" t="s">
        <v>1796</v>
      </c>
      <c r="F1885" s="42" t="s">
        <v>1794</v>
      </c>
      <c r="G1885" s="42">
        <v>25</v>
      </c>
      <c r="H1885" s="42" t="s">
        <v>281</v>
      </c>
      <c r="I1885" s="42" t="s">
        <v>37</v>
      </c>
      <c r="J1885" s="42">
        <v>10000</v>
      </c>
    </row>
    <row r="1886" spans="1:22">
      <c r="A1886" s="61" t="s">
        <v>1794</v>
      </c>
      <c r="C1886" s="64" t="s">
        <v>4</v>
      </c>
      <c r="D1886" s="64" t="s">
        <v>1760</v>
      </c>
      <c r="E1886" s="42" t="s">
        <v>1796</v>
      </c>
      <c r="F1886" s="42" t="s">
        <v>1794</v>
      </c>
      <c r="G1886" s="42">
        <v>26</v>
      </c>
      <c r="H1886" s="42" t="s">
        <v>229</v>
      </c>
      <c r="I1886" s="42" t="s">
        <v>37</v>
      </c>
      <c r="J1886" s="42">
        <v>10000</v>
      </c>
    </row>
    <row r="1887" spans="1:22">
      <c r="A1887" s="61" t="s">
        <v>1794</v>
      </c>
      <c r="C1887" s="64" t="s">
        <v>4</v>
      </c>
      <c r="D1887" s="64" t="s">
        <v>1760</v>
      </c>
      <c r="E1887" s="42" t="s">
        <v>1796</v>
      </c>
      <c r="F1887" s="42" t="s">
        <v>1794</v>
      </c>
      <c r="G1887" s="42">
        <v>27</v>
      </c>
      <c r="H1887" s="42" t="s">
        <v>233</v>
      </c>
      <c r="I1887" s="42" t="s">
        <v>37</v>
      </c>
      <c r="J1887" s="42">
        <v>10000</v>
      </c>
    </row>
    <row r="1888" spans="1:22">
      <c r="A1888" s="61" t="s">
        <v>1794</v>
      </c>
      <c r="C1888" s="64" t="s">
        <v>4</v>
      </c>
      <c r="D1888" s="64" t="s">
        <v>1760</v>
      </c>
      <c r="E1888" s="42" t="s">
        <v>1796</v>
      </c>
      <c r="F1888" s="42" t="s">
        <v>1794</v>
      </c>
      <c r="G1888" s="42">
        <v>28</v>
      </c>
      <c r="H1888" s="42" t="s">
        <v>451</v>
      </c>
      <c r="I1888" s="42" t="s">
        <v>37</v>
      </c>
      <c r="J1888" s="42">
        <v>30000</v>
      </c>
    </row>
    <row r="1889" spans="1:22">
      <c r="A1889" s="61" t="s">
        <v>1794</v>
      </c>
      <c r="C1889" s="64" t="s">
        <v>4</v>
      </c>
      <c r="D1889" s="64" t="s">
        <v>1760</v>
      </c>
      <c r="E1889" s="42" t="s">
        <v>1796</v>
      </c>
      <c r="F1889" s="42" t="s">
        <v>1794</v>
      </c>
      <c r="G1889" s="42">
        <v>29</v>
      </c>
      <c r="H1889" s="42" t="s">
        <v>449</v>
      </c>
      <c r="I1889" s="42" t="s">
        <v>37</v>
      </c>
      <c r="J1889" s="42">
        <v>80000</v>
      </c>
    </row>
    <row r="1890" spans="1:22">
      <c r="A1890" s="61" t="s">
        <v>1794</v>
      </c>
      <c r="C1890" s="64" t="s">
        <v>4</v>
      </c>
      <c r="D1890" s="64" t="s">
        <v>1760</v>
      </c>
      <c r="E1890" s="42" t="s">
        <v>1796</v>
      </c>
      <c r="F1890" s="42" t="s">
        <v>1794</v>
      </c>
      <c r="G1890" s="42">
        <v>30</v>
      </c>
      <c r="H1890" s="42" t="s">
        <v>457</v>
      </c>
      <c r="I1890" s="42" t="s">
        <v>37</v>
      </c>
      <c r="J1890" s="42">
        <v>30000</v>
      </c>
    </row>
    <row r="1891" spans="1:22">
      <c r="A1891" s="61" t="s">
        <v>1794</v>
      </c>
      <c r="C1891" s="64" t="s">
        <v>4</v>
      </c>
      <c r="D1891" s="64" t="s">
        <v>1760</v>
      </c>
      <c r="E1891" s="42" t="s">
        <v>1796</v>
      </c>
      <c r="F1891" s="42" t="s">
        <v>1794</v>
      </c>
      <c r="G1891" s="42">
        <v>31</v>
      </c>
      <c r="H1891" s="42" t="s">
        <v>275</v>
      </c>
      <c r="I1891" s="42" t="s">
        <v>37</v>
      </c>
      <c r="J1891" s="42">
        <v>10000</v>
      </c>
    </row>
    <row r="1892" spans="1:22">
      <c r="A1892" s="61" t="s">
        <v>1794</v>
      </c>
      <c r="C1892" s="64" t="s">
        <v>4</v>
      </c>
      <c r="D1892" s="64" t="s">
        <v>1760</v>
      </c>
      <c r="E1892" s="42" t="s">
        <v>1796</v>
      </c>
      <c r="F1892" s="42" t="s">
        <v>1794</v>
      </c>
      <c r="G1892" s="42">
        <v>32</v>
      </c>
      <c r="H1892" s="42" t="s">
        <v>291</v>
      </c>
      <c r="I1892" s="42" t="s">
        <v>37</v>
      </c>
      <c r="J1892" s="42">
        <v>10000</v>
      </c>
    </row>
    <row r="1893" spans="1:22">
      <c r="A1893" s="61" t="s">
        <v>1794</v>
      </c>
      <c r="C1893" s="64" t="s">
        <v>4</v>
      </c>
      <c r="D1893" s="64" t="s">
        <v>1760</v>
      </c>
      <c r="E1893" s="42" t="s">
        <v>1796</v>
      </c>
      <c r="F1893" s="42" t="s">
        <v>1794</v>
      </c>
      <c r="G1893" s="42">
        <v>33</v>
      </c>
      <c r="H1893" s="42" t="s">
        <v>325</v>
      </c>
      <c r="I1893" s="42" t="s">
        <v>37</v>
      </c>
      <c r="J1893" s="42">
        <v>45000</v>
      </c>
    </row>
    <row r="1894" spans="1:22">
      <c r="A1894" s="61" t="s">
        <v>1794</v>
      </c>
      <c r="C1894" s="64" t="s">
        <v>4</v>
      </c>
      <c r="D1894" s="64" t="s">
        <v>1760</v>
      </c>
      <c r="E1894" s="42" t="s">
        <v>1796</v>
      </c>
      <c r="F1894" s="42" t="s">
        <v>1794</v>
      </c>
      <c r="G1894" s="42">
        <v>34</v>
      </c>
      <c r="H1894" s="42" t="s">
        <v>327</v>
      </c>
      <c r="I1894" s="42" t="s">
        <v>37</v>
      </c>
      <c r="J1894" s="42">
        <v>40000</v>
      </c>
    </row>
    <row r="1895" spans="1:22">
      <c r="A1895" s="61" t="s">
        <v>1794</v>
      </c>
      <c r="C1895" s="64" t="s">
        <v>4</v>
      </c>
      <c r="D1895" s="64" t="s">
        <v>1760</v>
      </c>
      <c r="E1895" s="42" t="s">
        <v>1796</v>
      </c>
      <c r="F1895" s="42" t="s">
        <v>1794</v>
      </c>
      <c r="G1895" s="42">
        <v>35</v>
      </c>
      <c r="H1895" s="42" t="s">
        <v>383</v>
      </c>
      <c r="I1895" s="42" t="s">
        <v>37</v>
      </c>
      <c r="J1895" s="42">
        <v>10000</v>
      </c>
    </row>
    <row r="1896" spans="1:22">
      <c r="A1896" s="61" t="s">
        <v>1794</v>
      </c>
      <c r="C1896" s="64" t="s">
        <v>4</v>
      </c>
      <c r="D1896" s="64" t="s">
        <v>1760</v>
      </c>
      <c r="E1896" s="42" t="s">
        <v>1796</v>
      </c>
      <c r="F1896" s="42" t="s">
        <v>1794</v>
      </c>
      <c r="G1896" s="42">
        <v>36</v>
      </c>
      <c r="H1896" s="42" t="s">
        <v>379</v>
      </c>
      <c r="I1896" s="42" t="s">
        <v>37</v>
      </c>
      <c r="J1896" s="42">
        <v>5000</v>
      </c>
    </row>
    <row r="1897" spans="1:22">
      <c r="A1897" s="61" t="s">
        <v>1794</v>
      </c>
      <c r="C1897" s="64" t="s">
        <v>4</v>
      </c>
      <c r="D1897" s="64" t="s">
        <v>1760</v>
      </c>
      <c r="E1897" s="42" t="s">
        <v>1796</v>
      </c>
      <c r="F1897" s="42" t="s">
        <v>1794</v>
      </c>
      <c r="G1897" s="42">
        <v>37</v>
      </c>
      <c r="H1897" s="42" t="s">
        <v>475</v>
      </c>
      <c r="I1897" s="42" t="s">
        <v>37</v>
      </c>
      <c r="J1897" s="42">
        <v>60000</v>
      </c>
    </row>
    <row r="1898" spans="1:22">
      <c r="A1898" s="61" t="s">
        <v>1794</v>
      </c>
      <c r="C1898" s="64" t="s">
        <v>4</v>
      </c>
      <c r="D1898" s="64" t="s">
        <v>1760</v>
      </c>
      <c r="E1898" s="42" t="s">
        <v>1796</v>
      </c>
      <c r="F1898" s="42" t="s">
        <v>1794</v>
      </c>
      <c r="G1898" s="42">
        <v>38</v>
      </c>
      <c r="H1898" s="42" t="s">
        <v>603</v>
      </c>
      <c r="I1898" s="42" t="s">
        <v>37</v>
      </c>
      <c r="J1898" s="42">
        <v>60000</v>
      </c>
    </row>
    <row r="1899" spans="1:22">
      <c r="A1899" s="61" t="s">
        <v>1794</v>
      </c>
      <c r="C1899" s="64" t="s">
        <v>4</v>
      </c>
      <c r="D1899" s="64" t="s">
        <v>1760</v>
      </c>
      <c r="E1899" s="42" t="s">
        <v>1796</v>
      </c>
      <c r="F1899" s="42" t="s">
        <v>1794</v>
      </c>
      <c r="G1899" s="42">
        <v>39</v>
      </c>
      <c r="H1899" s="42" t="s">
        <v>385</v>
      </c>
      <c r="I1899" s="42" t="s">
        <v>37</v>
      </c>
      <c r="J1899" s="42">
        <v>12000</v>
      </c>
    </row>
    <row r="1900" spans="1:22">
      <c r="A1900" s="61" t="s">
        <v>1794</v>
      </c>
      <c r="C1900" s="64" t="s">
        <v>4</v>
      </c>
      <c r="D1900" s="64" t="s">
        <v>1760</v>
      </c>
      <c r="E1900" s="42" t="s">
        <v>1796</v>
      </c>
      <c r="F1900" s="42" t="s">
        <v>1794</v>
      </c>
      <c r="G1900" s="42">
        <v>40</v>
      </c>
      <c r="H1900" s="42" t="s">
        <v>481</v>
      </c>
      <c r="I1900" s="42" t="s">
        <v>37</v>
      </c>
      <c r="J1900" s="42">
        <v>20000</v>
      </c>
    </row>
    <row r="1901" spans="1:22">
      <c r="A1901" s="61" t="s">
        <v>1794</v>
      </c>
      <c r="C1901" s="64" t="s">
        <v>4</v>
      </c>
      <c r="D1901" s="64" t="s">
        <v>1760</v>
      </c>
      <c r="E1901" s="42" t="s">
        <v>1796</v>
      </c>
      <c r="F1901" s="42" t="s">
        <v>1794</v>
      </c>
      <c r="G1901" s="42">
        <v>41</v>
      </c>
      <c r="H1901" s="42" t="s">
        <v>319</v>
      </c>
      <c r="I1901" s="42" t="s">
        <v>37</v>
      </c>
      <c r="J1901" s="42">
        <v>5000</v>
      </c>
    </row>
    <row r="1902" spans="1:22">
      <c r="A1902" s="61" t="s">
        <v>1794</v>
      </c>
      <c r="C1902" s="64" t="s">
        <v>4</v>
      </c>
      <c r="D1902" s="64" t="s">
        <v>1760</v>
      </c>
      <c r="E1902" s="42" t="s">
        <v>1796</v>
      </c>
      <c r="F1902" s="42" t="s">
        <v>1794</v>
      </c>
      <c r="G1902" s="42">
        <v>42</v>
      </c>
      <c r="H1902" s="42" t="s">
        <v>561</v>
      </c>
      <c r="I1902" s="42" t="s">
        <v>37</v>
      </c>
      <c r="J1902" s="42">
        <v>240000</v>
      </c>
    </row>
    <row r="1903" spans="1:22">
      <c r="A1903" s="61" t="s">
        <v>1794</v>
      </c>
      <c r="C1903" s="64" t="s">
        <v>4</v>
      </c>
      <c r="D1903" s="64" t="s">
        <v>1760</v>
      </c>
      <c r="E1903" s="42" t="s">
        <v>1796</v>
      </c>
      <c r="F1903" s="42" t="s">
        <v>1794</v>
      </c>
      <c r="G1903" s="42">
        <v>43</v>
      </c>
      <c r="H1903" s="42" t="s">
        <v>483</v>
      </c>
      <c r="I1903" s="42" t="s">
        <v>37</v>
      </c>
      <c r="J1903" s="42">
        <v>50000</v>
      </c>
    </row>
    <row r="1904" spans="1:22">
      <c r="A1904" s="61" t="s">
        <v>1794</v>
      </c>
      <c r="C1904" s="64" t="s">
        <v>4</v>
      </c>
      <c r="D1904" s="64" t="s">
        <v>1760</v>
      </c>
      <c r="E1904" s="42" t="s">
        <v>1796</v>
      </c>
      <c r="F1904" s="42" t="s">
        <v>1794</v>
      </c>
      <c r="G1904" s="42">
        <v>44</v>
      </c>
      <c r="H1904" s="42" t="s">
        <v>485</v>
      </c>
      <c r="I1904" s="42" t="s">
        <v>37</v>
      </c>
      <c r="J1904" s="42">
        <v>80000</v>
      </c>
    </row>
    <row r="1905" spans="1:22">
      <c r="A1905" s="61" t="s">
        <v>1794</v>
      </c>
      <c r="C1905" s="64" t="s">
        <v>4</v>
      </c>
      <c r="D1905" s="64" t="s">
        <v>1760</v>
      </c>
      <c r="E1905" s="42" t="s">
        <v>1796</v>
      </c>
      <c r="F1905" s="42" t="s">
        <v>1794</v>
      </c>
      <c r="G1905" s="42">
        <v>45</v>
      </c>
      <c r="H1905" s="42" t="s">
        <v>461</v>
      </c>
      <c r="I1905" s="42" t="s">
        <v>37</v>
      </c>
      <c r="J1905" s="42">
        <v>170000</v>
      </c>
    </row>
    <row r="1906" spans="1:22">
      <c r="A1906" s="61" t="s">
        <v>1794</v>
      </c>
      <c r="C1906" s="64" t="s">
        <v>4</v>
      </c>
      <c r="D1906" s="64" t="s">
        <v>1760</v>
      </c>
      <c r="E1906" s="42" t="s">
        <v>1796</v>
      </c>
      <c r="F1906" s="42" t="s">
        <v>1794</v>
      </c>
      <c r="G1906" s="42">
        <v>46</v>
      </c>
      <c r="H1906" s="42" t="s">
        <v>565</v>
      </c>
      <c r="I1906" s="42" t="s">
        <v>37</v>
      </c>
      <c r="J1906" s="42">
        <v>130000</v>
      </c>
    </row>
    <row r="1907" spans="1:22">
      <c r="A1907" s="61" t="s">
        <v>1794</v>
      </c>
      <c r="C1907" s="64" t="s">
        <v>4</v>
      </c>
      <c r="D1907" s="64" t="s">
        <v>1760</v>
      </c>
      <c r="E1907" s="42" t="s">
        <v>1796</v>
      </c>
      <c r="F1907" s="42" t="s">
        <v>1794</v>
      </c>
      <c r="G1907" s="42">
        <v>47</v>
      </c>
      <c r="H1907" s="42" t="s">
        <v>423</v>
      </c>
      <c r="I1907" s="42" t="s">
        <v>37</v>
      </c>
      <c r="J1907" s="42">
        <v>20000</v>
      </c>
    </row>
    <row r="1908" spans="1:22">
      <c r="A1908" s="61" t="s">
        <v>1794</v>
      </c>
      <c r="C1908" s="64" t="s">
        <v>4</v>
      </c>
      <c r="D1908" s="64" t="s">
        <v>1760</v>
      </c>
      <c r="E1908" s="42" t="s">
        <v>1796</v>
      </c>
      <c r="F1908" s="42" t="s">
        <v>1794</v>
      </c>
      <c r="G1908" s="42">
        <v>48</v>
      </c>
      <c r="H1908" s="42" t="s">
        <v>425</v>
      </c>
      <c r="I1908" s="42" t="s">
        <v>37</v>
      </c>
      <c r="J1908" s="42">
        <v>40000</v>
      </c>
    </row>
    <row r="1909" spans="1:22">
      <c r="A1909" s="61" t="s">
        <v>1794</v>
      </c>
      <c r="C1909" s="64" t="s">
        <v>4</v>
      </c>
      <c r="D1909" s="64" t="s">
        <v>1760</v>
      </c>
      <c r="E1909" s="42" t="s">
        <v>1796</v>
      </c>
      <c r="F1909" s="42" t="s">
        <v>1794</v>
      </c>
      <c r="G1909" s="42">
        <v>49</v>
      </c>
      <c r="H1909" s="42" t="s">
        <v>427</v>
      </c>
      <c r="I1909" s="42" t="s">
        <v>37</v>
      </c>
      <c r="J1909" s="42">
        <v>40000</v>
      </c>
    </row>
    <row r="1910" spans="1:22">
      <c r="A1910" s="61" t="s">
        <v>1794</v>
      </c>
      <c r="C1910" s="64" t="s">
        <v>4</v>
      </c>
      <c r="D1910" s="64" t="s">
        <v>1760</v>
      </c>
      <c r="E1910" s="42" t="s">
        <v>1796</v>
      </c>
      <c r="F1910" s="42" t="s">
        <v>1794</v>
      </c>
      <c r="G1910" s="42">
        <v>50</v>
      </c>
      <c r="H1910" s="42" t="s">
        <v>429</v>
      </c>
      <c r="I1910" s="42" t="s">
        <v>37</v>
      </c>
      <c r="J1910" s="42">
        <v>40000</v>
      </c>
    </row>
    <row r="1911" spans="1:22">
      <c r="A1911" s="61" t="s">
        <v>1794</v>
      </c>
      <c r="C1911" s="64" t="s">
        <v>4</v>
      </c>
      <c r="D1911" s="64" t="s">
        <v>1760</v>
      </c>
      <c r="E1911" s="42" t="s">
        <v>1796</v>
      </c>
      <c r="F1911" s="42" t="s">
        <v>1794</v>
      </c>
      <c r="G1911" s="42">
        <v>51</v>
      </c>
      <c r="H1911" s="42" t="s">
        <v>435</v>
      </c>
      <c r="I1911" s="42" t="s">
        <v>37</v>
      </c>
      <c r="J1911" s="42">
        <v>100000</v>
      </c>
    </row>
    <row r="1912" spans="1:22">
      <c r="A1912" s="61" t="s">
        <v>1794</v>
      </c>
      <c r="C1912" s="64" t="s">
        <v>4</v>
      </c>
      <c r="D1912" s="64" t="s">
        <v>1760</v>
      </c>
      <c r="E1912" s="42" t="s">
        <v>1796</v>
      </c>
      <c r="F1912" s="42" t="s">
        <v>1794</v>
      </c>
      <c r="G1912" s="42">
        <v>52</v>
      </c>
      <c r="H1912" s="42" t="s">
        <v>445</v>
      </c>
      <c r="I1912" s="42" t="s">
        <v>37</v>
      </c>
      <c r="J1912" s="42">
        <v>30000</v>
      </c>
    </row>
    <row r="1913" spans="1:22">
      <c r="A1913" s="61" t="s">
        <v>1794</v>
      </c>
      <c r="C1913" s="64" t="s">
        <v>4</v>
      </c>
      <c r="D1913" s="64" t="s">
        <v>1760</v>
      </c>
      <c r="E1913" s="42" t="s">
        <v>1796</v>
      </c>
      <c r="F1913" s="42" t="s">
        <v>1794</v>
      </c>
      <c r="G1913" s="42">
        <v>53</v>
      </c>
      <c r="H1913" s="42" t="s">
        <v>431</v>
      </c>
      <c r="I1913" s="42" t="s">
        <v>37</v>
      </c>
      <c r="J1913" s="42">
        <v>10000</v>
      </c>
    </row>
    <row r="1914" spans="1:22">
      <c r="A1914" s="61" t="s">
        <v>1794</v>
      </c>
      <c r="C1914" s="64" t="s">
        <v>4</v>
      </c>
      <c r="D1914" s="64" t="s">
        <v>1760</v>
      </c>
      <c r="E1914" s="42" t="s">
        <v>1796</v>
      </c>
      <c r="F1914" s="42" t="s">
        <v>1794</v>
      </c>
      <c r="G1914" s="42">
        <v>54</v>
      </c>
      <c r="H1914" s="42" t="s">
        <v>433</v>
      </c>
      <c r="I1914" s="42" t="s">
        <v>37</v>
      </c>
      <c r="J1914" s="42">
        <v>60000</v>
      </c>
    </row>
    <row r="1915" spans="1:22">
      <c r="A1915" s="61" t="s">
        <v>1794</v>
      </c>
      <c r="C1915" s="64" t="s">
        <v>4</v>
      </c>
      <c r="D1915" s="64" t="s">
        <v>1760</v>
      </c>
      <c r="E1915" s="42" t="s">
        <v>1796</v>
      </c>
      <c r="F1915" s="42" t="s">
        <v>1794</v>
      </c>
      <c r="G1915" s="42">
        <v>55</v>
      </c>
      <c r="H1915" s="42" t="s">
        <v>657</v>
      </c>
      <c r="I1915" s="42" t="s">
        <v>37</v>
      </c>
      <c r="J1915" s="42">
        <v>5000</v>
      </c>
    </row>
    <row r="1916" spans="1:22">
      <c r="A1916" s="61" t="s">
        <v>1794</v>
      </c>
      <c r="C1916" s="64" t="s">
        <v>4</v>
      </c>
      <c r="D1916" s="64" t="s">
        <v>1760</v>
      </c>
      <c r="E1916" s="42" t="s">
        <v>1796</v>
      </c>
      <c r="F1916" s="42" t="s">
        <v>1794</v>
      </c>
      <c r="G1916" s="42">
        <v>56</v>
      </c>
      <c r="H1916" s="42" t="s">
        <v>491</v>
      </c>
      <c r="I1916" s="42" t="s">
        <v>37</v>
      </c>
      <c r="J1916" s="42">
        <v>60000</v>
      </c>
    </row>
    <row r="1917" spans="1:22">
      <c r="A1917" s="61" t="s">
        <v>1794</v>
      </c>
      <c r="C1917" s="64" t="s">
        <v>4</v>
      </c>
      <c r="D1917" s="64" t="s">
        <v>1760</v>
      </c>
      <c r="E1917" s="42" t="s">
        <v>1796</v>
      </c>
      <c r="F1917" s="42" t="s">
        <v>1794</v>
      </c>
      <c r="G1917" s="42">
        <v>57</v>
      </c>
      <c r="H1917" s="42" t="s">
        <v>569</v>
      </c>
      <c r="I1917" s="42" t="s">
        <v>37</v>
      </c>
      <c r="J1917" s="42">
        <v>5000</v>
      </c>
    </row>
    <row r="1918" spans="1:22">
      <c r="A1918" s="61" t="s">
        <v>1794</v>
      </c>
      <c r="C1918" s="64" t="s">
        <v>4</v>
      </c>
      <c r="D1918" s="64" t="s">
        <v>1760</v>
      </c>
      <c r="E1918" s="42" t="s">
        <v>1796</v>
      </c>
      <c r="F1918" s="42" t="s">
        <v>1794</v>
      </c>
      <c r="G1918" s="42">
        <v>58</v>
      </c>
      <c r="H1918" s="42" t="s">
        <v>519</v>
      </c>
      <c r="I1918" s="42" t="s">
        <v>37</v>
      </c>
      <c r="J1918" s="42">
        <v>230000</v>
      </c>
    </row>
    <row r="1919" spans="1:22">
      <c r="A1919" s="61" t="s">
        <v>1794</v>
      </c>
      <c r="C1919" s="64" t="s">
        <v>4</v>
      </c>
      <c r="D1919" s="64" t="s">
        <v>1760</v>
      </c>
      <c r="E1919" s="42" t="s">
        <v>1796</v>
      </c>
      <c r="F1919" s="42" t="s">
        <v>1794</v>
      </c>
      <c r="G1919" s="42">
        <v>59</v>
      </c>
      <c r="H1919" s="42" t="s">
        <v>515</v>
      </c>
      <c r="I1919" s="42" t="s">
        <v>37</v>
      </c>
      <c r="J1919" s="42">
        <v>30000</v>
      </c>
    </row>
    <row r="1920" spans="1:22">
      <c r="A1920" s="61" t="s">
        <v>1794</v>
      </c>
      <c r="C1920" s="64" t="s">
        <v>4</v>
      </c>
      <c r="D1920" s="64" t="s">
        <v>1760</v>
      </c>
      <c r="E1920" s="42" t="s">
        <v>1796</v>
      </c>
      <c r="F1920" s="42" t="s">
        <v>1794</v>
      </c>
      <c r="G1920" s="42">
        <v>60</v>
      </c>
      <c r="H1920" s="42" t="s">
        <v>527</v>
      </c>
      <c r="I1920" s="42" t="s">
        <v>37</v>
      </c>
      <c r="J1920" s="42">
        <v>25000</v>
      </c>
    </row>
    <row r="1921" spans="1:22">
      <c r="A1921" s="61" t="s">
        <v>1794</v>
      </c>
      <c r="C1921" s="64" t="s">
        <v>4</v>
      </c>
      <c r="D1921" s="64" t="s">
        <v>1760</v>
      </c>
      <c r="E1921" s="42" t="s">
        <v>1796</v>
      </c>
      <c r="F1921" s="42" t="s">
        <v>1794</v>
      </c>
      <c r="G1921" s="42">
        <v>61</v>
      </c>
      <c r="H1921" s="42" t="s">
        <v>597</v>
      </c>
      <c r="I1921" s="42" t="s">
        <v>37</v>
      </c>
      <c r="J1921" s="42">
        <v>60000</v>
      </c>
    </row>
    <row r="1922" spans="1:22">
      <c r="A1922" s="61" t="s">
        <v>1794</v>
      </c>
      <c r="C1922" s="64" t="s">
        <v>4</v>
      </c>
      <c r="D1922" s="64" t="s">
        <v>1760</v>
      </c>
      <c r="E1922" s="42" t="s">
        <v>1796</v>
      </c>
      <c r="F1922" s="42" t="s">
        <v>1794</v>
      </c>
      <c r="G1922" s="42">
        <v>62</v>
      </c>
      <c r="H1922" s="42" t="s">
        <v>599</v>
      </c>
      <c r="I1922" s="42" t="s">
        <v>37</v>
      </c>
      <c r="J1922" s="42">
        <v>350000</v>
      </c>
    </row>
    <row r="1923" spans="1:22">
      <c r="A1923" s="61" t="s">
        <v>1794</v>
      </c>
      <c r="C1923" s="64" t="s">
        <v>4</v>
      </c>
      <c r="D1923" s="64" t="s">
        <v>1760</v>
      </c>
      <c r="E1923" s="42" t="s">
        <v>1796</v>
      </c>
      <c r="F1923" s="42" t="s">
        <v>1794</v>
      </c>
      <c r="G1923" s="42">
        <v>63</v>
      </c>
      <c r="H1923" s="42" t="s">
        <v>601</v>
      </c>
      <c r="I1923" s="42" t="s">
        <v>37</v>
      </c>
      <c r="J1923" s="42">
        <v>50000</v>
      </c>
    </row>
    <row r="1924" spans="1:22">
      <c r="A1924" s="61" t="s">
        <v>1794</v>
      </c>
      <c r="C1924" s="64" t="s">
        <v>4</v>
      </c>
      <c r="D1924" s="64" t="s">
        <v>1760</v>
      </c>
      <c r="E1924" s="42" t="s">
        <v>1796</v>
      </c>
      <c r="F1924" s="42" t="s">
        <v>1794</v>
      </c>
      <c r="G1924" s="42">
        <v>64</v>
      </c>
      <c r="H1924" s="42" t="s">
        <v>673</v>
      </c>
      <c r="I1924" s="42" t="s">
        <v>37</v>
      </c>
      <c r="J1924" s="42">
        <v>30000</v>
      </c>
    </row>
    <row r="1925" spans="1:22">
      <c r="A1925" s="61" t="s">
        <v>1794</v>
      </c>
      <c r="C1925" s="64" t="s">
        <v>4</v>
      </c>
      <c r="D1925" s="64" t="s">
        <v>1760</v>
      </c>
      <c r="E1925" s="42" t="s">
        <v>1796</v>
      </c>
      <c r="F1925" s="42" t="s">
        <v>1794</v>
      </c>
      <c r="G1925" s="42">
        <v>65</v>
      </c>
      <c r="H1925" s="42" t="s">
        <v>543</v>
      </c>
      <c r="I1925" s="42" t="s">
        <v>37</v>
      </c>
      <c r="J1925" s="42">
        <v>10000</v>
      </c>
    </row>
    <row r="1926" spans="1:22">
      <c r="A1926" s="61" t="s">
        <v>1794</v>
      </c>
      <c r="C1926" s="64" t="s">
        <v>4</v>
      </c>
      <c r="D1926" s="64" t="s">
        <v>1760</v>
      </c>
      <c r="E1926" s="42" t="s">
        <v>1796</v>
      </c>
      <c r="F1926" s="42" t="s">
        <v>1794</v>
      </c>
      <c r="G1926" s="42">
        <v>66</v>
      </c>
      <c r="H1926" s="42" t="s">
        <v>447</v>
      </c>
      <c r="I1926" s="42" t="s">
        <v>37</v>
      </c>
      <c r="J1926" s="42">
        <v>20000</v>
      </c>
    </row>
    <row r="1927" spans="1:22">
      <c r="A1927" s="61" t="s">
        <v>1794</v>
      </c>
      <c r="C1927" s="64" t="s">
        <v>4</v>
      </c>
      <c r="D1927" s="64" t="s">
        <v>1760</v>
      </c>
      <c r="E1927" s="42" t="s">
        <v>1796</v>
      </c>
      <c r="F1927" s="42" t="s">
        <v>1794</v>
      </c>
      <c r="G1927" s="42">
        <v>67</v>
      </c>
      <c r="H1927" s="42" t="s">
        <v>541</v>
      </c>
      <c r="I1927" s="42" t="s">
        <v>37</v>
      </c>
      <c r="J1927" s="42">
        <v>10000</v>
      </c>
    </row>
    <row r="1928" spans="1:22">
      <c r="A1928" s="61" t="s">
        <v>1794</v>
      </c>
      <c r="C1928" s="64" t="s">
        <v>4</v>
      </c>
      <c r="D1928" s="64" t="s">
        <v>1760</v>
      </c>
      <c r="E1928" s="42" t="s">
        <v>1796</v>
      </c>
      <c r="F1928" s="42" t="s">
        <v>1794</v>
      </c>
      <c r="G1928" s="42">
        <v>68</v>
      </c>
      <c r="H1928" s="42" t="s">
        <v>557</v>
      </c>
      <c r="I1928" s="42" t="s">
        <v>37</v>
      </c>
      <c r="J1928" s="42">
        <v>10000</v>
      </c>
    </row>
    <row r="1929" spans="1:22">
      <c r="A1929" s="61" t="s">
        <v>1794</v>
      </c>
      <c r="C1929" s="64" t="s">
        <v>4</v>
      </c>
      <c r="D1929" s="64" t="s">
        <v>1760</v>
      </c>
      <c r="E1929" s="42" t="s">
        <v>1796</v>
      </c>
      <c r="F1929" s="42" t="s">
        <v>1794</v>
      </c>
      <c r="G1929" s="42">
        <v>69</v>
      </c>
      <c r="H1929" s="42" t="s">
        <v>563</v>
      </c>
      <c r="I1929" s="42" t="s">
        <v>37</v>
      </c>
      <c r="J1929" s="42">
        <v>15000</v>
      </c>
    </row>
    <row r="1930" spans="1:22">
      <c r="A1930" s="61" t="s">
        <v>1794</v>
      </c>
      <c r="C1930" s="64" t="s">
        <v>4</v>
      </c>
      <c r="D1930" s="64" t="s">
        <v>1760</v>
      </c>
      <c r="E1930" s="42" t="s">
        <v>1796</v>
      </c>
      <c r="F1930" s="42" t="s">
        <v>1794</v>
      </c>
      <c r="G1930" s="42">
        <v>70</v>
      </c>
      <c r="H1930" s="42" t="s">
        <v>615</v>
      </c>
      <c r="I1930" s="42" t="s">
        <v>37</v>
      </c>
      <c r="J1930" s="42">
        <v>30000</v>
      </c>
    </row>
    <row r="1931" spans="1:22">
      <c r="A1931" s="61" t="s">
        <v>1794</v>
      </c>
      <c r="C1931" s="64" t="s">
        <v>4</v>
      </c>
      <c r="D1931" s="64" t="s">
        <v>1760</v>
      </c>
      <c r="E1931" s="42" t="s">
        <v>1796</v>
      </c>
      <c r="F1931" s="42" t="s">
        <v>1794</v>
      </c>
      <c r="G1931" s="42">
        <v>71</v>
      </c>
      <c r="H1931" s="42" t="s">
        <v>671</v>
      </c>
      <c r="I1931" s="42" t="s">
        <v>37</v>
      </c>
      <c r="J1931" s="42">
        <v>5000</v>
      </c>
    </row>
    <row r="1932" spans="1:22">
      <c r="A1932" s="61" t="s">
        <v>1794</v>
      </c>
      <c r="C1932" s="64" t="s">
        <v>4</v>
      </c>
      <c r="D1932" s="64" t="s">
        <v>1760</v>
      </c>
      <c r="E1932" s="42" t="s">
        <v>1796</v>
      </c>
      <c r="F1932" s="42" t="s">
        <v>1794</v>
      </c>
      <c r="G1932" s="42">
        <v>72</v>
      </c>
      <c r="H1932" s="42" t="s">
        <v>677</v>
      </c>
      <c r="I1932" s="42" t="s">
        <v>37</v>
      </c>
      <c r="J1932" s="42">
        <v>33000</v>
      </c>
    </row>
    <row r="1933" spans="1:22">
      <c r="A1933" s="61" t="s">
        <v>1794</v>
      </c>
      <c r="C1933" s="64" t="s">
        <v>4</v>
      </c>
      <c r="D1933" s="64" t="s">
        <v>1760</v>
      </c>
      <c r="E1933" s="42" t="s">
        <v>1796</v>
      </c>
      <c r="F1933" s="42" t="s">
        <v>1794</v>
      </c>
      <c r="G1933" s="42">
        <v>73</v>
      </c>
      <c r="H1933" s="42" t="s">
        <v>679</v>
      </c>
      <c r="I1933" s="42" t="s">
        <v>37</v>
      </c>
      <c r="J1933" s="42">
        <v>10000</v>
      </c>
    </row>
    <row r="1934" spans="1:22">
      <c r="A1934" s="61" t="s">
        <v>1794</v>
      </c>
      <c r="C1934" s="64" t="s">
        <v>4</v>
      </c>
      <c r="D1934" s="64" t="s">
        <v>1760</v>
      </c>
      <c r="E1934" s="42" t="s">
        <v>1796</v>
      </c>
      <c r="F1934" s="42" t="s">
        <v>1794</v>
      </c>
      <c r="G1934" s="42">
        <v>74</v>
      </c>
      <c r="H1934" s="42" t="s">
        <v>681</v>
      </c>
      <c r="I1934" s="42" t="s">
        <v>37</v>
      </c>
      <c r="J1934" s="42">
        <v>10000</v>
      </c>
    </row>
    <row r="1935" spans="1:22">
      <c r="A1935" s="61" t="s">
        <v>1794</v>
      </c>
      <c r="C1935" s="64" t="s">
        <v>4</v>
      </c>
      <c r="D1935" s="64" t="s">
        <v>1760</v>
      </c>
      <c r="E1935" s="42" t="s">
        <v>1796</v>
      </c>
      <c r="F1935" s="42" t="s">
        <v>1794</v>
      </c>
      <c r="G1935" s="42">
        <v>75</v>
      </c>
      <c r="H1935" s="42" t="s">
        <v>665</v>
      </c>
      <c r="I1935" s="42" t="s">
        <v>37</v>
      </c>
      <c r="J1935" s="42">
        <v>10000</v>
      </c>
    </row>
    <row r="1936" spans="1:22">
      <c r="A1936" s="61" t="s">
        <v>1794</v>
      </c>
      <c r="C1936" s="64" t="s">
        <v>4</v>
      </c>
      <c r="D1936" s="64" t="s">
        <v>1760</v>
      </c>
      <c r="E1936" s="42" t="s">
        <v>1796</v>
      </c>
      <c r="F1936" s="42" t="s">
        <v>1794</v>
      </c>
      <c r="G1936" s="42">
        <v>76</v>
      </c>
      <c r="H1936" s="42" t="s">
        <v>663</v>
      </c>
      <c r="I1936" s="42" t="s">
        <v>37</v>
      </c>
      <c r="J1936" s="42">
        <v>10000</v>
      </c>
    </row>
    <row r="1937" spans="1:22">
      <c r="A1937" s="61" t="s">
        <v>1794</v>
      </c>
      <c r="C1937" s="64" t="s">
        <v>4</v>
      </c>
      <c r="D1937" s="64" t="s">
        <v>1760</v>
      </c>
      <c r="E1937" s="42" t="s">
        <v>1796</v>
      </c>
      <c r="F1937" s="42" t="s">
        <v>1794</v>
      </c>
      <c r="G1937" s="42">
        <v>77</v>
      </c>
      <c r="H1937" s="42" t="s">
        <v>661</v>
      </c>
      <c r="I1937" s="42" t="s">
        <v>37</v>
      </c>
      <c r="J1937" s="42">
        <v>6000</v>
      </c>
    </row>
    <row r="1938" spans="1:22">
      <c r="A1938" s="61" t="s">
        <v>1794</v>
      </c>
      <c r="C1938" s="64" t="s">
        <v>4</v>
      </c>
      <c r="D1938" s="64" t="s">
        <v>1760</v>
      </c>
      <c r="E1938" s="42" t="s">
        <v>1796</v>
      </c>
      <c r="F1938" s="42" t="s">
        <v>1794</v>
      </c>
      <c r="G1938" s="42">
        <v>78</v>
      </c>
      <c r="H1938" s="42" t="s">
        <v>537</v>
      </c>
      <c r="I1938" s="42" t="s">
        <v>37</v>
      </c>
      <c r="J1938" s="42">
        <v>20000</v>
      </c>
    </row>
    <row r="1939" spans="1:22">
      <c r="A1939" s="61" t="s">
        <v>1794</v>
      </c>
      <c r="C1939" s="64" t="s">
        <v>4</v>
      </c>
      <c r="D1939" s="64" t="s">
        <v>1760</v>
      </c>
      <c r="E1939" s="42" t="s">
        <v>1796</v>
      </c>
      <c r="F1939" s="42" t="s">
        <v>1794</v>
      </c>
      <c r="G1939" s="42">
        <v>79</v>
      </c>
      <c r="H1939" s="42" t="s">
        <v>1121</v>
      </c>
      <c r="I1939" s="42" t="s">
        <v>37</v>
      </c>
      <c r="J1939" s="42">
        <v>20000</v>
      </c>
    </row>
    <row r="1940" spans="1:22">
      <c r="A1940" s="61" t="s">
        <v>1794</v>
      </c>
      <c r="C1940" s="64" t="s">
        <v>4</v>
      </c>
      <c r="D1940" s="64" t="s">
        <v>1760</v>
      </c>
      <c r="E1940" s="42" t="s">
        <v>1796</v>
      </c>
      <c r="F1940" s="42" t="s">
        <v>1794</v>
      </c>
      <c r="G1940" s="42">
        <v>80</v>
      </c>
      <c r="H1940" s="42" t="s">
        <v>659</v>
      </c>
      <c r="I1940" s="42" t="s">
        <v>37</v>
      </c>
      <c r="J1940" s="42">
        <v>25000</v>
      </c>
    </row>
    <row r="1941" spans="1:22">
      <c r="A1941" s="61" t="s">
        <v>1794</v>
      </c>
      <c r="C1941" s="64" t="s">
        <v>4</v>
      </c>
      <c r="D1941" s="64" t="s">
        <v>1760</v>
      </c>
      <c r="E1941" s="42" t="s">
        <v>1796</v>
      </c>
      <c r="F1941" s="42" t="s">
        <v>1794</v>
      </c>
      <c r="G1941" s="42">
        <v>81</v>
      </c>
      <c r="H1941" s="42" t="s">
        <v>675</v>
      </c>
      <c r="I1941" s="42" t="s">
        <v>37</v>
      </c>
      <c r="J1941" s="42">
        <v>90000</v>
      </c>
    </row>
    <row r="1942" spans="1:22">
      <c r="A1942" s="61" t="s">
        <v>1794</v>
      </c>
      <c r="C1942" s="64" t="s">
        <v>4</v>
      </c>
      <c r="D1942" s="64" t="s">
        <v>1760</v>
      </c>
      <c r="E1942" s="42" t="s">
        <v>1796</v>
      </c>
      <c r="F1942" s="42" t="s">
        <v>1794</v>
      </c>
      <c r="G1942" s="42">
        <v>82</v>
      </c>
      <c r="H1942" s="42" t="s">
        <v>797</v>
      </c>
      <c r="I1942" s="42" t="s">
        <v>37</v>
      </c>
      <c r="J1942" s="42">
        <v>10000</v>
      </c>
    </row>
    <row r="1943" spans="1:22">
      <c r="A1943" s="61" t="s">
        <v>1794</v>
      </c>
      <c r="C1943" s="64" t="s">
        <v>4</v>
      </c>
      <c r="D1943" s="64" t="s">
        <v>1760</v>
      </c>
      <c r="E1943" s="42" t="s">
        <v>1796</v>
      </c>
      <c r="F1943" s="42" t="s">
        <v>1794</v>
      </c>
      <c r="G1943" s="42">
        <v>83</v>
      </c>
      <c r="H1943" s="42" t="s">
        <v>799</v>
      </c>
      <c r="I1943" s="42" t="s">
        <v>37</v>
      </c>
      <c r="J1943" s="42">
        <v>10000</v>
      </c>
    </row>
    <row r="1944" spans="1:22">
      <c r="A1944" s="61" t="s">
        <v>1794</v>
      </c>
      <c r="C1944" s="64" t="s">
        <v>4</v>
      </c>
      <c r="D1944" s="64" t="s">
        <v>1760</v>
      </c>
      <c r="E1944" s="42" t="s">
        <v>1796</v>
      </c>
      <c r="F1944" s="42" t="s">
        <v>1794</v>
      </c>
      <c r="G1944" s="42">
        <v>84</v>
      </c>
      <c r="H1944" s="42" t="s">
        <v>809</v>
      </c>
      <c r="I1944" s="42" t="s">
        <v>37</v>
      </c>
      <c r="J1944" s="42">
        <v>25000</v>
      </c>
    </row>
    <row r="1945" spans="1:22">
      <c r="A1945" s="61" t="s">
        <v>1794</v>
      </c>
      <c r="C1945" s="64" t="s">
        <v>4</v>
      </c>
      <c r="D1945" s="64" t="s">
        <v>1760</v>
      </c>
      <c r="E1945" s="42" t="s">
        <v>1796</v>
      </c>
      <c r="F1945" s="42" t="s">
        <v>1794</v>
      </c>
      <c r="G1945" s="42">
        <v>85</v>
      </c>
      <c r="H1945" s="42" t="s">
        <v>717</v>
      </c>
      <c r="I1945" s="42" t="s">
        <v>37</v>
      </c>
      <c r="J1945" s="42">
        <v>30000</v>
      </c>
    </row>
    <row r="1946" spans="1:22">
      <c r="A1946" s="61" t="s">
        <v>1794</v>
      </c>
      <c r="C1946" s="64" t="s">
        <v>4</v>
      </c>
      <c r="D1946" s="64" t="s">
        <v>1760</v>
      </c>
      <c r="E1946" s="42" t="s">
        <v>1796</v>
      </c>
      <c r="F1946" s="42" t="s">
        <v>1794</v>
      </c>
      <c r="G1946" s="42">
        <v>86</v>
      </c>
      <c r="H1946" s="42" t="s">
        <v>743</v>
      </c>
      <c r="I1946" s="42" t="s">
        <v>37</v>
      </c>
      <c r="J1946" s="42">
        <v>30000</v>
      </c>
    </row>
    <row r="1947" spans="1:22">
      <c r="A1947" s="61" t="s">
        <v>1794</v>
      </c>
      <c r="C1947" s="64" t="s">
        <v>4</v>
      </c>
      <c r="D1947" s="64" t="s">
        <v>1760</v>
      </c>
      <c r="E1947" s="42" t="s">
        <v>1796</v>
      </c>
      <c r="F1947" s="42" t="s">
        <v>1794</v>
      </c>
      <c r="G1947" s="42">
        <v>87</v>
      </c>
      <c r="H1947" s="42" t="s">
        <v>745</v>
      </c>
      <c r="I1947" s="42" t="s">
        <v>37</v>
      </c>
      <c r="J1947" s="42">
        <v>10000</v>
      </c>
    </row>
    <row r="1948" spans="1:22">
      <c r="A1948" s="61" t="s">
        <v>1794</v>
      </c>
      <c r="C1948" s="64" t="s">
        <v>4</v>
      </c>
      <c r="D1948" s="64" t="s">
        <v>1760</v>
      </c>
      <c r="E1948" s="42" t="s">
        <v>1796</v>
      </c>
      <c r="F1948" s="42" t="s">
        <v>1794</v>
      </c>
      <c r="G1948" s="42">
        <v>88</v>
      </c>
      <c r="H1948" s="42" t="s">
        <v>747</v>
      </c>
      <c r="I1948" s="42" t="s">
        <v>37</v>
      </c>
      <c r="J1948" s="42">
        <v>10000</v>
      </c>
    </row>
    <row r="1949" spans="1:22">
      <c r="A1949" s="61" t="s">
        <v>1794</v>
      </c>
      <c r="C1949" s="64" t="s">
        <v>4</v>
      </c>
      <c r="D1949" s="64" t="s">
        <v>1760</v>
      </c>
      <c r="E1949" s="42" t="s">
        <v>1796</v>
      </c>
      <c r="F1949" s="42" t="s">
        <v>1794</v>
      </c>
      <c r="G1949" s="42">
        <v>89</v>
      </c>
      <c r="H1949" s="42" t="s">
        <v>749</v>
      </c>
      <c r="I1949" s="42" t="s">
        <v>37</v>
      </c>
      <c r="J1949" s="42">
        <v>135000</v>
      </c>
    </row>
    <row r="1950" spans="1:22">
      <c r="A1950" s="61" t="s">
        <v>1794</v>
      </c>
      <c r="C1950" s="64" t="s">
        <v>4</v>
      </c>
      <c r="D1950" s="64" t="s">
        <v>1760</v>
      </c>
      <c r="E1950" s="42" t="s">
        <v>1796</v>
      </c>
      <c r="F1950" s="42" t="s">
        <v>1794</v>
      </c>
      <c r="G1950" s="42">
        <v>90</v>
      </c>
      <c r="H1950" s="42" t="s">
        <v>751</v>
      </c>
      <c r="I1950" s="42" t="s">
        <v>37</v>
      </c>
      <c r="J1950" s="42">
        <v>35000</v>
      </c>
    </row>
    <row r="1951" spans="1:22">
      <c r="A1951" s="61" t="s">
        <v>1794</v>
      </c>
      <c r="C1951" s="64" t="s">
        <v>4</v>
      </c>
      <c r="D1951" s="64" t="s">
        <v>1760</v>
      </c>
      <c r="E1951" s="42" t="s">
        <v>1796</v>
      </c>
      <c r="F1951" s="42" t="s">
        <v>1794</v>
      </c>
      <c r="G1951" s="42">
        <v>91</v>
      </c>
      <c r="H1951" s="42" t="s">
        <v>753</v>
      </c>
      <c r="I1951" s="42" t="s">
        <v>37</v>
      </c>
      <c r="J1951" s="42">
        <v>15000</v>
      </c>
    </row>
    <row r="1952" spans="1:22">
      <c r="A1952" s="61" t="s">
        <v>1794</v>
      </c>
      <c r="C1952" s="64" t="s">
        <v>4</v>
      </c>
      <c r="D1952" s="64" t="s">
        <v>1760</v>
      </c>
      <c r="E1952" s="42" t="s">
        <v>1796</v>
      </c>
      <c r="F1952" s="42" t="s">
        <v>1794</v>
      </c>
      <c r="G1952" s="42">
        <v>92</v>
      </c>
      <c r="H1952" s="42" t="s">
        <v>683</v>
      </c>
      <c r="I1952" s="42" t="s">
        <v>37</v>
      </c>
      <c r="J1952" s="42">
        <v>200000</v>
      </c>
    </row>
    <row r="1953" spans="1:22">
      <c r="A1953" s="61" t="s">
        <v>1794</v>
      </c>
      <c r="C1953" s="64" t="s">
        <v>4</v>
      </c>
      <c r="D1953" s="64" t="s">
        <v>1760</v>
      </c>
      <c r="E1953" s="42" t="s">
        <v>1796</v>
      </c>
      <c r="F1953" s="42" t="s">
        <v>1794</v>
      </c>
      <c r="G1953" s="42">
        <v>93</v>
      </c>
      <c r="H1953" s="42" t="s">
        <v>967</v>
      </c>
      <c r="I1953" s="42" t="s">
        <v>37</v>
      </c>
      <c r="J1953" s="42">
        <v>20000</v>
      </c>
    </row>
    <row r="1954" spans="1:22">
      <c r="A1954" s="61" t="s">
        <v>1794</v>
      </c>
      <c r="C1954" s="64" t="s">
        <v>4</v>
      </c>
      <c r="D1954" s="64" t="s">
        <v>1760</v>
      </c>
      <c r="E1954" s="42" t="s">
        <v>1796</v>
      </c>
      <c r="F1954" s="42" t="s">
        <v>1794</v>
      </c>
      <c r="G1954" s="42">
        <v>94</v>
      </c>
      <c r="H1954" s="42" t="s">
        <v>907</v>
      </c>
      <c r="I1954" s="42" t="s">
        <v>37</v>
      </c>
      <c r="J1954" s="42">
        <v>20000</v>
      </c>
    </row>
    <row r="1955" spans="1:22">
      <c r="A1955" s="61" t="s">
        <v>1794</v>
      </c>
      <c r="C1955" s="64" t="s">
        <v>4</v>
      </c>
      <c r="D1955" s="64" t="s">
        <v>1760</v>
      </c>
      <c r="E1955" s="42" t="s">
        <v>1796</v>
      </c>
      <c r="F1955" s="42" t="s">
        <v>1794</v>
      </c>
      <c r="G1955" s="42">
        <v>95</v>
      </c>
      <c r="H1955" s="42" t="s">
        <v>909</v>
      </c>
      <c r="I1955" s="42" t="s">
        <v>37</v>
      </c>
      <c r="J1955" s="42">
        <v>20000</v>
      </c>
    </row>
    <row r="1956" spans="1:22">
      <c r="A1956" s="61" t="s">
        <v>1794</v>
      </c>
      <c r="C1956" s="64" t="s">
        <v>4</v>
      </c>
      <c r="D1956" s="64" t="s">
        <v>1760</v>
      </c>
      <c r="E1956" s="42" t="s">
        <v>1796</v>
      </c>
      <c r="F1956" s="42" t="s">
        <v>1794</v>
      </c>
      <c r="G1956" s="42">
        <v>96</v>
      </c>
      <c r="H1956" s="42" t="s">
        <v>911</v>
      </c>
      <c r="I1956" s="42" t="s">
        <v>37</v>
      </c>
      <c r="J1956" s="42">
        <v>20000</v>
      </c>
    </row>
    <row r="1957" spans="1:22">
      <c r="A1957" s="61" t="s">
        <v>1794</v>
      </c>
      <c r="C1957" s="64" t="s">
        <v>4</v>
      </c>
      <c r="D1957" s="64" t="s">
        <v>1760</v>
      </c>
      <c r="E1957" s="42" t="s">
        <v>1796</v>
      </c>
      <c r="F1957" s="42" t="s">
        <v>1794</v>
      </c>
      <c r="G1957" s="42">
        <v>97</v>
      </c>
      <c r="H1957" s="42" t="s">
        <v>913</v>
      </c>
      <c r="I1957" s="42" t="s">
        <v>37</v>
      </c>
      <c r="J1957" s="42">
        <v>42000</v>
      </c>
    </row>
    <row r="1958" spans="1:22">
      <c r="A1958" s="61" t="s">
        <v>1794</v>
      </c>
      <c r="C1958" s="64" t="s">
        <v>4</v>
      </c>
      <c r="D1958" s="64" t="s">
        <v>1760</v>
      </c>
      <c r="E1958" s="42" t="s">
        <v>1796</v>
      </c>
      <c r="F1958" s="42" t="s">
        <v>1794</v>
      </c>
      <c r="G1958" s="42">
        <v>98</v>
      </c>
      <c r="H1958" s="42" t="s">
        <v>915</v>
      </c>
      <c r="I1958" s="42" t="s">
        <v>37</v>
      </c>
      <c r="J1958" s="42">
        <v>40000</v>
      </c>
    </row>
    <row r="1959" spans="1:22">
      <c r="A1959" s="61" t="s">
        <v>1794</v>
      </c>
      <c r="C1959" s="64" t="s">
        <v>4</v>
      </c>
      <c r="D1959" s="64" t="s">
        <v>1760</v>
      </c>
      <c r="E1959" s="42" t="s">
        <v>1796</v>
      </c>
      <c r="F1959" s="42" t="s">
        <v>1794</v>
      </c>
      <c r="G1959" s="42">
        <v>99</v>
      </c>
      <c r="H1959" s="42" t="s">
        <v>917</v>
      </c>
      <c r="I1959" s="42" t="s">
        <v>37</v>
      </c>
      <c r="J1959" s="42">
        <v>10000</v>
      </c>
    </row>
    <row r="1960" spans="1:22">
      <c r="A1960" s="61" t="s">
        <v>1794</v>
      </c>
      <c r="C1960" s="64" t="s">
        <v>4</v>
      </c>
      <c r="D1960" s="64" t="s">
        <v>1760</v>
      </c>
      <c r="E1960" s="42" t="s">
        <v>1796</v>
      </c>
      <c r="F1960" s="42" t="s">
        <v>1794</v>
      </c>
      <c r="G1960" s="42">
        <v>100</v>
      </c>
      <c r="H1960" s="42" t="s">
        <v>971</v>
      </c>
      <c r="I1960" s="42" t="s">
        <v>37</v>
      </c>
      <c r="J1960" s="42">
        <v>3000</v>
      </c>
    </row>
    <row r="1961" spans="1:22">
      <c r="A1961" s="61" t="s">
        <v>1794</v>
      </c>
      <c r="C1961" s="64" t="s">
        <v>4</v>
      </c>
      <c r="D1961" s="64" t="s">
        <v>1760</v>
      </c>
      <c r="E1961" s="42" t="s">
        <v>1796</v>
      </c>
      <c r="F1961" s="42" t="s">
        <v>1794</v>
      </c>
      <c r="G1961" s="42">
        <v>101</v>
      </c>
      <c r="H1961" s="42" t="s">
        <v>763</v>
      </c>
      <c r="I1961" s="42" t="s">
        <v>37</v>
      </c>
      <c r="J1961" s="42">
        <v>10000</v>
      </c>
    </row>
    <row r="1962" spans="1:22">
      <c r="A1962" s="61" t="s">
        <v>1794</v>
      </c>
      <c r="C1962" s="64" t="s">
        <v>4</v>
      </c>
      <c r="D1962" s="64" t="s">
        <v>1760</v>
      </c>
      <c r="E1962" s="42" t="s">
        <v>1796</v>
      </c>
      <c r="F1962" s="42" t="s">
        <v>1794</v>
      </c>
      <c r="G1962" s="42">
        <v>102</v>
      </c>
      <c r="H1962" s="42" t="s">
        <v>769</v>
      </c>
      <c r="I1962" s="42" t="s">
        <v>37</v>
      </c>
      <c r="J1962" s="42">
        <v>10000</v>
      </c>
    </row>
    <row r="1963" spans="1:22">
      <c r="A1963" s="61" t="s">
        <v>1794</v>
      </c>
      <c r="C1963" s="64" t="s">
        <v>4</v>
      </c>
      <c r="D1963" s="64" t="s">
        <v>1760</v>
      </c>
      <c r="E1963" s="42" t="s">
        <v>1796</v>
      </c>
      <c r="F1963" s="42" t="s">
        <v>1794</v>
      </c>
      <c r="G1963" s="42">
        <v>103</v>
      </c>
      <c r="H1963" s="42" t="s">
        <v>961</v>
      </c>
      <c r="I1963" s="42" t="s">
        <v>37</v>
      </c>
      <c r="J1963" s="42">
        <v>60000</v>
      </c>
    </row>
    <row r="1964" spans="1:22">
      <c r="A1964" s="61" t="s">
        <v>1794</v>
      </c>
      <c r="C1964" s="64" t="s">
        <v>4</v>
      </c>
      <c r="D1964" s="64" t="s">
        <v>1760</v>
      </c>
      <c r="E1964" s="42" t="s">
        <v>1796</v>
      </c>
      <c r="F1964" s="42" t="s">
        <v>1794</v>
      </c>
      <c r="G1964" s="42">
        <v>104</v>
      </c>
      <c r="H1964" s="42" t="s">
        <v>919</v>
      </c>
      <c r="I1964" s="42" t="s">
        <v>37</v>
      </c>
      <c r="J1964" s="42">
        <v>40000</v>
      </c>
    </row>
    <row r="1965" spans="1:22">
      <c r="A1965" s="61" t="s">
        <v>1794</v>
      </c>
      <c r="C1965" s="64" t="s">
        <v>4</v>
      </c>
      <c r="D1965" s="64" t="s">
        <v>1760</v>
      </c>
      <c r="E1965" s="42" t="s">
        <v>1796</v>
      </c>
      <c r="F1965" s="42" t="s">
        <v>1794</v>
      </c>
      <c r="G1965" s="42">
        <v>105</v>
      </c>
      <c r="H1965" s="42" t="s">
        <v>1331</v>
      </c>
      <c r="I1965" s="42" t="s">
        <v>37</v>
      </c>
      <c r="J1965" s="42">
        <v>240000</v>
      </c>
    </row>
    <row r="1966" spans="1:22">
      <c r="A1966" s="61" t="s">
        <v>1794</v>
      </c>
      <c r="C1966" s="64" t="s">
        <v>4</v>
      </c>
      <c r="D1966" s="64" t="s">
        <v>1760</v>
      </c>
      <c r="E1966" s="42" t="s">
        <v>1796</v>
      </c>
      <c r="F1966" s="42" t="s">
        <v>1794</v>
      </c>
      <c r="G1966" s="42">
        <v>106</v>
      </c>
      <c r="H1966" s="42" t="s">
        <v>1318</v>
      </c>
      <c r="I1966" s="42" t="s">
        <v>37</v>
      </c>
      <c r="J1966" s="42">
        <v>60000</v>
      </c>
    </row>
    <row r="1967" spans="1:22">
      <c r="A1967" s="61" t="s">
        <v>1794</v>
      </c>
      <c r="C1967" s="64" t="s">
        <v>4</v>
      </c>
      <c r="D1967" s="64" t="s">
        <v>1760</v>
      </c>
      <c r="E1967" s="42" t="s">
        <v>1796</v>
      </c>
      <c r="F1967" s="42" t="s">
        <v>1794</v>
      </c>
      <c r="G1967" s="42">
        <v>107</v>
      </c>
      <c r="H1967" s="42" t="s">
        <v>1273</v>
      </c>
      <c r="I1967" s="42" t="s">
        <v>37</v>
      </c>
      <c r="J1967" s="42">
        <v>55000</v>
      </c>
    </row>
    <row r="1968" spans="1:22">
      <c r="A1968" s="61" t="s">
        <v>1794</v>
      </c>
      <c r="C1968" s="64" t="s">
        <v>4</v>
      </c>
      <c r="D1968" s="64" t="s">
        <v>1760</v>
      </c>
      <c r="E1968" s="42" t="s">
        <v>1796</v>
      </c>
      <c r="F1968" s="42" t="s">
        <v>1794</v>
      </c>
      <c r="G1968" s="42">
        <v>108</v>
      </c>
      <c r="H1968" s="42" t="s">
        <v>1323</v>
      </c>
      <c r="I1968" s="42" t="s">
        <v>37</v>
      </c>
      <c r="J1968" s="42">
        <v>16100</v>
      </c>
    </row>
    <row r="1969" spans="1:22">
      <c r="A1969" s="61" t="s">
        <v>1794</v>
      </c>
      <c r="C1969" s="64" t="s">
        <v>4</v>
      </c>
      <c r="D1969" s="64" t="s">
        <v>1760</v>
      </c>
      <c r="E1969" s="42" t="s">
        <v>1796</v>
      </c>
      <c r="F1969" s="42" t="s">
        <v>1794</v>
      </c>
      <c r="G1969" s="42">
        <v>109</v>
      </c>
      <c r="H1969" s="42" t="s">
        <v>1274</v>
      </c>
      <c r="I1969" s="42" t="s">
        <v>37</v>
      </c>
      <c r="J1969" s="42">
        <v>6000</v>
      </c>
    </row>
    <row r="1970" spans="1:22">
      <c r="A1970" s="61" t="s">
        <v>1794</v>
      </c>
      <c r="C1970" s="64" t="s">
        <v>4</v>
      </c>
      <c r="D1970" s="64" t="s">
        <v>1760</v>
      </c>
      <c r="E1970" s="42" t="s">
        <v>1796</v>
      </c>
      <c r="F1970" s="42" t="s">
        <v>1794</v>
      </c>
      <c r="G1970" s="42">
        <v>110</v>
      </c>
      <c r="H1970" s="42" t="s">
        <v>1324</v>
      </c>
      <c r="I1970" s="42" t="s">
        <v>37</v>
      </c>
      <c r="J1970" s="42">
        <v>15000</v>
      </c>
    </row>
    <row r="1971" spans="1:22">
      <c r="A1971" s="61" t="s">
        <v>1794</v>
      </c>
      <c r="C1971" s="64" t="s">
        <v>4</v>
      </c>
      <c r="D1971" s="64" t="s">
        <v>1760</v>
      </c>
      <c r="E1971" s="42" t="s">
        <v>1796</v>
      </c>
      <c r="F1971" s="42" t="s">
        <v>1794</v>
      </c>
      <c r="G1971" s="42">
        <v>111</v>
      </c>
      <c r="H1971" s="42" t="s">
        <v>1284</v>
      </c>
      <c r="I1971" s="42" t="s">
        <v>37</v>
      </c>
      <c r="J1971" s="42">
        <v>5000</v>
      </c>
    </row>
    <row r="1972" spans="1:22">
      <c r="A1972" s="61" t="s">
        <v>1794</v>
      </c>
      <c r="C1972" s="64" t="s">
        <v>4</v>
      </c>
      <c r="D1972" s="64" t="s">
        <v>1760</v>
      </c>
      <c r="E1972" s="42" t="s">
        <v>1796</v>
      </c>
      <c r="F1972" s="42" t="s">
        <v>1794</v>
      </c>
      <c r="G1972" s="42">
        <v>112</v>
      </c>
      <c r="H1972" s="42" t="s">
        <v>959</v>
      </c>
      <c r="I1972" s="42" t="s">
        <v>37</v>
      </c>
      <c r="J1972" s="42">
        <v>150000</v>
      </c>
    </row>
    <row r="1973" spans="1:22">
      <c r="A1973" s="61" t="s">
        <v>1794</v>
      </c>
      <c r="C1973" s="64" t="s">
        <v>4</v>
      </c>
      <c r="D1973" s="64" t="s">
        <v>1760</v>
      </c>
      <c r="E1973" s="42" t="s">
        <v>1796</v>
      </c>
      <c r="F1973" s="42" t="s">
        <v>1794</v>
      </c>
      <c r="G1973" s="42">
        <v>113</v>
      </c>
      <c r="H1973" s="42" t="s">
        <v>1290</v>
      </c>
      <c r="I1973" s="42" t="s">
        <v>37</v>
      </c>
      <c r="J1973" s="42">
        <v>20000</v>
      </c>
    </row>
    <row r="1974" spans="1:22">
      <c r="A1974" s="61" t="s">
        <v>1794</v>
      </c>
      <c r="C1974" s="64" t="s">
        <v>4</v>
      </c>
      <c r="D1974" s="64" t="s">
        <v>1760</v>
      </c>
      <c r="E1974" s="42" t="s">
        <v>1796</v>
      </c>
      <c r="F1974" s="42" t="s">
        <v>1794</v>
      </c>
      <c r="G1974" s="42">
        <v>114</v>
      </c>
      <c r="H1974" s="42" t="s">
        <v>1389</v>
      </c>
      <c r="I1974" s="42" t="s">
        <v>37</v>
      </c>
      <c r="J1974" s="42">
        <v>30</v>
      </c>
    </row>
    <row r="1975" spans="1:22">
      <c r="A1975" s="61" t="s">
        <v>1794</v>
      </c>
      <c r="C1975" s="64" t="s">
        <v>4</v>
      </c>
      <c r="D1975" s="64" t="s">
        <v>1760</v>
      </c>
      <c r="E1975" s="42" t="s">
        <v>1796</v>
      </c>
      <c r="F1975" s="42" t="s">
        <v>1794</v>
      </c>
      <c r="G1975" s="42">
        <v>115</v>
      </c>
      <c r="H1975" s="42" t="s">
        <v>1262</v>
      </c>
      <c r="I1975" s="42" t="s">
        <v>37</v>
      </c>
      <c r="J1975" s="42">
        <v>35000</v>
      </c>
    </row>
    <row r="1976" spans="1:22">
      <c r="A1976" s="61" t="s">
        <v>1794</v>
      </c>
      <c r="C1976" s="64" t="s">
        <v>4</v>
      </c>
      <c r="D1976" s="64" t="s">
        <v>1760</v>
      </c>
      <c r="E1976" s="42" t="s">
        <v>1796</v>
      </c>
      <c r="F1976" s="42" t="s">
        <v>1794</v>
      </c>
      <c r="G1976" s="42">
        <v>116</v>
      </c>
      <c r="H1976" s="42" t="s">
        <v>1285</v>
      </c>
      <c r="I1976" s="42" t="s">
        <v>37</v>
      </c>
      <c r="J1976" s="42">
        <v>15000</v>
      </c>
    </row>
    <row r="1977" spans="1:22">
      <c r="A1977" s="61" t="s">
        <v>1794</v>
      </c>
      <c r="C1977" s="64" t="s">
        <v>4</v>
      </c>
      <c r="D1977" s="64" t="s">
        <v>1760</v>
      </c>
      <c r="E1977" s="42" t="s">
        <v>1796</v>
      </c>
      <c r="F1977" s="42" t="s">
        <v>1794</v>
      </c>
      <c r="G1977" s="42">
        <v>117</v>
      </c>
      <c r="H1977" s="42" t="s">
        <v>1322</v>
      </c>
      <c r="I1977" s="42" t="s">
        <v>37</v>
      </c>
      <c r="J1977" s="42">
        <v>10000</v>
      </c>
    </row>
    <row r="1978" spans="1:22">
      <c r="A1978" s="61" t="s">
        <v>1794</v>
      </c>
      <c r="C1978" s="64" t="s">
        <v>4</v>
      </c>
      <c r="D1978" s="64" t="s">
        <v>1760</v>
      </c>
      <c r="E1978" s="42" t="s">
        <v>1796</v>
      </c>
      <c r="F1978" s="42" t="s">
        <v>1794</v>
      </c>
      <c r="G1978" s="42">
        <v>118</v>
      </c>
      <c r="H1978" s="42" t="s">
        <v>1325</v>
      </c>
      <c r="I1978" s="42" t="s">
        <v>37</v>
      </c>
      <c r="J1978" s="42">
        <v>5000</v>
      </c>
    </row>
    <row r="1979" spans="1:22">
      <c r="A1979" s="61" t="s">
        <v>1794</v>
      </c>
      <c r="C1979" s="64" t="s">
        <v>4</v>
      </c>
      <c r="D1979" s="64" t="s">
        <v>1760</v>
      </c>
      <c r="E1979" s="42" t="s">
        <v>1796</v>
      </c>
      <c r="F1979" s="42" t="s">
        <v>1794</v>
      </c>
      <c r="G1979" s="42">
        <v>119</v>
      </c>
      <c r="H1979" s="42" t="s">
        <v>1326</v>
      </c>
      <c r="I1979" s="42" t="s">
        <v>37</v>
      </c>
      <c r="J1979" s="42">
        <v>15000</v>
      </c>
    </row>
    <row r="1980" spans="1:22">
      <c r="A1980" s="61" t="s">
        <v>1794</v>
      </c>
      <c r="C1980" s="64" t="s">
        <v>4</v>
      </c>
      <c r="D1980" s="64" t="s">
        <v>1760</v>
      </c>
      <c r="E1980" s="42" t="s">
        <v>1796</v>
      </c>
      <c r="F1980" s="42" t="s">
        <v>1794</v>
      </c>
      <c r="G1980" s="42">
        <v>120</v>
      </c>
      <c r="H1980" s="42" t="s">
        <v>1333</v>
      </c>
      <c r="I1980" s="42" t="s">
        <v>37</v>
      </c>
      <c r="J1980" s="42">
        <v>15000</v>
      </c>
    </row>
    <row r="1981" spans="1:22">
      <c r="A1981" s="61" t="s">
        <v>1794</v>
      </c>
      <c r="C1981" s="64" t="s">
        <v>4</v>
      </c>
      <c r="D1981" s="64" t="s">
        <v>1760</v>
      </c>
      <c r="E1981" s="42" t="s">
        <v>1796</v>
      </c>
      <c r="F1981" s="42" t="s">
        <v>1794</v>
      </c>
      <c r="G1981" s="42">
        <v>121</v>
      </c>
      <c r="H1981" s="42" t="s">
        <v>1368</v>
      </c>
      <c r="I1981" s="42" t="s">
        <v>37</v>
      </c>
      <c r="J1981" s="42">
        <v>45000</v>
      </c>
    </row>
    <row r="1982" spans="1:22">
      <c r="A1982" s="61" t="s">
        <v>1794</v>
      </c>
      <c r="C1982" s="64" t="s">
        <v>4</v>
      </c>
      <c r="D1982" s="64" t="s">
        <v>1760</v>
      </c>
      <c r="E1982" s="42" t="s">
        <v>1796</v>
      </c>
      <c r="F1982" s="42" t="s">
        <v>1794</v>
      </c>
      <c r="G1982" s="42">
        <v>122</v>
      </c>
      <c r="H1982" s="42" t="s">
        <v>1392</v>
      </c>
      <c r="I1982" s="42" t="s">
        <v>37</v>
      </c>
      <c r="J1982" s="42">
        <v>30000</v>
      </c>
    </row>
    <row r="1983" spans="1:22">
      <c r="A1983" s="61" t="s">
        <v>1794</v>
      </c>
      <c r="C1983" s="64" t="s">
        <v>4</v>
      </c>
      <c r="D1983" s="64" t="s">
        <v>1760</v>
      </c>
      <c r="E1983" s="42" t="s">
        <v>1796</v>
      </c>
      <c r="F1983" s="42" t="s">
        <v>1794</v>
      </c>
      <c r="G1983" s="42">
        <v>123</v>
      </c>
      <c r="H1983" s="42" t="s">
        <v>283</v>
      </c>
      <c r="I1983" s="42" t="s">
        <v>37</v>
      </c>
      <c r="J1983" s="42">
        <v>5000</v>
      </c>
    </row>
    <row r="1984" spans="1:22">
      <c r="A1984" s="61" t="s">
        <v>1794</v>
      </c>
      <c r="C1984" s="64" t="s">
        <v>4</v>
      </c>
      <c r="D1984" s="64" t="s">
        <v>1760</v>
      </c>
      <c r="E1984" s="42" t="s">
        <v>1796</v>
      </c>
      <c r="F1984" s="42" t="s">
        <v>1794</v>
      </c>
      <c r="G1984" s="42">
        <v>124</v>
      </c>
      <c r="H1984" s="42" t="s">
        <v>267</v>
      </c>
      <c r="I1984" s="42" t="s">
        <v>37</v>
      </c>
      <c r="J1984" s="42">
        <v>5000</v>
      </c>
    </row>
    <row r="1985" spans="1:22">
      <c r="A1985" s="61" t="s">
        <v>1794</v>
      </c>
      <c r="C1985" s="64" t="s">
        <v>4</v>
      </c>
      <c r="D1985" s="64" t="s">
        <v>1760</v>
      </c>
      <c r="E1985" s="42" t="s">
        <v>1796</v>
      </c>
      <c r="F1985" s="42" t="s">
        <v>1794</v>
      </c>
      <c r="G1985" s="42">
        <v>125</v>
      </c>
      <c r="H1985" s="42" t="s">
        <v>269</v>
      </c>
      <c r="I1985" s="42" t="s">
        <v>37</v>
      </c>
      <c r="J1985" s="42">
        <v>5000</v>
      </c>
    </row>
    <row r="1986" spans="1:22">
      <c r="A1986" s="61" t="s">
        <v>1794</v>
      </c>
      <c r="C1986" s="64" t="s">
        <v>4</v>
      </c>
      <c r="D1986" s="64" t="s">
        <v>1760</v>
      </c>
      <c r="E1986" s="42" t="s">
        <v>1796</v>
      </c>
      <c r="F1986" s="42" t="s">
        <v>1794</v>
      </c>
      <c r="G1986" s="42">
        <v>126</v>
      </c>
      <c r="H1986" s="42" t="s">
        <v>361</v>
      </c>
      <c r="I1986" s="42" t="s">
        <v>37</v>
      </c>
      <c r="J1986" s="42">
        <v>10000</v>
      </c>
    </row>
    <row r="1987" spans="1:22">
      <c r="A1987" s="61" t="s">
        <v>1794</v>
      </c>
      <c r="C1987" s="64" t="s">
        <v>4</v>
      </c>
      <c r="D1987" s="64" t="s">
        <v>1760</v>
      </c>
      <c r="E1987" s="42" t="s">
        <v>1796</v>
      </c>
      <c r="F1987" s="42" t="s">
        <v>1794</v>
      </c>
      <c r="G1987" s="42">
        <v>127</v>
      </c>
      <c r="H1987" s="42" t="s">
        <v>315</v>
      </c>
      <c r="I1987" s="42" t="s">
        <v>37</v>
      </c>
      <c r="J1987" s="42">
        <v>20000</v>
      </c>
    </row>
    <row r="1988" spans="1:22">
      <c r="A1988" s="61" t="s">
        <v>1794</v>
      </c>
      <c r="C1988" s="64" t="s">
        <v>4</v>
      </c>
      <c r="D1988" s="64" t="s">
        <v>1760</v>
      </c>
      <c r="E1988" s="42" t="s">
        <v>1796</v>
      </c>
      <c r="F1988" s="42" t="s">
        <v>1794</v>
      </c>
      <c r="G1988" s="42">
        <v>128</v>
      </c>
      <c r="H1988" s="42" t="s">
        <v>309</v>
      </c>
      <c r="I1988" s="42" t="s">
        <v>37</v>
      </c>
      <c r="J1988" s="42">
        <v>5000</v>
      </c>
    </row>
    <row r="1989" spans="1:22">
      <c r="A1989" s="61" t="s">
        <v>1794</v>
      </c>
      <c r="C1989" s="64" t="s">
        <v>4</v>
      </c>
      <c r="D1989" s="64" t="s">
        <v>1760</v>
      </c>
      <c r="E1989" s="42" t="s">
        <v>1796</v>
      </c>
      <c r="F1989" s="42" t="s">
        <v>1794</v>
      </c>
      <c r="G1989" s="42">
        <v>129</v>
      </c>
      <c r="H1989" s="42" t="s">
        <v>531</v>
      </c>
      <c r="I1989" s="42" t="s">
        <v>37</v>
      </c>
      <c r="J1989" s="42">
        <v>5000</v>
      </c>
    </row>
    <row r="1990" spans="1:22">
      <c r="A1990" s="61" t="s">
        <v>1794</v>
      </c>
      <c r="C1990" s="64" t="s">
        <v>4</v>
      </c>
      <c r="D1990" s="64" t="s">
        <v>1760</v>
      </c>
      <c r="E1990" s="42" t="s">
        <v>1796</v>
      </c>
      <c r="F1990" s="42" t="s">
        <v>1794</v>
      </c>
      <c r="G1990" s="42">
        <v>130</v>
      </c>
      <c r="H1990" s="42" t="s">
        <v>473</v>
      </c>
      <c r="I1990" s="42" t="s">
        <v>37</v>
      </c>
      <c r="J1990" s="42">
        <v>30000</v>
      </c>
    </row>
    <row r="1991" spans="1:22">
      <c r="A1991" s="61" t="s">
        <v>1794</v>
      </c>
      <c r="C1991" s="64" t="s">
        <v>4</v>
      </c>
      <c r="D1991" s="64" t="s">
        <v>1760</v>
      </c>
      <c r="E1991" s="42" t="s">
        <v>1796</v>
      </c>
      <c r="F1991" s="42" t="s">
        <v>1794</v>
      </c>
      <c r="G1991" s="42">
        <v>131</v>
      </c>
      <c r="H1991" s="42" t="s">
        <v>697</v>
      </c>
      <c r="I1991" s="42" t="s">
        <v>37</v>
      </c>
      <c r="J1991" s="42">
        <v>20000</v>
      </c>
    </row>
    <row r="1992" spans="1:22">
      <c r="A1992" s="61" t="s">
        <v>1794</v>
      </c>
      <c r="C1992" s="64" t="s">
        <v>4</v>
      </c>
      <c r="D1992" s="64" t="s">
        <v>1760</v>
      </c>
      <c r="E1992" s="42" t="s">
        <v>1796</v>
      </c>
      <c r="F1992" s="42" t="s">
        <v>1794</v>
      </c>
      <c r="G1992" s="42">
        <v>132</v>
      </c>
      <c r="H1992" s="42" t="s">
        <v>459</v>
      </c>
      <c r="I1992" s="42" t="s">
        <v>37</v>
      </c>
      <c r="J1992" s="42">
        <v>10000</v>
      </c>
    </row>
    <row r="1993" spans="1:22">
      <c r="A1993" s="61" t="s">
        <v>1794</v>
      </c>
      <c r="C1993" s="64" t="s">
        <v>4</v>
      </c>
      <c r="D1993" s="64" t="s">
        <v>1760</v>
      </c>
      <c r="E1993" s="42" t="s">
        <v>1796</v>
      </c>
      <c r="F1993" s="42" t="s">
        <v>1794</v>
      </c>
      <c r="G1993" s="42">
        <v>133</v>
      </c>
      <c r="H1993" s="42" t="s">
        <v>493</v>
      </c>
      <c r="I1993" s="42" t="s">
        <v>37</v>
      </c>
      <c r="J1993" s="42">
        <v>20000</v>
      </c>
    </row>
    <row r="1994" spans="1:22">
      <c r="A1994" s="61" t="s">
        <v>1794</v>
      </c>
      <c r="C1994" s="64" t="s">
        <v>4</v>
      </c>
      <c r="D1994" s="64" t="s">
        <v>1760</v>
      </c>
      <c r="E1994" s="42" t="s">
        <v>1796</v>
      </c>
      <c r="F1994" s="42" t="s">
        <v>1794</v>
      </c>
      <c r="G1994" s="42">
        <v>134</v>
      </c>
      <c r="H1994" s="42" t="s">
        <v>253</v>
      </c>
      <c r="I1994" s="42" t="s">
        <v>37</v>
      </c>
      <c r="J1994" s="42">
        <v>10000</v>
      </c>
    </row>
    <row r="1995" spans="1:22">
      <c r="A1995" s="61" t="s">
        <v>1794</v>
      </c>
      <c r="C1995" s="64" t="s">
        <v>4</v>
      </c>
      <c r="D1995" s="64" t="s">
        <v>1760</v>
      </c>
      <c r="E1995" s="42" t="s">
        <v>1796</v>
      </c>
      <c r="F1995" s="42" t="s">
        <v>1794</v>
      </c>
      <c r="G1995" s="42">
        <v>135</v>
      </c>
      <c r="H1995" s="42" t="s">
        <v>1349</v>
      </c>
      <c r="I1995" s="42" t="s">
        <v>37</v>
      </c>
      <c r="J1995" s="42">
        <v>40000</v>
      </c>
    </row>
    <row r="1996" spans="1:22">
      <c r="A1996" s="61" t="s">
        <v>1794</v>
      </c>
      <c r="C1996" s="64" t="s">
        <v>4</v>
      </c>
      <c r="D1996" s="64" t="s">
        <v>1760</v>
      </c>
      <c r="E1996" s="42" t="s">
        <v>1796</v>
      </c>
      <c r="F1996" s="42" t="s">
        <v>1794</v>
      </c>
      <c r="G1996" s="42">
        <v>136</v>
      </c>
      <c r="H1996" s="42" t="s">
        <v>1328</v>
      </c>
      <c r="I1996" s="42" t="s">
        <v>37</v>
      </c>
      <c r="J1996" s="42">
        <v>5000</v>
      </c>
    </row>
    <row r="1997" spans="1:22">
      <c r="A1997" s="61" t="s">
        <v>1794</v>
      </c>
      <c r="C1997" s="64" t="s">
        <v>4</v>
      </c>
      <c r="D1997" s="64" t="s">
        <v>1760</v>
      </c>
      <c r="E1997" s="42" t="s">
        <v>1796</v>
      </c>
      <c r="F1997" s="42" t="s">
        <v>1794</v>
      </c>
      <c r="G1997" s="42">
        <v>137</v>
      </c>
      <c r="H1997" s="42" t="s">
        <v>179</v>
      </c>
      <c r="I1997" s="42" t="s">
        <v>37</v>
      </c>
      <c r="J1997" s="42">
        <v>30000</v>
      </c>
    </row>
    <row r="1998" spans="1:22">
      <c r="A1998" s="61" t="s">
        <v>1794</v>
      </c>
      <c r="C1998" s="64" t="s">
        <v>4</v>
      </c>
      <c r="D1998" s="64" t="s">
        <v>1760</v>
      </c>
      <c r="E1998" s="42" t="s">
        <v>1796</v>
      </c>
      <c r="F1998" s="42" t="s">
        <v>1794</v>
      </c>
      <c r="G1998" s="42">
        <v>138</v>
      </c>
      <c r="H1998" s="42" t="s">
        <v>53</v>
      </c>
      <c r="I1998" s="42" t="s">
        <v>37</v>
      </c>
      <c r="J1998" s="42">
        <v>10000</v>
      </c>
    </row>
    <row r="1999" spans="1:22">
      <c r="A1999" s="61" t="s">
        <v>1794</v>
      </c>
      <c r="C1999" s="64" t="s">
        <v>4</v>
      </c>
      <c r="D1999" s="64" t="s">
        <v>1760</v>
      </c>
      <c r="E1999" s="42" t="s">
        <v>1796</v>
      </c>
      <c r="F1999" s="42" t="s">
        <v>1794</v>
      </c>
      <c r="G1999" s="42">
        <v>139</v>
      </c>
      <c r="H1999" s="42" t="s">
        <v>55</v>
      </c>
      <c r="I1999" s="42" t="s">
        <v>37</v>
      </c>
      <c r="J1999" s="42">
        <v>15000</v>
      </c>
    </row>
    <row r="2000" spans="1:22">
      <c r="A2000" s="61" t="s">
        <v>1794</v>
      </c>
      <c r="C2000" s="64" t="s">
        <v>4</v>
      </c>
      <c r="D2000" s="64" t="s">
        <v>1760</v>
      </c>
      <c r="E2000" s="42" t="s">
        <v>1796</v>
      </c>
      <c r="F2000" s="42" t="s">
        <v>1794</v>
      </c>
      <c r="G2000" s="42">
        <v>140</v>
      </c>
      <c r="H2000" s="42" t="s">
        <v>60</v>
      </c>
      <c r="I2000" s="42" t="s">
        <v>37</v>
      </c>
      <c r="J2000" s="42">
        <v>30000</v>
      </c>
    </row>
    <row r="2001" spans="1:22">
      <c r="A2001" s="61" t="s">
        <v>1794</v>
      </c>
      <c r="C2001" s="64" t="s">
        <v>4</v>
      </c>
      <c r="D2001" s="64" t="s">
        <v>1760</v>
      </c>
      <c r="E2001" s="42" t="s">
        <v>1796</v>
      </c>
      <c r="F2001" s="42" t="s">
        <v>1794</v>
      </c>
      <c r="G2001" s="42">
        <v>141</v>
      </c>
      <c r="H2001" s="42" t="s">
        <v>593</v>
      </c>
      <c r="I2001" s="42" t="s">
        <v>37</v>
      </c>
      <c r="J2001" s="42">
        <v>90000</v>
      </c>
    </row>
    <row r="2002" spans="1:22">
      <c r="A2002" s="61" t="s">
        <v>1794</v>
      </c>
      <c r="C2002" s="64" t="s">
        <v>4</v>
      </c>
      <c r="D2002" s="64" t="s">
        <v>1760</v>
      </c>
      <c r="E2002" s="42" t="s">
        <v>1796</v>
      </c>
      <c r="F2002" s="42" t="s">
        <v>1794</v>
      </c>
      <c r="G2002" s="42">
        <v>142</v>
      </c>
      <c r="H2002" s="42" t="s">
        <v>1124</v>
      </c>
      <c r="I2002" s="42" t="s">
        <v>37</v>
      </c>
      <c r="J2002" s="42">
        <v>10000</v>
      </c>
    </row>
    <row r="2003" spans="1:22">
      <c r="A2003" s="61" t="s">
        <v>1794</v>
      </c>
      <c r="C2003" s="64" t="s">
        <v>4</v>
      </c>
      <c r="D2003" s="64" t="s">
        <v>1760</v>
      </c>
      <c r="E2003" s="42" t="s">
        <v>1796</v>
      </c>
      <c r="F2003" s="42" t="s">
        <v>1794</v>
      </c>
      <c r="G2003" s="42">
        <v>143</v>
      </c>
      <c r="H2003" s="42" t="s">
        <v>67</v>
      </c>
      <c r="I2003" s="42" t="s">
        <v>37</v>
      </c>
      <c r="J2003" s="42">
        <v>40000</v>
      </c>
    </row>
    <row r="2004" spans="1:22">
      <c r="A2004" s="61" t="s">
        <v>1794</v>
      </c>
      <c r="C2004" s="64" t="s">
        <v>4</v>
      </c>
      <c r="D2004" s="64" t="s">
        <v>1760</v>
      </c>
      <c r="E2004" s="42" t="s">
        <v>1796</v>
      </c>
      <c r="F2004" s="42" t="s">
        <v>1794</v>
      </c>
      <c r="G2004" s="42">
        <v>144</v>
      </c>
      <c r="H2004" s="42" t="s">
        <v>70</v>
      </c>
      <c r="I2004" s="42" t="s">
        <v>37</v>
      </c>
      <c r="J2004" s="42">
        <v>10000</v>
      </c>
    </row>
    <row r="2005" spans="1:22">
      <c r="A2005" s="61" t="s">
        <v>1794</v>
      </c>
      <c r="C2005" s="64" t="s">
        <v>4</v>
      </c>
      <c r="D2005" s="64" t="s">
        <v>1760</v>
      </c>
      <c r="E2005" s="42" t="s">
        <v>1796</v>
      </c>
      <c r="F2005" s="42" t="s">
        <v>1794</v>
      </c>
      <c r="G2005" s="42">
        <v>145</v>
      </c>
      <c r="H2005" s="42" t="s">
        <v>71</v>
      </c>
      <c r="I2005" s="42" t="s">
        <v>37</v>
      </c>
      <c r="J2005" s="42">
        <v>10000</v>
      </c>
    </row>
    <row r="2006" spans="1:22">
      <c r="A2006" s="61" t="s">
        <v>1794</v>
      </c>
      <c r="C2006" s="64" t="s">
        <v>4</v>
      </c>
      <c r="D2006" s="64" t="s">
        <v>1760</v>
      </c>
      <c r="E2006" s="42" t="s">
        <v>1796</v>
      </c>
      <c r="F2006" s="42" t="s">
        <v>1794</v>
      </c>
      <c r="G2006" s="42">
        <v>146</v>
      </c>
      <c r="H2006" s="42" t="s">
        <v>74</v>
      </c>
      <c r="I2006" s="42" t="s">
        <v>37</v>
      </c>
      <c r="J2006" s="42">
        <v>10000</v>
      </c>
    </row>
    <row r="2007" spans="1:22">
      <c r="A2007" s="61" t="s">
        <v>1794</v>
      </c>
      <c r="C2007" s="64" t="s">
        <v>4</v>
      </c>
      <c r="D2007" s="64" t="s">
        <v>1760</v>
      </c>
      <c r="E2007" s="42" t="s">
        <v>1796</v>
      </c>
      <c r="F2007" s="42" t="s">
        <v>1794</v>
      </c>
      <c r="G2007" s="42">
        <v>147</v>
      </c>
      <c r="H2007" s="42" t="s">
        <v>469</v>
      </c>
      <c r="I2007" s="42" t="s">
        <v>37</v>
      </c>
      <c r="J2007" s="42">
        <v>50000</v>
      </c>
    </row>
    <row r="2008" spans="1:22">
      <c r="A2008" s="61" t="s">
        <v>1794</v>
      </c>
      <c r="C2008" s="64" t="s">
        <v>4</v>
      </c>
      <c r="D2008" s="64" t="s">
        <v>1760</v>
      </c>
      <c r="E2008" s="42" t="s">
        <v>1796</v>
      </c>
      <c r="F2008" s="42" t="s">
        <v>1794</v>
      </c>
      <c r="G2008" s="42">
        <v>148</v>
      </c>
      <c r="H2008" s="42" t="s">
        <v>471</v>
      </c>
      <c r="I2008" s="42" t="s">
        <v>37</v>
      </c>
      <c r="J2008" s="42">
        <v>20000</v>
      </c>
    </row>
    <row r="2009" spans="1:22">
      <c r="A2009" s="61" t="s">
        <v>1794</v>
      </c>
      <c r="C2009" s="64" t="s">
        <v>4</v>
      </c>
      <c r="D2009" s="64" t="s">
        <v>1760</v>
      </c>
      <c r="E2009" s="42" t="s">
        <v>1796</v>
      </c>
      <c r="F2009" s="42" t="s">
        <v>1794</v>
      </c>
      <c r="G2009" s="42">
        <v>149</v>
      </c>
      <c r="H2009" s="42" t="s">
        <v>78</v>
      </c>
      <c r="I2009" s="42" t="s">
        <v>37</v>
      </c>
      <c r="J2009" s="42">
        <v>10000</v>
      </c>
    </row>
    <row r="2010" spans="1:22">
      <c r="A2010" s="61" t="s">
        <v>1794</v>
      </c>
      <c r="C2010" s="64" t="s">
        <v>4</v>
      </c>
      <c r="D2010" s="64" t="s">
        <v>1760</v>
      </c>
      <c r="E2010" s="42" t="s">
        <v>1796</v>
      </c>
      <c r="F2010" s="42" t="s">
        <v>1794</v>
      </c>
      <c r="G2010" s="42">
        <v>150</v>
      </c>
      <c r="H2010" s="42" t="s">
        <v>79</v>
      </c>
      <c r="I2010" s="42" t="s">
        <v>37</v>
      </c>
      <c r="J2010" s="42">
        <v>50000</v>
      </c>
    </row>
    <row r="2011" spans="1:22">
      <c r="A2011" s="61" t="s">
        <v>1794</v>
      </c>
      <c r="C2011" s="64" t="s">
        <v>4</v>
      </c>
      <c r="D2011" s="64" t="s">
        <v>1760</v>
      </c>
      <c r="E2011" s="42" t="s">
        <v>1796</v>
      </c>
      <c r="F2011" s="42" t="s">
        <v>1794</v>
      </c>
      <c r="G2011" s="42">
        <v>151</v>
      </c>
      <c r="H2011" s="42" t="s">
        <v>80</v>
      </c>
      <c r="I2011" s="42" t="s">
        <v>37</v>
      </c>
      <c r="J2011" s="42">
        <v>5000</v>
      </c>
    </row>
    <row r="2012" spans="1:22">
      <c r="A2012" s="61" t="s">
        <v>1794</v>
      </c>
      <c r="C2012" s="64" t="s">
        <v>4</v>
      </c>
      <c r="D2012" s="64" t="s">
        <v>1760</v>
      </c>
      <c r="E2012" s="42" t="s">
        <v>1796</v>
      </c>
      <c r="F2012" s="42" t="s">
        <v>1794</v>
      </c>
      <c r="G2012" s="42">
        <v>152</v>
      </c>
      <c r="H2012" s="42" t="s">
        <v>81</v>
      </c>
      <c r="I2012" s="42" t="s">
        <v>37</v>
      </c>
      <c r="J2012" s="42">
        <v>4000</v>
      </c>
    </row>
    <row r="2013" spans="1:22">
      <c r="A2013" s="61" t="s">
        <v>1794</v>
      </c>
      <c r="C2013" s="64" t="s">
        <v>4</v>
      </c>
      <c r="D2013" s="64" t="s">
        <v>1760</v>
      </c>
      <c r="E2013" s="42" t="s">
        <v>1796</v>
      </c>
      <c r="F2013" s="42" t="s">
        <v>1794</v>
      </c>
      <c r="G2013" s="42">
        <v>153</v>
      </c>
      <c r="H2013" s="42" t="s">
        <v>85</v>
      </c>
      <c r="I2013" s="42" t="s">
        <v>37</v>
      </c>
      <c r="J2013" s="42">
        <v>5000</v>
      </c>
    </row>
    <row r="2014" spans="1:22">
      <c r="A2014" s="61" t="s">
        <v>1794</v>
      </c>
      <c r="C2014" s="64" t="s">
        <v>4</v>
      </c>
      <c r="D2014" s="64" t="s">
        <v>1760</v>
      </c>
      <c r="E2014" s="42" t="s">
        <v>1796</v>
      </c>
      <c r="F2014" s="42" t="s">
        <v>1794</v>
      </c>
      <c r="G2014" s="42">
        <v>154</v>
      </c>
      <c r="H2014" s="42" t="s">
        <v>86</v>
      </c>
      <c r="I2014" s="42" t="s">
        <v>37</v>
      </c>
      <c r="J2014" s="42">
        <v>5000</v>
      </c>
    </row>
    <row r="2015" spans="1:22">
      <c r="A2015" s="61" t="s">
        <v>1794</v>
      </c>
      <c r="C2015" s="64" t="s">
        <v>4</v>
      </c>
      <c r="D2015" s="64" t="s">
        <v>1760</v>
      </c>
      <c r="E2015" s="42" t="s">
        <v>1796</v>
      </c>
      <c r="F2015" s="42" t="s">
        <v>1794</v>
      </c>
      <c r="G2015" s="42">
        <v>155</v>
      </c>
      <c r="H2015" s="42" t="s">
        <v>89</v>
      </c>
      <c r="I2015" s="42" t="s">
        <v>37</v>
      </c>
      <c r="J2015" s="42">
        <v>16000</v>
      </c>
    </row>
    <row r="2016" spans="1:22">
      <c r="A2016" s="61" t="s">
        <v>1794</v>
      </c>
      <c r="C2016" s="64" t="s">
        <v>4</v>
      </c>
      <c r="D2016" s="64" t="s">
        <v>1760</v>
      </c>
      <c r="E2016" s="42" t="s">
        <v>1796</v>
      </c>
      <c r="F2016" s="42" t="s">
        <v>1794</v>
      </c>
      <c r="G2016" s="42">
        <v>156</v>
      </c>
      <c r="H2016" s="42" t="s">
        <v>116</v>
      </c>
      <c r="I2016" s="42" t="s">
        <v>37</v>
      </c>
      <c r="J2016" s="42">
        <v>30000</v>
      </c>
    </row>
    <row r="2017" spans="1:22">
      <c r="A2017" s="61" t="s">
        <v>1794</v>
      </c>
      <c r="C2017" s="64" t="s">
        <v>4</v>
      </c>
      <c r="D2017" s="64" t="s">
        <v>1760</v>
      </c>
      <c r="E2017" s="42" t="s">
        <v>1796</v>
      </c>
      <c r="F2017" s="42" t="s">
        <v>1794</v>
      </c>
      <c r="G2017" s="42">
        <v>157</v>
      </c>
      <c r="H2017" s="42" t="s">
        <v>623</v>
      </c>
      <c r="I2017" s="42" t="s">
        <v>37</v>
      </c>
      <c r="J2017" s="42">
        <v>5000</v>
      </c>
    </row>
    <row r="2018" spans="1:22">
      <c r="A2018" s="61" t="s">
        <v>1794</v>
      </c>
      <c r="C2018" s="64" t="s">
        <v>4</v>
      </c>
      <c r="D2018" s="64" t="s">
        <v>1760</v>
      </c>
      <c r="E2018" s="42" t="s">
        <v>1796</v>
      </c>
      <c r="F2018" s="42" t="s">
        <v>1794</v>
      </c>
      <c r="G2018" s="42">
        <v>158</v>
      </c>
      <c r="H2018" s="42" t="s">
        <v>118</v>
      </c>
      <c r="I2018" s="42" t="s">
        <v>37</v>
      </c>
      <c r="J2018" s="42">
        <v>5000</v>
      </c>
    </row>
    <row r="2019" spans="1:22">
      <c r="A2019" s="61" t="s">
        <v>1794</v>
      </c>
      <c r="C2019" s="64" t="s">
        <v>4</v>
      </c>
      <c r="D2019" s="64" t="s">
        <v>1760</v>
      </c>
      <c r="E2019" s="42" t="s">
        <v>1796</v>
      </c>
      <c r="F2019" s="42" t="s">
        <v>1794</v>
      </c>
      <c r="G2019" s="42">
        <v>159</v>
      </c>
      <c r="H2019" s="42" t="s">
        <v>1330</v>
      </c>
      <c r="I2019" s="42" t="s">
        <v>37</v>
      </c>
      <c r="J2019" s="42">
        <v>5000</v>
      </c>
    </row>
    <row r="2020" spans="1:22">
      <c r="A2020" s="61" t="s">
        <v>1794</v>
      </c>
      <c r="C2020" s="64" t="s">
        <v>4</v>
      </c>
      <c r="D2020" s="64" t="s">
        <v>1760</v>
      </c>
      <c r="E2020" s="42" t="s">
        <v>1796</v>
      </c>
      <c r="F2020" s="42" t="s">
        <v>1794</v>
      </c>
      <c r="G2020" s="42">
        <v>160</v>
      </c>
      <c r="H2020" s="42" t="s">
        <v>120</v>
      </c>
      <c r="I2020" s="42" t="s">
        <v>37</v>
      </c>
      <c r="J2020" s="42">
        <v>25000</v>
      </c>
    </row>
    <row r="2021" spans="1:22">
      <c r="A2021" s="61" t="s">
        <v>1794</v>
      </c>
      <c r="C2021" s="64" t="s">
        <v>4</v>
      </c>
      <c r="D2021" s="64" t="s">
        <v>1760</v>
      </c>
      <c r="E2021" s="42" t="s">
        <v>1796</v>
      </c>
      <c r="F2021" s="42" t="s">
        <v>1794</v>
      </c>
      <c r="G2021" s="42">
        <v>161</v>
      </c>
      <c r="H2021" s="42" t="s">
        <v>437</v>
      </c>
      <c r="I2021" s="42" t="s">
        <v>37</v>
      </c>
      <c r="J2021" s="42">
        <v>30000</v>
      </c>
    </row>
    <row r="2022" spans="1:22">
      <c r="A2022" s="61" t="s">
        <v>1794</v>
      </c>
      <c r="C2022" s="64" t="s">
        <v>4</v>
      </c>
      <c r="D2022" s="64" t="s">
        <v>1760</v>
      </c>
      <c r="E2022" s="42" t="s">
        <v>1796</v>
      </c>
      <c r="F2022" s="42" t="s">
        <v>1794</v>
      </c>
      <c r="G2022" s="42">
        <v>162</v>
      </c>
      <c r="H2022" s="42" t="s">
        <v>249</v>
      </c>
      <c r="I2022" s="42" t="s">
        <v>37</v>
      </c>
      <c r="J2022" s="42">
        <v>60000</v>
      </c>
    </row>
    <row r="2023" spans="1:22">
      <c r="A2023" s="61" t="s">
        <v>1794</v>
      </c>
      <c r="C2023" s="64" t="s">
        <v>4</v>
      </c>
      <c r="D2023" s="64" t="s">
        <v>1760</v>
      </c>
      <c r="E2023" s="42" t="s">
        <v>1796</v>
      </c>
      <c r="F2023" s="42" t="s">
        <v>1794</v>
      </c>
      <c r="G2023" s="42">
        <v>163</v>
      </c>
      <c r="H2023" s="42" t="s">
        <v>299</v>
      </c>
      <c r="I2023" s="42" t="s">
        <v>37</v>
      </c>
      <c r="J2023" s="42">
        <v>30000</v>
      </c>
    </row>
    <row r="2024" spans="1:22">
      <c r="A2024" s="61" t="s">
        <v>1794</v>
      </c>
      <c r="C2024" s="64" t="s">
        <v>4</v>
      </c>
      <c r="D2024" s="64" t="s">
        <v>1760</v>
      </c>
      <c r="E2024" s="42" t="s">
        <v>1796</v>
      </c>
      <c r="F2024" s="42" t="s">
        <v>1794</v>
      </c>
      <c r="G2024" s="42">
        <v>164</v>
      </c>
      <c r="H2024" s="42" t="s">
        <v>261</v>
      </c>
      <c r="I2024" s="42" t="s">
        <v>37</v>
      </c>
      <c r="J2024" s="42">
        <v>5000</v>
      </c>
    </row>
    <row r="2025" spans="1:22">
      <c r="A2025" s="61" t="s">
        <v>1794</v>
      </c>
      <c r="C2025" s="64" t="s">
        <v>4</v>
      </c>
      <c r="D2025" s="64" t="s">
        <v>1760</v>
      </c>
      <c r="E2025" s="42" t="s">
        <v>1796</v>
      </c>
      <c r="F2025" s="42" t="s">
        <v>1794</v>
      </c>
      <c r="G2025" s="42">
        <v>165</v>
      </c>
      <c r="H2025" s="42" t="s">
        <v>323</v>
      </c>
      <c r="I2025" s="42" t="s">
        <v>37</v>
      </c>
      <c r="J2025" s="42">
        <v>130000</v>
      </c>
    </row>
    <row r="2026" spans="1:22">
      <c r="A2026" s="61" t="s">
        <v>1794</v>
      </c>
      <c r="C2026" s="64" t="s">
        <v>4</v>
      </c>
      <c r="D2026" s="64" t="s">
        <v>1760</v>
      </c>
      <c r="E2026" s="42" t="s">
        <v>1796</v>
      </c>
      <c r="F2026" s="42" t="s">
        <v>1794</v>
      </c>
      <c r="G2026" s="42">
        <v>166</v>
      </c>
      <c r="H2026" s="42" t="s">
        <v>495</v>
      </c>
      <c r="I2026" s="42" t="s">
        <v>37</v>
      </c>
      <c r="J2026" s="42">
        <v>260000</v>
      </c>
    </row>
    <row r="2027" spans="1:22">
      <c r="A2027" s="61" t="s">
        <v>1794</v>
      </c>
      <c r="C2027" s="64" t="s">
        <v>4</v>
      </c>
      <c r="D2027" s="64" t="s">
        <v>1760</v>
      </c>
      <c r="E2027" s="42" t="s">
        <v>1796</v>
      </c>
      <c r="F2027" s="42" t="s">
        <v>1794</v>
      </c>
      <c r="G2027" s="42">
        <v>167</v>
      </c>
      <c r="H2027" s="42" t="s">
        <v>263</v>
      </c>
      <c r="I2027" s="42" t="s">
        <v>37</v>
      </c>
      <c r="J2027" s="42">
        <v>10000</v>
      </c>
    </row>
    <row r="2028" spans="1:22">
      <c r="A2028" s="61" t="s">
        <v>1794</v>
      </c>
      <c r="C2028" s="64" t="s">
        <v>4</v>
      </c>
      <c r="D2028" s="64" t="s">
        <v>1760</v>
      </c>
      <c r="E2028" s="42" t="s">
        <v>1796</v>
      </c>
      <c r="F2028" s="42" t="s">
        <v>1794</v>
      </c>
      <c r="G2028" s="42">
        <v>168</v>
      </c>
      <c r="H2028" s="42" t="s">
        <v>533</v>
      </c>
      <c r="I2028" s="42" t="s">
        <v>37</v>
      </c>
      <c r="J2028" s="42">
        <v>10000</v>
      </c>
    </row>
    <row r="2029" spans="1:22">
      <c r="A2029" s="61" t="s">
        <v>1794</v>
      </c>
      <c r="C2029" s="64" t="s">
        <v>4</v>
      </c>
      <c r="D2029" s="64" t="s">
        <v>1760</v>
      </c>
      <c r="E2029" s="42" t="s">
        <v>1796</v>
      </c>
      <c r="F2029" s="42" t="s">
        <v>1794</v>
      </c>
      <c r="G2029" s="42">
        <v>169</v>
      </c>
      <c r="H2029" s="42" t="s">
        <v>377</v>
      </c>
      <c r="I2029" s="42" t="s">
        <v>37</v>
      </c>
      <c r="J2029" s="42">
        <v>30000</v>
      </c>
    </row>
    <row r="2030" spans="1:22">
      <c r="A2030" s="61" t="s">
        <v>1794</v>
      </c>
      <c r="C2030" s="64" t="s">
        <v>4</v>
      </c>
      <c r="D2030" s="64" t="s">
        <v>1760</v>
      </c>
      <c r="E2030" s="42" t="s">
        <v>1796</v>
      </c>
      <c r="F2030" s="42" t="s">
        <v>1794</v>
      </c>
      <c r="G2030" s="42">
        <v>170</v>
      </c>
      <c r="H2030" s="42" t="s">
        <v>313</v>
      </c>
      <c r="I2030" s="42" t="s">
        <v>37</v>
      </c>
      <c r="J2030" s="42">
        <v>10000</v>
      </c>
    </row>
    <row r="2031" spans="1:22">
      <c r="A2031" s="61" t="s">
        <v>1794</v>
      </c>
      <c r="C2031" s="64" t="s">
        <v>4</v>
      </c>
      <c r="D2031" s="64" t="s">
        <v>1760</v>
      </c>
      <c r="E2031" s="42" t="s">
        <v>1796</v>
      </c>
      <c r="F2031" s="42" t="s">
        <v>1794</v>
      </c>
      <c r="G2031" s="42">
        <v>171</v>
      </c>
      <c r="H2031" s="42" t="s">
        <v>983</v>
      </c>
      <c r="I2031" s="42" t="s">
        <v>37</v>
      </c>
      <c r="J2031" s="42">
        <v>10000</v>
      </c>
    </row>
    <row r="2032" spans="1:22">
      <c r="A2032" s="61" t="s">
        <v>1794</v>
      </c>
      <c r="C2032" s="64" t="s">
        <v>4</v>
      </c>
      <c r="D2032" s="64" t="s">
        <v>1760</v>
      </c>
      <c r="E2032" s="42" t="s">
        <v>1796</v>
      </c>
      <c r="F2032" s="42" t="s">
        <v>1794</v>
      </c>
      <c r="G2032" s="42">
        <v>172</v>
      </c>
      <c r="H2032" s="42" t="s">
        <v>307</v>
      </c>
      <c r="I2032" s="42" t="s">
        <v>37</v>
      </c>
      <c r="J2032" s="42">
        <v>10000</v>
      </c>
    </row>
    <row r="2033" spans="1:22">
      <c r="A2033" s="61" t="s">
        <v>1794</v>
      </c>
      <c r="C2033" s="64" t="s">
        <v>4</v>
      </c>
      <c r="D2033" s="64" t="s">
        <v>1760</v>
      </c>
      <c r="E2033" s="42" t="s">
        <v>1796</v>
      </c>
      <c r="F2033" s="42" t="s">
        <v>1794</v>
      </c>
      <c r="G2033" s="42">
        <v>173</v>
      </c>
      <c r="H2033" s="42" t="s">
        <v>505</v>
      </c>
      <c r="I2033" s="42" t="s">
        <v>37</v>
      </c>
      <c r="J2033" s="42">
        <v>50000</v>
      </c>
    </row>
    <row r="2034" spans="1:22">
      <c r="A2034" s="61" t="s">
        <v>1794</v>
      </c>
      <c r="C2034" s="64" t="s">
        <v>4</v>
      </c>
      <c r="D2034" s="64" t="s">
        <v>1760</v>
      </c>
      <c r="E2034" s="42" t="s">
        <v>1796</v>
      </c>
      <c r="F2034" s="42" t="s">
        <v>1794</v>
      </c>
      <c r="G2034" s="42">
        <v>174</v>
      </c>
      <c r="H2034" s="42" t="s">
        <v>507</v>
      </c>
      <c r="I2034" s="42" t="s">
        <v>37</v>
      </c>
      <c r="J2034" s="42">
        <v>40000</v>
      </c>
    </row>
    <row r="2035" spans="1:22">
      <c r="A2035" s="61" t="s">
        <v>1794</v>
      </c>
      <c r="C2035" s="64" t="s">
        <v>4</v>
      </c>
      <c r="D2035" s="64" t="s">
        <v>1760</v>
      </c>
      <c r="E2035" s="42" t="s">
        <v>1796</v>
      </c>
      <c r="F2035" s="42" t="s">
        <v>1794</v>
      </c>
      <c r="G2035" s="42">
        <v>175</v>
      </c>
      <c r="H2035" s="42" t="s">
        <v>371</v>
      </c>
      <c r="I2035" s="42" t="s">
        <v>37</v>
      </c>
      <c r="J2035" s="42">
        <v>10000</v>
      </c>
    </row>
    <row r="2036" spans="1:22">
      <c r="A2036" s="61" t="s">
        <v>1794</v>
      </c>
      <c r="C2036" s="64" t="s">
        <v>4</v>
      </c>
      <c r="D2036" s="64" t="s">
        <v>1760</v>
      </c>
      <c r="E2036" s="42" t="s">
        <v>1796</v>
      </c>
      <c r="F2036" s="42" t="s">
        <v>1794</v>
      </c>
      <c r="G2036" s="42">
        <v>176</v>
      </c>
      <c r="H2036" s="42" t="s">
        <v>1409</v>
      </c>
      <c r="I2036" s="42" t="s">
        <v>37</v>
      </c>
      <c r="J2036" s="42">
        <v>2000</v>
      </c>
    </row>
    <row r="2037" spans="1:22">
      <c r="A2037" s="61" t="s">
        <v>1794</v>
      </c>
      <c r="C2037" s="64" t="s">
        <v>4</v>
      </c>
      <c r="D2037" s="64" t="s">
        <v>1760</v>
      </c>
      <c r="E2037" s="42" t="s">
        <v>1796</v>
      </c>
      <c r="F2037" s="42" t="s">
        <v>1794</v>
      </c>
      <c r="G2037" s="42">
        <v>177</v>
      </c>
      <c r="H2037" s="42" t="s">
        <v>245</v>
      </c>
      <c r="I2037" s="42" t="s">
        <v>37</v>
      </c>
      <c r="J2037" s="42">
        <v>10000</v>
      </c>
    </row>
    <row r="2038" spans="1:22">
      <c r="A2038" s="61" t="s">
        <v>1794</v>
      </c>
      <c r="C2038" s="64" t="s">
        <v>4</v>
      </c>
      <c r="D2038" s="64" t="s">
        <v>1760</v>
      </c>
      <c r="E2038" s="42" t="s">
        <v>1796</v>
      </c>
      <c r="F2038" s="42" t="s">
        <v>1794</v>
      </c>
      <c r="G2038" s="42">
        <v>178</v>
      </c>
      <c r="H2038" s="42" t="s">
        <v>251</v>
      </c>
      <c r="I2038" s="42" t="s">
        <v>37</v>
      </c>
      <c r="J2038" s="42">
        <v>5000</v>
      </c>
    </row>
    <row r="2039" spans="1:22">
      <c r="A2039" s="61" t="s">
        <v>1794</v>
      </c>
      <c r="C2039" s="64" t="s">
        <v>4</v>
      </c>
      <c r="D2039" s="64" t="s">
        <v>1760</v>
      </c>
      <c r="E2039" s="42" t="s">
        <v>1796</v>
      </c>
      <c r="F2039" s="42" t="s">
        <v>1794</v>
      </c>
      <c r="G2039" s="42">
        <v>179</v>
      </c>
      <c r="H2039" s="42" t="s">
        <v>701</v>
      </c>
      <c r="I2039" s="42" t="s">
        <v>37</v>
      </c>
      <c r="J2039" s="42">
        <v>10000</v>
      </c>
    </row>
    <row r="2040" spans="1:22">
      <c r="A2040" s="61" t="s">
        <v>1794</v>
      </c>
      <c r="C2040" s="64" t="s">
        <v>4</v>
      </c>
      <c r="D2040" s="64" t="s">
        <v>1760</v>
      </c>
      <c r="E2040" s="42" t="s">
        <v>1796</v>
      </c>
      <c r="F2040" s="42" t="s">
        <v>1794</v>
      </c>
      <c r="G2040" s="42">
        <v>180</v>
      </c>
      <c r="H2040" s="42" t="s">
        <v>525</v>
      </c>
      <c r="I2040" s="42" t="s">
        <v>37</v>
      </c>
      <c r="J2040" s="42">
        <v>16000</v>
      </c>
    </row>
    <row r="2041" spans="1:22">
      <c r="A2041" s="61" t="s">
        <v>1794</v>
      </c>
      <c r="C2041" s="64" t="s">
        <v>4</v>
      </c>
      <c r="D2041" s="64" t="s">
        <v>1760</v>
      </c>
      <c r="E2041" s="42" t="s">
        <v>1796</v>
      </c>
      <c r="F2041" s="42" t="s">
        <v>1794</v>
      </c>
      <c r="G2041" s="42">
        <v>181</v>
      </c>
      <c r="H2041" s="42" t="s">
        <v>146</v>
      </c>
      <c r="I2041" s="42" t="s">
        <v>37</v>
      </c>
      <c r="J2041" s="42">
        <v>5000</v>
      </c>
    </row>
    <row r="2042" spans="1:22">
      <c r="A2042" s="61" t="s">
        <v>1794</v>
      </c>
      <c r="C2042" s="64" t="s">
        <v>4</v>
      </c>
      <c r="D2042" s="64" t="s">
        <v>1760</v>
      </c>
      <c r="E2042" s="42" t="s">
        <v>1796</v>
      </c>
      <c r="F2042" s="42" t="s">
        <v>1794</v>
      </c>
      <c r="G2042" s="42">
        <v>182</v>
      </c>
      <c r="H2042" s="42" t="s">
        <v>148</v>
      </c>
      <c r="I2042" s="42" t="s">
        <v>37</v>
      </c>
      <c r="J2042" s="42">
        <v>60000</v>
      </c>
    </row>
    <row r="2043" spans="1:22">
      <c r="A2043" s="61" t="s">
        <v>1794</v>
      </c>
      <c r="C2043" s="64" t="s">
        <v>4</v>
      </c>
      <c r="D2043" s="64" t="s">
        <v>1760</v>
      </c>
      <c r="E2043" s="42" t="s">
        <v>1796</v>
      </c>
      <c r="F2043" s="42" t="s">
        <v>1794</v>
      </c>
      <c r="G2043" s="42">
        <v>183</v>
      </c>
      <c r="H2043" s="42" t="s">
        <v>221</v>
      </c>
      <c r="I2043" s="42" t="s">
        <v>37</v>
      </c>
      <c r="J2043" s="42">
        <v>120000</v>
      </c>
    </row>
    <row r="2044" spans="1:22">
      <c r="A2044" s="61" t="s">
        <v>1794</v>
      </c>
      <c r="C2044" s="64" t="s">
        <v>4</v>
      </c>
      <c r="D2044" s="64" t="s">
        <v>1760</v>
      </c>
      <c r="E2044" s="42" t="s">
        <v>1796</v>
      </c>
      <c r="F2044" s="42" t="s">
        <v>1794</v>
      </c>
      <c r="G2044" s="42">
        <v>184</v>
      </c>
      <c r="H2044" s="42" t="s">
        <v>151</v>
      </c>
      <c r="I2044" s="42" t="s">
        <v>37</v>
      </c>
      <c r="J2044" s="42">
        <v>10000</v>
      </c>
    </row>
    <row r="2045" spans="1:22">
      <c r="A2045" s="61" t="s">
        <v>1794</v>
      </c>
      <c r="C2045" s="64" t="s">
        <v>4</v>
      </c>
      <c r="D2045" s="64" t="s">
        <v>1760</v>
      </c>
      <c r="E2045" s="42" t="s">
        <v>1796</v>
      </c>
      <c r="F2045" s="42" t="s">
        <v>1794</v>
      </c>
      <c r="G2045" s="42">
        <v>185</v>
      </c>
      <c r="H2045" s="42" t="s">
        <v>301</v>
      </c>
      <c r="I2045" s="42" t="s">
        <v>37</v>
      </c>
      <c r="J2045" s="42">
        <v>20000</v>
      </c>
    </row>
    <row r="2046" spans="1:22">
      <c r="A2046" s="61" t="s">
        <v>1794</v>
      </c>
      <c r="C2046" s="64" t="s">
        <v>4</v>
      </c>
      <c r="D2046" s="64" t="s">
        <v>1760</v>
      </c>
      <c r="E2046" s="42" t="s">
        <v>1796</v>
      </c>
      <c r="F2046" s="42" t="s">
        <v>1794</v>
      </c>
      <c r="G2046" s="42">
        <v>186</v>
      </c>
      <c r="H2046" s="42" t="s">
        <v>153</v>
      </c>
      <c r="I2046" s="42" t="s">
        <v>37</v>
      </c>
      <c r="J2046" s="42">
        <v>40000</v>
      </c>
    </row>
    <row r="2047" spans="1:22">
      <c r="A2047" s="61" t="s">
        <v>1794</v>
      </c>
      <c r="C2047" s="64" t="s">
        <v>4</v>
      </c>
      <c r="D2047" s="64" t="s">
        <v>1760</v>
      </c>
      <c r="E2047" s="42" t="s">
        <v>1796</v>
      </c>
      <c r="F2047" s="42" t="s">
        <v>1794</v>
      </c>
      <c r="G2047" s="42">
        <v>187</v>
      </c>
      <c r="H2047" s="42" t="s">
        <v>617</v>
      </c>
      <c r="I2047" s="42" t="s">
        <v>37</v>
      </c>
      <c r="J2047" s="42">
        <v>50000</v>
      </c>
    </row>
    <row r="2048" spans="1:22">
      <c r="A2048" s="61" t="s">
        <v>1794</v>
      </c>
      <c r="C2048" s="64" t="s">
        <v>4</v>
      </c>
      <c r="D2048" s="64" t="s">
        <v>1760</v>
      </c>
      <c r="E2048" s="42" t="s">
        <v>1796</v>
      </c>
      <c r="F2048" s="42" t="s">
        <v>1794</v>
      </c>
      <c r="G2048" s="42">
        <v>188</v>
      </c>
      <c r="H2048" s="42" t="s">
        <v>497</v>
      </c>
      <c r="I2048" s="42" t="s">
        <v>37</v>
      </c>
      <c r="J2048" s="42">
        <v>30000</v>
      </c>
    </row>
    <row r="2049" spans="1:22">
      <c r="A2049" s="61" t="s">
        <v>1794</v>
      </c>
      <c r="C2049" s="64" t="s">
        <v>4</v>
      </c>
      <c r="D2049" s="64" t="s">
        <v>1760</v>
      </c>
      <c r="E2049" s="42" t="s">
        <v>1796</v>
      </c>
      <c r="F2049" s="42" t="s">
        <v>1794</v>
      </c>
      <c r="G2049" s="42">
        <v>189</v>
      </c>
      <c r="H2049" s="42" t="s">
        <v>155</v>
      </c>
      <c r="I2049" s="42" t="s">
        <v>37</v>
      </c>
      <c r="J2049" s="42">
        <v>5000</v>
      </c>
    </row>
    <row r="2050" spans="1:22">
      <c r="A2050" s="61" t="s">
        <v>1794</v>
      </c>
      <c r="C2050" s="64" t="s">
        <v>4</v>
      </c>
      <c r="D2050" s="64" t="s">
        <v>1760</v>
      </c>
      <c r="E2050" s="42" t="s">
        <v>1796</v>
      </c>
      <c r="F2050" s="42" t="s">
        <v>1794</v>
      </c>
      <c r="G2050" s="42">
        <v>190</v>
      </c>
      <c r="H2050" s="42" t="s">
        <v>1163</v>
      </c>
      <c r="I2050" s="42" t="s">
        <v>37</v>
      </c>
      <c r="J2050" s="42">
        <v>1000</v>
      </c>
    </row>
    <row r="2051" spans="1:22">
      <c r="A2051" s="61" t="s">
        <v>1794</v>
      </c>
      <c r="C2051" s="64" t="s">
        <v>4</v>
      </c>
      <c r="D2051" s="64" t="s">
        <v>1760</v>
      </c>
      <c r="E2051" s="42" t="s">
        <v>1796</v>
      </c>
      <c r="F2051" s="42" t="s">
        <v>1794</v>
      </c>
      <c r="G2051" s="42">
        <v>191</v>
      </c>
      <c r="H2051" s="42" t="s">
        <v>1190</v>
      </c>
      <c r="I2051" s="42" t="s">
        <v>37</v>
      </c>
      <c r="J2051" s="42">
        <v>500</v>
      </c>
    </row>
    <row r="2052" spans="1:22">
      <c r="A2052" s="61" t="s">
        <v>1794</v>
      </c>
      <c r="C2052" s="64" t="s">
        <v>4</v>
      </c>
      <c r="D2052" s="64" t="s">
        <v>1760</v>
      </c>
      <c r="E2052" s="42" t="s">
        <v>1796</v>
      </c>
      <c r="F2052" s="42" t="s">
        <v>1794</v>
      </c>
      <c r="G2052" s="42">
        <v>192</v>
      </c>
      <c r="H2052" s="42" t="s">
        <v>1192</v>
      </c>
      <c r="I2052" s="42" t="s">
        <v>37</v>
      </c>
      <c r="J2052" s="42">
        <v>100</v>
      </c>
    </row>
    <row r="2053" spans="1:22">
      <c r="A2053" s="61" t="s">
        <v>1794</v>
      </c>
      <c r="C2053" s="64" t="s">
        <v>4</v>
      </c>
      <c r="D2053" s="64" t="s">
        <v>1760</v>
      </c>
      <c r="E2053" s="42" t="s">
        <v>1796</v>
      </c>
      <c r="F2053" s="42" t="s">
        <v>1794</v>
      </c>
      <c r="G2053" s="42">
        <v>193</v>
      </c>
      <c r="H2053" s="42" t="s">
        <v>174</v>
      </c>
      <c r="I2053" s="42" t="s">
        <v>102</v>
      </c>
      <c r="J2053" s="42">
        <v>34735</v>
      </c>
    </row>
    <row r="2054" spans="1:22">
      <c r="A2054" s="61" t="s">
        <v>1794</v>
      </c>
      <c r="C2054" s="64" t="s">
        <v>4</v>
      </c>
      <c r="D2054" s="64" t="s">
        <v>1760</v>
      </c>
      <c r="E2054" s="42" t="s">
        <v>1795</v>
      </c>
      <c r="F2054" s="42" t="s">
        <v>1794</v>
      </c>
      <c r="G2054" s="42">
        <v>1</v>
      </c>
      <c r="H2054" s="42" t="s">
        <v>114</v>
      </c>
      <c r="I2054" s="42" t="s">
        <v>106</v>
      </c>
      <c r="J2054" s="42">
        <v>36426</v>
      </c>
    </row>
  </sheetData>
  <sheetProtection objects="1" scenarios="1" formatCells="1" formatColumns="1" formatRows="1" insertColumns="1" insertRows="1" insertHyperlinks="1" deleteColumns="1" deleteRows="1" sort="1" autoFilter="1" pivotTables="1" selectLockedCells="1" selectUnlockedCells="1"/>
  <mergeCells>
    <mergeCell ref="A1:I1"/>
  </mergeCells>
  <printOptions gridLines="false" gridLinesSet="true" horizontalCentered="true"/>
  <pageMargins left="0.23622047244094" right="0.23622047244094" top="0.51181102362205" bottom="0.98425196850394" header="0.51181102362205" footer="0.51181102362205"/>
  <pageSetup paperSize="1" orientation="landscape" scale="90" fitToHeight="1" fitToWidth="1" pageOrder="downThenOver"/>
  <headerFooter differentOddEven="false" differentFirst="false" scaleWithDoc="true" alignWithMargins="true">
    <oddFooter>&amp;RBOI-WI-001-F01-1</oddFooter>
    <evenFooter>&amp;RBOI-WI-001-F01-1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48"/>
  <sheetViews>
    <sheetView tabSelected="0" workbookViewId="0" showGridLines="true" showRowColHeaders="1">
      <selection activeCell="G13" sqref="G13"/>
    </sheetView>
  </sheetViews>
  <sheetFormatPr customHeight="true" defaultRowHeight="12.5" outlineLevelRow="0" outlineLevelCol="0"/>
  <cols>
    <col min="1" max="1" width="19.26953125" customWidth="true" style="0"/>
    <col min="2" max="2" width="25.1796875" customWidth="true" style="0"/>
    <col min="3" max="3" width="46.7265625" customWidth="true" style="0"/>
    <col min="4" max="4" width="21.6328125" customWidth="true" style="0"/>
    <col min="5" max="5" width="26.6328125" customWidth="true" style="0"/>
  </cols>
  <sheetData>
    <row r="1" spans="1:5" customHeight="1" ht="17.5">
      <c r="A1" s="136" t="s">
        <v>1797</v>
      </c>
      <c r="B1" s="136"/>
      <c r="C1" s="136"/>
      <c r="D1" s="50"/>
      <c r="E1" s="50"/>
    </row>
    <row r="2" spans="1:5" customHeight="1" ht="12.5">
      <c r="A2" s="18" t="s">
        <v>1798</v>
      </c>
      <c r="B2" s="19" t="s">
        <v>1751</v>
      </c>
      <c r="C2" s="37" t="s">
        <v>1799</v>
      </c>
      <c r="D2" s="48" t="s">
        <v>1758</v>
      </c>
      <c r="E2" s="48" t="s">
        <v>1800</v>
      </c>
    </row>
    <row r="3" spans="1:5" customHeight="1" ht="12.5">
      <c r="A3" s="22"/>
      <c r="B3" s="23"/>
      <c r="C3" s="38"/>
      <c r="D3" s="44"/>
      <c r="E3" s="44"/>
    </row>
    <row r="4" spans="1:5" customHeight="1" ht="12.5">
      <c r="A4" s="22"/>
      <c r="B4" s="23"/>
      <c r="C4" s="38"/>
      <c r="D4" s="44"/>
      <c r="E4" s="44"/>
    </row>
    <row r="5" spans="1:5" customHeight="1" ht="12.5">
      <c r="A5" s="22"/>
      <c r="B5" s="23"/>
      <c r="C5" s="38"/>
      <c r="D5" s="44"/>
      <c r="E5" s="44"/>
    </row>
    <row r="6" spans="1:5" customHeight="1" ht="12.5">
      <c r="A6" s="22"/>
      <c r="B6" s="23"/>
      <c r="C6" s="38"/>
      <c r="D6" s="44"/>
      <c r="E6" s="44"/>
    </row>
    <row r="7" spans="1:5" customHeight="1" ht="12.5">
      <c r="A7" s="22"/>
      <c r="B7" s="23"/>
      <c r="C7" s="38"/>
      <c r="D7" s="44"/>
      <c r="E7" s="44"/>
    </row>
    <row r="8" spans="1:5" customHeight="1" ht="12.5">
      <c r="A8" s="22"/>
      <c r="B8" s="23"/>
      <c r="C8" s="38"/>
      <c r="D8" s="44"/>
      <c r="E8" s="44"/>
    </row>
    <row r="9" spans="1:5" customHeight="1" ht="12.5">
      <c r="A9" s="26"/>
      <c r="B9" s="27"/>
      <c r="C9" s="39"/>
      <c r="D9" s="45"/>
      <c r="E9" s="45"/>
    </row>
    <row r="10" spans="1:5" customHeight="1" ht="12.5">
      <c r="A10" s="26"/>
      <c r="B10" s="27"/>
      <c r="C10" s="39"/>
      <c r="D10" s="45"/>
      <c r="E10" s="45"/>
    </row>
    <row r="11" spans="1:5" customHeight="1" ht="12.5">
      <c r="A11" s="26"/>
      <c r="B11" s="27"/>
      <c r="C11" s="39"/>
      <c r="D11" s="45"/>
      <c r="E11" s="45"/>
    </row>
    <row r="12" spans="1:5" customHeight="1" ht="12.5">
      <c r="A12" s="26"/>
      <c r="B12" s="27"/>
      <c r="C12" s="39"/>
      <c r="D12" s="45"/>
      <c r="E12" s="45"/>
    </row>
    <row r="13" spans="1:5" customHeight="1" ht="12.5">
      <c r="A13" s="26"/>
      <c r="B13" s="27"/>
      <c r="C13" s="39"/>
      <c r="D13" s="45"/>
      <c r="E13" s="45"/>
    </row>
    <row r="14" spans="1:5" customHeight="1" ht="12.5">
      <c r="A14" s="26"/>
      <c r="B14" s="27"/>
      <c r="C14" s="39"/>
      <c r="D14" s="45"/>
      <c r="E14" s="45"/>
    </row>
    <row r="15" spans="1:5" customHeight="1" ht="12.5">
      <c r="A15" s="35"/>
      <c r="B15" s="36"/>
      <c r="C15" s="36"/>
      <c r="D15" s="46"/>
      <c r="E15" s="46"/>
    </row>
    <row r="16" spans="1:5" customHeight="1" ht="12.5">
      <c r="A16" s="35"/>
      <c r="B16" s="36"/>
      <c r="C16" s="36"/>
      <c r="D16" s="46"/>
      <c r="E16" s="46"/>
    </row>
    <row r="17" spans="1:5" customHeight="1" ht="12.5">
      <c r="A17" s="29"/>
      <c r="B17" s="30"/>
      <c r="C17" s="36"/>
      <c r="D17" s="46"/>
      <c r="E17" s="46"/>
    </row>
    <row r="18" spans="1:5" customHeight="1" ht="12.5">
      <c r="A18" s="26"/>
      <c r="B18" s="27"/>
      <c r="C18" s="39"/>
      <c r="D18" s="45"/>
      <c r="E18" s="45"/>
    </row>
    <row r="19" spans="1:5" customHeight="1" ht="12.5">
      <c r="A19" s="26"/>
      <c r="B19" s="27"/>
      <c r="C19" s="39"/>
      <c r="D19" s="45"/>
      <c r="E19" s="45"/>
    </row>
    <row r="20" spans="1:5" customHeight="1" ht="12.5">
      <c r="A20" s="26"/>
      <c r="B20" s="27"/>
      <c r="C20" s="39"/>
      <c r="D20" s="45"/>
      <c r="E20" s="45"/>
    </row>
    <row r="21" spans="1:5" customHeight="1" ht="12.5">
      <c r="A21" s="26"/>
      <c r="B21" s="27"/>
      <c r="C21" s="39"/>
      <c r="D21" s="45"/>
      <c r="E21" s="45"/>
    </row>
    <row r="22" spans="1:5" customHeight="1" ht="12.5">
      <c r="A22" s="26"/>
      <c r="B22" s="27"/>
      <c r="C22" s="39"/>
      <c r="D22" s="45"/>
      <c r="E22" s="45"/>
    </row>
    <row r="23" spans="1:5" customHeight="1" ht="12.5">
      <c r="A23" s="26"/>
      <c r="B23" s="27"/>
      <c r="C23" s="39"/>
      <c r="D23" s="45"/>
      <c r="E23" s="45"/>
    </row>
    <row r="24" spans="1:5" customHeight="1" ht="12.5">
      <c r="A24" s="26"/>
      <c r="B24" s="27"/>
      <c r="C24" s="39"/>
      <c r="D24" s="45"/>
      <c r="E24" s="45"/>
    </row>
    <row r="25" spans="1:5" customHeight="1" ht="12.5">
      <c r="A25" s="26"/>
      <c r="B25" s="27"/>
      <c r="C25" s="39"/>
      <c r="D25" s="45"/>
      <c r="E25" s="45"/>
    </row>
    <row r="26" spans="1:5" customHeight="1" ht="12.5">
      <c r="A26" s="26"/>
      <c r="B26" s="27"/>
      <c r="C26" s="39"/>
      <c r="D26" s="45"/>
      <c r="E26" s="45"/>
    </row>
    <row r="27" spans="1:5" customHeight="1" ht="12.5">
      <c r="A27" s="26"/>
      <c r="B27" s="27"/>
      <c r="C27" s="39"/>
      <c r="D27" s="45"/>
      <c r="E27" s="45"/>
    </row>
    <row r="28" spans="1:5" customHeight="1" ht="12">
      <c r="A28" s="26"/>
      <c r="B28" s="27"/>
      <c r="C28" s="39"/>
      <c r="D28" s="45"/>
      <c r="E28" s="45"/>
    </row>
    <row r="29" spans="1:5" customHeight="1" ht="12.5">
      <c r="A29" s="26"/>
      <c r="B29" s="27"/>
      <c r="C29" s="39"/>
      <c r="D29" s="45"/>
      <c r="E29" s="45"/>
    </row>
    <row r="30" spans="1:5" customHeight="1" ht="12.5">
      <c r="A30" s="35"/>
      <c r="B30" s="36"/>
      <c r="C30" s="36"/>
      <c r="D30" s="46"/>
      <c r="E30" s="46"/>
    </row>
    <row r="31" spans="1:5" customHeight="1" ht="12.5">
      <c r="A31" s="52"/>
      <c r="B31" s="30"/>
      <c r="C31" s="36"/>
      <c r="D31" s="46"/>
      <c r="E31" s="46"/>
    </row>
    <row r="32" spans="1:5" customHeight="1" ht="12.5">
      <c r="A32" s="26"/>
      <c r="B32" s="27"/>
      <c r="C32" s="39"/>
      <c r="D32" s="45"/>
      <c r="E32" s="45"/>
    </row>
    <row r="33" spans="1:5" customHeight="1" ht="12.5">
      <c r="A33" s="26"/>
      <c r="B33" s="27"/>
      <c r="C33" s="39"/>
      <c r="D33" s="45"/>
      <c r="E33" s="45"/>
    </row>
    <row r="34" spans="1:5" customHeight="1" ht="12.5">
      <c r="A34" s="26"/>
      <c r="B34" s="27"/>
      <c r="C34" s="39"/>
      <c r="D34" s="45"/>
      <c r="E34" s="45"/>
    </row>
    <row r="35" spans="1:5" customHeight="1" ht="12.5">
      <c r="A35" s="26"/>
      <c r="B35" s="27"/>
      <c r="C35" s="39"/>
      <c r="D35" s="45"/>
      <c r="E35" s="45"/>
    </row>
    <row r="36" spans="1:5" customHeight="1" ht="12.5">
      <c r="A36" s="35"/>
      <c r="B36" s="36"/>
      <c r="C36" s="36"/>
      <c r="D36" s="46"/>
      <c r="E36" s="46"/>
    </row>
    <row r="37" spans="1:5" customHeight="1" ht="12.5">
      <c r="A37" s="29"/>
      <c r="B37" s="30"/>
      <c r="C37" s="36"/>
      <c r="D37" s="46"/>
      <c r="E37" s="46"/>
    </row>
    <row r="38" spans="1:5" customHeight="1" ht="12.5">
      <c r="A38" s="26"/>
      <c r="B38" s="27"/>
      <c r="C38" s="39"/>
      <c r="D38" s="45"/>
      <c r="E38" s="45"/>
    </row>
    <row r="39" spans="1:5" customHeight="1" ht="12.5">
      <c r="A39" s="26"/>
      <c r="B39" s="27"/>
      <c r="C39" s="39"/>
      <c r="D39" s="45"/>
      <c r="E39" s="45"/>
    </row>
    <row r="40" spans="1:5" customHeight="1" ht="12.5">
      <c r="A40" s="26"/>
      <c r="B40" s="27"/>
      <c r="C40" s="39"/>
      <c r="D40" s="45"/>
      <c r="E40" s="45"/>
    </row>
    <row r="41" spans="1:5" customHeight="1" ht="12.5">
      <c r="A41" s="26"/>
      <c r="B41" s="27"/>
      <c r="C41" s="39"/>
      <c r="D41" s="45"/>
      <c r="E41" s="45"/>
    </row>
    <row r="42" spans="1:5" customHeight="1" ht="12.5">
      <c r="A42" s="26"/>
      <c r="B42" s="27"/>
      <c r="C42" s="39"/>
      <c r="D42" s="45"/>
      <c r="E42" s="45"/>
    </row>
    <row r="43" spans="1:5" customHeight="1" ht="12.5">
      <c r="A43" s="26"/>
      <c r="B43" s="27"/>
      <c r="C43" s="39"/>
      <c r="D43" s="45"/>
      <c r="E43" s="45"/>
    </row>
    <row r="44" spans="1:5" customHeight="1" ht="12.5">
      <c r="A44" s="26"/>
      <c r="B44" s="27"/>
      <c r="C44" s="39"/>
      <c r="D44" s="45"/>
      <c r="E44" s="45"/>
    </row>
    <row r="45" spans="1:5" customHeight="1" ht="12.5">
      <c r="A45" s="26"/>
      <c r="B45" s="27"/>
      <c r="C45" s="39"/>
      <c r="D45" s="45"/>
      <c r="E45" s="45"/>
    </row>
    <row r="46" spans="1:5" customHeight="1" ht="12.5">
      <c r="A46" s="26"/>
      <c r="B46" s="27"/>
      <c r="C46" s="39"/>
      <c r="D46" s="45"/>
      <c r="E46" s="45"/>
    </row>
    <row r="47" spans="1:5" customHeight="1" ht="12.5">
      <c r="A47" s="26"/>
      <c r="B47" s="27"/>
      <c r="C47" s="39"/>
      <c r="D47" s="45"/>
      <c r="E47" s="45"/>
    </row>
    <row r="48" spans="1:5" customHeight="1" ht="12.5">
      <c r="A48" s="26"/>
      <c r="B48" s="27"/>
      <c r="C48" s="39"/>
      <c r="D48" s="45"/>
      <c r="E48" s="45"/>
    </row>
    <row r="49" spans="1:5" customHeight="1" ht="12.5">
      <c r="A49" s="26"/>
      <c r="B49" s="27"/>
      <c r="C49" s="39"/>
      <c r="D49" s="45"/>
      <c r="E49" s="45"/>
    </row>
    <row r="50" spans="1:5" customHeight="1" ht="12.5">
      <c r="A50" s="26"/>
      <c r="B50" s="27"/>
      <c r="C50" s="39"/>
      <c r="D50" s="45"/>
      <c r="E50" s="45"/>
    </row>
    <row r="51" spans="1:5" customHeight="1" ht="12.5">
      <c r="A51" s="26"/>
      <c r="B51" s="27"/>
      <c r="C51" s="39"/>
      <c r="D51" s="45"/>
      <c r="E51" s="45"/>
    </row>
    <row r="52" spans="1:5" customHeight="1" ht="12.5">
      <c r="A52" s="35"/>
      <c r="B52" s="36"/>
      <c r="C52" s="36"/>
      <c r="D52" s="46"/>
      <c r="E52" s="46"/>
    </row>
    <row r="53" spans="1:5" customHeight="1" ht="12.5">
      <c r="A53" s="29"/>
      <c r="B53" s="30"/>
      <c r="C53" s="36"/>
      <c r="D53" s="46"/>
      <c r="E53" s="46"/>
    </row>
    <row r="54" spans="1:5" customHeight="1" ht="12.5">
      <c r="A54" s="26"/>
      <c r="B54" s="27"/>
      <c r="C54" s="39"/>
      <c r="D54" s="45"/>
      <c r="E54" s="45"/>
    </row>
    <row r="55" spans="1:5" customHeight="1" ht="12.5">
      <c r="A55" s="26"/>
      <c r="B55" s="27"/>
      <c r="C55" s="39"/>
      <c r="D55" s="45"/>
      <c r="E55" s="45"/>
    </row>
    <row r="56" spans="1:5" customHeight="1" ht="12.5">
      <c r="A56" s="26"/>
      <c r="B56" s="27"/>
      <c r="C56" s="39"/>
      <c r="D56" s="45"/>
      <c r="E56" s="45"/>
    </row>
    <row r="57" spans="1:5" customHeight="1" ht="12.5">
      <c r="A57" s="26"/>
      <c r="B57" s="27"/>
      <c r="C57" s="39"/>
      <c r="D57" s="45"/>
      <c r="E57" s="45"/>
    </row>
    <row r="58" spans="1:5" customHeight="1" ht="12.5">
      <c r="A58" s="26"/>
      <c r="B58" s="27"/>
      <c r="C58" s="39"/>
      <c r="D58" s="45"/>
      <c r="E58" s="45"/>
    </row>
    <row r="59" spans="1:5" customHeight="1" ht="12.5">
      <c r="A59" s="26"/>
      <c r="B59" s="27"/>
      <c r="C59" s="39"/>
      <c r="D59" s="45"/>
      <c r="E59" s="45"/>
    </row>
    <row r="60" spans="1:5" customHeight="1" ht="12.5">
      <c r="A60" s="26"/>
      <c r="B60" s="27"/>
      <c r="C60" s="39"/>
      <c r="D60" s="45"/>
      <c r="E60" s="45"/>
    </row>
    <row r="61" spans="1:5" customHeight="1" ht="12.5">
      <c r="A61" s="26"/>
      <c r="B61" s="27"/>
      <c r="C61" s="39"/>
      <c r="D61" s="45"/>
      <c r="E61" s="45"/>
    </row>
    <row r="62" spans="1:5" customHeight="1" ht="12.5">
      <c r="A62" s="26"/>
      <c r="B62" s="27"/>
      <c r="C62" s="39"/>
      <c r="D62" s="45"/>
      <c r="E62" s="45"/>
    </row>
    <row r="63" spans="1:5" customHeight="1" ht="12.5">
      <c r="A63" s="26"/>
      <c r="B63" s="27"/>
      <c r="C63" s="39"/>
      <c r="D63" s="45"/>
      <c r="E63" s="45"/>
    </row>
    <row r="64" spans="1:5" customHeight="1" ht="12.5">
      <c r="A64" s="26"/>
      <c r="B64" s="27"/>
      <c r="C64" s="39"/>
      <c r="D64" s="45"/>
      <c r="E64" s="45"/>
    </row>
    <row r="65" spans="1:5" customHeight="1" ht="12.5">
      <c r="A65" s="26"/>
      <c r="B65" s="27"/>
      <c r="C65" s="39"/>
      <c r="D65" s="45"/>
      <c r="E65" s="45"/>
    </row>
    <row r="66" spans="1:5" customHeight="1" ht="12.5">
      <c r="A66" s="26"/>
      <c r="B66" s="27"/>
      <c r="C66" s="39"/>
      <c r="D66" s="45"/>
      <c r="E66" s="45"/>
    </row>
    <row r="67" spans="1:5" customHeight="1" ht="12.5">
      <c r="A67" s="35"/>
      <c r="B67" s="36"/>
      <c r="C67" s="36"/>
      <c r="D67" s="46"/>
      <c r="E67" s="46"/>
    </row>
    <row r="68" spans="1:5" customHeight="1" ht="12.5">
      <c r="A68" s="29"/>
      <c r="B68" s="30"/>
      <c r="C68" s="36"/>
      <c r="D68" s="46"/>
      <c r="E68" s="46"/>
    </row>
    <row r="69" spans="1:5" customHeight="1" ht="12.5">
      <c r="A69" s="26"/>
      <c r="B69" s="27"/>
      <c r="C69" s="39"/>
      <c r="D69" s="45"/>
      <c r="E69" s="45"/>
    </row>
    <row r="70" spans="1:5" customHeight="1" ht="12.5">
      <c r="A70" s="26"/>
      <c r="B70" s="27"/>
      <c r="C70" s="39"/>
      <c r="D70" s="45"/>
      <c r="E70" s="45"/>
    </row>
    <row r="71" spans="1:5" customHeight="1" ht="12.5">
      <c r="A71" s="26"/>
      <c r="B71" s="27"/>
      <c r="C71" s="39"/>
      <c r="D71" s="45"/>
      <c r="E71" s="45"/>
    </row>
    <row r="72" spans="1:5" customHeight="1" ht="12.5">
      <c r="A72" s="26"/>
      <c r="B72" s="27"/>
      <c r="C72" s="39"/>
      <c r="D72" s="45"/>
      <c r="E72" s="45"/>
    </row>
    <row r="73" spans="1:5" customHeight="1" ht="12.5">
      <c r="A73" s="26"/>
      <c r="B73" s="27"/>
      <c r="C73" s="39"/>
      <c r="D73" s="45"/>
      <c r="E73" s="45"/>
    </row>
    <row r="74" spans="1:5" customHeight="1" ht="12.5">
      <c r="A74" s="26"/>
      <c r="B74" s="27"/>
      <c r="C74" s="39"/>
      <c r="D74" s="45"/>
      <c r="E74" s="45"/>
    </row>
    <row r="75" spans="1:5" customHeight="1" ht="12.5">
      <c r="A75" s="26"/>
      <c r="B75" s="27"/>
      <c r="C75" s="39"/>
      <c r="D75" s="45"/>
      <c r="E75" s="45"/>
    </row>
    <row r="76" spans="1:5" customHeight="1" ht="12.5">
      <c r="A76" s="26"/>
      <c r="B76" s="27"/>
      <c r="C76" s="39"/>
      <c r="D76" s="45"/>
      <c r="E76" s="45"/>
    </row>
    <row r="77" spans="1:5" customHeight="1" ht="12.5">
      <c r="A77" s="26"/>
      <c r="B77" s="27"/>
      <c r="C77" s="39"/>
      <c r="D77" s="45"/>
      <c r="E77" s="45"/>
    </row>
    <row r="78" spans="1:5" customHeight="1" ht="12.5">
      <c r="A78" s="26"/>
      <c r="B78" s="27"/>
      <c r="C78" s="39"/>
      <c r="D78" s="45"/>
      <c r="E78" s="45"/>
    </row>
    <row r="79" spans="1:5" customHeight="1" ht="12.5">
      <c r="A79" s="26"/>
      <c r="B79" s="27"/>
      <c r="C79" s="39"/>
      <c r="D79" s="45"/>
      <c r="E79" s="45"/>
    </row>
    <row r="80" spans="1:5" customHeight="1" ht="12.5">
      <c r="A80" s="26"/>
      <c r="B80" s="27"/>
      <c r="C80" s="39"/>
      <c r="D80" s="45"/>
      <c r="E80" s="45"/>
    </row>
    <row r="81" spans="1:5" customHeight="1" ht="12.5">
      <c r="A81" s="26"/>
      <c r="B81" s="27"/>
      <c r="C81" s="39"/>
      <c r="D81" s="45"/>
      <c r="E81" s="45"/>
    </row>
    <row r="82" spans="1:5" customHeight="1" ht="12.5">
      <c r="A82" s="35"/>
      <c r="B82" s="36"/>
      <c r="C82" s="36"/>
      <c r="D82" s="46"/>
      <c r="E82" s="46"/>
    </row>
    <row r="83" spans="1:5" customHeight="1" ht="12.5">
      <c r="A83" s="29"/>
      <c r="B83" s="30"/>
      <c r="C83" s="36"/>
      <c r="D83" s="46"/>
      <c r="E83" s="46"/>
    </row>
    <row r="84" spans="1:5" customHeight="1" ht="12.5">
      <c r="A84" s="26"/>
      <c r="B84" s="27"/>
      <c r="C84" s="39"/>
      <c r="D84" s="45"/>
      <c r="E84" s="45"/>
    </row>
    <row r="85" spans="1:5" customHeight="1" ht="12.5">
      <c r="A85" s="26"/>
      <c r="B85" s="27"/>
      <c r="C85" s="39"/>
      <c r="D85" s="45"/>
      <c r="E85" s="45"/>
    </row>
    <row r="86" spans="1:5" customHeight="1" ht="12.5">
      <c r="A86" s="26"/>
      <c r="B86" s="27"/>
      <c r="C86" s="39"/>
      <c r="D86" s="45"/>
      <c r="E86" s="45"/>
    </row>
    <row r="87" spans="1:5" customHeight="1" ht="12.5">
      <c r="A87" s="26"/>
      <c r="B87" s="27"/>
      <c r="C87" s="39"/>
      <c r="D87" s="45"/>
      <c r="E87" s="45"/>
    </row>
    <row r="88" spans="1:5" customHeight="1" ht="12.5">
      <c r="A88" s="26"/>
      <c r="B88" s="27"/>
      <c r="C88" s="39"/>
      <c r="D88" s="45"/>
      <c r="E88" s="45"/>
    </row>
    <row r="89" spans="1:5" customHeight="1" ht="12.5">
      <c r="A89" s="26"/>
      <c r="B89" s="27"/>
      <c r="C89" s="39"/>
      <c r="D89" s="45"/>
      <c r="E89" s="45"/>
    </row>
    <row r="90" spans="1:5" customHeight="1" ht="12.5">
      <c r="A90" s="26"/>
      <c r="B90" s="27"/>
      <c r="C90" s="39"/>
      <c r="D90" s="45"/>
      <c r="E90" s="45"/>
    </row>
    <row r="91" spans="1:5" customHeight="1" ht="12.5">
      <c r="A91" s="26"/>
      <c r="B91" s="27"/>
      <c r="C91" s="39"/>
      <c r="D91" s="45"/>
      <c r="E91" s="45"/>
    </row>
    <row r="92" spans="1:5" customHeight="1" ht="12.5">
      <c r="A92" s="26"/>
      <c r="B92" s="27"/>
      <c r="C92" s="39"/>
      <c r="D92" s="45"/>
      <c r="E92" s="45"/>
    </row>
    <row r="93" spans="1:5" customHeight="1" ht="12.5">
      <c r="A93" s="26"/>
      <c r="B93" s="27"/>
      <c r="C93" s="39"/>
      <c r="D93" s="45"/>
      <c r="E93" s="45"/>
    </row>
    <row r="94" spans="1:5" customHeight="1" ht="12.5">
      <c r="A94" s="26"/>
      <c r="B94" s="27"/>
      <c r="C94" s="39"/>
      <c r="D94" s="45"/>
      <c r="E94" s="45"/>
    </row>
    <row r="95" spans="1:5" customHeight="1" ht="12.5">
      <c r="A95" s="26"/>
      <c r="B95" s="27"/>
      <c r="C95" s="39"/>
      <c r="D95" s="45"/>
      <c r="E95" s="45"/>
    </row>
    <row r="96" spans="1:5" customHeight="1" ht="12.5">
      <c r="A96" s="26"/>
      <c r="B96" s="27"/>
      <c r="C96" s="39"/>
      <c r="D96" s="45"/>
      <c r="E96" s="45"/>
    </row>
    <row r="97" spans="1:5" customHeight="1" ht="12.5">
      <c r="A97" s="26"/>
      <c r="B97" s="27"/>
      <c r="C97" s="39"/>
      <c r="D97" s="45"/>
      <c r="E97" s="45"/>
    </row>
    <row r="98" spans="1:5" customHeight="1" ht="12.5">
      <c r="A98" s="26"/>
      <c r="B98" s="27"/>
      <c r="C98" s="39"/>
      <c r="D98" s="45"/>
      <c r="E98" s="45"/>
    </row>
    <row r="99" spans="1:5" customHeight="1" ht="12.5">
      <c r="A99" s="26"/>
      <c r="B99" s="27"/>
      <c r="C99" s="39"/>
      <c r="D99" s="45"/>
      <c r="E99" s="45"/>
    </row>
    <row r="100" spans="1:5" customHeight="1" ht="12.5">
      <c r="A100" s="26"/>
      <c r="B100" s="27"/>
      <c r="C100" s="39"/>
      <c r="D100" s="45"/>
      <c r="E100" s="45"/>
    </row>
    <row r="101" spans="1:5" customHeight="1" ht="12.5">
      <c r="A101" s="35"/>
      <c r="B101" s="36"/>
      <c r="C101" s="36"/>
      <c r="D101" s="46"/>
      <c r="E101" s="46"/>
    </row>
    <row r="102" spans="1:5" customHeight="1" ht="12.5">
      <c r="A102" s="29"/>
      <c r="B102" s="30"/>
      <c r="C102" s="36"/>
      <c r="D102" s="46"/>
      <c r="E102" s="46"/>
    </row>
    <row r="103" spans="1:5" customHeight="1" ht="12.5">
      <c r="A103" s="26"/>
      <c r="B103" s="27"/>
      <c r="C103" s="39"/>
      <c r="D103" s="45"/>
      <c r="E103" s="45"/>
    </row>
    <row r="104" spans="1:5" customHeight="1" ht="12.5">
      <c r="A104" s="26"/>
      <c r="B104" s="27"/>
      <c r="C104" s="39"/>
      <c r="D104" s="45"/>
      <c r="E104" s="45"/>
    </row>
    <row r="105" spans="1:5" customHeight="1" ht="12.5">
      <c r="A105" s="26"/>
      <c r="B105" s="27"/>
      <c r="C105" s="39"/>
      <c r="D105" s="45"/>
      <c r="E105" s="45"/>
    </row>
    <row r="106" spans="1:5" customHeight="1" ht="12.5">
      <c r="A106" s="26"/>
      <c r="B106" s="27"/>
      <c r="C106" s="39"/>
      <c r="D106" s="45"/>
      <c r="E106" s="45"/>
    </row>
    <row r="107" spans="1:5" customHeight="1" ht="12.5">
      <c r="A107" s="26"/>
      <c r="B107" s="27"/>
      <c r="C107" s="39"/>
      <c r="D107" s="45"/>
      <c r="E107" s="45"/>
    </row>
    <row r="108" spans="1:5" customHeight="1" ht="12.5">
      <c r="A108" s="26"/>
      <c r="B108" s="27"/>
      <c r="C108" s="39"/>
      <c r="D108" s="45"/>
      <c r="E108" s="45"/>
    </row>
    <row r="109" spans="1:5" customHeight="1" ht="12.5">
      <c r="A109" s="26"/>
      <c r="B109" s="27"/>
      <c r="C109" s="39"/>
      <c r="D109" s="45"/>
      <c r="E109" s="45"/>
    </row>
    <row r="110" spans="1:5" customHeight="1" ht="12.5">
      <c r="A110" s="26"/>
      <c r="B110" s="27"/>
      <c r="C110" s="39"/>
      <c r="D110" s="45"/>
      <c r="E110" s="45"/>
    </row>
    <row r="111" spans="1:5" customHeight="1" ht="12.5">
      <c r="A111" s="26"/>
      <c r="B111" s="27"/>
      <c r="C111" s="39"/>
      <c r="D111" s="45"/>
      <c r="E111" s="45"/>
    </row>
    <row r="112" spans="1:5" customHeight="1" ht="12.5">
      <c r="A112" s="26"/>
      <c r="B112" s="27"/>
      <c r="C112" s="39"/>
      <c r="D112" s="45"/>
      <c r="E112" s="45"/>
    </row>
    <row r="113" spans="1:5" customHeight="1" ht="12.5">
      <c r="A113" s="26"/>
      <c r="B113" s="27"/>
      <c r="C113" s="39"/>
      <c r="D113" s="45"/>
      <c r="E113" s="45"/>
    </row>
    <row r="114" spans="1:5" customHeight="1" ht="12.5">
      <c r="A114" s="26"/>
      <c r="B114" s="27"/>
      <c r="C114" s="39"/>
      <c r="D114" s="45"/>
      <c r="E114" s="45"/>
    </row>
    <row r="115" spans="1:5" customHeight="1" ht="12.5">
      <c r="A115" s="26"/>
      <c r="B115" s="27"/>
      <c r="C115" s="39"/>
      <c r="D115" s="45"/>
      <c r="E115" s="45"/>
    </row>
    <row r="116" spans="1:5" customHeight="1" ht="12.5">
      <c r="A116" s="26"/>
      <c r="B116" s="27"/>
      <c r="C116" s="39"/>
      <c r="D116" s="45"/>
      <c r="E116" s="45"/>
    </row>
    <row r="117" spans="1:5" customHeight="1" ht="12.5">
      <c r="A117" s="26"/>
      <c r="B117" s="27"/>
      <c r="C117" s="39"/>
      <c r="D117" s="45"/>
      <c r="E117" s="45"/>
    </row>
    <row r="118" spans="1:5" customHeight="1" ht="12.5">
      <c r="A118" s="26"/>
      <c r="B118" s="27"/>
      <c r="C118" s="39"/>
      <c r="D118" s="45"/>
      <c r="E118" s="45"/>
    </row>
    <row r="119" spans="1:5" customHeight="1" ht="12.5">
      <c r="A119" s="14"/>
      <c r="B119" s="20"/>
      <c r="C119" s="62"/>
      <c r="D119" s="47"/>
      <c r="E119" s="47"/>
    </row>
    <row r="120" spans="1:5" customHeight="1" ht="12.5">
      <c r="A120" s="14"/>
      <c r="B120" s="20"/>
      <c r="C120" s="62"/>
      <c r="D120" s="47"/>
      <c r="E120" s="47"/>
    </row>
    <row r="121" spans="1:5" customHeight="1" ht="12.5">
      <c r="A121" s="14"/>
      <c r="B121" s="20"/>
      <c r="C121" s="62"/>
      <c r="D121" s="47"/>
      <c r="E121" s="47"/>
    </row>
    <row r="122" spans="1:5" customHeight="1" ht="12.5">
      <c r="A122" s="14"/>
      <c r="B122" s="20"/>
      <c r="C122" s="62"/>
      <c r="D122" s="47"/>
      <c r="E122" s="47"/>
    </row>
    <row r="123" spans="1:5" customHeight="1" ht="12.5">
      <c r="A123" s="14"/>
      <c r="B123" s="20"/>
      <c r="C123" s="62"/>
      <c r="D123" s="47"/>
      <c r="E123" s="47"/>
    </row>
    <row r="124" spans="1:5" customHeight="1" ht="12.5">
      <c r="A124" s="14"/>
      <c r="B124" s="20"/>
      <c r="C124" s="62"/>
      <c r="D124" s="47"/>
      <c r="E124" s="47"/>
    </row>
    <row r="125" spans="1:5" customHeight="1" ht="12.5">
      <c r="A125" s="14"/>
      <c r="B125" s="20"/>
      <c r="C125" s="62"/>
      <c r="D125" s="47"/>
      <c r="E125" s="47"/>
    </row>
    <row r="126" spans="1:5" customHeight="1" ht="12.5">
      <c r="A126" s="14"/>
      <c r="B126" s="20"/>
      <c r="C126" s="62"/>
      <c r="D126" s="47"/>
      <c r="E126" s="47"/>
    </row>
    <row r="127" spans="1:5" customHeight="1" ht="12.5">
      <c r="A127" s="14"/>
      <c r="B127" s="20"/>
      <c r="C127" s="62"/>
      <c r="D127" s="47"/>
      <c r="E127" s="47"/>
    </row>
    <row r="128" spans="1:5" customHeight="1" ht="12.5">
      <c r="A128" s="14"/>
      <c r="B128" s="20"/>
      <c r="C128" s="62"/>
      <c r="D128" s="47"/>
      <c r="E128" s="47"/>
    </row>
    <row r="129" spans="1:5" customHeight="1" ht="12.5">
      <c r="A129" s="14"/>
      <c r="B129" s="20"/>
      <c r="C129" s="62"/>
      <c r="D129" s="47"/>
      <c r="E129" s="47"/>
    </row>
    <row r="130" spans="1:5" customHeight="1" ht="12.5">
      <c r="A130" s="14"/>
      <c r="B130" s="20"/>
      <c r="C130" s="62"/>
      <c r="D130" s="47"/>
      <c r="E130" s="47"/>
    </row>
    <row r="131" spans="1:5" customHeight="1" ht="12.5">
      <c r="A131" s="14"/>
      <c r="B131" s="20"/>
      <c r="C131" s="62"/>
      <c r="D131" s="47"/>
      <c r="E131" s="47"/>
    </row>
    <row r="132" spans="1:5" customHeight="1" ht="12.5">
      <c r="A132" s="14"/>
      <c r="B132" s="20"/>
      <c r="C132" s="62"/>
      <c r="D132" s="47"/>
      <c r="E132" s="47"/>
    </row>
    <row r="133" spans="1:5" customHeight="1" ht="12.5">
      <c r="A133" s="14"/>
      <c r="B133" s="20"/>
      <c r="C133" s="62"/>
      <c r="D133" s="47"/>
      <c r="E133" s="47"/>
    </row>
    <row r="134" spans="1:5" customHeight="1" ht="12.5">
      <c r="A134" s="14"/>
      <c r="B134" s="20"/>
      <c r="C134" s="62"/>
      <c r="D134" s="47"/>
      <c r="E134" s="47"/>
    </row>
    <row r="135" spans="1:5" customHeight="1" ht="12.5">
      <c r="A135" s="14"/>
      <c r="B135" s="20"/>
      <c r="C135" s="62"/>
      <c r="D135" s="47"/>
      <c r="E135" s="47"/>
    </row>
    <row r="136" spans="1:5" customHeight="1" ht="12.5">
      <c r="A136" s="14"/>
      <c r="B136" s="20"/>
      <c r="C136" s="62"/>
      <c r="D136" s="47"/>
      <c r="E136" s="47"/>
    </row>
    <row r="137" spans="1:5" customHeight="1" ht="12.5">
      <c r="A137" s="14"/>
      <c r="B137" s="20"/>
      <c r="C137" s="62"/>
      <c r="D137" s="47"/>
      <c r="E137" s="47"/>
    </row>
    <row r="138" spans="1:5" customHeight="1" ht="12.5">
      <c r="A138" s="14"/>
      <c r="B138" s="20"/>
      <c r="C138" s="62"/>
      <c r="D138" s="47"/>
      <c r="E138" s="47"/>
    </row>
    <row r="139" spans="1:5" customHeight="1" ht="12.5">
      <c r="A139" s="14"/>
      <c r="B139" s="20"/>
      <c r="C139" s="62"/>
      <c r="D139" s="47"/>
      <c r="E139" s="47"/>
    </row>
    <row r="140" spans="1:5" customHeight="1" ht="12.5">
      <c r="A140" s="14"/>
      <c r="B140" s="20"/>
      <c r="C140" s="62"/>
      <c r="D140" s="47"/>
      <c r="E140" s="47"/>
    </row>
    <row r="141" spans="1:5" customHeight="1" ht="12.5">
      <c r="A141" s="14"/>
      <c r="B141" s="20"/>
      <c r="C141" s="62"/>
      <c r="D141" s="47"/>
      <c r="E141" s="47"/>
    </row>
    <row r="142" spans="1:5" customHeight="1" ht="12.5">
      <c r="A142" s="14"/>
      <c r="B142" s="20"/>
      <c r="C142" s="62"/>
      <c r="D142" s="47"/>
      <c r="E142" s="47"/>
    </row>
    <row r="143" spans="1:5" customHeight="1" ht="12.5">
      <c r="A143" s="14"/>
      <c r="B143" s="20"/>
      <c r="C143" s="62"/>
      <c r="D143" s="47"/>
      <c r="E143" s="47"/>
    </row>
    <row r="144" spans="1:5" customHeight="1" ht="12.5">
      <c r="A144" s="14"/>
      <c r="B144" s="20"/>
      <c r="C144" s="62"/>
      <c r="D144" s="47"/>
      <c r="E144" s="47"/>
    </row>
    <row r="145" spans="1:5" customHeight="1" ht="12.5">
      <c r="A145" s="14"/>
      <c r="B145" s="20"/>
      <c r="C145" s="62"/>
      <c r="D145" s="47"/>
      <c r="E145" s="47"/>
    </row>
    <row r="146" spans="1:5" customHeight="1" ht="12.5">
      <c r="A146" s="14"/>
      <c r="B146" s="20"/>
      <c r="C146" s="62"/>
      <c r="D146" s="47"/>
      <c r="E146" s="47"/>
    </row>
    <row r="147" spans="1:5" customHeight="1" ht="12.5">
      <c r="A147" s="14"/>
      <c r="B147" s="20"/>
      <c r="C147" s="62"/>
      <c r="D147" s="47"/>
      <c r="E147" s="47"/>
    </row>
    <row r="148" spans="1:5" customHeight="1" ht="12.5">
      <c r="A148" s="3"/>
      <c r="B148" s="21"/>
      <c r="C148" s="63"/>
      <c r="D148" s="41"/>
      <c r="E148" s="41"/>
    </row>
  </sheetData>
  <sheetProtection objects="1" scenarios="1" formatCells="1" formatColumns="1" formatRows="1" insertColumns="1" insertRows="1" insertHyperlinks="1" deleteColumns="1" deleteRows="1" sort="1" autoFilter="1" pivotTables="1" selectLockedCells="1" selectUnlockedCells="1"/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BL</vt:lpstr>
      <vt:lpstr>RTN</vt:lpstr>
      <vt:lpstr>NGREPORT</vt:lpstr>
    </vt:vector>
  </TitlesOfParts>
  <Company>TOKYO BYOKANE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TBT21</dc:creator>
  <cp:lastModifiedBy>tbt86</cp:lastModifiedBy>
  <dcterms:created xsi:type="dcterms:W3CDTF">2009-09-28T04:14:49+00:00</dcterms:created>
  <dcterms:modified xsi:type="dcterms:W3CDTF">2024-07-24T03:28:07+00:00</dcterms:modified>
  <dc:title>Untitled Spreadsheet</dc:title>
  <dc:description/>
  <dc:subject/>
  <cp:keywords/>
  <cp:category/>
</cp:coreProperties>
</file>